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30" tabRatio="554" firstSheet="11" activeTab="13"/>
  </bookViews>
  <sheets>
    <sheet name="Imported Bauxite Stocks" sheetId="1" r:id="rId1"/>
    <sheet name="Bauxite Requirement &amp; Supply, M" sheetId="2" r:id="rId2"/>
    <sheet name="Alumina by Province, Mt Aa" sheetId="3" r:id="rId3"/>
    <sheet name="MONTHLY DOMESTIC PRICE (RMB per" sheetId="4" r:id="rId4"/>
    <sheet name="MONTHLY IMPORT BY COUNTRY (dmt)" sheetId="5" r:id="rId5"/>
    <sheet name="MONTHLY IMPORT BY REGION (dmt)" sheetId="6" r:id="rId6"/>
    <sheet name="MONTHLY IMPORT BY CUSTOMER (dmt" sheetId="7" r:id="rId7"/>
    <sheet name="MONTHLY IMPORT BY COUNTRY 2 (dm" sheetId="8" r:id="rId8"/>
    <sheet name="MONTHLY DOMESTIC PRICE (US$ per" sheetId="9" r:id="rId9"/>
    <sheet name="Monthly Average CFR Price" sheetId="10" r:id="rId10"/>
    <sheet name="Monthly Average VIU CFR Price" sheetId="13" r:id="rId11"/>
    <sheet name="MONTHLY AVERAGE CIF PRICE_CONTR" sheetId="11" r:id="rId12"/>
    <sheet name="MONTHLY AVERAGE CFR PRICE 2" sheetId="12" r:id="rId13"/>
    <sheet name="MONTHLY IMPORTED TONNAGE" sheetId="14" r:id="rId14"/>
  </sheets>
  <calcPr calcId="144525"/>
</workbook>
</file>

<file path=xl/sharedStrings.xml><?xml version="1.0" encoding="utf-8"?>
<sst xmlns="http://schemas.openxmlformats.org/spreadsheetml/2006/main" count="660" uniqueCount="188">
  <si>
    <t>Imported Bauxite Stocks</t>
  </si>
  <si>
    <t>Refineries</t>
  </si>
  <si>
    <t>Port</t>
  </si>
  <si>
    <t>Weeks of Supply</t>
  </si>
  <si>
    <t>TOTAL</t>
  </si>
  <si>
    <t>Bauxite Requirement &amp; Supply, Mt Bx</t>
  </si>
  <si>
    <t>Imported Bauxite</t>
  </si>
  <si>
    <t>Domestic Bauxite</t>
  </si>
  <si>
    <t>% Bauxite Consumption Domestic</t>
  </si>
  <si>
    <t>Alumina by Province, Mt Aa</t>
  </si>
  <si>
    <t>Shandong</t>
  </si>
  <si>
    <t>Henan</t>
  </si>
  <si>
    <t>Shanxi</t>
  </si>
  <si>
    <t>Guizhou</t>
  </si>
  <si>
    <t>Guangxi</t>
  </si>
  <si>
    <t>Chongqing</t>
  </si>
  <si>
    <t>Other</t>
  </si>
  <si>
    <r>
      <rPr>
        <b/>
        <sz val="12"/>
        <color rgb="FF7030A0"/>
        <rFont val="Calibri"/>
        <charset val="1"/>
      </rPr>
      <t xml:space="preserve">MONTHLY DOMESTIC PRICE </t>
    </r>
    <r>
      <rPr>
        <b/>
        <sz val="12"/>
        <color rgb="FF000000"/>
        <rFont val="Calibri (Body)"/>
        <charset val="1"/>
      </rPr>
      <t>(RMB/t)</t>
    </r>
  </si>
  <si>
    <t>Shanxi 4.5 - 5.0</t>
  </si>
  <si>
    <t>Henan 4.0 - 5.0</t>
  </si>
  <si>
    <t>Guizhou 5.5 - 6.5</t>
  </si>
  <si>
    <t>Guangxi 7.0 - 8.0</t>
  </si>
  <si>
    <r>
      <rPr>
        <b/>
        <sz val="12"/>
        <color rgb="FF7030A0"/>
        <rFont val="Calibri"/>
        <charset val="1"/>
      </rPr>
      <t xml:space="preserve">MONTHLY IMPORT BY COUNTRY </t>
    </r>
    <r>
      <rPr>
        <b/>
        <sz val="12"/>
        <color rgb="FF000000"/>
        <rFont val="Calibri (Body)"/>
        <charset val="1"/>
      </rPr>
      <t>(dmt)</t>
    </r>
  </si>
  <si>
    <t>Guinea</t>
  </si>
  <si>
    <t>Australia</t>
  </si>
  <si>
    <t>Indonesia</t>
  </si>
  <si>
    <t>Brazil</t>
  </si>
  <si>
    <t>Solomon Islands</t>
  </si>
  <si>
    <t>Malaysia</t>
  </si>
  <si>
    <t>Jamaica</t>
  </si>
  <si>
    <t>Vietnam</t>
  </si>
  <si>
    <t>Ghana</t>
  </si>
  <si>
    <t>India</t>
  </si>
  <si>
    <t>Montenegro</t>
  </si>
  <si>
    <t>Greece</t>
  </si>
  <si>
    <t>Turkey</t>
  </si>
  <si>
    <t>Sierra Leone</t>
  </si>
  <si>
    <t>Country Key</t>
  </si>
  <si>
    <r>
      <rPr>
        <b/>
        <sz val="12"/>
        <color rgb="FF7030A0"/>
        <rFont val="Calibri"/>
        <charset val="1"/>
      </rPr>
      <t xml:space="preserve">MONTHLY IMPORT BY REGION </t>
    </r>
    <r>
      <rPr>
        <b/>
        <sz val="12"/>
        <color rgb="FF000000"/>
        <rFont val="Calibri (Body)"/>
        <charset val="1"/>
      </rPr>
      <t>(dmt)</t>
    </r>
  </si>
  <si>
    <t>Bauxite Hills</t>
  </si>
  <si>
    <t>Gove</t>
  </si>
  <si>
    <t>Kwinana</t>
  </si>
  <si>
    <t>Weipa</t>
  </si>
  <si>
    <t>Weipa-LMB</t>
  </si>
  <si>
    <t>Juruti</t>
  </si>
  <si>
    <t>MRN</t>
  </si>
  <si>
    <t>Awaso</t>
  </si>
  <si>
    <t>Elmin</t>
  </si>
  <si>
    <t>Bel Air</t>
  </si>
  <si>
    <t>Chalco Boffa</t>
  </si>
  <si>
    <t>CBG</t>
  </si>
  <si>
    <t>SMB</t>
  </si>
  <si>
    <t>Gujarat</t>
  </si>
  <si>
    <t>Bintan</t>
  </si>
  <si>
    <t>C-Kal</t>
  </si>
  <si>
    <t>W-Kal</t>
  </si>
  <si>
    <t>Discovery Bay</t>
  </si>
  <si>
    <t>Johor</t>
  </si>
  <si>
    <t>Kuantan</t>
  </si>
  <si>
    <t>Niksic</t>
  </si>
  <si>
    <t>Rennell Island</t>
  </si>
  <si>
    <t>Cam Pha</t>
  </si>
  <si>
    <t>Lang Son</t>
  </si>
  <si>
    <t>CHECKING</t>
  </si>
  <si>
    <r>
      <rPr>
        <b/>
        <sz val="12"/>
        <color rgb="FF7030A0"/>
        <rFont val="Calibri"/>
        <charset val="1"/>
      </rPr>
      <t xml:space="preserve">MONTHLY IMPORT BY CUSTOMER </t>
    </r>
    <r>
      <rPr>
        <b/>
        <sz val="12"/>
        <color rgb="FF000000"/>
        <rFont val="Calibri (Body)"/>
        <charset val="1"/>
      </rPr>
      <t>(dmt)</t>
    </r>
  </si>
  <si>
    <t>Weiqiao</t>
  </si>
  <si>
    <t>Chalco</t>
  </si>
  <si>
    <t>Xinfa</t>
  </si>
  <si>
    <t>Nanshan</t>
  </si>
  <si>
    <t>SPIC</t>
  </si>
  <si>
    <t>Bosai</t>
  </si>
  <si>
    <t>Wanji</t>
  </si>
  <si>
    <t>Lubei</t>
  </si>
  <si>
    <t>Bonded Warehouses</t>
  </si>
  <si>
    <t>Jinjiang</t>
  </si>
  <si>
    <t>Yunnan Aluminium</t>
  </si>
  <si>
    <t>Yantai Port</t>
  </si>
  <si>
    <t>TBEA</t>
  </si>
  <si>
    <t>Tiangui</t>
  </si>
  <si>
    <t>Traders</t>
  </si>
  <si>
    <r>
      <rPr>
        <b/>
        <sz val="12"/>
        <color rgb="FF7030A0"/>
        <rFont val="Calibri"/>
        <charset val="1"/>
      </rPr>
      <t xml:space="preserve">MONTHLY IMPORT BY COUNTRY 2 </t>
    </r>
    <r>
      <rPr>
        <b/>
        <sz val="12"/>
        <color rgb="FF000000"/>
        <rFont val="Calibri (Body)"/>
        <charset val="1"/>
      </rPr>
      <t>(dmt)</t>
    </r>
  </si>
  <si>
    <t>Others</t>
  </si>
  <si>
    <r>
      <rPr>
        <b/>
        <sz val="12"/>
        <color rgb="FF7030A0"/>
        <rFont val="Calibri"/>
        <charset val="1"/>
      </rPr>
      <t xml:space="preserve">MONTHLY DOMESTIC PRICE </t>
    </r>
    <r>
      <rPr>
        <b/>
        <sz val="12"/>
        <color rgb="FF000000"/>
        <rFont val="Calibri (Body)"/>
        <charset val="1"/>
      </rPr>
      <t>(US$/t)</t>
    </r>
  </si>
  <si>
    <t>Exchange Rate US$:RMB</t>
  </si>
  <si>
    <r>
      <rPr>
        <sz val="10"/>
        <color rgb="FFED7D31"/>
        <rFont val="Calibri"/>
        <charset val="1"/>
      </rPr>
      <t>MONTHLY AVERAGE CFR PRICE</t>
    </r>
    <r>
      <rPr>
        <sz val="10"/>
        <color rgb="FF000000"/>
        <rFont val="Calibri (Body)"/>
        <charset val="1"/>
      </rPr>
      <t xml:space="preserve"> (US$/dmt)</t>
    </r>
  </si>
  <si>
    <t>AUS HT</t>
  </si>
  <si>
    <t>AUS LT</t>
  </si>
  <si>
    <r>
      <rPr>
        <sz val="10"/>
        <color rgb="FFED7D31"/>
        <rFont val="Calibri"/>
        <charset val="1"/>
      </rPr>
      <t>MONTHLY AVERAGE VIU CFR PRICE</t>
    </r>
    <r>
      <rPr>
        <sz val="10"/>
        <color rgb="FF000000"/>
        <rFont val="Calibri (Body)"/>
        <charset val="1"/>
      </rPr>
      <t xml:space="preserve"> (US$/dmt)</t>
    </r>
  </si>
  <si>
    <r>
      <rPr>
        <sz val="11"/>
        <color rgb="FFC00000"/>
        <rFont val="Calibri (Body)"/>
        <charset val="1"/>
      </rPr>
      <t xml:space="preserve">MONTHLY AVERAGE CIF PRICE BY COUNTRY </t>
    </r>
    <r>
      <rPr>
        <sz val="11"/>
        <color rgb="FF000000"/>
        <rFont val="Calibri (Body)"/>
        <charset val="1"/>
      </rPr>
      <t>(US$/dmt)</t>
    </r>
  </si>
  <si>
    <t>DR</t>
  </si>
  <si>
    <t>Fiji</t>
  </si>
  <si>
    <t>Guyana</t>
  </si>
  <si>
    <t>Laos</t>
  </si>
  <si>
    <t>Saudi Arabia</t>
  </si>
  <si>
    <t>Thailand</t>
  </si>
  <si>
    <t>Region Key</t>
  </si>
  <si>
    <t>Customer Key</t>
  </si>
  <si>
    <r>
      <rPr>
        <b/>
        <sz val="12"/>
        <color rgb="FFED7D31"/>
        <rFont val="Calibri"/>
        <charset val="1"/>
      </rPr>
      <t>MONTHLY AVERAGE CFR PRICE</t>
    </r>
    <r>
      <rPr>
        <b/>
        <sz val="12"/>
        <color rgb="FF000000"/>
        <rFont val="Calibri (Body)"/>
        <charset val="1"/>
      </rPr>
      <t xml:space="preserve"> (US$/dmt)</t>
    </r>
  </si>
  <si>
    <t>Awaso - Bosai</t>
  </si>
  <si>
    <t>Awaso - Chalco</t>
  </si>
  <si>
    <t>Bauxite Hills - Chalco</t>
  </si>
  <si>
    <t>Bauxite Hills - Lubei</t>
  </si>
  <si>
    <t>Bauxite Hills - Nanshan</t>
  </si>
  <si>
    <t>Bauxite Hills - SPIC</t>
  </si>
  <si>
    <t>Bauxite Hills - Traders</t>
  </si>
  <si>
    <t>Bauxite Hills - Xinfa</t>
  </si>
  <si>
    <t>Bel Air - Chalco</t>
  </si>
  <si>
    <t>Bel Air - SPIC</t>
  </si>
  <si>
    <t>Bel Air - Traders</t>
  </si>
  <si>
    <t>Bel Air - Xinfa</t>
  </si>
  <si>
    <t>Bel Air - Nanshan</t>
  </si>
  <si>
    <t>Bintan - Traders</t>
  </si>
  <si>
    <t>Bintan - Weiqiao</t>
  </si>
  <si>
    <t>Bintan - Xinfa</t>
  </si>
  <si>
    <t>Cam Pha - Xinfa</t>
  </si>
  <si>
    <t>Chalco Boffa - Chalco</t>
  </si>
  <si>
    <t>CBG - SPIC</t>
  </si>
  <si>
    <t>CBG - Xinfa</t>
  </si>
  <si>
    <t>CBG - Traders</t>
  </si>
  <si>
    <t>Discovery Bay - Jinjiang</t>
  </si>
  <si>
    <t>Discovery Bay - SPIC</t>
  </si>
  <si>
    <t>Discovery Bay - Traders</t>
  </si>
  <si>
    <t>Discovery Bay - Weiqiao</t>
  </si>
  <si>
    <t>Discovery Bay - Yunnan Aluminium</t>
  </si>
  <si>
    <t>Elmin - Traders</t>
  </si>
  <si>
    <t>Gove - Chalco</t>
  </si>
  <si>
    <t>Gove - Nanshan</t>
  </si>
  <si>
    <t>Gove - Traders</t>
  </si>
  <si>
    <t>Gove - Weiqiao</t>
  </si>
  <si>
    <t>Gove - Xinfa</t>
  </si>
  <si>
    <t>Gujarat - Bosai</t>
  </si>
  <si>
    <t>Gujarat - Xinfa</t>
  </si>
  <si>
    <t>Johor - Chalco</t>
  </si>
  <si>
    <t>Johor - Traders</t>
  </si>
  <si>
    <t>Johor - Xinfa</t>
  </si>
  <si>
    <t>Juruti - Xinfa</t>
  </si>
  <si>
    <t>Kuantan - Chalco</t>
  </si>
  <si>
    <t>Kuantan - Traders</t>
  </si>
  <si>
    <t>Kwinana - Xinfa</t>
  </si>
  <si>
    <t>Lang Son - Traders</t>
  </si>
  <si>
    <t>MRN - Chalco</t>
  </si>
  <si>
    <t>MRN - Xinfa</t>
  </si>
  <si>
    <t>Niksic - Bonded Warehouses</t>
  </si>
  <si>
    <t>Niksic - Traders</t>
  </si>
  <si>
    <t>Rennell Island - Bonded Warehouses</t>
  </si>
  <si>
    <t>Rennell Island - Bosai</t>
  </si>
  <si>
    <t>Rennell Island - Chalco</t>
  </si>
  <si>
    <t>Rennell Island - Nanshan</t>
  </si>
  <si>
    <t>Rennell Island - Traders</t>
  </si>
  <si>
    <t>Rennell Island - Weiqiao</t>
  </si>
  <si>
    <t>Sierra Leone - Xinfa</t>
  </si>
  <si>
    <t>SMB - Bosai</t>
  </si>
  <si>
    <t>SMB - SPIC</t>
  </si>
  <si>
    <t>SMB - Traders</t>
  </si>
  <si>
    <t>SMB - Wanji</t>
  </si>
  <si>
    <t>SMB - Weiqiao</t>
  </si>
  <si>
    <t>SMB - Yantai Port</t>
  </si>
  <si>
    <t>SMB - Chalco</t>
  </si>
  <si>
    <t>SMB - Tiangui</t>
  </si>
  <si>
    <t>Turkey - Traders</t>
  </si>
  <si>
    <t>Turkey - Xinfa</t>
  </si>
  <si>
    <t>C-Kalimantan - Chalco</t>
  </si>
  <si>
    <t>C-Kalimantan - Traders</t>
  </si>
  <si>
    <t>W-Kalimantan - Bonded Warehouses</t>
  </si>
  <si>
    <t>W-Kalimantan - Chalco</t>
  </si>
  <si>
    <t>W-Kalimantan - Lubei</t>
  </si>
  <si>
    <t>W-Kalimantan - Traders</t>
  </si>
  <si>
    <t>W-Kalimantan - Wanji</t>
  </si>
  <si>
    <t>W-Kalimantan - Weiqiao</t>
  </si>
  <si>
    <t>W-Kalimantan - Xinfa</t>
  </si>
  <si>
    <t>W-Kalimantan - Yantai Port</t>
  </si>
  <si>
    <t>W-Kalimantan - Yunnan Aluminium</t>
  </si>
  <si>
    <t>W-Kalimantan - SPIC</t>
  </si>
  <si>
    <t>Weipa - Bosai</t>
  </si>
  <si>
    <t>Weipa - Chalco</t>
  </si>
  <si>
    <t>Weipa - Jinjiang</t>
  </si>
  <si>
    <t>Weipa - Nanshan</t>
  </si>
  <si>
    <t>Weipa - SPIC</t>
  </si>
  <si>
    <t>Weipa - TBEA</t>
  </si>
  <si>
    <t>Weipa - Traders</t>
  </si>
  <si>
    <t>Weipa - Weiqiao</t>
  </si>
  <si>
    <t>Weipa - Xinfa</t>
  </si>
  <si>
    <t>Weipa-LMB - Bosai</t>
  </si>
  <si>
    <t>Weipa-LMB - Nanshan</t>
  </si>
  <si>
    <t>Weipa-LMB - Traders</t>
  </si>
  <si>
    <t>Weipa-LMB - Weiqiao</t>
  </si>
  <si>
    <t>Weipa-LMB - Xinfa</t>
  </si>
  <si>
    <r>
      <t xml:space="preserve">MONTHLY IMPORTED TONNAGE </t>
    </r>
    <r>
      <rPr>
        <b/>
        <sz val="12"/>
        <color theme="1"/>
        <rFont val="Calibri (Body)"/>
        <charset val="134"/>
      </rPr>
      <t>(dmt)</t>
    </r>
  </si>
</sst>
</file>

<file path=xl/styles.xml><?xml version="1.0" encoding="utf-8"?>
<styleSheet xmlns="http://schemas.openxmlformats.org/spreadsheetml/2006/main">
  <numFmts count="9">
    <numFmt numFmtId="42" formatCode="_(&quot;$&quot;* #,##0_);_(&quot;$&quot;* \(#,##0\);_(&quot;$&quot;* &quot;-&quot;_);_(@_)"/>
    <numFmt numFmtId="176" formatCode="_(* #,##0_);_(* \(#,##0\);_(* \-??_);_(@_)"/>
    <numFmt numFmtId="177" formatCode="_(* #,##0.0_);_(* \(#,##0.0\);_(* \-??_);_(@_)"/>
    <numFmt numFmtId="178" formatCode="mmm\-yyyy"/>
    <numFmt numFmtId="44" formatCode="_(&quot;$&quot;* #,##0.00_);_(&quot;$&quot;* \(#,##0.00\);_(&quot;$&quot;* &quot;-&quot;??_);_(@_)"/>
    <numFmt numFmtId="179" formatCode="_ * #,##0_ ;_ * \-#,##0_ ;_ * &quot;-&quot;_ ;_ @_ "/>
    <numFmt numFmtId="180" formatCode="_(* #,##0.00_);_(* \(#,##0.00\);_(* \-??_);_(@_)"/>
    <numFmt numFmtId="181" formatCode="0.0%"/>
    <numFmt numFmtId="182" formatCode="_(* #,##0.000_);_(* \(#,##0.000\);_(* \-??_);_(@_)"/>
  </numFmts>
  <fonts count="36">
    <font>
      <sz val="11"/>
      <color rgb="FF000000"/>
      <name val="Calibri"/>
      <charset val="1"/>
    </font>
    <font>
      <b/>
      <sz val="12"/>
      <color theme="1"/>
      <name val="Calibri"/>
      <charset val="134"/>
      <scheme val="minor"/>
    </font>
    <font>
      <b/>
      <sz val="12"/>
      <color rgb="FF7030A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rgb="FF000000"/>
      <name val="Calibri"/>
      <charset val="1"/>
    </font>
    <font>
      <b/>
      <sz val="12"/>
      <color rgb="FFED7D31"/>
      <name val="Calibri"/>
      <charset val="1"/>
    </font>
    <font>
      <sz val="11"/>
      <color rgb="FFC00000"/>
      <name val="Calibri (Body)"/>
      <charset val="1"/>
    </font>
    <font>
      <sz val="10"/>
      <color rgb="FFED7D31"/>
      <name val="Calibri"/>
      <charset val="1"/>
    </font>
    <font>
      <sz val="12"/>
      <color rgb="FF000000"/>
      <name val="Calibri"/>
      <charset val="1"/>
    </font>
    <font>
      <b/>
      <sz val="12"/>
      <color rgb="FF7030A0"/>
      <name val="Calibri"/>
      <charset val="1"/>
    </font>
    <font>
      <b/>
      <sz val="12"/>
      <color rgb="FF00B050"/>
      <name val="Calibri (Body)"/>
      <charset val="1"/>
    </font>
    <font>
      <b/>
      <sz val="11"/>
      <color rgb="FF000000"/>
      <name val="Calibri"/>
      <charset val="1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2"/>
      <color theme="1"/>
      <name val="Calibri (Body)"/>
      <charset val="134"/>
    </font>
    <font>
      <b/>
      <sz val="12"/>
      <color rgb="FF000000"/>
      <name val="Calibri (Body)"/>
      <charset val="1"/>
    </font>
    <font>
      <sz val="11"/>
      <color rgb="FF000000"/>
      <name val="Calibri (Body)"/>
      <charset val="1"/>
    </font>
    <font>
      <sz val="10"/>
      <color rgb="FF000000"/>
      <name val="Calibri (Body)"/>
      <charset val="1"/>
    </font>
  </fonts>
  <fills count="4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2F0D9"/>
        <bgColor rgb="FFE2EFDA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E7E6E6"/>
        <bgColor rgb="FFE2EFDA"/>
      </patternFill>
    </fill>
    <fill>
      <patternFill patternType="solid">
        <fgColor rgb="FFF2F2F2"/>
        <bgColor rgb="FFE7E6E6"/>
      </patternFill>
    </fill>
    <fill>
      <patternFill patternType="solid">
        <fgColor rgb="FFC5E0B4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E2F0D9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/>
    <xf numFmtId="0" fontId="18" fillId="15" borderId="0" applyNumberFormat="0" applyBorder="0" applyAlignment="0" applyProtection="0">
      <alignment vertical="center"/>
    </xf>
    <xf numFmtId="180" fontId="0" fillId="0" borderId="0" applyBorder="0" applyProtection="0"/>
    <xf numFmtId="179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0" fillId="0" borderId="0" applyBorder="0" applyProtection="0"/>
    <xf numFmtId="0" fontId="13" fillId="11" borderId="12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7" fillId="17" borderId="16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8" fillId="20" borderId="13" applyNumberForma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16" fillId="12" borderId="14" applyNumberFormat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4" fillId="12" borderId="13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0" fillId="0" borderId="0"/>
    <xf numFmtId="0" fontId="18" fillId="29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78" fontId="0" fillId="4" borderId="1" xfId="32" applyNumberForma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0" fontId="0" fillId="4" borderId="4" xfId="0" applyFont="1" applyFill="1" applyBorder="1" applyAlignment="1">
      <alignment horizontal="center" vertical="center"/>
    </xf>
    <xf numFmtId="0" fontId="0" fillId="4" borderId="5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/>
    </xf>
    <xf numFmtId="0" fontId="0" fillId="4" borderId="3" xfId="0" applyFont="1" applyFill="1" applyBorder="1" applyAlignment="1">
      <alignment horizontal="center"/>
    </xf>
    <xf numFmtId="0" fontId="0" fillId="8" borderId="3" xfId="0" applyFont="1" applyFill="1" applyBorder="1" applyAlignment="1">
      <alignment horizontal="center"/>
    </xf>
    <xf numFmtId="0" fontId="0" fillId="4" borderId="5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/>
    </xf>
    <xf numFmtId="180" fontId="8" fillId="9" borderId="0" xfId="2" applyFont="1" applyFill="1" applyBorder="1" applyProtection="1"/>
    <xf numFmtId="0" fontId="0" fillId="5" borderId="3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180" fontId="0" fillId="5" borderId="0" xfId="2" applyFont="1" applyFill="1"/>
    <xf numFmtId="180" fontId="8" fillId="10" borderId="0" xfId="2" applyFont="1" applyFill="1" applyBorder="1" applyProtection="1"/>
    <xf numFmtId="177" fontId="8" fillId="10" borderId="0" xfId="2" applyNumberFormat="1" applyFont="1" applyFill="1" applyBorder="1" applyProtection="1"/>
    <xf numFmtId="0" fontId="9" fillId="7" borderId="1" xfId="0" applyFont="1" applyFill="1" applyBorder="1" applyAlignment="1">
      <alignment horizontal="center" vertical="center" wrapText="1"/>
    </xf>
    <xf numFmtId="0" fontId="0" fillId="4" borderId="6" xfId="0" applyFont="1" applyFill="1" applyBorder="1" applyAlignment="1">
      <alignment horizontal="center" vertical="center"/>
    </xf>
    <xf numFmtId="0" fontId="0" fillId="4" borderId="7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76" fontId="8" fillId="4" borderId="0" xfId="2" applyNumberFormat="1" applyFont="1" applyFill="1" applyBorder="1" applyAlignment="1" applyProtection="1"/>
    <xf numFmtId="176" fontId="8" fillId="4" borderId="9" xfId="2" applyNumberFormat="1" applyFont="1" applyFill="1" applyBorder="1" applyAlignment="1" applyProtection="1"/>
    <xf numFmtId="176" fontId="8" fillId="4" borderId="10" xfId="2" applyNumberFormat="1" applyFont="1" applyFill="1" applyBorder="1" applyAlignment="1" applyProtection="1"/>
    <xf numFmtId="177" fontId="8" fillId="4" borderId="0" xfId="2" applyNumberFormat="1" applyFont="1" applyFill="1" applyBorder="1" applyAlignment="1" applyProtection="1"/>
    <xf numFmtId="177" fontId="8" fillId="9" borderId="0" xfId="2" applyNumberFormat="1" applyFont="1" applyFill="1" applyBorder="1" applyAlignment="1" applyProtection="1"/>
    <xf numFmtId="0" fontId="10" fillId="7" borderId="1" xfId="0" applyFont="1" applyFill="1" applyBorder="1" applyAlignment="1">
      <alignment horizontal="center" vertical="center" wrapText="1"/>
    </xf>
    <xf numFmtId="181" fontId="8" fillId="4" borderId="0" xfId="6" applyNumberFormat="1" applyFont="1" applyFill="1" applyBorder="1" applyAlignment="1" applyProtection="1"/>
    <xf numFmtId="177" fontId="8" fillId="4" borderId="9" xfId="2" applyNumberFormat="1" applyFont="1" applyFill="1" applyBorder="1" applyAlignment="1" applyProtection="1"/>
    <xf numFmtId="0" fontId="11" fillId="0" borderId="1" xfId="0" applyFont="1" applyBorder="1" applyAlignment="1">
      <alignment horizontal="center" vertical="top"/>
    </xf>
    <xf numFmtId="182" fontId="8" fillId="4" borderId="0" xfId="2" applyNumberFormat="1" applyFont="1" applyFill="1" applyBorder="1" applyAlignment="1" applyProtection="1"/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5E0B4"/>
      <rgbColor rgb="00808080"/>
      <rgbColor rgb="009999FF"/>
      <rgbColor rgb="007030A0"/>
      <rgbColor rgb="00FFF2CC"/>
      <rgbColor rgb="00E2EFDA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7E6E6"/>
      <rgbColor rgb="00E2F0D9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ED7D31"/>
      <rgbColor rgb="00666699"/>
      <rgbColor rgb="00969696"/>
      <rgbColor rgb="00003366"/>
      <rgbColor rgb="0000B050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21"/>
  <sheetViews>
    <sheetView workbookViewId="0">
      <selection activeCell="C1" sqref="A2:C90 C1"/>
    </sheetView>
  </sheetViews>
  <sheetFormatPr defaultColWidth="8.57142857142857" defaultRowHeight="15"/>
  <cols>
    <col min="1" max="1" width="19" customWidth="1"/>
  </cols>
  <sheetData>
    <row r="1" ht="29.1" customHeight="1" spans="1:38">
      <c r="A1" s="40" t="s">
        <v>0</v>
      </c>
      <c r="B1" s="3">
        <v>42795</v>
      </c>
      <c r="C1" s="3">
        <v>42826</v>
      </c>
      <c r="D1" s="3">
        <v>42856</v>
      </c>
      <c r="E1" s="3">
        <v>42887</v>
      </c>
      <c r="F1" s="3">
        <v>42917</v>
      </c>
      <c r="G1" s="3">
        <v>42948</v>
      </c>
      <c r="H1" s="3">
        <v>42979</v>
      </c>
      <c r="I1" s="3">
        <v>43009</v>
      </c>
      <c r="J1" s="3">
        <v>43040</v>
      </c>
      <c r="K1" s="3">
        <v>43070</v>
      </c>
      <c r="L1" s="3">
        <v>43101</v>
      </c>
      <c r="M1" s="3">
        <v>43132</v>
      </c>
      <c r="N1" s="3">
        <v>43160</v>
      </c>
      <c r="O1" s="3">
        <v>43191</v>
      </c>
      <c r="P1" s="3">
        <v>43221</v>
      </c>
      <c r="Q1" s="3">
        <v>43252</v>
      </c>
      <c r="R1" s="3">
        <v>43282</v>
      </c>
      <c r="S1" s="3">
        <v>43313</v>
      </c>
      <c r="T1" s="3">
        <v>43344</v>
      </c>
      <c r="U1" s="3">
        <v>43374</v>
      </c>
      <c r="V1" s="3">
        <v>43405</v>
      </c>
      <c r="W1" s="3">
        <v>43435</v>
      </c>
      <c r="X1" s="3">
        <v>43466</v>
      </c>
      <c r="Y1" s="3">
        <v>43497</v>
      </c>
      <c r="Z1" s="3">
        <v>43525</v>
      </c>
      <c r="AA1" s="3">
        <v>43556</v>
      </c>
      <c r="AB1" s="3">
        <v>43586</v>
      </c>
      <c r="AC1" s="3">
        <v>43617</v>
      </c>
      <c r="AD1" s="3">
        <v>43647</v>
      </c>
      <c r="AE1" s="3">
        <v>43678</v>
      </c>
      <c r="AF1" s="3">
        <v>43709</v>
      </c>
      <c r="AG1" s="3">
        <v>43739</v>
      </c>
      <c r="AH1" s="3">
        <v>43770</v>
      </c>
      <c r="AI1" s="3">
        <v>43800</v>
      </c>
      <c r="AJ1" s="3">
        <v>43831</v>
      </c>
      <c r="AK1" s="3">
        <v>43862</v>
      </c>
      <c r="AL1" s="3">
        <v>43891</v>
      </c>
    </row>
    <row r="2" ht="15.75" spans="1:37">
      <c r="A2" s="11" t="s">
        <v>1</v>
      </c>
      <c r="B2" s="38">
        <v>6.17289651833581</v>
      </c>
      <c r="C2" s="38">
        <v>9.86246314909132</v>
      </c>
      <c r="D2" s="38">
        <v>7.27632344896019</v>
      </c>
      <c r="E2" s="38">
        <v>8.83572519945435</v>
      </c>
      <c r="F2" s="38">
        <v>13.0736064982246</v>
      </c>
      <c r="G2" s="38">
        <v>8.48345846130442</v>
      </c>
      <c r="H2" s="38">
        <v>8.42848437092752</v>
      </c>
      <c r="I2" s="38">
        <v>8.60878187952685</v>
      </c>
      <c r="J2" s="38">
        <v>9.80757344543388</v>
      </c>
      <c r="K2" s="38">
        <v>11.185102700638</v>
      </c>
      <c r="L2" s="38">
        <v>12.383844889926</v>
      </c>
      <c r="M2" s="38">
        <v>11.4324477363815</v>
      </c>
      <c r="N2" s="38">
        <v>13.4230888851752</v>
      </c>
      <c r="O2" s="38">
        <v>14.9410468727531</v>
      </c>
      <c r="P2" s="38">
        <v>15.6391608477044</v>
      </c>
      <c r="Q2" s="38">
        <v>16.6705566692142</v>
      </c>
      <c r="R2" s="38">
        <v>19.1701291152301</v>
      </c>
      <c r="S2" s="38">
        <v>19.1336197418412</v>
      </c>
      <c r="T2" s="38">
        <v>20.3580664596468</v>
      </c>
      <c r="U2" s="38">
        <v>21.1217675741427</v>
      </c>
      <c r="V2" s="38">
        <v>22.3495390097604</v>
      </c>
      <c r="W2" s="38">
        <v>22.5286642063457</v>
      </c>
      <c r="X2" s="38">
        <v>24.4164920350428</v>
      </c>
      <c r="Y2" s="38">
        <v>25.0957552009485</v>
      </c>
      <c r="Z2" s="38">
        <v>26.6200272315147</v>
      </c>
      <c r="AA2" s="38">
        <v>27.8053248818605</v>
      </c>
      <c r="AB2" s="38">
        <v>31.2102192672861</v>
      </c>
      <c r="AC2" s="38">
        <v>30.521887006156</v>
      </c>
      <c r="AD2" s="38">
        <v>31.7907201227932</v>
      </c>
      <c r="AE2" s="38">
        <v>31.5039059473945</v>
      </c>
      <c r="AF2" s="38">
        <v>30.8092440118772</v>
      </c>
      <c r="AG2" s="38">
        <v>29.850293287615</v>
      </c>
      <c r="AH2" s="38">
        <v>30.0047472736482</v>
      </c>
      <c r="AI2" s="38">
        <v>29.5126304249091</v>
      </c>
      <c r="AJ2" s="38">
        <v>25.3558914254977</v>
      </c>
      <c r="AK2" s="38">
        <v>25.9046745354115</v>
      </c>
    </row>
    <row r="3" ht="15.75" spans="1:37">
      <c r="A3" s="28" t="s">
        <v>2</v>
      </c>
      <c r="B3" s="42">
        <v>13.212</v>
      </c>
      <c r="C3" s="42">
        <v>9.576</v>
      </c>
      <c r="D3" s="42">
        <v>11.988</v>
      </c>
      <c r="E3" s="42">
        <v>11.682</v>
      </c>
      <c r="F3" s="42">
        <v>7.704</v>
      </c>
      <c r="G3" s="42">
        <v>13.167</v>
      </c>
      <c r="H3" s="42">
        <v>14.355</v>
      </c>
      <c r="I3" s="42">
        <v>13.194</v>
      </c>
      <c r="J3" s="42">
        <v>12.4281818181818</v>
      </c>
      <c r="K3" s="42">
        <v>12.5983636363636</v>
      </c>
      <c r="L3" s="42">
        <v>12.8536363636364</v>
      </c>
      <c r="M3" s="42">
        <v>14.7681818181818</v>
      </c>
      <c r="N3" s="42">
        <v>14.3852727272727</v>
      </c>
      <c r="O3" s="42">
        <v>13.194</v>
      </c>
      <c r="P3" s="42">
        <v>14.2576363636364</v>
      </c>
      <c r="Q3" s="42">
        <v>14.6830909090909</v>
      </c>
      <c r="R3" s="42">
        <v>13.6221818181818</v>
      </c>
      <c r="S3" s="42">
        <v>15.2321818181818</v>
      </c>
      <c r="T3" s="42">
        <v>15.336</v>
      </c>
      <c r="U3" s="42">
        <v>14.67</v>
      </c>
      <c r="V3" s="42">
        <v>15.201</v>
      </c>
      <c r="W3" s="42">
        <v>16.425</v>
      </c>
      <c r="X3" s="42">
        <v>16.605</v>
      </c>
      <c r="Y3" s="42">
        <v>19.017</v>
      </c>
      <c r="Z3" s="42">
        <v>20.25</v>
      </c>
      <c r="AA3" s="42">
        <v>22.5</v>
      </c>
      <c r="AB3" s="42">
        <v>21.87</v>
      </c>
      <c r="AC3" s="42">
        <v>23.355</v>
      </c>
      <c r="AD3" s="42">
        <v>23.841</v>
      </c>
      <c r="AE3" s="42">
        <v>25.02</v>
      </c>
      <c r="AF3" s="42">
        <v>24.93</v>
      </c>
      <c r="AG3" s="42">
        <v>23.697</v>
      </c>
      <c r="AH3" s="42">
        <v>22.455</v>
      </c>
      <c r="AI3" s="42">
        <v>23.22</v>
      </c>
      <c r="AJ3" s="42">
        <v>26.685</v>
      </c>
      <c r="AK3" s="42">
        <v>26.505</v>
      </c>
    </row>
    <row r="4" ht="15.75" spans="1:37">
      <c r="A4" s="11" t="s">
        <v>3</v>
      </c>
      <c r="B4" s="35">
        <v>15.0493568089316</v>
      </c>
      <c r="C4" s="35">
        <v>15.0201781325739</v>
      </c>
      <c r="D4" s="35">
        <v>14.5621174279443</v>
      </c>
      <c r="E4" s="35">
        <v>15.5484766492569</v>
      </c>
      <c r="F4" s="35">
        <v>15.6062900676503</v>
      </c>
      <c r="G4" s="35">
        <v>16.9120658410718</v>
      </c>
      <c r="H4" s="35">
        <v>18.001075146125</v>
      </c>
      <c r="I4" s="35">
        <v>17.7067040344049</v>
      </c>
      <c r="J4" s="35">
        <v>17.5068732237609</v>
      </c>
      <c r="K4" s="35">
        <v>18.7066517082627</v>
      </c>
      <c r="L4" s="35">
        <v>19.9619262904643</v>
      </c>
      <c r="M4" s="35">
        <v>20.3652978494887</v>
      </c>
      <c r="N4" s="35">
        <v>21.6859014436462</v>
      </c>
      <c r="O4" s="35">
        <v>21.9175617335029</v>
      </c>
      <c r="P4" s="35">
        <v>23.8871801716428</v>
      </c>
      <c r="Q4" s="35">
        <v>24.5323478253456</v>
      </c>
      <c r="R4" s="35">
        <v>26.6481506408747</v>
      </c>
      <c r="S4" s="35">
        <v>27.2272256029046</v>
      </c>
      <c r="T4" s="35">
        <v>27.3590806190344</v>
      </c>
      <c r="U4" s="35">
        <v>26.2371652390998</v>
      </c>
      <c r="V4" s="35">
        <v>27.2287538146302</v>
      </c>
      <c r="W4" s="35">
        <v>29.4811657925324</v>
      </c>
      <c r="X4" s="35">
        <v>31.104108362063</v>
      </c>
      <c r="Y4" s="35">
        <v>30.334745015234</v>
      </c>
      <c r="Z4" s="35">
        <v>32.988205596792</v>
      </c>
      <c r="AA4" s="35">
        <v>33.9370481117828</v>
      </c>
      <c r="AB4" s="35">
        <v>36.5403785770794</v>
      </c>
      <c r="AC4" s="35">
        <v>33.0217391987708</v>
      </c>
      <c r="AD4" s="35">
        <v>33.8430838540749</v>
      </c>
      <c r="AE4" s="35">
        <v>32.2824742477911</v>
      </c>
      <c r="AF4" s="44">
        <v>31.552799372529</v>
      </c>
      <c r="AG4" s="44">
        <v>29.0902701516343</v>
      </c>
      <c r="AH4" s="44">
        <v>28.7950431836934</v>
      </c>
      <c r="AI4" s="44">
        <v>28.8448357057314</v>
      </c>
      <c r="AJ4" s="44">
        <v>28.4753736694729</v>
      </c>
      <c r="AK4" s="44">
        <v>27.9713029268115</v>
      </c>
    </row>
    <row r="5" ht="15.75" spans="1:1">
      <c r="A5" s="29" t="s">
        <v>4</v>
      </c>
    </row>
    <row r="6" spans="1:1">
      <c r="A6" s="43"/>
    </row>
    <row r="7" spans="1:1">
      <c r="A7" s="43"/>
    </row>
    <row r="8" spans="1:1">
      <c r="A8" s="43"/>
    </row>
    <row r="9" spans="1:1">
      <c r="A9" s="43"/>
    </row>
    <row r="10" spans="1:1">
      <c r="A10" s="43"/>
    </row>
    <row r="11" spans="1:1">
      <c r="A11" s="43"/>
    </row>
    <row r="12" spans="1:1">
      <c r="A12" s="43"/>
    </row>
    <row r="13" spans="1:1">
      <c r="A13" s="43"/>
    </row>
    <row r="14" spans="1:1">
      <c r="A14" s="43"/>
    </row>
    <row r="15" spans="1:1">
      <c r="A15" s="43"/>
    </row>
    <row r="16" spans="1:1">
      <c r="A16" s="43"/>
    </row>
    <row r="17" spans="1:1">
      <c r="A17" s="43"/>
    </row>
    <row r="18" spans="1:1">
      <c r="A18" s="43"/>
    </row>
    <row r="19" spans="1:1">
      <c r="A19" s="43"/>
    </row>
    <row r="20" spans="1:1">
      <c r="A20" s="43"/>
    </row>
    <row r="21" spans="1:1">
      <c r="A21" s="43"/>
    </row>
    <row r="22" spans="1:1">
      <c r="A22" s="43"/>
    </row>
    <row r="23" spans="1:1">
      <c r="A23" s="43"/>
    </row>
    <row r="24" spans="1:1">
      <c r="A24" s="43"/>
    </row>
    <row r="25" spans="1:1">
      <c r="A25" s="43"/>
    </row>
    <row r="26" spans="1:1">
      <c r="A26" s="43"/>
    </row>
    <row r="27" spans="1:1">
      <c r="A27" s="43"/>
    </row>
    <row r="28" spans="1:1">
      <c r="A28" s="43"/>
    </row>
    <row r="29" spans="1:1">
      <c r="A29" s="43"/>
    </row>
    <row r="30" spans="1:1">
      <c r="A30" s="43"/>
    </row>
    <row r="31" spans="1:1">
      <c r="A31" s="43"/>
    </row>
    <row r="32" spans="1:1">
      <c r="A32" s="43"/>
    </row>
    <row r="33" spans="1:1">
      <c r="A33" s="43"/>
    </row>
    <row r="34" spans="1:1">
      <c r="A34" s="43"/>
    </row>
    <row r="35" spans="1:1">
      <c r="A35" s="43"/>
    </row>
    <row r="36" spans="1:1">
      <c r="A36" s="43"/>
    </row>
    <row r="37" spans="1:1">
      <c r="A37" s="43"/>
    </row>
    <row r="38" spans="1:1">
      <c r="A38" s="43"/>
    </row>
    <row r="39" spans="1:1">
      <c r="A39" s="43"/>
    </row>
    <row r="40" spans="1:1">
      <c r="A40" s="43"/>
    </row>
    <row r="41" spans="1:1">
      <c r="A41" s="43"/>
    </row>
    <row r="42" spans="1:1">
      <c r="A42" s="43"/>
    </row>
    <row r="43" spans="1:1">
      <c r="A43" s="43"/>
    </row>
    <row r="44" spans="1:1">
      <c r="A44" s="43"/>
    </row>
    <row r="45" spans="1:1">
      <c r="A45" s="43"/>
    </row>
    <row r="46" spans="1:1">
      <c r="A46" s="43"/>
    </row>
    <row r="47" spans="1:1">
      <c r="A47" s="43"/>
    </row>
    <row r="48" spans="1:1">
      <c r="A48" s="43"/>
    </row>
    <row r="49" spans="1:1">
      <c r="A49" s="43"/>
    </row>
    <row r="50" spans="1:1">
      <c r="A50" s="43"/>
    </row>
    <row r="51" spans="1:1">
      <c r="A51" s="43"/>
    </row>
    <row r="52" spans="1:1">
      <c r="A52" s="43"/>
    </row>
    <row r="53" spans="1:1">
      <c r="A53" s="43"/>
    </row>
    <row r="54" spans="1:1">
      <c r="A54" s="43"/>
    </row>
    <row r="55" spans="1:1">
      <c r="A55" s="43"/>
    </row>
    <row r="56" spans="1:1">
      <c r="A56" s="43"/>
    </row>
    <row r="57" spans="1:1">
      <c r="A57" s="43"/>
    </row>
    <row r="58" spans="1:1">
      <c r="A58" s="43"/>
    </row>
    <row r="59" spans="1:1">
      <c r="A59" s="43"/>
    </row>
    <row r="60" spans="1:1">
      <c r="A60" s="43"/>
    </row>
    <row r="61" spans="1:1">
      <c r="A61" s="43"/>
    </row>
    <row r="62" spans="1:1">
      <c r="A62" s="43"/>
    </row>
    <row r="63" spans="1:1">
      <c r="A63" s="43"/>
    </row>
    <row r="64" spans="1:1">
      <c r="A64" s="43"/>
    </row>
    <row r="65" spans="1:1">
      <c r="A65" s="43"/>
    </row>
    <row r="66" spans="1:1">
      <c r="A66" s="43"/>
    </row>
    <row r="67" spans="1:1">
      <c r="A67" s="43"/>
    </row>
    <row r="68" spans="1:1">
      <c r="A68" s="43"/>
    </row>
    <row r="69" spans="1:1">
      <c r="A69" s="43"/>
    </row>
    <row r="70" spans="1:1">
      <c r="A70" s="43"/>
    </row>
    <row r="71" spans="1:1">
      <c r="A71" s="43"/>
    </row>
    <row r="72" spans="1:1">
      <c r="A72" s="43"/>
    </row>
    <row r="73" spans="1:1">
      <c r="A73" s="43"/>
    </row>
    <row r="74" spans="1:1">
      <c r="A74" s="43"/>
    </row>
    <row r="75" spans="1:1">
      <c r="A75" s="43"/>
    </row>
    <row r="76" spans="1:1">
      <c r="A76" s="43"/>
    </row>
    <row r="77" spans="1:1">
      <c r="A77" s="43"/>
    </row>
    <row r="78" spans="1:1">
      <c r="A78" s="43"/>
    </row>
    <row r="79" spans="1:1">
      <c r="A79" s="43"/>
    </row>
    <row r="80" spans="1:1">
      <c r="A80" s="43"/>
    </row>
    <row r="81" spans="1:1">
      <c r="A81" s="43"/>
    </row>
    <row r="82" spans="1:1">
      <c r="A82" s="43"/>
    </row>
    <row r="83" spans="1:1">
      <c r="A83" s="43"/>
    </row>
    <row r="84" spans="1:1">
      <c r="A84" s="43"/>
    </row>
    <row r="85" spans="1:1">
      <c r="A85" s="43"/>
    </row>
    <row r="86" spans="1:1">
      <c r="A86" s="43"/>
    </row>
    <row r="87" spans="1:1">
      <c r="A87" s="43"/>
    </row>
    <row r="88" spans="1:1">
      <c r="A88" s="43"/>
    </row>
    <row r="89" spans="1:1">
      <c r="A89" s="43"/>
    </row>
    <row r="90" spans="1:1">
      <c r="A90" s="43"/>
    </row>
    <row r="91" spans="1:1">
      <c r="A91" s="43"/>
    </row>
    <row r="92" spans="1:1">
      <c r="A92" s="43"/>
    </row>
    <row r="93" spans="1:1">
      <c r="A93" s="43"/>
    </row>
    <row r="94" spans="1:1">
      <c r="A94" s="43"/>
    </row>
    <row r="95" spans="1:1">
      <c r="A95" s="43"/>
    </row>
    <row r="96" spans="1:1">
      <c r="A96" s="43"/>
    </row>
    <row r="97" spans="1:1">
      <c r="A97" s="43"/>
    </row>
    <row r="98" spans="1:1">
      <c r="A98" s="43"/>
    </row>
    <row r="99" spans="1:1">
      <c r="A99" s="43"/>
    </row>
    <row r="100" spans="1:1">
      <c r="A100" s="43"/>
    </row>
    <row r="101" spans="1:1">
      <c r="A101" s="43"/>
    </row>
    <row r="102" spans="1:1">
      <c r="A102" s="43"/>
    </row>
    <row r="103" spans="1:1">
      <c r="A103" s="43"/>
    </row>
    <row r="104" spans="1:1">
      <c r="A104" s="43"/>
    </row>
    <row r="105" spans="1:1">
      <c r="A105" s="43"/>
    </row>
    <row r="106" spans="1:1">
      <c r="A106" s="43"/>
    </row>
    <row r="107" spans="1:1">
      <c r="A107" s="43"/>
    </row>
    <row r="108" spans="1:1">
      <c r="A108" s="43"/>
    </row>
    <row r="109" spans="1:1">
      <c r="A109" s="43"/>
    </row>
    <row r="110" spans="1:1">
      <c r="A110" s="43"/>
    </row>
    <row r="111" spans="1:1">
      <c r="A111" s="43"/>
    </row>
    <row r="112" spans="1:1">
      <c r="A112" s="43"/>
    </row>
    <row r="113" spans="1:1">
      <c r="A113" s="43"/>
    </row>
    <row r="114" spans="1:1">
      <c r="A114" s="43"/>
    </row>
    <row r="115" spans="1:1">
      <c r="A115" s="43"/>
    </row>
    <row r="116" spans="1:1">
      <c r="A116" s="43"/>
    </row>
    <row r="117" spans="1:1">
      <c r="A117" s="43"/>
    </row>
    <row r="118" spans="1:1">
      <c r="A118" s="43"/>
    </row>
    <row r="119" spans="1:1">
      <c r="A119" s="43"/>
    </row>
    <row r="120" spans="1:1">
      <c r="A120" s="43"/>
    </row>
    <row r="121" spans="1:1">
      <c r="A121" s="43"/>
    </row>
  </sheetData>
  <pageMargins left="0.7" right="0.7" top="0.75" bottom="0.75" header="0.511805555555555" footer="0.511805555555555"/>
  <pageSetup paperSize="1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5"/>
  <sheetViews>
    <sheetView zoomScale="89" zoomScaleNormal="89" workbookViewId="0">
      <selection activeCell="A5" sqref="A2:C90"/>
    </sheetView>
  </sheetViews>
  <sheetFormatPr defaultColWidth="9.14285714285714" defaultRowHeight="15" outlineLevelRow="4"/>
  <cols>
    <col min="1" max="1" width="22.7142857142857" customWidth="1"/>
  </cols>
  <sheetData>
    <row r="1" ht="47.25" spans="1:38">
      <c r="A1" s="40" t="s">
        <v>5</v>
      </c>
      <c r="B1" s="3">
        <v>42795</v>
      </c>
      <c r="C1" s="3">
        <v>42826</v>
      </c>
      <c r="D1" s="3">
        <v>42856</v>
      </c>
      <c r="E1" s="3">
        <v>42887</v>
      </c>
      <c r="F1" s="3">
        <v>42917</v>
      </c>
      <c r="G1" s="3">
        <v>42948</v>
      </c>
      <c r="H1" s="3">
        <v>42979</v>
      </c>
      <c r="I1" s="3">
        <v>43009</v>
      </c>
      <c r="J1" s="3">
        <v>43040</v>
      </c>
      <c r="K1" s="3">
        <v>43070</v>
      </c>
      <c r="L1" s="3">
        <v>43101</v>
      </c>
      <c r="M1" s="3">
        <v>43132</v>
      </c>
      <c r="N1" s="3">
        <v>43160</v>
      </c>
      <c r="O1" s="3">
        <v>43191</v>
      </c>
      <c r="P1" s="3">
        <v>43221</v>
      </c>
      <c r="Q1" s="3">
        <v>43252</v>
      </c>
      <c r="R1" s="3">
        <v>43282</v>
      </c>
      <c r="S1" s="3">
        <v>43313</v>
      </c>
      <c r="T1" s="3">
        <v>43344</v>
      </c>
      <c r="U1" s="3">
        <v>43374</v>
      </c>
      <c r="V1" s="3">
        <v>43405</v>
      </c>
      <c r="W1" s="3">
        <v>43435</v>
      </c>
      <c r="X1" s="3">
        <v>43466</v>
      </c>
      <c r="Y1" s="3">
        <v>43497</v>
      </c>
      <c r="Z1" s="3">
        <v>43525</v>
      </c>
      <c r="AA1" s="3">
        <v>43556</v>
      </c>
      <c r="AB1" s="3">
        <v>43586</v>
      </c>
      <c r="AC1" s="3">
        <v>43617</v>
      </c>
      <c r="AD1" s="3">
        <v>43647</v>
      </c>
      <c r="AE1" s="3">
        <v>43678</v>
      </c>
      <c r="AF1" s="3">
        <v>43709</v>
      </c>
      <c r="AG1" s="3">
        <v>43739</v>
      </c>
      <c r="AH1" s="3">
        <v>43770</v>
      </c>
      <c r="AI1" s="3">
        <v>43800</v>
      </c>
      <c r="AJ1" s="3">
        <v>43831</v>
      </c>
      <c r="AK1" s="3">
        <v>43862</v>
      </c>
      <c r="AL1" s="3">
        <v>43891</v>
      </c>
    </row>
    <row r="2" ht="15.75" spans="1:37">
      <c r="A2" s="11" t="s">
        <v>6</v>
      </c>
      <c r="B2" s="38">
        <v>5.68876142687016</v>
      </c>
      <c r="C2" s="38">
        <v>5.53118999024449</v>
      </c>
      <c r="D2" s="38">
        <v>5.84253611513112</v>
      </c>
      <c r="E2" s="38">
        <v>5.63992199050585</v>
      </c>
      <c r="F2" s="38">
        <v>5.87987394122973</v>
      </c>
      <c r="G2" s="38">
        <v>5.6538282239202</v>
      </c>
      <c r="H2" s="38">
        <v>5.4094540023769</v>
      </c>
      <c r="I2" s="38">
        <v>5.43808954940067</v>
      </c>
      <c r="J2" s="38">
        <v>5.42843988091116</v>
      </c>
      <c r="K2" s="38">
        <v>5.61501943861408</v>
      </c>
      <c r="L2" s="38">
        <v>5.58361846443928</v>
      </c>
      <c r="M2" s="38">
        <v>5.13203336399905</v>
      </c>
      <c r="N2" s="38">
        <v>5.66330688011532</v>
      </c>
      <c r="O2" s="38">
        <v>5.48639583969484</v>
      </c>
      <c r="P2" s="38">
        <v>5.52754075541237</v>
      </c>
      <c r="Q2" s="38">
        <v>5.46236469903568</v>
      </c>
      <c r="R2" s="38">
        <v>5.43471934489317</v>
      </c>
      <c r="S2" s="38">
        <v>5.57436318938894</v>
      </c>
      <c r="T2" s="38">
        <v>5.57604490637617</v>
      </c>
      <c r="U2" s="38">
        <v>6.02474138150408</v>
      </c>
      <c r="V2" s="38">
        <v>5.89413588438238</v>
      </c>
      <c r="W2" s="38">
        <v>5.83546993781466</v>
      </c>
      <c r="X2" s="38">
        <v>5.77674296583487</v>
      </c>
      <c r="Y2" s="38">
        <v>5.67608340203405</v>
      </c>
      <c r="Z2" s="38">
        <v>6.31105836299419</v>
      </c>
      <c r="AA2" s="38">
        <v>6.28254571837331</v>
      </c>
      <c r="AB2" s="38">
        <v>6.45864575711631</v>
      </c>
      <c r="AC2" s="38">
        <v>6.98680832270872</v>
      </c>
      <c r="AD2" s="38">
        <v>7.33122002749062</v>
      </c>
      <c r="AE2" s="38">
        <v>7.74116343364548</v>
      </c>
      <c r="AF2" s="38">
        <v>7.51144994183437</v>
      </c>
      <c r="AG2" s="38">
        <v>8.20487091834467</v>
      </c>
      <c r="AH2" s="38">
        <v>7.78646245341257</v>
      </c>
      <c r="AI2" s="38">
        <v>8.07390321116423</v>
      </c>
      <c r="AJ2" s="38">
        <v>8.07137394045685</v>
      </c>
      <c r="AK2" s="38">
        <v>7.74118137721336</v>
      </c>
    </row>
    <row r="3" ht="15.75" spans="1:37">
      <c r="A3" s="11" t="s">
        <v>7</v>
      </c>
      <c r="B3" s="38">
        <v>9.25966976246534</v>
      </c>
      <c r="C3" s="38">
        <v>9.01605213036475</v>
      </c>
      <c r="D3" s="38">
        <v>9.30332102558395</v>
      </c>
      <c r="E3" s="38">
        <v>8.94914049747725</v>
      </c>
      <c r="F3" s="38">
        <v>9.19061717493329</v>
      </c>
      <c r="G3" s="38">
        <v>9.26325479638995</v>
      </c>
      <c r="H3" s="38">
        <v>9.07794870498759</v>
      </c>
      <c r="I3" s="38">
        <v>9.13239472286323</v>
      </c>
      <c r="J3" s="38">
        <v>8.56643532322356</v>
      </c>
      <c r="K3" s="38">
        <v>8.34517401280263</v>
      </c>
      <c r="L3" s="38">
        <v>8.62840705474804</v>
      </c>
      <c r="M3" s="38">
        <v>8.06177290229133</v>
      </c>
      <c r="N3" s="38">
        <v>8.96341400317126</v>
      </c>
      <c r="O3" s="38">
        <v>9.14801453580404</v>
      </c>
      <c r="P3" s="38">
        <v>9.49067496462978</v>
      </c>
      <c r="Q3" s="38">
        <v>9.35075875688358</v>
      </c>
      <c r="R3" s="38">
        <v>9.25728206719365</v>
      </c>
      <c r="S3" s="38">
        <v>9.38773552909986</v>
      </c>
      <c r="T3" s="38">
        <v>9.38365510469739</v>
      </c>
      <c r="U3" s="38">
        <v>9.37641216463134</v>
      </c>
      <c r="V3" s="38">
        <v>9.44963526222554</v>
      </c>
      <c r="W3" s="38">
        <v>9.34138044341656</v>
      </c>
      <c r="X3" s="38">
        <v>9.01002998390384</v>
      </c>
      <c r="Y3" s="38">
        <v>8.04142332375742</v>
      </c>
      <c r="Z3" s="38">
        <v>8.62617211924953</v>
      </c>
      <c r="AA3" s="38">
        <v>8.35132930901773</v>
      </c>
      <c r="AB3" s="38">
        <v>8.16198367462767</v>
      </c>
      <c r="AC3" s="38">
        <v>7.83723068028687</v>
      </c>
      <c r="AD3" s="38">
        <v>7.64981027244895</v>
      </c>
      <c r="AE3" s="38">
        <v>6.96077638395337</v>
      </c>
      <c r="AF3" s="38">
        <v>6.88165701205477</v>
      </c>
      <c r="AG3" s="38">
        <v>6.64892955197457</v>
      </c>
      <c r="AH3" s="38">
        <v>6.46740450929255</v>
      </c>
      <c r="AI3" s="38">
        <v>6.84365775235998</v>
      </c>
      <c r="AJ3" s="38">
        <v>6.69654851657517</v>
      </c>
      <c r="AK3" s="38">
        <v>5.73783731990646</v>
      </c>
    </row>
    <row r="4" ht="15.75" spans="1:37">
      <c r="A4" s="11" t="s">
        <v>8</v>
      </c>
      <c r="B4" s="41">
        <v>0.619440906218397</v>
      </c>
      <c r="C4" s="41">
        <v>0.619777415926254</v>
      </c>
      <c r="D4" s="41">
        <v>0.614248565739787</v>
      </c>
      <c r="E4" s="41">
        <v>0.613414364689204</v>
      </c>
      <c r="F4" s="41">
        <v>0.609841915840182</v>
      </c>
      <c r="G4" s="41">
        <v>0.620982988683357</v>
      </c>
      <c r="H4" s="41">
        <v>0.62660981325334</v>
      </c>
      <c r="I4" s="41">
        <v>0.626773589141954</v>
      </c>
      <c r="J4" s="41">
        <v>0.612112305273908</v>
      </c>
      <c r="K4" s="41">
        <v>0.597783550911735</v>
      </c>
      <c r="L4" s="41">
        <v>0.607120149277739</v>
      </c>
      <c r="M4" s="41">
        <v>0.611027078886919</v>
      </c>
      <c r="N4" s="41">
        <v>0.612810901000608</v>
      </c>
      <c r="O4" s="41">
        <v>0.625103048300447</v>
      </c>
      <c r="P4" s="41">
        <v>0.631944243014452</v>
      </c>
      <c r="Q4" s="41">
        <v>0.631248283639131</v>
      </c>
      <c r="R4" s="41">
        <v>0.630089924955892</v>
      </c>
      <c r="S4" s="41">
        <v>0.627434406477973</v>
      </c>
      <c r="T4" s="41">
        <v>0.627262251098041</v>
      </c>
      <c r="U4" s="41">
        <v>0.608812329319588</v>
      </c>
      <c r="V4" s="41">
        <v>0.615861327175399</v>
      </c>
      <c r="W4" s="41">
        <v>0.615501913029912</v>
      </c>
      <c r="X4" s="41">
        <v>0.610325428904723</v>
      </c>
      <c r="Y4" s="41">
        <v>0.584553173046714</v>
      </c>
      <c r="Z4" s="41">
        <v>0.585676911731277</v>
      </c>
      <c r="AA4" s="41">
        <v>0.574160173561039</v>
      </c>
      <c r="AB4" s="41">
        <v>0.567980488104152</v>
      </c>
      <c r="AC4" s="41">
        <v>0.546882182522269</v>
      </c>
      <c r="AD4" s="41">
        <v>0.525832990109232</v>
      </c>
      <c r="AE4" s="41">
        <v>0.4862071298554</v>
      </c>
      <c r="AF4" s="41">
        <v>0.487711887734057</v>
      </c>
      <c r="AG4" s="41">
        <v>0.459345317015123</v>
      </c>
      <c r="AH4" s="41">
        <v>0.453729821262844</v>
      </c>
      <c r="AI4" s="41">
        <v>0.458765194195875</v>
      </c>
      <c r="AJ4" s="41">
        <v>0.453452307598384</v>
      </c>
      <c r="AK4" s="41">
        <v>0.425686576214373</v>
      </c>
    </row>
    <row r="5" ht="15.75" spans="1:1">
      <c r="A5" s="29" t="s">
        <v>4</v>
      </c>
    </row>
  </sheetData>
  <pageMargins left="0.7875" right="0.7875" top="1.05277777777778" bottom="1.05277777777778" header="0.7875" footer="0.7875"/>
  <pageSetup paperSize="1" firstPageNumber="0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9"/>
  <sheetViews>
    <sheetView zoomScale="89" zoomScaleNormal="89" workbookViewId="0">
      <selection activeCell="A18" sqref="A2:C90"/>
    </sheetView>
  </sheetViews>
  <sheetFormatPr defaultColWidth="9.14285714285714" defaultRowHeight="15"/>
  <cols>
    <col min="1" max="1" width="19" customWidth="1"/>
  </cols>
  <sheetData>
    <row r="1" ht="41.85" customHeight="1" spans="1:38">
      <c r="A1" s="40" t="s">
        <v>9</v>
      </c>
      <c r="B1" s="3">
        <v>42795</v>
      </c>
      <c r="C1" s="3">
        <v>42826</v>
      </c>
      <c r="D1" s="3">
        <v>42856</v>
      </c>
      <c r="E1" s="3">
        <v>42887</v>
      </c>
      <c r="F1" s="3">
        <v>42917</v>
      </c>
      <c r="G1" s="3">
        <v>42948</v>
      </c>
      <c r="H1" s="3">
        <v>42979</v>
      </c>
      <c r="I1" s="3">
        <v>43009</v>
      </c>
      <c r="J1" s="3">
        <v>43040</v>
      </c>
      <c r="K1" s="3">
        <v>43070</v>
      </c>
      <c r="L1" s="3">
        <v>43101</v>
      </c>
      <c r="M1" s="3">
        <v>43132</v>
      </c>
      <c r="N1" s="3">
        <v>43160</v>
      </c>
      <c r="O1" s="3">
        <v>43191</v>
      </c>
      <c r="P1" s="3">
        <v>43221</v>
      </c>
      <c r="Q1" s="3">
        <v>43252</v>
      </c>
      <c r="R1" s="3">
        <v>43282</v>
      </c>
      <c r="S1" s="3">
        <v>43313</v>
      </c>
      <c r="T1" s="3">
        <v>43344</v>
      </c>
      <c r="U1" s="3">
        <v>43374</v>
      </c>
      <c r="V1" s="3">
        <v>43405</v>
      </c>
      <c r="W1" s="3">
        <v>43435</v>
      </c>
      <c r="X1" s="3">
        <v>43466</v>
      </c>
      <c r="Y1" s="3">
        <v>43497</v>
      </c>
      <c r="Z1" s="3">
        <v>43525</v>
      </c>
      <c r="AA1" s="3">
        <v>43556</v>
      </c>
      <c r="AB1" s="3">
        <v>43586</v>
      </c>
      <c r="AC1" s="3">
        <v>43617</v>
      </c>
      <c r="AD1" s="3">
        <v>43647</v>
      </c>
      <c r="AE1" s="3">
        <v>43678</v>
      </c>
      <c r="AF1" s="3">
        <v>43709</v>
      </c>
      <c r="AG1" s="3">
        <v>43739</v>
      </c>
      <c r="AH1" s="3">
        <v>43770</v>
      </c>
      <c r="AI1" s="3">
        <v>43800</v>
      </c>
      <c r="AJ1" s="3">
        <v>43831</v>
      </c>
      <c r="AK1" s="3">
        <v>43862</v>
      </c>
      <c r="AL1" s="3">
        <v>43891</v>
      </c>
    </row>
    <row r="2" ht="15.75" spans="1:37">
      <c r="A2" s="11" t="s">
        <v>10</v>
      </c>
      <c r="B2" s="38">
        <v>2.093742</v>
      </c>
      <c r="C2" s="38">
        <v>2.046815</v>
      </c>
      <c r="D2" s="38">
        <v>2.139611</v>
      </c>
      <c r="E2" s="38">
        <v>2.068734</v>
      </c>
      <c r="F2" s="38">
        <v>2.16811</v>
      </c>
      <c r="G2" s="38">
        <v>2.1185</v>
      </c>
      <c r="H2" s="38">
        <v>2.043</v>
      </c>
      <c r="I2" s="38">
        <v>2.05</v>
      </c>
      <c r="J2" s="38">
        <v>2.02</v>
      </c>
      <c r="K2" s="38">
        <v>2.08</v>
      </c>
      <c r="L2" s="38">
        <v>2.08</v>
      </c>
      <c r="M2" s="38">
        <v>1.903</v>
      </c>
      <c r="N2" s="38">
        <v>2.075</v>
      </c>
      <c r="O2" s="38">
        <v>2.03</v>
      </c>
      <c r="P2" s="38">
        <v>2.065</v>
      </c>
      <c r="Q2" s="38">
        <v>2.023</v>
      </c>
      <c r="R2" s="38">
        <v>2.005</v>
      </c>
      <c r="S2" s="38">
        <v>2.04</v>
      </c>
      <c r="T2" s="38">
        <v>2.04</v>
      </c>
      <c r="U2" s="38">
        <v>2.112</v>
      </c>
      <c r="V2" s="38">
        <v>2.05</v>
      </c>
      <c r="W2" s="38">
        <v>2.079</v>
      </c>
      <c r="X2" s="38">
        <v>2.059</v>
      </c>
      <c r="Y2" s="38">
        <v>1.93</v>
      </c>
      <c r="Z2" s="38">
        <v>2.079</v>
      </c>
      <c r="AA2" s="38">
        <v>2.09</v>
      </c>
      <c r="AB2" s="38">
        <v>2.117</v>
      </c>
      <c r="AC2" s="38">
        <v>2.125</v>
      </c>
      <c r="AD2" s="38">
        <v>2.177</v>
      </c>
      <c r="AE2" s="38">
        <v>2.257</v>
      </c>
      <c r="AF2" s="38">
        <v>2.2</v>
      </c>
      <c r="AG2" s="38">
        <v>2.279</v>
      </c>
      <c r="AH2" s="38">
        <v>2.212</v>
      </c>
      <c r="AI2" s="38">
        <v>2.27</v>
      </c>
      <c r="AJ2" s="38">
        <v>2.27</v>
      </c>
      <c r="AK2" s="38">
        <v>2.091</v>
      </c>
    </row>
    <row r="3" ht="15.75" spans="1:37">
      <c r="A3" s="11" t="s">
        <v>11</v>
      </c>
      <c r="B3" s="38">
        <v>0.996664</v>
      </c>
      <c r="C3" s="38">
        <v>0.969317</v>
      </c>
      <c r="D3" s="38">
        <v>0.996191</v>
      </c>
      <c r="E3" s="38">
        <v>0.985769</v>
      </c>
      <c r="F3" s="38">
        <v>1.031291</v>
      </c>
      <c r="G3" s="38">
        <v>1.0291</v>
      </c>
      <c r="H3" s="38">
        <v>0.972</v>
      </c>
      <c r="I3" s="38">
        <v>1</v>
      </c>
      <c r="J3" s="38">
        <v>0.8</v>
      </c>
      <c r="K3" s="38">
        <v>0.72</v>
      </c>
      <c r="L3" s="38">
        <v>0.82</v>
      </c>
      <c r="M3" s="38">
        <v>0.794</v>
      </c>
      <c r="N3" s="38">
        <v>0.88</v>
      </c>
      <c r="O3" s="38">
        <v>0.939</v>
      </c>
      <c r="P3" s="38">
        <v>0.948</v>
      </c>
      <c r="Q3" s="38">
        <v>0.948</v>
      </c>
      <c r="R3" s="38">
        <v>0.908</v>
      </c>
      <c r="S3" s="38">
        <v>0.923</v>
      </c>
      <c r="T3" s="38">
        <v>0.948</v>
      </c>
      <c r="U3" s="38">
        <v>0.944</v>
      </c>
      <c r="V3" s="38">
        <v>0.958</v>
      </c>
      <c r="W3" s="38">
        <v>0.861</v>
      </c>
      <c r="X3" s="38">
        <v>0.836</v>
      </c>
      <c r="Y3" s="38">
        <v>0.809</v>
      </c>
      <c r="Z3" s="38">
        <v>0.907</v>
      </c>
      <c r="AA3" s="38">
        <v>0.873</v>
      </c>
      <c r="AB3" s="38">
        <v>0.848</v>
      </c>
      <c r="AC3" s="38">
        <v>0.87</v>
      </c>
      <c r="AD3" s="38">
        <v>0.883</v>
      </c>
      <c r="AE3" s="38">
        <v>0.787</v>
      </c>
      <c r="AF3" s="38">
        <v>0.714</v>
      </c>
      <c r="AG3" s="38">
        <v>0.715</v>
      </c>
      <c r="AH3" s="38">
        <v>0.645</v>
      </c>
      <c r="AI3" s="38">
        <v>0.7</v>
      </c>
      <c r="AJ3" s="38">
        <v>0.725</v>
      </c>
      <c r="AK3" s="38">
        <v>0.666</v>
      </c>
    </row>
    <row r="4" ht="15.75" spans="1:37">
      <c r="A4" s="11" t="s">
        <v>12</v>
      </c>
      <c r="B4" s="38">
        <v>1.650487</v>
      </c>
      <c r="C4" s="38">
        <v>1.604583</v>
      </c>
      <c r="D4" s="38">
        <v>1.651533</v>
      </c>
      <c r="E4" s="38">
        <v>1.552282</v>
      </c>
      <c r="F4" s="38">
        <v>1.603181</v>
      </c>
      <c r="G4" s="38">
        <v>1.621</v>
      </c>
      <c r="H4" s="38">
        <v>1.608</v>
      </c>
      <c r="I4" s="38">
        <v>1.6</v>
      </c>
      <c r="J4" s="38">
        <v>1.59</v>
      </c>
      <c r="K4" s="38">
        <v>1.55</v>
      </c>
      <c r="L4" s="38">
        <v>1.58</v>
      </c>
      <c r="M4" s="38">
        <v>1.531</v>
      </c>
      <c r="N4" s="38">
        <v>1.728</v>
      </c>
      <c r="O4" s="38">
        <v>1.695</v>
      </c>
      <c r="P4" s="38">
        <v>1.771</v>
      </c>
      <c r="Q4" s="38">
        <v>1.731</v>
      </c>
      <c r="R4" s="38">
        <v>1.6578</v>
      </c>
      <c r="S4" s="38">
        <v>1.685</v>
      </c>
      <c r="T4" s="38">
        <v>1.712</v>
      </c>
      <c r="U4" s="38">
        <v>1.729</v>
      </c>
      <c r="V4" s="38">
        <v>1.77</v>
      </c>
      <c r="W4" s="38">
        <v>1.823</v>
      </c>
      <c r="X4" s="38">
        <v>1.768</v>
      </c>
      <c r="Y4" s="38">
        <v>1.567</v>
      </c>
      <c r="Z4" s="38">
        <v>1.71</v>
      </c>
      <c r="AA4" s="38">
        <v>1.678</v>
      </c>
      <c r="AB4" s="38">
        <v>1.57</v>
      </c>
      <c r="AC4" s="38">
        <v>1.592</v>
      </c>
      <c r="AD4" s="38">
        <v>1.555</v>
      </c>
      <c r="AE4" s="38">
        <v>1.468</v>
      </c>
      <c r="AF4" s="38">
        <v>1.515</v>
      </c>
      <c r="AG4" s="38">
        <v>1.53</v>
      </c>
      <c r="AH4" s="38">
        <v>1.494</v>
      </c>
      <c r="AI4" s="38">
        <v>1.551</v>
      </c>
      <c r="AJ4" s="38">
        <v>1.481</v>
      </c>
      <c r="AK4" s="38">
        <v>1.302</v>
      </c>
    </row>
    <row r="5" ht="15.75" spans="1:37">
      <c r="A5" s="11" t="s">
        <v>13</v>
      </c>
      <c r="B5" s="38">
        <v>0.357141</v>
      </c>
      <c r="C5" s="38">
        <v>0.356289</v>
      </c>
      <c r="D5" s="38">
        <v>0.35493</v>
      </c>
      <c r="E5" s="38">
        <v>0.35868</v>
      </c>
      <c r="F5" s="38">
        <v>0.337134</v>
      </c>
      <c r="G5" s="38">
        <v>0.3604</v>
      </c>
      <c r="H5" s="38">
        <v>0.389</v>
      </c>
      <c r="I5" s="38">
        <v>0.39</v>
      </c>
      <c r="J5" s="38">
        <v>0.38</v>
      </c>
      <c r="K5" s="38">
        <v>0.39</v>
      </c>
      <c r="L5" s="38">
        <v>0.38</v>
      </c>
      <c r="M5" s="38">
        <v>0.299</v>
      </c>
      <c r="N5" s="38">
        <v>0.335</v>
      </c>
      <c r="O5" s="38">
        <v>0.351</v>
      </c>
      <c r="P5" s="38">
        <v>0.377</v>
      </c>
      <c r="Q5" s="38">
        <v>0.375</v>
      </c>
      <c r="R5" s="38">
        <v>0.39</v>
      </c>
      <c r="S5" s="38">
        <v>0.392</v>
      </c>
      <c r="T5" s="38">
        <v>0.382</v>
      </c>
      <c r="U5" s="38">
        <v>0.375</v>
      </c>
      <c r="V5" s="38">
        <v>0.369</v>
      </c>
      <c r="W5" s="38">
        <v>0.352</v>
      </c>
      <c r="X5" s="38">
        <v>0.372</v>
      </c>
      <c r="Y5" s="38">
        <v>0.335</v>
      </c>
      <c r="Z5" s="38">
        <v>0.365</v>
      </c>
      <c r="AA5" s="38">
        <v>0.349</v>
      </c>
      <c r="AB5" s="38">
        <v>0.375</v>
      </c>
      <c r="AC5" s="38">
        <v>0.364</v>
      </c>
      <c r="AD5" s="38">
        <v>0.385</v>
      </c>
      <c r="AE5" s="38">
        <v>0.365</v>
      </c>
      <c r="AF5" s="38">
        <v>0.354</v>
      </c>
      <c r="AG5" s="38">
        <v>0.365</v>
      </c>
      <c r="AH5" s="38">
        <v>0.353</v>
      </c>
      <c r="AI5" s="38">
        <v>0.37</v>
      </c>
      <c r="AJ5" s="38">
        <v>0.365</v>
      </c>
      <c r="AK5" s="38">
        <v>0.339</v>
      </c>
    </row>
    <row r="6" ht="15.75" spans="1:37">
      <c r="A6" s="11" t="s">
        <v>14</v>
      </c>
      <c r="B6" s="38">
        <v>0.719308</v>
      </c>
      <c r="C6" s="38">
        <v>0.696359</v>
      </c>
      <c r="D6" s="38">
        <v>0.745378</v>
      </c>
      <c r="E6" s="38">
        <v>0.696528</v>
      </c>
      <c r="F6" s="38">
        <v>0.727261</v>
      </c>
      <c r="G6" s="38">
        <v>0.7309</v>
      </c>
      <c r="H6" s="38">
        <v>0.697</v>
      </c>
      <c r="I6" s="38">
        <v>0.7</v>
      </c>
      <c r="J6" s="38">
        <v>0.69</v>
      </c>
      <c r="K6" s="38">
        <v>0.7</v>
      </c>
      <c r="L6" s="38">
        <v>0.65</v>
      </c>
      <c r="M6" s="38">
        <v>0.548</v>
      </c>
      <c r="N6" s="38">
        <v>0.613</v>
      </c>
      <c r="O6" s="38">
        <v>0.644</v>
      </c>
      <c r="P6" s="38">
        <v>0.663</v>
      </c>
      <c r="Q6" s="38">
        <v>0.644</v>
      </c>
      <c r="R6" s="38">
        <v>0.665</v>
      </c>
      <c r="S6" s="38">
        <v>0.675</v>
      </c>
      <c r="T6" s="38">
        <v>0.648</v>
      </c>
      <c r="U6" s="38">
        <v>0.65</v>
      </c>
      <c r="V6" s="38">
        <v>0.645</v>
      </c>
      <c r="W6" s="38">
        <v>0.665</v>
      </c>
      <c r="X6" s="38">
        <v>0.655</v>
      </c>
      <c r="Y6" s="38">
        <v>0.627</v>
      </c>
      <c r="Z6" s="38">
        <v>0.675</v>
      </c>
      <c r="AA6" s="38">
        <v>0.62</v>
      </c>
      <c r="AB6" s="38">
        <v>0.625</v>
      </c>
      <c r="AC6" s="38">
        <v>0.64</v>
      </c>
      <c r="AD6" s="38">
        <v>0.645</v>
      </c>
      <c r="AE6" s="38">
        <v>0.665</v>
      </c>
      <c r="AF6" s="38">
        <v>0.64</v>
      </c>
      <c r="AG6" s="38">
        <v>0.665</v>
      </c>
      <c r="AH6" s="38">
        <v>0.67</v>
      </c>
      <c r="AI6" s="38">
        <v>0.657</v>
      </c>
      <c r="AJ6" s="38">
        <v>0.682</v>
      </c>
      <c r="AK6" s="38">
        <v>0.67</v>
      </c>
    </row>
    <row r="7" ht="15.75" spans="1:37">
      <c r="A7" s="11" t="s">
        <v>15</v>
      </c>
      <c r="B7" s="38">
        <v>0.059552</v>
      </c>
      <c r="C7" s="38">
        <v>0.058288</v>
      </c>
      <c r="D7" s="38">
        <v>0.05425</v>
      </c>
      <c r="E7" s="38">
        <v>0.058251</v>
      </c>
      <c r="F7" s="38">
        <v>0.057528</v>
      </c>
      <c r="G7" s="38">
        <v>0.0581</v>
      </c>
      <c r="H7" s="38">
        <v>0.053</v>
      </c>
      <c r="I7" s="38">
        <v>0.06</v>
      </c>
      <c r="J7" s="38">
        <v>0.06</v>
      </c>
      <c r="K7" s="38">
        <v>0.061</v>
      </c>
      <c r="L7" s="38">
        <v>0.06</v>
      </c>
      <c r="M7" s="38">
        <v>0.06</v>
      </c>
      <c r="N7" s="38">
        <v>0.064</v>
      </c>
      <c r="O7" s="38">
        <v>0.068</v>
      </c>
      <c r="P7" s="38">
        <v>0.07</v>
      </c>
      <c r="Q7" s="38">
        <v>0.067</v>
      </c>
      <c r="R7" s="38">
        <v>0.07</v>
      </c>
      <c r="S7" s="38">
        <v>0.07</v>
      </c>
      <c r="T7" s="38">
        <v>0.07</v>
      </c>
      <c r="U7" s="38">
        <v>0.07</v>
      </c>
      <c r="V7" s="38">
        <v>0.07</v>
      </c>
      <c r="W7" s="38">
        <v>0.07</v>
      </c>
      <c r="X7" s="38">
        <v>0.07</v>
      </c>
      <c r="Y7" s="38">
        <v>0.065</v>
      </c>
      <c r="Z7" s="38">
        <v>0.07</v>
      </c>
      <c r="AA7" s="38">
        <v>0.07</v>
      </c>
      <c r="AB7" s="38">
        <v>0.115</v>
      </c>
      <c r="AC7" s="38">
        <v>0.125</v>
      </c>
      <c r="AD7" s="38">
        <v>0.115</v>
      </c>
      <c r="AE7" s="38">
        <v>0.105</v>
      </c>
      <c r="AF7" s="38">
        <v>0.13</v>
      </c>
      <c r="AG7" s="38">
        <v>0.13</v>
      </c>
      <c r="AH7" s="38">
        <v>0.123</v>
      </c>
      <c r="AI7" s="38">
        <v>0.135</v>
      </c>
      <c r="AJ7" s="38">
        <v>0.125</v>
      </c>
      <c r="AK7" s="38">
        <v>0.115</v>
      </c>
    </row>
    <row r="8" ht="15.75" spans="1:37">
      <c r="A8" s="11" t="s">
        <v>16</v>
      </c>
      <c r="B8" s="38">
        <v>0.142614</v>
      </c>
      <c r="C8" s="38">
        <v>0.135415</v>
      </c>
      <c r="D8" s="38">
        <v>0.125965</v>
      </c>
      <c r="E8" s="38">
        <v>0.135664</v>
      </c>
      <c r="F8" s="38">
        <v>0.133986</v>
      </c>
      <c r="G8" s="38">
        <v>0.1162</v>
      </c>
      <c r="H8" s="38">
        <v>0.124</v>
      </c>
      <c r="I8" s="38">
        <v>0.12</v>
      </c>
      <c r="J8" s="38">
        <v>0.12</v>
      </c>
      <c r="K8" s="38">
        <v>0.124</v>
      </c>
      <c r="L8" s="38">
        <v>0.15</v>
      </c>
      <c r="M8" s="38">
        <v>0.165</v>
      </c>
      <c r="N8" s="38">
        <v>0.1731</v>
      </c>
      <c r="O8" s="38">
        <v>0.172</v>
      </c>
      <c r="P8" s="38">
        <v>0.18</v>
      </c>
      <c r="Q8" s="38">
        <v>0.182</v>
      </c>
      <c r="R8" s="38">
        <v>0.19</v>
      </c>
      <c r="S8" s="38">
        <v>0.19</v>
      </c>
      <c r="T8" s="38">
        <v>0.185</v>
      </c>
      <c r="U8" s="38">
        <v>0.185</v>
      </c>
      <c r="V8" s="38">
        <v>0.184</v>
      </c>
      <c r="W8" s="38">
        <v>0.18</v>
      </c>
      <c r="X8" s="38">
        <v>0.187</v>
      </c>
      <c r="Y8" s="38">
        <v>0.17</v>
      </c>
      <c r="Z8" s="38">
        <v>0.177</v>
      </c>
      <c r="AA8" s="38">
        <v>0.17</v>
      </c>
      <c r="AB8" s="38">
        <v>0.189</v>
      </c>
      <c r="AC8" s="38">
        <v>0.18</v>
      </c>
      <c r="AD8" s="38">
        <v>0.184</v>
      </c>
      <c r="AE8" s="38">
        <v>0.19</v>
      </c>
      <c r="AF8" s="38">
        <v>0.191</v>
      </c>
      <c r="AG8" s="38">
        <v>0.195</v>
      </c>
      <c r="AH8" s="38">
        <v>0.188</v>
      </c>
      <c r="AI8" s="38">
        <v>0.198</v>
      </c>
      <c r="AJ8" s="38">
        <v>0.194</v>
      </c>
      <c r="AK8" s="38">
        <v>0.136</v>
      </c>
    </row>
    <row r="9" ht="15.75" spans="1:1">
      <c r="A9" s="29" t="s">
        <v>4</v>
      </c>
    </row>
  </sheetData>
  <pageMargins left="0.7875" right="0.7875" top="1.05277777777778" bottom="1.05277777777778" header="0.7875" footer="0.7875"/>
  <pageSetup paperSize="1" firstPageNumber="0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5"/>
  <sheetViews>
    <sheetView zoomScale="89" zoomScaleNormal="89" workbookViewId="0">
      <selection activeCell="AJ12" sqref="A2:C90 AJ12"/>
    </sheetView>
  </sheetViews>
  <sheetFormatPr defaultColWidth="9.14285714285714" defaultRowHeight="15" outlineLevelRow="4"/>
  <cols>
    <col min="1" max="1" width="23.1428571428571" customWidth="1"/>
  </cols>
  <sheetData>
    <row r="1" ht="38.65" customHeight="1" spans="1:38">
      <c r="A1" s="26" t="s">
        <v>17</v>
      </c>
      <c r="B1" s="3">
        <v>42795</v>
      </c>
      <c r="C1" s="3">
        <v>42826</v>
      </c>
      <c r="D1" s="3">
        <v>42856</v>
      </c>
      <c r="E1" s="3">
        <v>42887</v>
      </c>
      <c r="F1" s="3">
        <v>42917</v>
      </c>
      <c r="G1" s="3">
        <v>42948</v>
      </c>
      <c r="H1" s="3">
        <v>42979</v>
      </c>
      <c r="I1" s="3">
        <v>43009</v>
      </c>
      <c r="J1" s="3">
        <v>43040</v>
      </c>
      <c r="K1" s="3">
        <v>43070</v>
      </c>
      <c r="L1" s="3">
        <v>43101</v>
      </c>
      <c r="M1" s="3">
        <v>43132</v>
      </c>
      <c r="N1" s="3">
        <v>43160</v>
      </c>
      <c r="O1" s="3">
        <v>43191</v>
      </c>
      <c r="P1" s="3">
        <v>43221</v>
      </c>
      <c r="Q1" s="3">
        <v>43252</v>
      </c>
      <c r="R1" s="3">
        <v>43282</v>
      </c>
      <c r="S1" s="3">
        <v>43313</v>
      </c>
      <c r="T1" s="3">
        <v>43344</v>
      </c>
      <c r="U1" s="3">
        <v>43374</v>
      </c>
      <c r="V1" s="3">
        <v>43405</v>
      </c>
      <c r="W1" s="3">
        <v>43435</v>
      </c>
      <c r="X1" s="3">
        <v>43466</v>
      </c>
      <c r="Y1" s="3">
        <v>43497</v>
      </c>
      <c r="Z1" s="3">
        <v>43525</v>
      </c>
      <c r="AA1" s="3">
        <v>43556</v>
      </c>
      <c r="AB1" s="3">
        <v>43586</v>
      </c>
      <c r="AC1" s="3">
        <v>43617</v>
      </c>
      <c r="AD1" s="3">
        <v>43647</v>
      </c>
      <c r="AE1" s="3">
        <v>43678</v>
      </c>
      <c r="AF1" s="3">
        <v>43709</v>
      </c>
      <c r="AG1" s="3">
        <v>43739</v>
      </c>
      <c r="AH1" s="3">
        <v>43770</v>
      </c>
      <c r="AI1" s="3">
        <v>43800</v>
      </c>
      <c r="AJ1" s="3">
        <v>43831</v>
      </c>
      <c r="AK1" s="3">
        <v>43862</v>
      </c>
      <c r="AL1" s="3">
        <v>43891</v>
      </c>
    </row>
    <row r="2" ht="15.75" spans="1:38">
      <c r="A2" s="10" t="s">
        <v>18</v>
      </c>
      <c r="B2" s="38">
        <v>376.521739130435</v>
      </c>
      <c r="C2" s="38">
        <v>366.666666666667</v>
      </c>
      <c r="D2" s="38">
        <v>360</v>
      </c>
      <c r="E2" s="38">
        <v>362.272727272727</v>
      </c>
      <c r="F2" s="38">
        <v>374.473684210526</v>
      </c>
      <c r="G2" s="38">
        <v>384.565217391304</v>
      </c>
      <c r="H2" s="38">
        <v>393.809523809524</v>
      </c>
      <c r="I2" s="38">
        <v>403.676470588235</v>
      </c>
      <c r="J2" s="38">
        <v>430</v>
      </c>
      <c r="K2" s="38">
        <v>400</v>
      </c>
      <c r="L2" s="38">
        <v>380</v>
      </c>
      <c r="M2" s="38">
        <v>380</v>
      </c>
      <c r="N2" s="38">
        <v>390</v>
      </c>
      <c r="O2" s="38">
        <v>410</v>
      </c>
      <c r="P2" s="38">
        <v>435</v>
      </c>
      <c r="Q2" s="38">
        <v>450</v>
      </c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</row>
    <row r="3" ht="15.75" spans="1:38">
      <c r="A3" s="10" t="s">
        <v>19</v>
      </c>
      <c r="B3" s="38">
        <v>387</v>
      </c>
      <c r="C3" s="38">
        <v>373</v>
      </c>
      <c r="D3" s="38">
        <v>367.3</v>
      </c>
      <c r="E3" s="38">
        <v>372</v>
      </c>
      <c r="F3" s="38">
        <v>386</v>
      </c>
      <c r="G3" s="38">
        <v>392</v>
      </c>
      <c r="H3" s="38">
        <v>414.880952380952</v>
      </c>
      <c r="I3" s="38">
        <v>505</v>
      </c>
      <c r="J3" s="38">
        <v>512</v>
      </c>
      <c r="K3" s="38">
        <v>462</v>
      </c>
      <c r="L3" s="38">
        <v>398</v>
      </c>
      <c r="M3" s="38">
        <v>395</v>
      </c>
      <c r="N3" s="38">
        <v>412.5</v>
      </c>
      <c r="O3" s="38">
        <v>421.033868092692</v>
      </c>
      <c r="P3" s="38">
        <v>442.575757575758</v>
      </c>
      <c r="Q3" s="38">
        <v>445.359848484848</v>
      </c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</row>
    <row r="4" ht="15.75" spans="1:38">
      <c r="A4" s="10" t="s">
        <v>20</v>
      </c>
      <c r="B4" s="38">
        <v>247.608695652174</v>
      </c>
      <c r="C4" s="38">
        <v>240</v>
      </c>
      <c r="D4" s="38">
        <v>240</v>
      </c>
      <c r="E4" s="38">
        <v>240</v>
      </c>
      <c r="F4" s="38">
        <v>240</v>
      </c>
      <c r="G4" s="38">
        <v>240</v>
      </c>
      <c r="H4" s="38">
        <v>251.428571428571</v>
      </c>
      <c r="I4" s="38">
        <v>263.235294117647</v>
      </c>
      <c r="J4" s="38">
        <v>300</v>
      </c>
      <c r="K4" s="38">
        <v>280</v>
      </c>
      <c r="L4" s="38">
        <v>270</v>
      </c>
      <c r="M4" s="38">
        <v>270</v>
      </c>
      <c r="N4" s="38">
        <v>300</v>
      </c>
      <c r="O4" s="38">
        <v>300</v>
      </c>
      <c r="P4" s="38">
        <v>323</v>
      </c>
      <c r="Q4" s="38">
        <v>325</v>
      </c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</row>
    <row r="5" ht="15.75" spans="1:38">
      <c r="A5" s="11" t="s">
        <v>21</v>
      </c>
      <c r="B5" s="38">
        <v>245</v>
      </c>
      <c r="C5" s="38">
        <v>234</v>
      </c>
      <c r="D5" s="38">
        <v>234</v>
      </c>
      <c r="E5" s="38">
        <v>234</v>
      </c>
      <c r="F5" s="38">
        <v>234</v>
      </c>
      <c r="G5" s="38">
        <v>234</v>
      </c>
      <c r="H5" s="38">
        <v>239</v>
      </c>
      <c r="I5" s="38">
        <v>240</v>
      </c>
      <c r="J5" s="38">
        <v>265</v>
      </c>
      <c r="K5" s="38">
        <v>255</v>
      </c>
      <c r="L5" s="38">
        <v>250</v>
      </c>
      <c r="M5" s="38">
        <v>250</v>
      </c>
      <c r="N5" s="38">
        <v>260</v>
      </c>
      <c r="O5" s="38">
        <v>260</v>
      </c>
      <c r="P5" s="38">
        <v>275</v>
      </c>
      <c r="Q5" s="38">
        <v>275</v>
      </c>
      <c r="R5" s="38">
        <v>275</v>
      </c>
      <c r="S5" s="38">
        <v>285</v>
      </c>
      <c r="T5" s="38">
        <v>295</v>
      </c>
      <c r="U5" s="38">
        <v>305</v>
      </c>
      <c r="V5" s="38">
        <v>330</v>
      </c>
      <c r="W5" s="38">
        <v>330</v>
      </c>
      <c r="X5" s="38">
        <v>330</v>
      </c>
      <c r="Y5" s="38">
        <v>330</v>
      </c>
      <c r="Z5" s="38">
        <v>330</v>
      </c>
      <c r="AA5" s="38">
        <v>330</v>
      </c>
      <c r="AB5" s="38">
        <v>330</v>
      </c>
      <c r="AC5" s="38">
        <v>360</v>
      </c>
      <c r="AD5" s="38">
        <v>360</v>
      </c>
      <c r="AE5" s="38">
        <v>360</v>
      </c>
      <c r="AF5" s="38">
        <v>360</v>
      </c>
      <c r="AG5" s="38">
        <v>360</v>
      </c>
      <c r="AH5" s="38">
        <v>360</v>
      </c>
      <c r="AI5" s="38">
        <v>360</v>
      </c>
      <c r="AJ5" s="38">
        <v>360</v>
      </c>
      <c r="AK5" s="38">
        <v>360</v>
      </c>
      <c r="AL5" s="38">
        <v>361</v>
      </c>
    </row>
  </sheetData>
  <pageMargins left="0.7875" right="0.7875" top="1.05277777777778" bottom="1.05277777777778" header="0.7875" footer="0.7875"/>
  <pageSetup paperSize="1" firstPageNumber="0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5"/>
  <sheetViews>
    <sheetView zoomScale="89" zoomScaleNormal="89" workbookViewId="0">
      <selection activeCell="B1" sqref="A2:C90 B1"/>
    </sheetView>
  </sheetViews>
  <sheetFormatPr defaultColWidth="9.14285714285714" defaultRowHeight="15"/>
  <cols>
    <col min="1" max="1" width="20" customWidth="1"/>
  </cols>
  <sheetData>
    <row r="1" ht="45.2" customHeight="1" spans="1:38">
      <c r="A1" s="26" t="s">
        <v>22</v>
      </c>
      <c r="B1" s="3">
        <v>42795</v>
      </c>
      <c r="C1" s="3">
        <v>42826</v>
      </c>
      <c r="D1" s="3">
        <v>42856</v>
      </c>
      <c r="E1" s="3">
        <v>42887</v>
      </c>
      <c r="F1" s="3">
        <v>42917</v>
      </c>
      <c r="G1" s="3">
        <v>42948</v>
      </c>
      <c r="H1" s="3">
        <v>42979</v>
      </c>
      <c r="I1" s="3">
        <v>43009</v>
      </c>
      <c r="J1" s="3">
        <v>43040</v>
      </c>
      <c r="K1" s="3">
        <v>43070</v>
      </c>
      <c r="L1" s="3">
        <v>43101</v>
      </c>
      <c r="M1" s="3">
        <v>43132</v>
      </c>
      <c r="N1" s="3">
        <v>43160</v>
      </c>
      <c r="O1" s="3">
        <v>43191</v>
      </c>
      <c r="P1" s="3">
        <v>43221</v>
      </c>
      <c r="Q1" s="3">
        <v>43252</v>
      </c>
      <c r="R1" s="3">
        <v>43282</v>
      </c>
      <c r="S1" s="3">
        <v>43313</v>
      </c>
      <c r="T1" s="3">
        <v>43344</v>
      </c>
      <c r="U1" s="3">
        <v>43374</v>
      </c>
      <c r="V1" s="3">
        <v>43405</v>
      </c>
      <c r="W1" s="3">
        <v>43435</v>
      </c>
      <c r="X1" s="3">
        <v>43466</v>
      </c>
      <c r="Y1" s="3">
        <v>43497</v>
      </c>
      <c r="Z1" s="3">
        <v>43525</v>
      </c>
      <c r="AA1" s="3">
        <v>43556</v>
      </c>
      <c r="AB1" s="3">
        <v>43586</v>
      </c>
      <c r="AC1" s="3">
        <v>43617</v>
      </c>
      <c r="AD1" s="3">
        <v>43647</v>
      </c>
      <c r="AE1" s="3">
        <v>43678</v>
      </c>
      <c r="AF1" s="3">
        <v>43709</v>
      </c>
      <c r="AG1" s="3">
        <v>43739</v>
      </c>
      <c r="AH1" s="3">
        <v>43770</v>
      </c>
      <c r="AI1" s="3">
        <v>43800</v>
      </c>
      <c r="AJ1" s="3">
        <v>43831</v>
      </c>
      <c r="AK1" s="3">
        <v>43862</v>
      </c>
      <c r="AL1" s="3">
        <v>43891</v>
      </c>
    </row>
    <row r="2" ht="15.75" spans="1:14">
      <c r="A2" s="10" t="s">
        <v>23</v>
      </c>
      <c r="B2" s="35">
        <v>1859841.76</v>
      </c>
      <c r="C2" s="35">
        <v>2336482.45</v>
      </c>
      <c r="D2" s="35">
        <v>2266216.917</v>
      </c>
      <c r="E2" s="35">
        <v>2743004.942</v>
      </c>
      <c r="F2" s="35">
        <v>2721043.467</v>
      </c>
      <c r="G2" s="35">
        <v>2784795.778</v>
      </c>
      <c r="H2" s="35">
        <v>2461675.37</v>
      </c>
      <c r="I2" s="35">
        <v>1649593.961</v>
      </c>
      <c r="J2" s="35">
        <v>2794766.034</v>
      </c>
      <c r="K2" s="35">
        <v>3054168.252</v>
      </c>
      <c r="L2" s="35">
        <v>3523203.306</v>
      </c>
      <c r="M2" s="35">
        <v>3423240.249</v>
      </c>
      <c r="N2" s="35">
        <v>3632246.49</v>
      </c>
    </row>
    <row r="3" ht="15.75" spans="1:14">
      <c r="A3" s="10" t="s">
        <v>24</v>
      </c>
      <c r="B3" s="35">
        <v>1877255.886</v>
      </c>
      <c r="C3" s="35">
        <v>1443748.36</v>
      </c>
      <c r="D3" s="35">
        <v>1924420.929</v>
      </c>
      <c r="E3" s="35">
        <v>2377687.071</v>
      </c>
      <c r="F3" s="35">
        <v>1968431.794</v>
      </c>
      <c r="G3" s="35">
        <v>2307553.585</v>
      </c>
      <c r="H3" s="35">
        <v>2830978.065</v>
      </c>
      <c r="I3" s="35">
        <v>1864723.485</v>
      </c>
      <c r="J3" s="35">
        <v>1963709.138</v>
      </c>
      <c r="K3" s="35">
        <v>2900699.058</v>
      </c>
      <c r="L3" s="35">
        <v>2430884.931</v>
      </c>
      <c r="M3" s="35">
        <v>1920920.799</v>
      </c>
      <c r="N3" s="35">
        <v>2697415.39</v>
      </c>
    </row>
    <row r="4" ht="15.75" spans="1:14">
      <c r="A4" s="10" t="s">
        <v>25</v>
      </c>
      <c r="B4" s="35">
        <v>0</v>
      </c>
      <c r="C4" s="35">
        <v>0</v>
      </c>
      <c r="D4" s="35">
        <v>0</v>
      </c>
      <c r="E4" s="35">
        <v>0</v>
      </c>
      <c r="F4" s="35">
        <v>50294.987</v>
      </c>
      <c r="G4" s="35">
        <v>97658.17</v>
      </c>
      <c r="H4" s="35">
        <v>288593.296</v>
      </c>
      <c r="I4" s="35">
        <v>126379.681</v>
      </c>
      <c r="J4" s="35">
        <v>232063.026</v>
      </c>
      <c r="K4" s="35">
        <v>548194.966</v>
      </c>
      <c r="L4" s="35">
        <v>387170.461</v>
      </c>
      <c r="M4" s="35">
        <v>350377.28</v>
      </c>
      <c r="N4" s="35">
        <v>354356.601</v>
      </c>
    </row>
    <row r="5" ht="15.75" spans="1:14">
      <c r="A5" s="10" t="s">
        <v>26</v>
      </c>
      <c r="B5" s="35">
        <v>318557.933</v>
      </c>
      <c r="C5" s="35">
        <v>257702.777</v>
      </c>
      <c r="D5" s="35">
        <v>108681.465</v>
      </c>
      <c r="E5" s="35">
        <v>207046.904</v>
      </c>
      <c r="F5" s="35">
        <v>269043.707</v>
      </c>
      <c r="G5" s="35">
        <v>527617.182</v>
      </c>
      <c r="H5" s="35">
        <v>369223.188</v>
      </c>
      <c r="I5" s="35">
        <v>308248.74</v>
      </c>
      <c r="J5" s="35">
        <v>300421.166</v>
      </c>
      <c r="K5" s="35">
        <v>145043.863</v>
      </c>
      <c r="L5" s="35">
        <v>100988.722</v>
      </c>
      <c r="M5" s="35">
        <v>103774.322</v>
      </c>
      <c r="N5" s="35">
        <v>191915.241</v>
      </c>
    </row>
    <row r="6" ht="15.75" spans="1:14">
      <c r="A6" s="12" t="s">
        <v>27</v>
      </c>
      <c r="B6" s="36">
        <v>105112.5</v>
      </c>
      <c r="C6" s="36">
        <v>105718.92</v>
      </c>
      <c r="D6" s="36">
        <v>54750</v>
      </c>
      <c r="E6" s="36">
        <v>202953.85</v>
      </c>
      <c r="F6" s="36">
        <v>98476.5</v>
      </c>
      <c r="G6" s="36">
        <v>155249.65</v>
      </c>
      <c r="H6" s="36">
        <v>163112.62</v>
      </c>
      <c r="I6" s="36">
        <v>51900</v>
      </c>
      <c r="J6" s="36">
        <v>220035.16</v>
      </c>
      <c r="K6" s="36">
        <v>219600.57</v>
      </c>
      <c r="L6" s="36">
        <v>206985.23</v>
      </c>
      <c r="M6" s="36">
        <v>59827.5</v>
      </c>
      <c r="N6" s="36">
        <v>174189</v>
      </c>
    </row>
    <row r="7" ht="15.75" spans="1:14">
      <c r="A7" s="9" t="s">
        <v>28</v>
      </c>
      <c r="B7" s="37">
        <v>481148.477</v>
      </c>
      <c r="C7" s="37">
        <v>622942.762</v>
      </c>
      <c r="D7" s="37">
        <v>719614.214</v>
      </c>
      <c r="E7" s="37">
        <v>915821.475</v>
      </c>
      <c r="F7" s="37">
        <v>651435.181</v>
      </c>
      <c r="G7" s="37">
        <v>549995.242</v>
      </c>
      <c r="H7" s="37">
        <v>75360.774</v>
      </c>
      <c r="I7" s="37">
        <v>87936.39</v>
      </c>
      <c r="J7" s="37">
        <v>97675.2</v>
      </c>
      <c r="K7" s="37">
        <v>0</v>
      </c>
      <c r="L7" s="37">
        <v>0</v>
      </c>
      <c r="M7" s="37">
        <v>29486.04</v>
      </c>
      <c r="N7" s="37">
        <v>22145.96</v>
      </c>
    </row>
    <row r="8" ht="15.75" spans="1:14">
      <c r="A8" s="10" t="s">
        <v>29</v>
      </c>
      <c r="B8" s="35">
        <v>0</v>
      </c>
      <c r="C8" s="35">
        <v>0</v>
      </c>
      <c r="D8" s="35">
        <v>41871.2</v>
      </c>
      <c r="E8" s="35">
        <v>68166.4</v>
      </c>
      <c r="F8" s="35">
        <v>39602.4</v>
      </c>
      <c r="G8" s="35">
        <v>0</v>
      </c>
      <c r="H8" s="35">
        <v>0</v>
      </c>
      <c r="I8" s="35">
        <v>29916</v>
      </c>
      <c r="J8" s="35">
        <v>85129.6</v>
      </c>
      <c r="K8" s="35">
        <v>84264.12</v>
      </c>
      <c r="L8" s="35">
        <v>87162.72</v>
      </c>
      <c r="M8" s="35">
        <v>46248</v>
      </c>
      <c r="N8" s="35">
        <v>91780.14</v>
      </c>
    </row>
    <row r="9" ht="15.75" spans="1:14">
      <c r="A9" s="10" t="s">
        <v>30</v>
      </c>
      <c r="B9" s="35">
        <v>0</v>
      </c>
      <c r="C9" s="35">
        <v>0</v>
      </c>
      <c r="D9" s="35">
        <v>0</v>
      </c>
      <c r="E9" s="35">
        <v>0</v>
      </c>
      <c r="F9" s="35">
        <v>0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50000</v>
      </c>
      <c r="N9" s="35">
        <v>0</v>
      </c>
    </row>
    <row r="10" ht="15.75" spans="1:14">
      <c r="A10" s="10" t="s">
        <v>31</v>
      </c>
      <c r="B10" s="35">
        <v>106823.5</v>
      </c>
      <c r="C10" s="35">
        <v>184050</v>
      </c>
      <c r="D10" s="35">
        <v>41450.5</v>
      </c>
      <c r="E10" s="35">
        <v>0</v>
      </c>
      <c r="F10" s="35">
        <v>43903.86</v>
      </c>
      <c r="G10" s="35">
        <v>49183</v>
      </c>
      <c r="H10" s="35">
        <v>99256.51</v>
      </c>
      <c r="I10" s="35">
        <v>112586.547</v>
      </c>
      <c r="J10" s="35">
        <v>47350</v>
      </c>
      <c r="K10" s="35">
        <v>10179</v>
      </c>
      <c r="L10" s="35">
        <v>116249</v>
      </c>
      <c r="M10" s="35">
        <v>51202</v>
      </c>
      <c r="N10" s="35">
        <v>0</v>
      </c>
    </row>
    <row r="11" ht="15.75" spans="1:14">
      <c r="A11" s="10" t="s">
        <v>32</v>
      </c>
      <c r="B11" s="35">
        <v>319854.09</v>
      </c>
      <c r="C11" s="35">
        <v>327862.57</v>
      </c>
      <c r="D11" s="35">
        <v>390835.532</v>
      </c>
      <c r="E11" s="35">
        <v>318143.689</v>
      </c>
      <c r="F11" s="35">
        <v>159720.299</v>
      </c>
      <c r="G11" s="35">
        <v>54627.58</v>
      </c>
      <c r="H11" s="35">
        <v>104799.4</v>
      </c>
      <c r="I11" s="35">
        <v>97085.719</v>
      </c>
      <c r="J11" s="35">
        <v>0</v>
      </c>
      <c r="K11" s="35">
        <v>67250.956</v>
      </c>
      <c r="L11" s="35">
        <v>0</v>
      </c>
      <c r="M11" s="35">
        <v>0</v>
      </c>
      <c r="N11" s="35">
        <v>0</v>
      </c>
    </row>
    <row r="12" ht="15.75" spans="1:14">
      <c r="A12" s="10" t="s">
        <v>33</v>
      </c>
      <c r="B12" s="35">
        <v>0</v>
      </c>
      <c r="C12" s="35">
        <v>145165.048</v>
      </c>
      <c r="D12" s="35">
        <v>67959.514</v>
      </c>
      <c r="E12" s="35">
        <v>60499.587</v>
      </c>
      <c r="F12" s="35">
        <v>87827.272</v>
      </c>
      <c r="G12" s="35">
        <v>0</v>
      </c>
      <c r="H12" s="35">
        <v>87156.404</v>
      </c>
      <c r="I12" s="35">
        <v>69188.565</v>
      </c>
      <c r="J12" s="35">
        <v>68286.933</v>
      </c>
      <c r="K12" s="35">
        <v>90634.058</v>
      </c>
      <c r="L12" s="35">
        <v>74581.612</v>
      </c>
      <c r="M12" s="35">
        <v>59603.595</v>
      </c>
      <c r="N12" s="35">
        <v>0</v>
      </c>
    </row>
    <row r="13" ht="15.75" spans="1:14">
      <c r="A13" s="10" t="s">
        <v>34</v>
      </c>
      <c r="B13" s="35">
        <v>0</v>
      </c>
      <c r="C13" s="35">
        <v>0</v>
      </c>
      <c r="D13" s="35">
        <v>0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</row>
    <row r="14" ht="15.75" spans="1:14">
      <c r="A14" s="10" t="s">
        <v>35</v>
      </c>
      <c r="B14" s="35">
        <v>0</v>
      </c>
      <c r="C14" s="35">
        <v>0</v>
      </c>
      <c r="D14" s="35">
        <v>0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</row>
    <row r="15" ht="15.75" spans="1:14">
      <c r="A15" s="12" t="s">
        <v>36</v>
      </c>
      <c r="B15" s="36">
        <v>0</v>
      </c>
      <c r="C15" s="36">
        <v>50535</v>
      </c>
      <c r="D15" s="36">
        <v>0</v>
      </c>
      <c r="E15" s="36">
        <v>0</v>
      </c>
      <c r="F15" s="36">
        <v>0</v>
      </c>
      <c r="G15" s="36">
        <v>0</v>
      </c>
      <c r="H15" s="36">
        <v>0</v>
      </c>
      <c r="I15" s="36">
        <v>0</v>
      </c>
      <c r="J15" s="36">
        <v>0</v>
      </c>
      <c r="K15" s="36">
        <v>0</v>
      </c>
      <c r="L15" s="36">
        <v>0</v>
      </c>
      <c r="M15" s="36">
        <v>0</v>
      </c>
      <c r="N15" s="36">
        <v>0</v>
      </c>
    </row>
  </sheetData>
  <pageMargins left="0.7875" right="0.7875" top="1.05277777777778" bottom="1.05277777777778" header="0.7875" footer="0.7875"/>
  <pageSetup paperSize="1" firstPageNumber="0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9"/>
  <sheetViews>
    <sheetView zoomScale="89" zoomScaleNormal="89" workbookViewId="0">
      <selection activeCell="A29" sqref="A2:C90"/>
    </sheetView>
  </sheetViews>
  <sheetFormatPr defaultColWidth="9.14285714285714" defaultRowHeight="15"/>
  <cols>
    <col min="1" max="2" width="29.1428571428571" customWidth="1"/>
  </cols>
  <sheetData>
    <row r="1" ht="41.85" customHeight="1" spans="1:39">
      <c r="A1" s="31" t="s">
        <v>37</v>
      </c>
      <c r="B1" s="32" t="s">
        <v>38</v>
      </c>
      <c r="C1" s="3">
        <v>42795</v>
      </c>
      <c r="D1" s="3">
        <v>42826</v>
      </c>
      <c r="E1" s="3">
        <v>42856</v>
      </c>
      <c r="F1" s="3">
        <v>42887</v>
      </c>
      <c r="G1" s="3">
        <v>42917</v>
      </c>
      <c r="H1" s="3">
        <v>42948</v>
      </c>
      <c r="I1" s="3">
        <v>42979</v>
      </c>
      <c r="J1" s="3">
        <v>43009</v>
      </c>
      <c r="K1" s="3">
        <v>43040</v>
      </c>
      <c r="L1" s="3">
        <v>43070</v>
      </c>
      <c r="M1" s="3">
        <v>43101</v>
      </c>
      <c r="N1" s="3">
        <v>43132</v>
      </c>
      <c r="O1" s="3">
        <v>43160</v>
      </c>
      <c r="P1" s="3">
        <v>43191</v>
      </c>
      <c r="Q1" s="3">
        <v>43221</v>
      </c>
      <c r="R1" s="3">
        <v>43252</v>
      </c>
      <c r="S1" s="3">
        <v>43282</v>
      </c>
      <c r="T1" s="3">
        <v>43313</v>
      </c>
      <c r="U1" s="3">
        <v>43344</v>
      </c>
      <c r="V1" s="3">
        <v>43374</v>
      </c>
      <c r="W1" s="3">
        <v>43405</v>
      </c>
      <c r="X1" s="3">
        <v>43435</v>
      </c>
      <c r="Y1" s="3">
        <v>43466</v>
      </c>
      <c r="Z1" s="3">
        <v>43497</v>
      </c>
      <c r="AA1" s="3">
        <v>43525</v>
      </c>
      <c r="AB1" s="3">
        <v>43556</v>
      </c>
      <c r="AC1" s="3">
        <v>43586</v>
      </c>
      <c r="AD1" s="3">
        <v>43617</v>
      </c>
      <c r="AE1" s="3">
        <v>43647</v>
      </c>
      <c r="AF1" s="3">
        <v>43678</v>
      </c>
      <c r="AG1" s="3">
        <v>43709</v>
      </c>
      <c r="AH1" s="3">
        <v>43739</v>
      </c>
      <c r="AI1" s="3">
        <v>43770</v>
      </c>
      <c r="AJ1" s="3">
        <v>43800</v>
      </c>
      <c r="AK1" s="3">
        <v>43831</v>
      </c>
      <c r="AL1" s="3">
        <v>43862</v>
      </c>
      <c r="AM1" s="3">
        <v>43891</v>
      </c>
    </row>
    <row r="2" spans="1:2">
      <c r="A2" s="9" t="s">
        <v>24</v>
      </c>
      <c r="B2" s="15" t="s">
        <v>39</v>
      </c>
    </row>
    <row r="3" spans="1:2">
      <c r="A3" s="10" t="s">
        <v>24</v>
      </c>
      <c r="B3" s="15" t="s">
        <v>40</v>
      </c>
    </row>
    <row r="4" spans="1:2">
      <c r="A4" s="10" t="s">
        <v>24</v>
      </c>
      <c r="B4" s="15" t="s">
        <v>41</v>
      </c>
    </row>
    <row r="5" spans="1:2">
      <c r="A5" s="10" t="s">
        <v>24</v>
      </c>
      <c r="B5" s="15" t="s">
        <v>42</v>
      </c>
    </row>
    <row r="6" spans="1:2">
      <c r="A6" s="10" t="s">
        <v>24</v>
      </c>
      <c r="B6" s="15" t="s">
        <v>43</v>
      </c>
    </row>
    <row r="7" spans="1:2">
      <c r="A7" s="10" t="s">
        <v>26</v>
      </c>
      <c r="B7" s="15" t="s">
        <v>44</v>
      </c>
    </row>
    <row r="8" spans="1:2">
      <c r="A8" s="10" t="s">
        <v>26</v>
      </c>
      <c r="B8" s="15" t="s">
        <v>45</v>
      </c>
    </row>
    <row r="9" spans="1:2">
      <c r="A9" s="10" t="s">
        <v>31</v>
      </c>
      <c r="B9" s="15" t="s">
        <v>46</v>
      </c>
    </row>
    <row r="10" spans="1:2">
      <c r="A10" s="10" t="s">
        <v>34</v>
      </c>
      <c r="B10" s="15" t="s">
        <v>47</v>
      </c>
    </row>
    <row r="11" spans="1:2">
      <c r="A11" s="10" t="s">
        <v>23</v>
      </c>
      <c r="B11" s="15" t="s">
        <v>48</v>
      </c>
    </row>
    <row r="12" spans="1:2">
      <c r="A12" s="10" t="s">
        <v>23</v>
      </c>
      <c r="B12" s="15" t="s">
        <v>49</v>
      </c>
    </row>
    <row r="13" spans="1:2">
      <c r="A13" s="10" t="s">
        <v>23</v>
      </c>
      <c r="B13" s="15" t="s">
        <v>50</v>
      </c>
    </row>
    <row r="14" spans="1:2">
      <c r="A14" s="10" t="s">
        <v>23</v>
      </c>
      <c r="B14" s="15" t="s">
        <v>51</v>
      </c>
    </row>
    <row r="15" spans="1:2">
      <c r="A15" s="10" t="s">
        <v>32</v>
      </c>
      <c r="B15" s="15" t="s">
        <v>52</v>
      </c>
    </row>
    <row r="16" spans="1:2">
      <c r="A16" s="10" t="s">
        <v>25</v>
      </c>
      <c r="B16" s="15" t="s">
        <v>53</v>
      </c>
    </row>
    <row r="17" spans="1:2">
      <c r="A17" s="10" t="s">
        <v>25</v>
      </c>
      <c r="B17" s="15" t="s">
        <v>54</v>
      </c>
    </row>
    <row r="18" spans="1:2">
      <c r="A18" s="10" t="s">
        <v>25</v>
      </c>
      <c r="B18" s="15" t="s">
        <v>55</v>
      </c>
    </row>
    <row r="19" spans="1:2">
      <c r="A19" s="10" t="s">
        <v>29</v>
      </c>
      <c r="B19" s="15" t="s">
        <v>56</v>
      </c>
    </row>
    <row r="20" spans="1:2">
      <c r="A20" s="10" t="s">
        <v>28</v>
      </c>
      <c r="B20" s="15" t="s">
        <v>57</v>
      </c>
    </row>
    <row r="21" spans="1:2">
      <c r="A21" s="10" t="s">
        <v>28</v>
      </c>
      <c r="B21" s="15" t="s">
        <v>58</v>
      </c>
    </row>
    <row r="22" spans="1:2">
      <c r="A22" s="10" t="s">
        <v>33</v>
      </c>
      <c r="B22" s="15" t="s">
        <v>59</v>
      </c>
    </row>
    <row r="23" spans="1:2">
      <c r="A23" s="10" t="s">
        <v>36</v>
      </c>
      <c r="B23" s="15" t="s">
        <v>36</v>
      </c>
    </row>
    <row r="24" spans="1:2">
      <c r="A24" s="10" t="s">
        <v>27</v>
      </c>
      <c r="B24" s="15" t="s">
        <v>60</v>
      </c>
    </row>
    <row r="25" spans="1:2">
      <c r="A25" s="10" t="s">
        <v>35</v>
      </c>
      <c r="B25" s="15" t="s">
        <v>35</v>
      </c>
    </row>
    <row r="26" spans="1:2">
      <c r="A26" s="10" t="s">
        <v>30</v>
      </c>
      <c r="B26" s="15" t="s">
        <v>61</v>
      </c>
    </row>
    <row r="27" spans="1:2">
      <c r="A27" s="12" t="s">
        <v>30</v>
      </c>
      <c r="B27" s="15" t="s">
        <v>62</v>
      </c>
    </row>
    <row r="28" ht="15.75" spans="2:2">
      <c r="B28" s="33" t="s">
        <v>4</v>
      </c>
    </row>
    <row r="29" ht="15.75" spans="2:2">
      <c r="B29" s="34" t="s">
        <v>63</v>
      </c>
    </row>
  </sheetData>
  <pageMargins left="0.7875" right="0.7875" top="1.05277777777778" bottom="1.05277777777778" header="0.7875" footer="0.7875"/>
  <pageSetup paperSize="1" firstPageNumber="0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8"/>
  <sheetViews>
    <sheetView zoomScale="89" zoomScaleNormal="89" topLeftCell="P1" workbookViewId="0">
      <selection activeCell="B1" sqref="A2:C90 B1"/>
    </sheetView>
  </sheetViews>
  <sheetFormatPr defaultColWidth="9.14285714285714" defaultRowHeight="15"/>
  <cols>
    <col min="1" max="1" width="17.7142857142857" customWidth="1"/>
  </cols>
  <sheetData>
    <row r="1" ht="47.25" spans="1:38">
      <c r="A1" s="26" t="s">
        <v>64</v>
      </c>
      <c r="B1" s="3">
        <v>42795</v>
      </c>
      <c r="C1" s="3">
        <v>42826</v>
      </c>
      <c r="D1" s="3">
        <v>42856</v>
      </c>
      <c r="E1" s="3">
        <v>42887</v>
      </c>
      <c r="F1" s="3">
        <v>42917</v>
      </c>
      <c r="G1" s="3">
        <v>42948</v>
      </c>
      <c r="H1" s="3">
        <v>42979</v>
      </c>
      <c r="I1" s="3">
        <v>43009</v>
      </c>
      <c r="J1" s="3">
        <v>43040</v>
      </c>
      <c r="K1" s="3">
        <v>43070</v>
      </c>
      <c r="L1" s="3">
        <v>43101</v>
      </c>
      <c r="M1" s="3">
        <v>43132</v>
      </c>
      <c r="N1" s="3">
        <v>43160</v>
      </c>
      <c r="O1" s="3">
        <v>43191</v>
      </c>
      <c r="P1" s="3">
        <v>43221</v>
      </c>
      <c r="Q1" s="3">
        <v>43252</v>
      </c>
      <c r="R1" s="3">
        <v>43282</v>
      </c>
      <c r="S1" s="3">
        <v>43313</v>
      </c>
      <c r="T1" s="3">
        <v>43344</v>
      </c>
      <c r="U1" s="3">
        <v>43374</v>
      </c>
      <c r="V1" s="3">
        <v>43405</v>
      </c>
      <c r="W1" s="3">
        <v>43435</v>
      </c>
      <c r="X1" s="3">
        <v>43466</v>
      </c>
      <c r="Y1" s="3">
        <v>43497</v>
      </c>
      <c r="Z1" s="3">
        <v>43525</v>
      </c>
      <c r="AA1" s="3">
        <v>43556</v>
      </c>
      <c r="AB1" s="3">
        <v>43586</v>
      </c>
      <c r="AC1" s="3">
        <v>43617</v>
      </c>
      <c r="AD1" s="3">
        <v>43647</v>
      </c>
      <c r="AE1" s="3">
        <v>43678</v>
      </c>
      <c r="AF1" s="3">
        <v>43709</v>
      </c>
      <c r="AG1" s="3">
        <v>43739</v>
      </c>
      <c r="AH1" s="3">
        <v>43770</v>
      </c>
      <c r="AI1" s="3">
        <v>43800</v>
      </c>
      <c r="AJ1" s="3">
        <v>43831</v>
      </c>
      <c r="AK1" s="3">
        <v>43862</v>
      </c>
      <c r="AL1" s="3">
        <v>43891</v>
      </c>
    </row>
    <row r="2" spans="1:1">
      <c r="A2" s="10" t="s">
        <v>65</v>
      </c>
    </row>
    <row r="3" spans="1:1">
      <c r="A3" s="10" t="s">
        <v>66</v>
      </c>
    </row>
    <row r="4" spans="1:1">
      <c r="A4" s="10" t="s">
        <v>67</v>
      </c>
    </row>
    <row r="5" spans="1:1">
      <c r="A5" s="10" t="s">
        <v>68</v>
      </c>
    </row>
    <row r="6" spans="1:1">
      <c r="A6" s="10" t="s">
        <v>69</v>
      </c>
    </row>
    <row r="7" spans="1:1">
      <c r="A7" s="10" t="s">
        <v>70</v>
      </c>
    </row>
    <row r="8" spans="1:1">
      <c r="A8" s="10" t="s">
        <v>71</v>
      </c>
    </row>
    <row r="9" spans="1:1">
      <c r="A9" s="10" t="s">
        <v>72</v>
      </c>
    </row>
    <row r="10" spans="1:1">
      <c r="A10" s="10" t="s">
        <v>73</v>
      </c>
    </row>
    <row r="11" spans="1:1">
      <c r="A11" s="10" t="s">
        <v>74</v>
      </c>
    </row>
    <row r="12" spans="1:1">
      <c r="A12" s="10" t="s">
        <v>75</v>
      </c>
    </row>
    <row r="13" spans="1:1">
      <c r="A13" s="10" t="s">
        <v>76</v>
      </c>
    </row>
    <row r="14" spans="1:1">
      <c r="A14" s="10" t="s">
        <v>77</v>
      </c>
    </row>
    <row r="15" spans="1:1">
      <c r="A15" s="10" t="s">
        <v>78</v>
      </c>
    </row>
    <row r="16" spans="1:1">
      <c r="A16" s="10" t="s">
        <v>79</v>
      </c>
    </row>
    <row r="17" ht="15.75" spans="1:1">
      <c r="A17" s="29" t="s">
        <v>4</v>
      </c>
    </row>
    <row r="18" ht="15.75" spans="1:1">
      <c r="A18" s="30" t="s">
        <v>63</v>
      </c>
    </row>
  </sheetData>
  <pageMargins left="0.7875" right="0.7875" top="1.05277777777778" bottom="1.05277777777778" header="0.7875" footer="0.7875"/>
  <pageSetup paperSize="1" firstPageNumber="0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zoomScale="89" zoomScaleNormal="89" workbookViewId="0">
      <selection activeCell="A1" sqref="A2:C90 A1"/>
    </sheetView>
  </sheetViews>
  <sheetFormatPr defaultColWidth="9.14285714285714" defaultRowHeight="15"/>
  <cols>
    <col min="1" max="1" width="11.2857142857143" customWidth="1"/>
  </cols>
  <sheetData>
    <row r="1" ht="78.75" spans="1:1">
      <c r="A1" s="26" t="s">
        <v>80</v>
      </c>
    </row>
    <row r="2" spans="1:1">
      <c r="A2" s="10" t="s">
        <v>23</v>
      </c>
    </row>
    <row r="3" spans="1:1">
      <c r="A3" s="10" t="s">
        <v>24</v>
      </c>
    </row>
    <row r="4" spans="1:1">
      <c r="A4" s="10" t="s">
        <v>28</v>
      </c>
    </row>
    <row r="5" spans="1:1">
      <c r="A5" s="10" t="s">
        <v>25</v>
      </c>
    </row>
    <row r="6" spans="1:1">
      <c r="A6" s="10" t="s">
        <v>26</v>
      </c>
    </row>
    <row r="7" spans="1:1">
      <c r="A7" s="10" t="s">
        <v>32</v>
      </c>
    </row>
    <row r="8" spans="1:1">
      <c r="A8" s="10" t="s">
        <v>81</v>
      </c>
    </row>
    <row r="9" ht="15.75" spans="1:1">
      <c r="A9" s="29" t="s">
        <v>4</v>
      </c>
    </row>
    <row r="10" ht="15.75" spans="1:1">
      <c r="A10" s="30" t="s">
        <v>63</v>
      </c>
    </row>
  </sheetData>
  <pageMargins left="0.7875" right="0.7875" top="1.05277777777778" bottom="1.05277777777778" header="0.7875" footer="0.7875"/>
  <pageSetup paperSize="1" firstPageNumber="0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zoomScale="89" zoomScaleNormal="89" workbookViewId="0">
      <selection activeCell="A1" sqref="A2:C90 A1"/>
    </sheetView>
  </sheetViews>
  <sheetFormatPr defaultColWidth="9.14285714285714" defaultRowHeight="15" outlineLevelRow="5"/>
  <cols>
    <col min="1" max="1" width="21" customWidth="1"/>
  </cols>
  <sheetData>
    <row r="1" ht="47.25" spans="1:1">
      <c r="A1" s="26" t="s">
        <v>82</v>
      </c>
    </row>
    <row r="2" spans="1:1">
      <c r="A2" s="27" t="s">
        <v>83</v>
      </c>
    </row>
    <row r="3" spans="1:1">
      <c r="A3" s="10" t="s">
        <v>12</v>
      </c>
    </row>
    <row r="4" spans="1:1">
      <c r="A4" s="10" t="s">
        <v>11</v>
      </c>
    </row>
    <row r="5" spans="1:1">
      <c r="A5" s="10" t="s">
        <v>13</v>
      </c>
    </row>
    <row r="6" spans="1:1">
      <c r="A6" s="28" t="s">
        <v>14</v>
      </c>
    </row>
  </sheetData>
  <pageMargins left="0.7875" right="0.7875" top="1.05277777777778" bottom="1.05277777777778" header="0.7875" footer="0.7875"/>
  <pageSetup paperSize="1" firstPageNumber="0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6"/>
  <sheetViews>
    <sheetView topLeftCell="R1" workbookViewId="0">
      <selection activeCell="AA5" sqref="AA5"/>
    </sheetView>
  </sheetViews>
  <sheetFormatPr defaultColWidth="8.57142857142857" defaultRowHeight="15" outlineLevelRow="5"/>
  <cols>
    <col min="1" max="1" width="13" customWidth="1"/>
  </cols>
  <sheetData>
    <row r="1" ht="61.5" customHeight="1" spans="1:38">
      <c r="A1" s="18" t="s">
        <v>84</v>
      </c>
      <c r="B1" s="3">
        <v>42795</v>
      </c>
      <c r="C1" s="3">
        <v>42826</v>
      </c>
      <c r="D1" s="3">
        <v>42856</v>
      </c>
      <c r="E1" s="3">
        <v>42887</v>
      </c>
      <c r="F1" s="3">
        <v>42917</v>
      </c>
      <c r="G1" s="3">
        <v>42948</v>
      </c>
      <c r="H1" s="3">
        <v>42979</v>
      </c>
      <c r="I1" s="3">
        <v>43009</v>
      </c>
      <c r="J1" s="3">
        <v>43040</v>
      </c>
      <c r="K1" s="3">
        <v>43070</v>
      </c>
      <c r="L1" s="3">
        <v>43101</v>
      </c>
      <c r="M1" s="3">
        <v>43132</v>
      </c>
      <c r="N1" s="3">
        <v>43160</v>
      </c>
      <c r="O1" s="3">
        <v>43191</v>
      </c>
      <c r="P1" s="3">
        <v>43221</v>
      </c>
      <c r="Q1" s="3">
        <v>43252</v>
      </c>
      <c r="R1" s="3">
        <v>43282</v>
      </c>
      <c r="S1" s="3">
        <v>43313</v>
      </c>
      <c r="T1" s="3">
        <v>43344</v>
      </c>
      <c r="U1" s="3">
        <v>43374</v>
      </c>
      <c r="V1" s="3">
        <v>43405</v>
      </c>
      <c r="W1" s="3">
        <v>43435</v>
      </c>
      <c r="X1" s="3">
        <v>43466</v>
      </c>
      <c r="Y1" s="3">
        <v>43497</v>
      </c>
      <c r="Z1" s="3">
        <v>43525</v>
      </c>
      <c r="AA1" s="3">
        <v>43556</v>
      </c>
      <c r="AB1" s="3">
        <v>43586</v>
      </c>
      <c r="AC1" s="3">
        <v>43617</v>
      </c>
      <c r="AD1" s="3">
        <v>43647</v>
      </c>
      <c r="AE1" s="3">
        <v>43678</v>
      </c>
      <c r="AF1" s="3">
        <v>43709</v>
      </c>
      <c r="AG1" s="3">
        <v>43739</v>
      </c>
      <c r="AH1" s="3">
        <v>43770</v>
      </c>
      <c r="AI1" s="3">
        <v>43800</v>
      </c>
      <c r="AJ1" s="3">
        <v>43831</v>
      </c>
      <c r="AK1" s="3">
        <v>43862</v>
      </c>
      <c r="AL1" s="3">
        <v>43891</v>
      </c>
    </row>
    <row r="2" ht="15.75" spans="1:37">
      <c r="A2" s="14" t="s">
        <v>85</v>
      </c>
      <c r="B2" s="20" t="e">
        <f t="shared" ref="B2:N2" si="0">#N/A</f>
        <v>#N/A</v>
      </c>
      <c r="C2" s="20" t="e">
        <f t="shared" si="0"/>
        <v>#N/A</v>
      </c>
      <c r="D2" s="20" t="e">
        <f t="shared" si="0"/>
        <v>#N/A</v>
      </c>
      <c r="E2" s="20" t="e">
        <f t="shared" si="0"/>
        <v>#N/A</v>
      </c>
      <c r="F2" s="20" t="e">
        <f t="shared" si="0"/>
        <v>#N/A</v>
      </c>
      <c r="G2" s="20" t="e">
        <f t="shared" si="0"/>
        <v>#N/A</v>
      </c>
      <c r="H2" s="20" t="e">
        <f t="shared" si="0"/>
        <v>#N/A</v>
      </c>
      <c r="I2" s="20" t="e">
        <f t="shared" si="0"/>
        <v>#N/A</v>
      </c>
      <c r="J2" s="20" t="e">
        <f t="shared" si="0"/>
        <v>#N/A</v>
      </c>
      <c r="K2" s="20" t="e">
        <f t="shared" si="0"/>
        <v>#N/A</v>
      </c>
      <c r="L2" s="20" t="e">
        <f t="shared" si="0"/>
        <v>#N/A</v>
      </c>
      <c r="M2" s="20" t="e">
        <f t="shared" si="0"/>
        <v>#N/A</v>
      </c>
      <c r="N2" s="20" t="e">
        <f t="shared" si="0"/>
        <v>#N/A</v>
      </c>
      <c r="O2" s="24">
        <v>49.1183098515416</v>
      </c>
      <c r="P2" s="24">
        <v>46.0900932728665</v>
      </c>
      <c r="Q2" s="24">
        <v>47.5205796531747</v>
      </c>
      <c r="R2" s="24">
        <v>48.3184828829594</v>
      </c>
      <c r="S2" s="24">
        <v>47.4834423456378</v>
      </c>
      <c r="T2" s="24">
        <v>46.8198155121934</v>
      </c>
      <c r="U2" s="24">
        <v>45.1992006615055</v>
      </c>
      <c r="V2" s="24">
        <v>50.4229801444049</v>
      </c>
      <c r="W2" s="24">
        <v>46.9814950663912</v>
      </c>
      <c r="X2" s="24">
        <v>47.0024007863453</v>
      </c>
      <c r="Y2" s="24">
        <v>45.8974896072564</v>
      </c>
      <c r="Z2" s="24">
        <v>43.5682472606055</v>
      </c>
      <c r="AA2" s="20" t="e">
        <f t="shared" ref="AA2:AK2" si="1">#N/A</f>
        <v>#N/A</v>
      </c>
      <c r="AB2" s="20" t="e">
        <f t="shared" si="1"/>
        <v>#N/A</v>
      </c>
      <c r="AC2" s="20" t="e">
        <f t="shared" si="1"/>
        <v>#N/A</v>
      </c>
      <c r="AD2" s="20" t="e">
        <f t="shared" si="1"/>
        <v>#N/A</v>
      </c>
      <c r="AE2" s="20" t="e">
        <f t="shared" si="1"/>
        <v>#N/A</v>
      </c>
      <c r="AF2" s="20" t="e">
        <f t="shared" si="1"/>
        <v>#N/A</v>
      </c>
      <c r="AG2" s="20" t="e">
        <f t="shared" si="1"/>
        <v>#N/A</v>
      </c>
      <c r="AH2" s="20" t="e">
        <f t="shared" si="1"/>
        <v>#N/A</v>
      </c>
      <c r="AI2" s="20" t="e">
        <f t="shared" si="1"/>
        <v>#N/A</v>
      </c>
      <c r="AJ2" s="20" t="e">
        <f t="shared" si="1"/>
        <v>#N/A</v>
      </c>
      <c r="AK2" s="20" t="e">
        <f t="shared" si="1"/>
        <v>#N/A</v>
      </c>
    </row>
    <row r="3" ht="15.75" spans="1:37">
      <c r="A3" s="15" t="s">
        <v>86</v>
      </c>
      <c r="B3" s="20" t="e">
        <f t="shared" ref="B3:N3" si="2">#N/A</f>
        <v>#N/A</v>
      </c>
      <c r="C3" s="20" t="e">
        <f t="shared" si="2"/>
        <v>#N/A</v>
      </c>
      <c r="D3" s="20" t="e">
        <f t="shared" si="2"/>
        <v>#N/A</v>
      </c>
      <c r="E3" s="20" t="e">
        <f t="shared" si="2"/>
        <v>#N/A</v>
      </c>
      <c r="F3" s="20" t="e">
        <f t="shared" si="2"/>
        <v>#N/A</v>
      </c>
      <c r="G3" s="20" t="e">
        <f t="shared" si="2"/>
        <v>#N/A</v>
      </c>
      <c r="H3" s="20" t="e">
        <f t="shared" si="2"/>
        <v>#N/A</v>
      </c>
      <c r="I3" s="20" t="e">
        <f t="shared" si="2"/>
        <v>#N/A</v>
      </c>
      <c r="J3" s="20" t="e">
        <f t="shared" si="2"/>
        <v>#N/A</v>
      </c>
      <c r="K3" s="20" t="e">
        <f t="shared" si="2"/>
        <v>#N/A</v>
      </c>
      <c r="L3" s="20" t="e">
        <f t="shared" si="2"/>
        <v>#N/A</v>
      </c>
      <c r="M3" s="20" t="e">
        <f t="shared" si="2"/>
        <v>#N/A</v>
      </c>
      <c r="N3" s="20" t="e">
        <f t="shared" si="2"/>
        <v>#N/A</v>
      </c>
      <c r="O3" s="24">
        <v>46.7007157833086</v>
      </c>
      <c r="P3" s="24">
        <v>47.4316383962198</v>
      </c>
      <c r="Q3" s="24">
        <v>45.2374776315667</v>
      </c>
      <c r="R3" s="24">
        <v>45.2155944158219</v>
      </c>
      <c r="S3" s="24">
        <v>44.5556692133838</v>
      </c>
      <c r="T3" s="24">
        <v>45.9822382616154</v>
      </c>
      <c r="U3" s="24">
        <v>44.6510735896043</v>
      </c>
      <c r="V3" s="24">
        <v>44.7346049016193</v>
      </c>
      <c r="W3" s="24">
        <v>44.8020436193952</v>
      </c>
      <c r="X3" s="24">
        <v>44.5783543570674</v>
      </c>
      <c r="Y3" s="24">
        <v>44.9587007422529</v>
      </c>
      <c r="Z3" s="24">
        <v>46.742261709181</v>
      </c>
      <c r="AA3" s="20" t="e">
        <f t="shared" ref="AA3:AK3" si="3">#N/A</f>
        <v>#N/A</v>
      </c>
      <c r="AB3" s="20" t="e">
        <f t="shared" si="3"/>
        <v>#N/A</v>
      </c>
      <c r="AC3" s="20" t="e">
        <f t="shared" si="3"/>
        <v>#N/A</v>
      </c>
      <c r="AD3" s="20" t="e">
        <f t="shared" si="3"/>
        <v>#N/A</v>
      </c>
      <c r="AE3" s="20" t="e">
        <f t="shared" si="3"/>
        <v>#N/A</v>
      </c>
      <c r="AF3" s="20" t="e">
        <f t="shared" si="3"/>
        <v>#N/A</v>
      </c>
      <c r="AG3" s="20" t="e">
        <f t="shared" si="3"/>
        <v>#N/A</v>
      </c>
      <c r="AH3" s="20" t="e">
        <f t="shared" si="3"/>
        <v>#N/A</v>
      </c>
      <c r="AI3" s="20" t="e">
        <f t="shared" si="3"/>
        <v>#N/A</v>
      </c>
      <c r="AJ3" s="20" t="e">
        <f t="shared" si="3"/>
        <v>#N/A</v>
      </c>
      <c r="AK3" s="20" t="e">
        <f t="shared" si="3"/>
        <v>#N/A</v>
      </c>
    </row>
    <row r="4" ht="15.75" spans="1:37">
      <c r="A4" s="15" t="s">
        <v>51</v>
      </c>
      <c r="B4" s="20" t="e">
        <f t="shared" ref="B4:N4" si="4">#N/A</f>
        <v>#N/A</v>
      </c>
      <c r="C4" s="20" t="e">
        <f t="shared" si="4"/>
        <v>#N/A</v>
      </c>
      <c r="D4" s="20" t="e">
        <f t="shared" si="4"/>
        <v>#N/A</v>
      </c>
      <c r="E4" s="20" t="e">
        <f t="shared" si="4"/>
        <v>#N/A</v>
      </c>
      <c r="F4" s="20" t="e">
        <f t="shared" si="4"/>
        <v>#N/A</v>
      </c>
      <c r="G4" s="20" t="e">
        <f t="shared" si="4"/>
        <v>#N/A</v>
      </c>
      <c r="H4" s="20" t="e">
        <f t="shared" si="4"/>
        <v>#N/A</v>
      </c>
      <c r="I4" s="20" t="e">
        <f t="shared" si="4"/>
        <v>#N/A</v>
      </c>
      <c r="J4" s="20" t="e">
        <f t="shared" si="4"/>
        <v>#N/A</v>
      </c>
      <c r="K4" s="20" t="e">
        <f t="shared" si="4"/>
        <v>#N/A</v>
      </c>
      <c r="L4" s="20" t="e">
        <f t="shared" si="4"/>
        <v>#N/A</v>
      </c>
      <c r="M4" s="20" t="e">
        <f t="shared" si="4"/>
        <v>#N/A</v>
      </c>
      <c r="N4" s="20" t="e">
        <f t="shared" si="4"/>
        <v>#N/A</v>
      </c>
      <c r="O4" s="24">
        <v>56.5212424855756</v>
      </c>
      <c r="P4" s="24">
        <v>56.5112910994457</v>
      </c>
      <c r="Q4" s="24">
        <v>57.1561887135185</v>
      </c>
      <c r="R4" s="24">
        <v>58.4090623025383</v>
      </c>
      <c r="S4" s="24">
        <v>58.8412506597677</v>
      </c>
      <c r="T4" s="24">
        <v>64.2003253691806</v>
      </c>
      <c r="U4" s="24">
        <v>65.4102499826535</v>
      </c>
      <c r="V4" s="24">
        <v>60.4455176995916</v>
      </c>
      <c r="W4" s="24">
        <v>60.7125014055987</v>
      </c>
      <c r="X4" s="24">
        <v>58.8541252735282</v>
      </c>
      <c r="Y4" s="24">
        <v>57.7984220731303</v>
      </c>
      <c r="Z4" s="24">
        <v>59.8412422441813</v>
      </c>
      <c r="AA4" s="20" t="e">
        <f t="shared" ref="AA4:AK4" si="5">#N/A</f>
        <v>#N/A</v>
      </c>
      <c r="AB4" s="20" t="e">
        <f t="shared" si="5"/>
        <v>#N/A</v>
      </c>
      <c r="AC4" s="20" t="e">
        <f t="shared" si="5"/>
        <v>#N/A</v>
      </c>
      <c r="AD4" s="20" t="e">
        <f t="shared" si="5"/>
        <v>#N/A</v>
      </c>
      <c r="AE4" s="20" t="e">
        <f t="shared" si="5"/>
        <v>#N/A</v>
      </c>
      <c r="AF4" s="20" t="e">
        <f t="shared" si="5"/>
        <v>#N/A</v>
      </c>
      <c r="AG4" s="20" t="e">
        <f t="shared" si="5"/>
        <v>#N/A</v>
      </c>
      <c r="AH4" s="20" t="e">
        <f t="shared" si="5"/>
        <v>#N/A</v>
      </c>
      <c r="AI4" s="20" t="e">
        <f t="shared" si="5"/>
        <v>#N/A</v>
      </c>
      <c r="AJ4" s="20" t="e">
        <f t="shared" si="5"/>
        <v>#N/A</v>
      </c>
      <c r="AK4" s="20" t="e">
        <f t="shared" si="5"/>
        <v>#N/A</v>
      </c>
    </row>
    <row r="5" ht="15.75" spans="1:37">
      <c r="A5" s="15" t="s">
        <v>25</v>
      </c>
      <c r="B5" s="20" t="e">
        <f t="shared" ref="B5:AK5" si="6">#N/A</f>
        <v>#N/A</v>
      </c>
      <c r="C5" s="20" t="e">
        <f t="shared" si="6"/>
        <v>#N/A</v>
      </c>
      <c r="D5" s="20" t="e">
        <f t="shared" si="6"/>
        <v>#N/A</v>
      </c>
      <c r="E5" s="20" t="e">
        <f t="shared" si="6"/>
        <v>#N/A</v>
      </c>
      <c r="F5" s="20" t="e">
        <f t="shared" si="6"/>
        <v>#N/A</v>
      </c>
      <c r="G5" s="20" t="e">
        <f t="shared" si="6"/>
        <v>#N/A</v>
      </c>
      <c r="H5" s="20" t="e">
        <f t="shared" si="6"/>
        <v>#N/A</v>
      </c>
      <c r="I5" s="20" t="e">
        <f t="shared" si="6"/>
        <v>#N/A</v>
      </c>
      <c r="J5" s="20" t="e">
        <f t="shared" si="6"/>
        <v>#N/A</v>
      </c>
      <c r="K5" s="20" t="e">
        <f t="shared" si="6"/>
        <v>#N/A</v>
      </c>
      <c r="L5" s="20" t="e">
        <f t="shared" si="6"/>
        <v>#N/A</v>
      </c>
      <c r="M5" s="20" t="e">
        <f t="shared" si="6"/>
        <v>#N/A</v>
      </c>
      <c r="N5" s="20" t="e">
        <f t="shared" si="6"/>
        <v>#N/A</v>
      </c>
      <c r="O5" s="20" t="e">
        <f t="shared" si="6"/>
        <v>#N/A</v>
      </c>
      <c r="P5" s="20" t="e">
        <f t="shared" si="6"/>
        <v>#N/A</v>
      </c>
      <c r="Q5" s="20" t="e">
        <f t="shared" si="6"/>
        <v>#N/A</v>
      </c>
      <c r="R5" s="20" t="e">
        <f t="shared" si="6"/>
        <v>#N/A</v>
      </c>
      <c r="S5" s="20" t="e">
        <f t="shared" si="6"/>
        <v>#N/A</v>
      </c>
      <c r="T5" s="20" t="e">
        <f t="shared" si="6"/>
        <v>#N/A</v>
      </c>
      <c r="U5" s="20" t="e">
        <f t="shared" si="6"/>
        <v>#N/A</v>
      </c>
      <c r="V5" s="20" t="e">
        <f t="shared" si="6"/>
        <v>#N/A</v>
      </c>
      <c r="W5" s="20" t="e">
        <f t="shared" si="6"/>
        <v>#N/A</v>
      </c>
      <c r="X5" s="20" t="e">
        <f t="shared" si="6"/>
        <v>#N/A</v>
      </c>
      <c r="Y5" s="20" t="e">
        <f t="shared" si="6"/>
        <v>#N/A</v>
      </c>
      <c r="Z5" s="20" t="e">
        <f t="shared" si="6"/>
        <v>#N/A</v>
      </c>
      <c r="AA5" s="20" t="e">
        <f t="shared" si="6"/>
        <v>#N/A</v>
      </c>
      <c r="AB5" s="20" t="e">
        <f t="shared" si="6"/>
        <v>#N/A</v>
      </c>
      <c r="AC5" s="20" t="e">
        <f t="shared" si="6"/>
        <v>#N/A</v>
      </c>
      <c r="AD5" s="20" t="e">
        <f t="shared" si="6"/>
        <v>#N/A</v>
      </c>
      <c r="AE5" s="20" t="e">
        <f t="shared" si="6"/>
        <v>#N/A</v>
      </c>
      <c r="AF5" s="20" t="e">
        <f t="shared" si="6"/>
        <v>#N/A</v>
      </c>
      <c r="AG5" s="20" t="e">
        <f t="shared" si="6"/>
        <v>#N/A</v>
      </c>
      <c r="AH5" s="20" t="e">
        <f t="shared" si="6"/>
        <v>#N/A</v>
      </c>
      <c r="AI5" s="20" t="e">
        <f t="shared" si="6"/>
        <v>#N/A</v>
      </c>
      <c r="AJ5" s="20" t="e">
        <f t="shared" si="6"/>
        <v>#N/A</v>
      </c>
      <c r="AK5" s="20" t="e">
        <f t="shared" si="6"/>
        <v>#N/A</v>
      </c>
    </row>
    <row r="6" ht="15.75" spans="1:37">
      <c r="A6" s="17" t="s">
        <v>26</v>
      </c>
      <c r="B6" s="20" t="e">
        <f t="shared" ref="B6:N6" si="7">#N/A</f>
        <v>#N/A</v>
      </c>
      <c r="C6" s="20" t="e">
        <f t="shared" si="7"/>
        <v>#N/A</v>
      </c>
      <c r="D6" s="20" t="e">
        <f t="shared" si="7"/>
        <v>#N/A</v>
      </c>
      <c r="E6" s="20" t="e">
        <f t="shared" si="7"/>
        <v>#N/A</v>
      </c>
      <c r="F6" s="20" t="e">
        <f t="shared" si="7"/>
        <v>#N/A</v>
      </c>
      <c r="G6" s="20" t="e">
        <f t="shared" si="7"/>
        <v>#N/A</v>
      </c>
      <c r="H6" s="20" t="e">
        <f t="shared" si="7"/>
        <v>#N/A</v>
      </c>
      <c r="I6" s="20" t="e">
        <f t="shared" si="7"/>
        <v>#N/A</v>
      </c>
      <c r="J6" s="20" t="e">
        <f t="shared" si="7"/>
        <v>#N/A</v>
      </c>
      <c r="K6" s="20" t="e">
        <f t="shared" si="7"/>
        <v>#N/A</v>
      </c>
      <c r="L6" s="20" t="e">
        <f t="shared" si="7"/>
        <v>#N/A</v>
      </c>
      <c r="M6" s="20" t="e">
        <f t="shared" si="7"/>
        <v>#N/A</v>
      </c>
      <c r="N6" s="20" t="e">
        <f t="shared" si="7"/>
        <v>#N/A</v>
      </c>
      <c r="O6" s="24">
        <v>60.1733525147753</v>
      </c>
      <c r="P6" s="24">
        <v>60.1733525147753</v>
      </c>
      <c r="Q6" s="24">
        <v>66.0019940179462</v>
      </c>
      <c r="R6" s="24">
        <v>64.6387102116438</v>
      </c>
      <c r="S6" s="24">
        <v>64.6387102116438</v>
      </c>
      <c r="T6" s="24">
        <v>62.1051725894389</v>
      </c>
      <c r="U6" s="24">
        <v>64.6061814556331</v>
      </c>
      <c r="V6" s="24">
        <v>64.9052841475573</v>
      </c>
      <c r="W6" s="24">
        <v>65.0261468497633</v>
      </c>
      <c r="X6" s="24">
        <v>66.249162467114</v>
      </c>
      <c r="Y6" s="24">
        <v>65.0134711981399</v>
      </c>
      <c r="Z6" s="24">
        <v>64.7058823529412</v>
      </c>
      <c r="AA6" s="20" t="e">
        <f>#N/A</f>
        <v>#N/A</v>
      </c>
      <c r="AB6" s="20" t="e">
        <f>#N/A</f>
        <v>#N/A</v>
      </c>
      <c r="AC6" s="24">
        <v>64.9076545038973</v>
      </c>
      <c r="AD6" s="24">
        <v>64.9076545038973</v>
      </c>
      <c r="AE6" s="20" t="e">
        <f>#N/A</f>
        <v>#N/A</v>
      </c>
      <c r="AF6" s="20" t="e">
        <f>#N/A</f>
        <v>#N/A</v>
      </c>
      <c r="AG6" s="24">
        <v>63.8065261390174</v>
      </c>
      <c r="AH6" s="20" t="e">
        <f>#N/A</f>
        <v>#N/A</v>
      </c>
      <c r="AI6" s="24">
        <v>63.8092950635187</v>
      </c>
      <c r="AJ6" s="25">
        <v>63.8092950635187</v>
      </c>
      <c r="AK6" s="25">
        <v>63.8092950635187</v>
      </c>
    </row>
  </sheetData>
  <pageMargins left="0.7" right="0.7" top="0.75" bottom="0.75" header="0.511805555555555" footer="0.511805555555555"/>
  <pageSetup paperSize="1" firstPageNumber="0" orientation="portrait" useFirstPageNumber="1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6"/>
  <sheetViews>
    <sheetView workbookViewId="0">
      <selection activeCell="A1" sqref="A1"/>
    </sheetView>
  </sheetViews>
  <sheetFormatPr defaultColWidth="9" defaultRowHeight="15" outlineLevelRow="5"/>
  <sheetData>
    <row r="1" ht="76.5" spans="1:38">
      <c r="A1" s="18" t="s">
        <v>87</v>
      </c>
      <c r="B1" s="3">
        <v>42795</v>
      </c>
      <c r="C1" s="3">
        <v>42826</v>
      </c>
      <c r="D1" s="3">
        <v>42856</v>
      </c>
      <c r="E1" s="3">
        <v>42887</v>
      </c>
      <c r="F1" s="3">
        <v>42917</v>
      </c>
      <c r="G1" s="3">
        <v>42948</v>
      </c>
      <c r="H1" s="3">
        <v>42979</v>
      </c>
      <c r="I1" s="3">
        <v>43009</v>
      </c>
      <c r="J1" s="3">
        <v>43040</v>
      </c>
      <c r="K1" s="3">
        <v>43070</v>
      </c>
      <c r="L1" s="3">
        <v>43101</v>
      </c>
      <c r="M1" s="3">
        <v>43132</v>
      </c>
      <c r="N1" s="3">
        <v>43160</v>
      </c>
      <c r="O1" s="3">
        <v>43191</v>
      </c>
      <c r="P1" s="3">
        <v>43221</v>
      </c>
      <c r="Q1" s="3">
        <v>43252</v>
      </c>
      <c r="R1" s="3">
        <v>43282</v>
      </c>
      <c r="S1" s="3">
        <v>43313</v>
      </c>
      <c r="T1" s="3">
        <v>43344</v>
      </c>
      <c r="U1" s="3">
        <v>43374</v>
      </c>
      <c r="V1" s="3">
        <v>43405</v>
      </c>
      <c r="W1" s="3">
        <v>43435</v>
      </c>
      <c r="X1" s="3">
        <v>43466</v>
      </c>
      <c r="Y1" s="3">
        <v>43497</v>
      </c>
      <c r="Z1" s="3">
        <v>43525</v>
      </c>
      <c r="AA1" s="3">
        <v>43556</v>
      </c>
      <c r="AB1" s="3">
        <v>43586</v>
      </c>
      <c r="AC1" s="3">
        <v>43617</v>
      </c>
      <c r="AD1" s="3">
        <v>43647</v>
      </c>
      <c r="AE1" s="3">
        <v>43678</v>
      </c>
      <c r="AF1" s="3">
        <v>43709</v>
      </c>
      <c r="AG1" s="3">
        <v>43739</v>
      </c>
      <c r="AH1" s="3">
        <v>43770</v>
      </c>
      <c r="AI1" s="3">
        <v>43800</v>
      </c>
      <c r="AJ1" s="3">
        <v>43831</v>
      </c>
      <c r="AK1" s="3">
        <v>43862</v>
      </c>
      <c r="AL1" s="3">
        <v>43891</v>
      </c>
    </row>
    <row r="2" ht="15.75" spans="1:37">
      <c r="A2" s="19" t="s">
        <v>85</v>
      </c>
      <c r="B2" s="20" t="e">
        <v>#N/A</v>
      </c>
      <c r="C2" s="20" t="e">
        <v>#N/A</v>
      </c>
      <c r="D2" s="20" t="e">
        <v>#N/A</v>
      </c>
      <c r="E2" s="20" t="e">
        <v>#N/A</v>
      </c>
      <c r="F2" s="20" t="e">
        <v>#N/A</v>
      </c>
      <c r="G2" s="20" t="e">
        <v>#N/A</v>
      </c>
      <c r="H2" s="20" t="e">
        <v>#N/A</v>
      </c>
      <c r="I2" s="20" t="e">
        <v>#N/A</v>
      </c>
      <c r="J2" s="20" t="e">
        <v>#N/A</v>
      </c>
      <c r="K2" s="20" t="e">
        <v>#N/A</v>
      </c>
      <c r="L2" s="20" t="e">
        <v>#N/A</v>
      </c>
      <c r="M2" s="20" t="e">
        <v>#N/A</v>
      </c>
      <c r="N2" s="20" t="e">
        <v>#N/A</v>
      </c>
      <c r="O2" s="20" t="e">
        <v>#N/A</v>
      </c>
      <c r="P2" s="20" t="e">
        <v>#N/A</v>
      </c>
      <c r="Q2" s="20" t="e">
        <v>#N/A</v>
      </c>
      <c r="R2" s="20" t="e">
        <v>#N/A</v>
      </c>
      <c r="S2" s="20" t="e">
        <v>#N/A</v>
      </c>
      <c r="T2" s="20" t="e">
        <v>#N/A</v>
      </c>
      <c r="U2" s="20" t="e">
        <v>#N/A</v>
      </c>
      <c r="V2" s="20" t="e">
        <v>#N/A</v>
      </c>
      <c r="W2" s="20" t="e">
        <v>#N/A</v>
      </c>
      <c r="X2" s="20" t="e">
        <v>#N/A</v>
      </c>
      <c r="Y2" s="20" t="e">
        <v>#N/A</v>
      </c>
      <c r="Z2" s="20" t="e">
        <v>#N/A</v>
      </c>
      <c r="AA2" s="20" t="e">
        <v>#N/A</v>
      </c>
      <c r="AB2" s="20" t="e">
        <v>#N/A</v>
      </c>
      <c r="AC2" s="20" t="e">
        <v>#N/A</v>
      </c>
      <c r="AD2" s="20" t="e">
        <v>#N/A</v>
      </c>
      <c r="AE2" s="20" t="e">
        <v>#N/A</v>
      </c>
      <c r="AF2" s="20" t="e">
        <v>#N/A</v>
      </c>
      <c r="AG2" s="20" t="e">
        <v>#N/A</v>
      </c>
      <c r="AH2" s="20" t="e">
        <v>#N/A</v>
      </c>
      <c r="AI2" s="20" t="e">
        <v>#N/A</v>
      </c>
      <c r="AJ2" s="20" t="e">
        <v>#N/A</v>
      </c>
      <c r="AK2" s="20" t="e">
        <v>#N/A</v>
      </c>
    </row>
    <row r="3" ht="15.75" spans="1:37">
      <c r="A3" s="21" t="s">
        <v>86</v>
      </c>
      <c r="B3" s="20" t="e">
        <v>#N/A</v>
      </c>
      <c r="C3" s="20" t="e">
        <v>#N/A</v>
      </c>
      <c r="D3" s="20" t="e">
        <v>#N/A</v>
      </c>
      <c r="E3" s="20" t="e">
        <v>#N/A</v>
      </c>
      <c r="F3" s="20" t="e">
        <v>#N/A</v>
      </c>
      <c r="G3" s="20" t="e">
        <v>#N/A</v>
      </c>
      <c r="H3" s="20" t="e">
        <v>#N/A</v>
      </c>
      <c r="I3" s="20" t="e">
        <v>#N/A</v>
      </c>
      <c r="J3" s="20" t="e">
        <v>#N/A</v>
      </c>
      <c r="K3" s="20" t="e">
        <v>#N/A</v>
      </c>
      <c r="L3" s="20" t="e">
        <v>#N/A</v>
      </c>
      <c r="M3" s="20" t="e">
        <v>#N/A</v>
      </c>
      <c r="N3" s="20" t="e">
        <v>#N/A</v>
      </c>
      <c r="O3" s="20" t="e">
        <v>#N/A</v>
      </c>
      <c r="P3" s="20" t="e">
        <v>#N/A</v>
      </c>
      <c r="Q3" s="20" t="e">
        <v>#N/A</v>
      </c>
      <c r="R3" s="20" t="e">
        <v>#N/A</v>
      </c>
      <c r="S3" s="20" t="e">
        <v>#N/A</v>
      </c>
      <c r="T3" s="20" t="e">
        <v>#N/A</v>
      </c>
      <c r="U3" s="20" t="e">
        <v>#N/A</v>
      </c>
      <c r="V3" s="20" t="e">
        <v>#N/A</v>
      </c>
      <c r="W3" s="20" t="e">
        <v>#N/A</v>
      </c>
      <c r="X3" s="20" t="e">
        <v>#N/A</v>
      </c>
      <c r="Y3" s="20" t="e">
        <v>#N/A</v>
      </c>
      <c r="Z3" s="20" t="e">
        <v>#N/A</v>
      </c>
      <c r="AA3" s="20" t="e">
        <v>#N/A</v>
      </c>
      <c r="AB3" s="20" t="e">
        <v>#N/A</v>
      </c>
      <c r="AC3" s="20" t="e">
        <v>#N/A</v>
      </c>
      <c r="AD3" s="20" t="e">
        <v>#N/A</v>
      </c>
      <c r="AE3" s="20" t="e">
        <v>#N/A</v>
      </c>
      <c r="AF3" s="20" t="e">
        <v>#N/A</v>
      </c>
      <c r="AG3" s="20" t="e">
        <v>#N/A</v>
      </c>
      <c r="AH3" s="20" t="e">
        <v>#N/A</v>
      </c>
      <c r="AI3" s="20" t="e">
        <v>#N/A</v>
      </c>
      <c r="AJ3" s="20" t="e">
        <v>#N/A</v>
      </c>
      <c r="AK3" s="20" t="e">
        <v>#N/A</v>
      </c>
    </row>
    <row r="4" ht="15.75" spans="1:37">
      <c r="A4" s="21" t="s">
        <v>51</v>
      </c>
      <c r="B4" s="20" t="e">
        <v>#N/A</v>
      </c>
      <c r="C4" s="20" t="e">
        <v>#N/A</v>
      </c>
      <c r="D4" s="20" t="e">
        <v>#N/A</v>
      </c>
      <c r="E4" s="20" t="e">
        <v>#N/A</v>
      </c>
      <c r="F4" s="20" t="e">
        <v>#N/A</v>
      </c>
      <c r="G4" s="20" t="e">
        <v>#N/A</v>
      </c>
      <c r="H4" s="20" t="e">
        <v>#N/A</v>
      </c>
      <c r="I4" s="20" t="e">
        <v>#N/A</v>
      </c>
      <c r="J4" s="20" t="e">
        <v>#N/A</v>
      </c>
      <c r="K4" s="20" t="e">
        <v>#N/A</v>
      </c>
      <c r="L4" s="20" t="e">
        <v>#N/A</v>
      </c>
      <c r="M4" s="20" t="e">
        <v>#N/A</v>
      </c>
      <c r="N4" s="20" t="e">
        <v>#N/A</v>
      </c>
      <c r="O4" s="20" t="e">
        <v>#N/A</v>
      </c>
      <c r="P4" s="20" t="e">
        <v>#N/A</v>
      </c>
      <c r="Q4" s="20" t="e">
        <v>#N/A</v>
      </c>
      <c r="R4" s="20" t="e">
        <v>#N/A</v>
      </c>
      <c r="S4" s="20" t="e">
        <v>#N/A</v>
      </c>
      <c r="T4" s="20" t="e">
        <v>#N/A</v>
      </c>
      <c r="U4" s="20" t="e">
        <v>#N/A</v>
      </c>
      <c r="V4" s="20" t="e">
        <v>#N/A</v>
      </c>
      <c r="W4" s="20" t="e">
        <v>#N/A</v>
      </c>
      <c r="X4" s="20" t="e">
        <v>#N/A</v>
      </c>
      <c r="Y4" s="20" t="e">
        <v>#N/A</v>
      </c>
      <c r="Z4" s="20" t="e">
        <v>#N/A</v>
      </c>
      <c r="AA4" s="20" t="e">
        <v>#N/A</v>
      </c>
      <c r="AB4" s="20" t="e">
        <v>#N/A</v>
      </c>
      <c r="AC4" s="20" t="e">
        <v>#N/A</v>
      </c>
      <c r="AD4" s="20" t="e">
        <v>#N/A</v>
      </c>
      <c r="AE4" s="20" t="e">
        <v>#N/A</v>
      </c>
      <c r="AF4" s="20" t="e">
        <v>#N/A</v>
      </c>
      <c r="AG4" s="20" t="e">
        <v>#N/A</v>
      </c>
      <c r="AH4" s="20" t="e">
        <v>#N/A</v>
      </c>
      <c r="AI4" s="20" t="e">
        <v>#N/A</v>
      </c>
      <c r="AJ4" s="20" t="e">
        <v>#N/A</v>
      </c>
      <c r="AK4" s="20" t="e">
        <v>#N/A</v>
      </c>
    </row>
    <row r="5" ht="15.75" spans="1:37">
      <c r="A5" s="21" t="s">
        <v>25</v>
      </c>
      <c r="B5" s="20" t="e">
        <v>#N/A</v>
      </c>
      <c r="C5" s="20" t="e">
        <v>#N/A</v>
      </c>
      <c r="D5" s="20" t="e">
        <v>#N/A</v>
      </c>
      <c r="E5" s="20" t="e">
        <v>#N/A</v>
      </c>
      <c r="F5" s="20" t="e">
        <v>#N/A</v>
      </c>
      <c r="G5" s="20" t="e">
        <v>#N/A</v>
      </c>
      <c r="H5" s="20" t="e">
        <v>#N/A</v>
      </c>
      <c r="I5" s="20" t="e">
        <v>#N/A</v>
      </c>
      <c r="J5" s="20" t="e">
        <v>#N/A</v>
      </c>
      <c r="K5" s="20" t="e">
        <v>#N/A</v>
      </c>
      <c r="L5" s="20" t="e">
        <v>#N/A</v>
      </c>
      <c r="M5" s="20" t="e">
        <v>#N/A</v>
      </c>
      <c r="N5" s="20" t="e">
        <v>#N/A</v>
      </c>
      <c r="O5" s="20" t="e">
        <v>#N/A</v>
      </c>
      <c r="P5" s="20" t="e">
        <v>#N/A</v>
      </c>
      <c r="Q5" s="20" t="e">
        <v>#N/A</v>
      </c>
      <c r="R5" s="20" t="e">
        <v>#N/A</v>
      </c>
      <c r="S5" s="20" t="e">
        <v>#N/A</v>
      </c>
      <c r="T5" s="20" t="e">
        <v>#N/A</v>
      </c>
      <c r="U5" s="20" t="e">
        <v>#N/A</v>
      </c>
      <c r="V5" s="20" t="e">
        <v>#N/A</v>
      </c>
      <c r="W5" s="20" t="e">
        <v>#N/A</v>
      </c>
      <c r="X5" s="20" t="e">
        <v>#N/A</v>
      </c>
      <c r="Y5" s="20" t="e">
        <v>#N/A</v>
      </c>
      <c r="Z5" s="20" t="e">
        <v>#N/A</v>
      </c>
      <c r="AA5" s="20" t="e">
        <v>#N/A</v>
      </c>
      <c r="AB5" s="20" t="e">
        <v>#N/A</v>
      </c>
      <c r="AC5" s="20" t="e">
        <v>#N/A</v>
      </c>
      <c r="AD5" s="20" t="e">
        <v>#N/A</v>
      </c>
      <c r="AE5" s="20" t="e">
        <v>#N/A</v>
      </c>
      <c r="AF5" s="20" t="e">
        <v>#N/A</v>
      </c>
      <c r="AG5" s="20" t="e">
        <v>#N/A</v>
      </c>
      <c r="AH5" s="20" t="e">
        <v>#N/A</v>
      </c>
      <c r="AI5" s="20" t="e">
        <v>#N/A</v>
      </c>
      <c r="AJ5" s="20" t="e">
        <v>#N/A</v>
      </c>
      <c r="AK5" s="20" t="e">
        <v>#N/A</v>
      </c>
    </row>
    <row r="6" ht="15.75" spans="1:37">
      <c r="A6" s="22" t="s">
        <v>26</v>
      </c>
      <c r="B6" s="20" t="e">
        <v>#N/A</v>
      </c>
      <c r="C6" s="20" t="e">
        <v>#N/A</v>
      </c>
      <c r="D6" s="20" t="e">
        <v>#N/A</v>
      </c>
      <c r="E6" s="20" t="e">
        <v>#N/A</v>
      </c>
      <c r="F6" s="20" t="e">
        <v>#N/A</v>
      </c>
      <c r="G6" s="20" t="e">
        <v>#N/A</v>
      </c>
      <c r="H6" s="20" t="e">
        <v>#N/A</v>
      </c>
      <c r="I6" s="20" t="e">
        <v>#N/A</v>
      </c>
      <c r="J6" s="20" t="e">
        <v>#N/A</v>
      </c>
      <c r="K6" s="20" t="e">
        <v>#N/A</v>
      </c>
      <c r="L6" s="20" t="e">
        <v>#N/A</v>
      </c>
      <c r="M6" s="20" t="e">
        <v>#N/A</v>
      </c>
      <c r="N6" s="20" t="e">
        <v>#N/A</v>
      </c>
      <c r="O6" s="23">
        <v>58.8297393525142</v>
      </c>
      <c r="P6" s="23">
        <v>58.8297393525142</v>
      </c>
      <c r="Q6" s="20" t="e">
        <v>#N/A</v>
      </c>
      <c r="R6" s="20" t="e">
        <v>#N/A</v>
      </c>
      <c r="S6" s="23">
        <v>59.3660830486699</v>
      </c>
      <c r="T6" s="20" t="e">
        <v>#N/A</v>
      </c>
      <c r="U6" s="20" t="e">
        <v>#N/A</v>
      </c>
      <c r="V6" s="20" t="e">
        <v>#N/A</v>
      </c>
      <c r="W6" s="20" t="e">
        <v>#N/A</v>
      </c>
      <c r="X6" s="20" t="e">
        <v>#N/A</v>
      </c>
      <c r="Y6" s="20" t="e">
        <v>#N/A</v>
      </c>
      <c r="Z6" s="20" t="e">
        <v>#N/A</v>
      </c>
      <c r="AA6" s="20" t="e">
        <v>#N/A</v>
      </c>
      <c r="AB6" s="20" t="e">
        <v>#N/A</v>
      </c>
      <c r="AC6" s="23">
        <v>60.709293284093</v>
      </c>
      <c r="AD6" s="23">
        <v>60.709293284093</v>
      </c>
      <c r="AE6" s="20" t="e">
        <v>#N/A</v>
      </c>
      <c r="AF6" s="20" t="e">
        <v>#N/A</v>
      </c>
      <c r="AG6" s="23">
        <v>63.8065261390174</v>
      </c>
      <c r="AH6" s="20" t="e">
        <v>#N/A</v>
      </c>
      <c r="AI6" s="23">
        <v>61.1539970992662</v>
      </c>
      <c r="AJ6" s="23">
        <v>61.1539970992662</v>
      </c>
      <c r="AK6" s="23">
        <v>61.1539970992662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1"/>
  <sheetViews>
    <sheetView workbookViewId="0">
      <selection activeCell="H18" sqref="H18"/>
    </sheetView>
  </sheetViews>
  <sheetFormatPr defaultColWidth="8.57142857142857" defaultRowHeight="15"/>
  <cols>
    <col min="1" max="1" width="16.4285714285714" customWidth="1"/>
  </cols>
  <sheetData>
    <row r="1" ht="55.5" customHeight="1" spans="1:38">
      <c r="A1" s="13" t="s">
        <v>88</v>
      </c>
      <c r="B1" s="3">
        <v>42795</v>
      </c>
      <c r="C1" s="3">
        <v>42826</v>
      </c>
      <c r="D1" s="3">
        <v>42856</v>
      </c>
      <c r="E1" s="3">
        <v>42887</v>
      </c>
      <c r="F1" s="3">
        <v>42917</v>
      </c>
      <c r="G1" s="3">
        <v>42948</v>
      </c>
      <c r="H1" s="3">
        <v>42979</v>
      </c>
      <c r="I1" s="3">
        <v>43009</v>
      </c>
      <c r="J1" s="3">
        <v>43040</v>
      </c>
      <c r="K1" s="3">
        <v>43070</v>
      </c>
      <c r="L1" s="3">
        <v>43101</v>
      </c>
      <c r="M1" s="3">
        <v>43132</v>
      </c>
      <c r="N1" s="3">
        <v>43160</v>
      </c>
      <c r="O1" s="3">
        <v>43191</v>
      </c>
      <c r="P1" s="3">
        <v>43221</v>
      </c>
      <c r="Q1" s="3">
        <v>43252</v>
      </c>
      <c r="R1" s="3">
        <v>43282</v>
      </c>
      <c r="S1" s="3">
        <v>43313</v>
      </c>
      <c r="T1" s="3">
        <v>43344</v>
      </c>
      <c r="U1" s="3">
        <v>43374</v>
      </c>
      <c r="V1" s="3">
        <v>43405</v>
      </c>
      <c r="W1" s="3">
        <v>43435</v>
      </c>
      <c r="X1" s="3">
        <v>43466</v>
      </c>
      <c r="Y1" s="3">
        <v>43497</v>
      </c>
      <c r="Z1" s="3">
        <v>43525</v>
      </c>
      <c r="AA1" s="3">
        <v>43556</v>
      </c>
      <c r="AB1" s="3">
        <v>43586</v>
      </c>
      <c r="AC1" s="3">
        <v>43617</v>
      </c>
      <c r="AD1" s="3">
        <v>43647</v>
      </c>
      <c r="AE1" s="3">
        <v>43678</v>
      </c>
      <c r="AF1" s="3">
        <v>43709</v>
      </c>
      <c r="AG1" s="3">
        <v>43739</v>
      </c>
      <c r="AH1" s="3">
        <v>43770</v>
      </c>
      <c r="AI1" s="3">
        <v>43800</v>
      </c>
      <c r="AJ1" s="3">
        <v>43831</v>
      </c>
      <c r="AK1" s="3">
        <v>43862</v>
      </c>
      <c r="AL1" s="3">
        <v>43891</v>
      </c>
    </row>
    <row r="2" spans="1:1">
      <c r="A2" s="14" t="s">
        <v>24</v>
      </c>
    </row>
    <row r="3" spans="1:1">
      <c r="A3" s="15" t="s">
        <v>26</v>
      </c>
    </row>
    <row r="4" spans="1:1">
      <c r="A4" s="16" t="s">
        <v>89</v>
      </c>
    </row>
    <row r="5" spans="1:1">
      <c r="A5" s="16" t="s">
        <v>90</v>
      </c>
    </row>
    <row r="6" spans="1:1">
      <c r="A6" s="15" t="s">
        <v>31</v>
      </c>
    </row>
    <row r="7" spans="1:1">
      <c r="A7" s="15" t="s">
        <v>34</v>
      </c>
    </row>
    <row r="8" spans="1:1">
      <c r="A8" s="15" t="s">
        <v>23</v>
      </c>
    </row>
    <row r="9" spans="1:1">
      <c r="A9" s="16" t="s">
        <v>91</v>
      </c>
    </row>
    <row r="10" spans="1:1">
      <c r="A10" s="15" t="s">
        <v>32</v>
      </c>
    </row>
    <row r="11" spans="1:1">
      <c r="A11" s="15" t="s">
        <v>25</v>
      </c>
    </row>
    <row r="12" spans="1:1">
      <c r="A12" s="15" t="s">
        <v>29</v>
      </c>
    </row>
    <row r="13" spans="1:1">
      <c r="A13" s="16" t="s">
        <v>92</v>
      </c>
    </row>
    <row r="14" spans="1:1">
      <c r="A14" s="16" t="s">
        <v>93</v>
      </c>
    </row>
    <row r="15" spans="1:1">
      <c r="A15" s="15" t="s">
        <v>28</v>
      </c>
    </row>
    <row r="16" spans="1:1">
      <c r="A16" s="15" t="s">
        <v>33</v>
      </c>
    </row>
    <row r="17" spans="1:1">
      <c r="A17" s="16" t="s">
        <v>94</v>
      </c>
    </row>
    <row r="18" spans="1:1">
      <c r="A18" s="15" t="s">
        <v>35</v>
      </c>
    </row>
    <row r="19" spans="1:1">
      <c r="A19" s="15" t="s">
        <v>30</v>
      </c>
    </row>
    <row r="20" spans="1:1">
      <c r="A20" s="15" t="s">
        <v>27</v>
      </c>
    </row>
    <row r="21" spans="1:1">
      <c r="A21" s="17" t="s">
        <v>36</v>
      </c>
    </row>
  </sheetData>
  <pageMargins left="0.7" right="0.7" top="0.75" bottom="0.75" header="0.511805555555555" footer="0.511805555555555"/>
  <pageSetup paperSize="1" firstPageNumber="0" orientation="portrait" useFirstPageNumber="1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90"/>
  <sheetViews>
    <sheetView topLeftCell="T1" workbookViewId="0">
      <selection activeCell="D1" sqref="D1:AN1"/>
    </sheetView>
  </sheetViews>
  <sheetFormatPr defaultColWidth="8.57142857142857" defaultRowHeight="15"/>
  <sheetData>
    <row r="1" ht="110.25" spans="1:40">
      <c r="A1" s="7" t="s">
        <v>95</v>
      </c>
      <c r="B1" s="7" t="s">
        <v>96</v>
      </c>
      <c r="C1" s="8" t="s">
        <v>97</v>
      </c>
      <c r="D1" s="3">
        <v>42795</v>
      </c>
      <c r="E1" s="3">
        <v>42826</v>
      </c>
      <c r="F1" s="3">
        <v>42856</v>
      </c>
      <c r="G1" s="3">
        <v>42887</v>
      </c>
      <c r="H1" s="3">
        <v>42917</v>
      </c>
      <c r="I1" s="3">
        <v>42948</v>
      </c>
      <c r="J1" s="3">
        <v>42979</v>
      </c>
      <c r="K1" s="3">
        <v>43009</v>
      </c>
      <c r="L1" s="3">
        <v>43040</v>
      </c>
      <c r="M1" s="3">
        <v>43070</v>
      </c>
      <c r="N1" s="3">
        <v>43101</v>
      </c>
      <c r="O1" s="3">
        <v>43132</v>
      </c>
      <c r="P1" s="3">
        <v>43160</v>
      </c>
      <c r="Q1" s="3">
        <v>43191</v>
      </c>
      <c r="R1" s="3">
        <v>43221</v>
      </c>
      <c r="S1" s="3">
        <v>43252</v>
      </c>
      <c r="T1" s="3">
        <v>43282</v>
      </c>
      <c r="U1" s="3">
        <v>43313</v>
      </c>
      <c r="V1" s="3">
        <v>43344</v>
      </c>
      <c r="W1" s="3">
        <v>43374</v>
      </c>
      <c r="X1" s="3">
        <v>43405</v>
      </c>
      <c r="Y1" s="3">
        <v>43435</v>
      </c>
      <c r="Z1" s="3">
        <v>43466</v>
      </c>
      <c r="AA1" s="3">
        <v>43497</v>
      </c>
      <c r="AB1" s="3">
        <v>43525</v>
      </c>
      <c r="AC1" s="3">
        <v>43556</v>
      </c>
      <c r="AD1" s="3">
        <v>43586</v>
      </c>
      <c r="AE1" s="3">
        <v>43617</v>
      </c>
      <c r="AF1" s="3">
        <v>43647</v>
      </c>
      <c r="AG1" s="3">
        <v>43678</v>
      </c>
      <c r="AH1" s="3">
        <v>43709</v>
      </c>
      <c r="AI1" s="3">
        <v>43739</v>
      </c>
      <c r="AJ1" s="3">
        <v>43770</v>
      </c>
      <c r="AK1" s="3">
        <v>43800</v>
      </c>
      <c r="AL1" s="3">
        <v>43831</v>
      </c>
      <c r="AM1" s="3">
        <v>43862</v>
      </c>
      <c r="AN1" s="3">
        <v>43891</v>
      </c>
    </row>
    <row r="2" spans="1:3">
      <c r="A2" s="9" t="s">
        <v>46</v>
      </c>
      <c r="B2" s="9" t="s">
        <v>70</v>
      </c>
      <c r="C2" s="9" t="s">
        <v>98</v>
      </c>
    </row>
    <row r="3" spans="1:3">
      <c r="A3" s="10" t="s">
        <v>46</v>
      </c>
      <c r="B3" s="10" t="s">
        <v>66</v>
      </c>
      <c r="C3" s="10" t="s">
        <v>99</v>
      </c>
    </row>
    <row r="4" spans="1:3">
      <c r="A4" s="10" t="s">
        <v>39</v>
      </c>
      <c r="B4" s="10" t="s">
        <v>66</v>
      </c>
      <c r="C4" s="10" t="s">
        <v>100</v>
      </c>
    </row>
    <row r="5" spans="1:3">
      <c r="A5" s="10" t="s">
        <v>39</v>
      </c>
      <c r="B5" s="10" t="s">
        <v>72</v>
      </c>
      <c r="C5" s="10" t="s">
        <v>101</v>
      </c>
    </row>
    <row r="6" spans="1:3">
      <c r="A6" s="10" t="s">
        <v>39</v>
      </c>
      <c r="B6" s="10" t="s">
        <v>68</v>
      </c>
      <c r="C6" s="10" t="s">
        <v>102</v>
      </c>
    </row>
    <row r="7" spans="1:3">
      <c r="A7" s="10" t="s">
        <v>39</v>
      </c>
      <c r="B7" s="10" t="s">
        <v>69</v>
      </c>
      <c r="C7" s="10" t="s">
        <v>103</v>
      </c>
    </row>
    <row r="8" spans="1:3">
      <c r="A8" s="10" t="s">
        <v>39</v>
      </c>
      <c r="B8" s="10" t="s">
        <v>79</v>
      </c>
      <c r="C8" s="10" t="s">
        <v>104</v>
      </c>
    </row>
    <row r="9" spans="1:3">
      <c r="A9" s="10" t="s">
        <v>39</v>
      </c>
      <c r="B9" s="10" t="s">
        <v>67</v>
      </c>
      <c r="C9" s="10" t="s">
        <v>105</v>
      </c>
    </row>
    <row r="10" spans="1:3">
      <c r="A10" s="10" t="s">
        <v>48</v>
      </c>
      <c r="B10" s="10" t="s">
        <v>66</v>
      </c>
      <c r="C10" s="10" t="s">
        <v>106</v>
      </c>
    </row>
    <row r="11" spans="1:3">
      <c r="A11" s="10" t="s">
        <v>48</v>
      </c>
      <c r="B11" s="10" t="s">
        <v>69</v>
      </c>
      <c r="C11" s="10" t="s">
        <v>107</v>
      </c>
    </row>
    <row r="12" spans="1:3">
      <c r="A12" s="10" t="s">
        <v>48</v>
      </c>
      <c r="B12" s="10" t="s">
        <v>79</v>
      </c>
      <c r="C12" s="10" t="s">
        <v>108</v>
      </c>
    </row>
    <row r="13" spans="1:3">
      <c r="A13" s="10" t="s">
        <v>48</v>
      </c>
      <c r="B13" s="10" t="s">
        <v>67</v>
      </c>
      <c r="C13" s="10" t="s">
        <v>109</v>
      </c>
    </row>
    <row r="14" spans="1:3">
      <c r="A14" s="11" t="s">
        <v>48</v>
      </c>
      <c r="B14" s="10" t="s">
        <v>68</v>
      </c>
      <c r="C14" s="10" t="s">
        <v>110</v>
      </c>
    </row>
    <row r="15" spans="1:3">
      <c r="A15" s="10" t="s">
        <v>53</v>
      </c>
      <c r="B15" s="10" t="s">
        <v>79</v>
      </c>
      <c r="C15" s="10" t="s">
        <v>111</v>
      </c>
    </row>
    <row r="16" spans="1:3">
      <c r="A16" s="10" t="s">
        <v>53</v>
      </c>
      <c r="B16" s="10" t="s">
        <v>65</v>
      </c>
      <c r="C16" s="10" t="s">
        <v>112</v>
      </c>
    </row>
    <row r="17" spans="1:3">
      <c r="A17" s="10" t="s">
        <v>53</v>
      </c>
      <c r="B17" s="10" t="s">
        <v>67</v>
      </c>
      <c r="C17" s="10" t="s">
        <v>113</v>
      </c>
    </row>
    <row r="18" spans="1:3">
      <c r="A18" s="10" t="s">
        <v>61</v>
      </c>
      <c r="B18" s="10" t="s">
        <v>67</v>
      </c>
      <c r="C18" s="10" t="s">
        <v>114</v>
      </c>
    </row>
    <row r="19" spans="1:3">
      <c r="A19" s="11" t="s">
        <v>49</v>
      </c>
      <c r="B19" s="10" t="s">
        <v>66</v>
      </c>
      <c r="C19" s="10" t="s">
        <v>115</v>
      </c>
    </row>
    <row r="20" spans="1:3">
      <c r="A20" s="10" t="s">
        <v>50</v>
      </c>
      <c r="B20" s="10" t="s">
        <v>69</v>
      </c>
      <c r="C20" s="10" t="s">
        <v>116</v>
      </c>
    </row>
    <row r="21" spans="1:3">
      <c r="A21" s="10" t="s">
        <v>50</v>
      </c>
      <c r="B21" s="10" t="s">
        <v>67</v>
      </c>
      <c r="C21" s="10" t="s">
        <v>117</v>
      </c>
    </row>
    <row r="22" spans="1:3">
      <c r="A22" s="10" t="s">
        <v>50</v>
      </c>
      <c r="B22" s="10" t="s">
        <v>79</v>
      </c>
      <c r="C22" s="10" t="s">
        <v>118</v>
      </c>
    </row>
    <row r="23" spans="1:3">
      <c r="A23" s="10" t="s">
        <v>56</v>
      </c>
      <c r="B23" s="10" t="s">
        <v>74</v>
      </c>
      <c r="C23" s="10" t="s">
        <v>119</v>
      </c>
    </row>
    <row r="24" spans="1:3">
      <c r="A24" s="10" t="s">
        <v>56</v>
      </c>
      <c r="B24" s="10" t="s">
        <v>69</v>
      </c>
      <c r="C24" s="10" t="s">
        <v>120</v>
      </c>
    </row>
    <row r="25" spans="1:3">
      <c r="A25" s="10" t="s">
        <v>56</v>
      </c>
      <c r="B25" s="10" t="s">
        <v>79</v>
      </c>
      <c r="C25" s="10" t="s">
        <v>121</v>
      </c>
    </row>
    <row r="26" spans="1:3">
      <c r="A26" s="10" t="s">
        <v>56</v>
      </c>
      <c r="B26" s="10" t="s">
        <v>65</v>
      </c>
      <c r="C26" s="10" t="s">
        <v>122</v>
      </c>
    </row>
    <row r="27" spans="1:3">
      <c r="A27" s="10" t="s">
        <v>56</v>
      </c>
      <c r="B27" s="10" t="s">
        <v>75</v>
      </c>
      <c r="C27" s="10" t="s">
        <v>123</v>
      </c>
    </row>
    <row r="28" spans="1:3">
      <c r="A28" s="10" t="s">
        <v>47</v>
      </c>
      <c r="B28" s="10" t="s">
        <v>79</v>
      </c>
      <c r="C28" s="10" t="s">
        <v>124</v>
      </c>
    </row>
    <row r="29" spans="1:3">
      <c r="A29" s="10" t="s">
        <v>40</v>
      </c>
      <c r="B29" s="10" t="s">
        <v>66</v>
      </c>
      <c r="C29" s="10" t="s">
        <v>125</v>
      </c>
    </row>
    <row r="30" spans="1:3">
      <c r="A30" s="10" t="s">
        <v>40</v>
      </c>
      <c r="B30" s="10" t="s">
        <v>68</v>
      </c>
      <c r="C30" s="10" t="s">
        <v>126</v>
      </c>
    </row>
    <row r="31" spans="1:3">
      <c r="A31" s="10" t="s">
        <v>40</v>
      </c>
      <c r="B31" s="10" t="s">
        <v>79</v>
      </c>
      <c r="C31" s="10" t="s">
        <v>127</v>
      </c>
    </row>
    <row r="32" spans="1:3">
      <c r="A32" s="10" t="s">
        <v>40</v>
      </c>
      <c r="B32" s="10" t="s">
        <v>65</v>
      </c>
      <c r="C32" s="10" t="s">
        <v>128</v>
      </c>
    </row>
    <row r="33" spans="1:3">
      <c r="A33" s="10" t="s">
        <v>40</v>
      </c>
      <c r="B33" s="10" t="s">
        <v>67</v>
      </c>
      <c r="C33" s="10" t="s">
        <v>129</v>
      </c>
    </row>
    <row r="34" spans="1:3">
      <c r="A34" s="10" t="s">
        <v>52</v>
      </c>
      <c r="B34" s="10" t="s">
        <v>70</v>
      </c>
      <c r="C34" s="10" t="s">
        <v>130</v>
      </c>
    </row>
    <row r="35" spans="1:3">
      <c r="A35" s="10" t="s">
        <v>52</v>
      </c>
      <c r="B35" s="10" t="s">
        <v>67</v>
      </c>
      <c r="C35" s="10" t="s">
        <v>131</v>
      </c>
    </row>
    <row r="36" spans="1:3">
      <c r="A36" s="10" t="s">
        <v>57</v>
      </c>
      <c r="B36" s="10" t="s">
        <v>66</v>
      </c>
      <c r="C36" s="10" t="s">
        <v>132</v>
      </c>
    </row>
    <row r="37" spans="1:3">
      <c r="A37" s="10" t="s">
        <v>57</v>
      </c>
      <c r="B37" s="10" t="s">
        <v>79</v>
      </c>
      <c r="C37" s="10" t="s">
        <v>133</v>
      </c>
    </row>
    <row r="38" spans="1:3">
      <c r="A38" s="10" t="s">
        <v>57</v>
      </c>
      <c r="B38" s="10" t="s">
        <v>67</v>
      </c>
      <c r="C38" s="10" t="s">
        <v>134</v>
      </c>
    </row>
    <row r="39" spans="1:3">
      <c r="A39" s="10" t="s">
        <v>44</v>
      </c>
      <c r="B39" s="10" t="s">
        <v>67</v>
      </c>
      <c r="C39" s="10" t="s">
        <v>135</v>
      </c>
    </row>
    <row r="40" spans="1:3">
      <c r="A40" s="10" t="s">
        <v>58</v>
      </c>
      <c r="B40" s="10" t="s">
        <v>66</v>
      </c>
      <c r="C40" s="10" t="s">
        <v>136</v>
      </c>
    </row>
    <row r="41" spans="1:3">
      <c r="A41" s="10" t="s">
        <v>58</v>
      </c>
      <c r="B41" s="10" t="s">
        <v>79</v>
      </c>
      <c r="C41" s="10" t="s">
        <v>137</v>
      </c>
    </row>
    <row r="42" spans="1:3">
      <c r="A42" s="10" t="s">
        <v>41</v>
      </c>
      <c r="B42" s="10" t="s">
        <v>67</v>
      </c>
      <c r="C42" s="10" t="s">
        <v>138</v>
      </c>
    </row>
    <row r="43" spans="1:3">
      <c r="A43" s="10" t="s">
        <v>62</v>
      </c>
      <c r="B43" s="10" t="s">
        <v>79</v>
      </c>
      <c r="C43" s="10" t="s">
        <v>139</v>
      </c>
    </row>
    <row r="44" spans="1:3">
      <c r="A44" s="10" t="s">
        <v>45</v>
      </c>
      <c r="B44" s="10" t="s">
        <v>66</v>
      </c>
      <c r="C44" s="10" t="s">
        <v>140</v>
      </c>
    </row>
    <row r="45" spans="1:3">
      <c r="A45" s="10" t="s">
        <v>45</v>
      </c>
      <c r="B45" s="10" t="s">
        <v>67</v>
      </c>
      <c r="C45" s="10" t="s">
        <v>141</v>
      </c>
    </row>
    <row r="46" spans="1:3">
      <c r="A46" s="10" t="s">
        <v>59</v>
      </c>
      <c r="B46" s="10" t="s">
        <v>73</v>
      </c>
      <c r="C46" s="10" t="s">
        <v>142</v>
      </c>
    </row>
    <row r="47" spans="1:3">
      <c r="A47" s="10" t="s">
        <v>59</v>
      </c>
      <c r="B47" s="10" t="s">
        <v>79</v>
      </c>
      <c r="C47" s="10" t="s">
        <v>143</v>
      </c>
    </row>
    <row r="48" spans="1:3">
      <c r="A48" s="10" t="s">
        <v>60</v>
      </c>
      <c r="B48" s="10" t="s">
        <v>73</v>
      </c>
      <c r="C48" s="10" t="s">
        <v>144</v>
      </c>
    </row>
    <row r="49" spans="1:3">
      <c r="A49" s="10" t="s">
        <v>60</v>
      </c>
      <c r="B49" s="10" t="s">
        <v>70</v>
      </c>
      <c r="C49" s="10" t="s">
        <v>145</v>
      </c>
    </row>
    <row r="50" spans="1:3">
      <c r="A50" s="10" t="s">
        <v>60</v>
      </c>
      <c r="B50" s="10" t="s">
        <v>66</v>
      </c>
      <c r="C50" s="10" t="s">
        <v>146</v>
      </c>
    </row>
    <row r="51" spans="1:3">
      <c r="A51" s="10" t="s">
        <v>60</v>
      </c>
      <c r="B51" s="10" t="s">
        <v>68</v>
      </c>
      <c r="C51" s="10" t="s">
        <v>147</v>
      </c>
    </row>
    <row r="52" spans="1:3">
      <c r="A52" s="10" t="s">
        <v>60</v>
      </c>
      <c r="B52" s="10" t="s">
        <v>79</v>
      </c>
      <c r="C52" s="10" t="s">
        <v>148</v>
      </c>
    </row>
    <row r="53" spans="1:3">
      <c r="A53" s="10" t="s">
        <v>60</v>
      </c>
      <c r="B53" s="10" t="s">
        <v>65</v>
      </c>
      <c r="C53" s="10" t="s">
        <v>149</v>
      </c>
    </row>
    <row r="54" spans="1:3">
      <c r="A54" s="10" t="s">
        <v>36</v>
      </c>
      <c r="B54" s="10" t="s">
        <v>67</v>
      </c>
      <c r="C54" s="10" t="s">
        <v>150</v>
      </c>
    </row>
    <row r="55" spans="1:3">
      <c r="A55" s="10" t="s">
        <v>51</v>
      </c>
      <c r="B55" s="10" t="s">
        <v>70</v>
      </c>
      <c r="C55" s="10" t="s">
        <v>151</v>
      </c>
    </row>
    <row r="56" spans="1:3">
      <c r="A56" s="10" t="s">
        <v>51</v>
      </c>
      <c r="B56" s="10" t="s">
        <v>69</v>
      </c>
      <c r="C56" s="10" t="s">
        <v>152</v>
      </c>
    </row>
    <row r="57" spans="1:3">
      <c r="A57" s="10" t="s">
        <v>51</v>
      </c>
      <c r="B57" s="10" t="s">
        <v>79</v>
      </c>
      <c r="C57" s="10" t="s">
        <v>153</v>
      </c>
    </row>
    <row r="58" spans="1:3">
      <c r="A58" s="10" t="s">
        <v>51</v>
      </c>
      <c r="B58" s="10" t="s">
        <v>71</v>
      </c>
      <c r="C58" s="10" t="s">
        <v>154</v>
      </c>
    </row>
    <row r="59" spans="1:3">
      <c r="A59" s="10" t="s">
        <v>51</v>
      </c>
      <c r="B59" s="10" t="s">
        <v>65</v>
      </c>
      <c r="C59" s="10" t="s">
        <v>155</v>
      </c>
    </row>
    <row r="60" spans="1:3">
      <c r="A60" s="10" t="s">
        <v>51</v>
      </c>
      <c r="B60" s="10" t="s">
        <v>76</v>
      </c>
      <c r="C60" s="10" t="s">
        <v>156</v>
      </c>
    </row>
    <row r="61" spans="1:3">
      <c r="A61" s="10" t="s">
        <v>51</v>
      </c>
      <c r="B61" s="10" t="s">
        <v>66</v>
      </c>
      <c r="C61" s="10" t="s">
        <v>157</v>
      </c>
    </row>
    <row r="62" spans="1:3">
      <c r="A62" s="10" t="s">
        <v>51</v>
      </c>
      <c r="B62" s="10" t="s">
        <v>78</v>
      </c>
      <c r="C62" s="10" t="s">
        <v>158</v>
      </c>
    </row>
    <row r="63" spans="1:3">
      <c r="A63" s="10" t="s">
        <v>35</v>
      </c>
      <c r="B63" s="10" t="s">
        <v>79</v>
      </c>
      <c r="C63" s="10" t="s">
        <v>159</v>
      </c>
    </row>
    <row r="64" spans="1:3">
      <c r="A64" s="10" t="s">
        <v>35</v>
      </c>
      <c r="B64" s="10" t="s">
        <v>67</v>
      </c>
      <c r="C64" s="10" t="s">
        <v>160</v>
      </c>
    </row>
    <row r="65" spans="1:3">
      <c r="A65" s="10" t="s">
        <v>54</v>
      </c>
      <c r="B65" s="10" t="s">
        <v>66</v>
      </c>
      <c r="C65" s="10" t="s">
        <v>161</v>
      </c>
    </row>
    <row r="66" spans="1:3">
      <c r="A66" s="10" t="s">
        <v>54</v>
      </c>
      <c r="B66" s="10" t="s">
        <v>79</v>
      </c>
      <c r="C66" s="10" t="s">
        <v>162</v>
      </c>
    </row>
    <row r="67" spans="1:3">
      <c r="A67" s="10" t="s">
        <v>55</v>
      </c>
      <c r="B67" s="10" t="s">
        <v>73</v>
      </c>
      <c r="C67" s="10" t="s">
        <v>163</v>
      </c>
    </row>
    <row r="68" spans="1:3">
      <c r="A68" s="10" t="s">
        <v>55</v>
      </c>
      <c r="B68" s="10" t="s">
        <v>66</v>
      </c>
      <c r="C68" s="10" t="s">
        <v>164</v>
      </c>
    </row>
    <row r="69" spans="1:3">
      <c r="A69" s="10" t="s">
        <v>55</v>
      </c>
      <c r="B69" s="10" t="s">
        <v>72</v>
      </c>
      <c r="C69" s="10" t="s">
        <v>165</v>
      </c>
    </row>
    <row r="70" spans="1:3">
      <c r="A70" s="10" t="s">
        <v>55</v>
      </c>
      <c r="B70" s="10" t="s">
        <v>79</v>
      </c>
      <c r="C70" s="10" t="s">
        <v>166</v>
      </c>
    </row>
    <row r="71" spans="1:3">
      <c r="A71" s="10" t="s">
        <v>55</v>
      </c>
      <c r="B71" s="10" t="s">
        <v>71</v>
      </c>
      <c r="C71" s="10" t="s">
        <v>167</v>
      </c>
    </row>
    <row r="72" spans="1:3">
      <c r="A72" s="10" t="s">
        <v>55</v>
      </c>
      <c r="B72" s="10" t="s">
        <v>65</v>
      </c>
      <c r="C72" s="10" t="s">
        <v>168</v>
      </c>
    </row>
    <row r="73" spans="1:3">
      <c r="A73" s="10" t="s">
        <v>55</v>
      </c>
      <c r="B73" s="10" t="s">
        <v>67</v>
      </c>
      <c r="C73" s="10" t="s">
        <v>169</v>
      </c>
    </row>
    <row r="74" spans="1:3">
      <c r="A74" s="10" t="s">
        <v>55</v>
      </c>
      <c r="B74" s="10" t="s">
        <v>76</v>
      </c>
      <c r="C74" s="10" t="s">
        <v>170</v>
      </c>
    </row>
    <row r="75" spans="1:3">
      <c r="A75" s="10" t="s">
        <v>55</v>
      </c>
      <c r="B75" s="10" t="s">
        <v>75</v>
      </c>
      <c r="C75" s="10" t="s">
        <v>171</v>
      </c>
    </row>
    <row r="76" spans="1:3">
      <c r="A76" s="10" t="s">
        <v>55</v>
      </c>
      <c r="B76" s="10" t="s">
        <v>69</v>
      </c>
      <c r="C76" s="10" t="s">
        <v>172</v>
      </c>
    </row>
    <row r="77" spans="1:3">
      <c r="A77" s="10" t="s">
        <v>42</v>
      </c>
      <c r="B77" s="10" t="s">
        <v>70</v>
      </c>
      <c r="C77" s="10" t="s">
        <v>173</v>
      </c>
    </row>
    <row r="78" spans="1:3">
      <c r="A78" s="10" t="s">
        <v>42</v>
      </c>
      <c r="B78" s="10" t="s">
        <v>66</v>
      </c>
      <c r="C78" s="10" t="s">
        <v>174</v>
      </c>
    </row>
    <row r="79" spans="1:3">
      <c r="A79" s="10" t="s">
        <v>42</v>
      </c>
      <c r="B79" s="10" t="s">
        <v>74</v>
      </c>
      <c r="C79" s="10" t="s">
        <v>175</v>
      </c>
    </row>
    <row r="80" spans="1:3">
      <c r="A80" s="10" t="s">
        <v>42</v>
      </c>
      <c r="B80" s="10" t="s">
        <v>68</v>
      </c>
      <c r="C80" s="10" t="s">
        <v>176</v>
      </c>
    </row>
    <row r="81" spans="1:3">
      <c r="A81" s="10" t="s">
        <v>42</v>
      </c>
      <c r="B81" s="10" t="s">
        <v>69</v>
      </c>
      <c r="C81" s="10" t="s">
        <v>177</v>
      </c>
    </row>
    <row r="82" spans="1:3">
      <c r="A82" s="10" t="s">
        <v>42</v>
      </c>
      <c r="B82" s="10" t="s">
        <v>77</v>
      </c>
      <c r="C82" s="10" t="s">
        <v>178</v>
      </c>
    </row>
    <row r="83" spans="1:3">
      <c r="A83" s="10" t="s">
        <v>42</v>
      </c>
      <c r="B83" s="10" t="s">
        <v>79</v>
      </c>
      <c r="C83" s="10" t="s">
        <v>179</v>
      </c>
    </row>
    <row r="84" spans="1:3">
      <c r="A84" s="10" t="s">
        <v>42</v>
      </c>
      <c r="B84" s="10" t="s">
        <v>65</v>
      </c>
      <c r="C84" s="10" t="s">
        <v>180</v>
      </c>
    </row>
    <row r="85" spans="1:3">
      <c r="A85" s="10" t="s">
        <v>42</v>
      </c>
      <c r="B85" s="10" t="s">
        <v>67</v>
      </c>
      <c r="C85" s="10" t="s">
        <v>181</v>
      </c>
    </row>
    <row r="86" spans="1:3">
      <c r="A86" s="10" t="s">
        <v>43</v>
      </c>
      <c r="B86" s="10" t="s">
        <v>70</v>
      </c>
      <c r="C86" s="10" t="s">
        <v>182</v>
      </c>
    </row>
    <row r="87" spans="1:3">
      <c r="A87" s="10" t="s">
        <v>43</v>
      </c>
      <c r="B87" s="10" t="s">
        <v>68</v>
      </c>
      <c r="C87" s="10" t="s">
        <v>183</v>
      </c>
    </row>
    <row r="88" spans="1:3">
      <c r="A88" s="10" t="s">
        <v>43</v>
      </c>
      <c r="B88" s="10" t="s">
        <v>79</v>
      </c>
      <c r="C88" s="10" t="s">
        <v>184</v>
      </c>
    </row>
    <row r="89" spans="1:3">
      <c r="A89" s="10" t="s">
        <v>43</v>
      </c>
      <c r="B89" s="10" t="s">
        <v>65</v>
      </c>
      <c r="C89" s="10" t="s">
        <v>185</v>
      </c>
    </row>
    <row r="90" spans="1:3">
      <c r="A90" s="12" t="s">
        <v>43</v>
      </c>
      <c r="B90" s="12" t="s">
        <v>67</v>
      </c>
      <c r="C90" s="10" t="s">
        <v>186</v>
      </c>
    </row>
  </sheetData>
  <pageMargins left="0.7" right="0.7" top="0.75" bottom="0.75" header="0.511805555555555" footer="0.511805555555555"/>
  <pageSetup paperSize="1" firstPageNumber="0" orientation="portrait" useFirstPageNumber="1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76"/>
  <sheetViews>
    <sheetView tabSelected="1" workbookViewId="0">
      <selection activeCell="C2" sqref="C2"/>
    </sheetView>
  </sheetViews>
  <sheetFormatPr defaultColWidth="9.14285714285714" defaultRowHeight="15"/>
  <sheetData>
    <row r="1" ht="110.25" spans="1:40">
      <c r="A1" s="1" t="s">
        <v>95</v>
      </c>
      <c r="B1" s="1" t="s">
        <v>96</v>
      </c>
      <c r="C1" s="2" t="s">
        <v>187</v>
      </c>
      <c r="D1" s="3">
        <v>42795</v>
      </c>
      <c r="E1" s="3">
        <v>42826</v>
      </c>
      <c r="F1" s="3">
        <v>42856</v>
      </c>
      <c r="G1" s="3">
        <v>42887</v>
      </c>
      <c r="H1" s="3">
        <v>42917</v>
      </c>
      <c r="I1" s="3">
        <v>42948</v>
      </c>
      <c r="J1" s="3">
        <v>42979</v>
      </c>
      <c r="K1" s="3">
        <v>43009</v>
      </c>
      <c r="L1" s="3">
        <v>43040</v>
      </c>
      <c r="M1" s="3">
        <v>43070</v>
      </c>
      <c r="N1" s="3">
        <v>43101</v>
      </c>
      <c r="O1" s="3">
        <v>43132</v>
      </c>
      <c r="P1" s="3">
        <v>43160</v>
      </c>
      <c r="Q1" s="3">
        <v>43191</v>
      </c>
      <c r="R1" s="3">
        <v>43221</v>
      </c>
      <c r="S1" s="3">
        <v>43252</v>
      </c>
      <c r="T1" s="3">
        <v>43282</v>
      </c>
      <c r="U1" s="3">
        <v>43313</v>
      </c>
      <c r="V1" s="3">
        <v>43344</v>
      </c>
      <c r="W1" s="3">
        <v>43374</v>
      </c>
      <c r="X1" s="3">
        <v>43405</v>
      </c>
      <c r="Y1" s="3">
        <v>43435</v>
      </c>
      <c r="Z1" s="3">
        <v>43466</v>
      </c>
      <c r="AA1" s="3">
        <v>43497</v>
      </c>
      <c r="AB1" s="3">
        <v>43525</v>
      </c>
      <c r="AC1" s="3">
        <v>43556</v>
      </c>
      <c r="AD1" s="3">
        <v>43586</v>
      </c>
      <c r="AE1" s="3">
        <v>43617</v>
      </c>
      <c r="AF1" s="3">
        <v>43647</v>
      </c>
      <c r="AG1" s="3">
        <v>43678</v>
      </c>
      <c r="AH1" s="3">
        <v>43709</v>
      </c>
      <c r="AI1" s="3">
        <v>43739</v>
      </c>
      <c r="AJ1" s="3">
        <v>43770</v>
      </c>
      <c r="AK1" s="3">
        <v>43800</v>
      </c>
      <c r="AL1" s="3">
        <v>43831</v>
      </c>
      <c r="AM1" s="3">
        <v>43862</v>
      </c>
      <c r="AN1" s="3">
        <v>43891</v>
      </c>
    </row>
    <row r="2" ht="15.75" spans="1:3">
      <c r="A2" s="4" t="s">
        <v>46</v>
      </c>
      <c r="B2" s="4" t="s">
        <v>70</v>
      </c>
      <c r="C2" s="4" t="s">
        <v>98</v>
      </c>
    </row>
    <row r="3" ht="15.75" spans="1:3">
      <c r="A3" s="5" t="s">
        <v>46</v>
      </c>
      <c r="B3" s="5" t="s">
        <v>66</v>
      </c>
      <c r="C3" s="5" t="s">
        <v>99</v>
      </c>
    </row>
    <row r="4" ht="15.75" spans="1:3">
      <c r="A4" s="5" t="s">
        <v>39</v>
      </c>
      <c r="B4" s="5" t="s">
        <v>66</v>
      </c>
      <c r="C4" s="5" t="s">
        <v>100</v>
      </c>
    </row>
    <row r="5" ht="15.75" spans="1:3">
      <c r="A5" s="5" t="s">
        <v>39</v>
      </c>
      <c r="B5" s="5" t="s">
        <v>72</v>
      </c>
      <c r="C5" s="5" t="s">
        <v>101</v>
      </c>
    </row>
    <row r="6" ht="15.75" spans="1:3">
      <c r="A6" s="5" t="s">
        <v>39</v>
      </c>
      <c r="B6" s="5" t="s">
        <v>68</v>
      </c>
      <c r="C6" s="5" t="s">
        <v>102</v>
      </c>
    </row>
    <row r="7" ht="15.75" spans="1:3">
      <c r="A7" s="5" t="s">
        <v>39</v>
      </c>
      <c r="B7" s="5" t="s">
        <v>69</v>
      </c>
      <c r="C7" s="5" t="s">
        <v>103</v>
      </c>
    </row>
    <row r="8" ht="15.75" spans="1:3">
      <c r="A8" s="5" t="s">
        <v>39</v>
      </c>
      <c r="B8" s="5" t="s">
        <v>79</v>
      </c>
      <c r="C8" s="5" t="s">
        <v>104</v>
      </c>
    </row>
    <row r="9" ht="15.75" spans="1:3">
      <c r="A9" s="5" t="s">
        <v>39</v>
      </c>
      <c r="B9" s="5" t="s">
        <v>67</v>
      </c>
      <c r="C9" s="5" t="s">
        <v>105</v>
      </c>
    </row>
    <row r="10" ht="15.75" spans="1:3">
      <c r="A10" s="5" t="s">
        <v>48</v>
      </c>
      <c r="B10" s="5" t="s">
        <v>66</v>
      </c>
      <c r="C10" s="5" t="s">
        <v>106</v>
      </c>
    </row>
    <row r="11" ht="15.75" spans="1:3">
      <c r="A11" s="5" t="s">
        <v>48</v>
      </c>
      <c r="B11" s="5" t="s">
        <v>69</v>
      </c>
      <c r="C11" s="5" t="s">
        <v>107</v>
      </c>
    </row>
    <row r="12" ht="15.75" spans="1:3">
      <c r="A12" s="5" t="s">
        <v>48</v>
      </c>
      <c r="B12" s="5" t="s">
        <v>79</v>
      </c>
      <c r="C12" s="5" t="s">
        <v>108</v>
      </c>
    </row>
    <row r="13" ht="15.75" spans="1:3">
      <c r="A13" s="5" t="s">
        <v>48</v>
      </c>
      <c r="B13" s="5" t="s">
        <v>67</v>
      </c>
      <c r="C13" s="5" t="s">
        <v>109</v>
      </c>
    </row>
    <row r="14" ht="15.75" spans="1:3">
      <c r="A14" s="6" t="s">
        <v>48</v>
      </c>
      <c r="B14" s="5" t="s">
        <v>68</v>
      </c>
      <c r="C14" s="5" t="s">
        <v>110</v>
      </c>
    </row>
    <row r="15" ht="15.75" spans="1:3">
      <c r="A15" s="5" t="s">
        <v>53</v>
      </c>
      <c r="B15" s="5" t="s">
        <v>79</v>
      </c>
      <c r="C15" s="5" t="s">
        <v>111</v>
      </c>
    </row>
    <row r="16" ht="15.75" spans="1:3">
      <c r="A16" s="5" t="s">
        <v>53</v>
      </c>
      <c r="B16" s="5" t="s">
        <v>65</v>
      </c>
      <c r="C16" s="5" t="s">
        <v>112</v>
      </c>
    </row>
    <row r="17" ht="15.75" spans="1:3">
      <c r="A17" s="5" t="s">
        <v>53</v>
      </c>
      <c r="B17" s="5" t="s">
        <v>67</v>
      </c>
      <c r="C17" s="5" t="s">
        <v>113</v>
      </c>
    </row>
    <row r="18" ht="15.75" spans="1:3">
      <c r="A18" s="5" t="s">
        <v>61</v>
      </c>
      <c r="B18" s="5" t="s">
        <v>67</v>
      </c>
      <c r="C18" s="5" t="s">
        <v>114</v>
      </c>
    </row>
    <row r="19" ht="15.75" spans="1:3">
      <c r="A19" s="6" t="s">
        <v>49</v>
      </c>
      <c r="B19" s="5" t="s">
        <v>66</v>
      </c>
      <c r="C19" s="5" t="s">
        <v>115</v>
      </c>
    </row>
    <row r="20" ht="15.75" spans="1:3">
      <c r="A20" s="5" t="s">
        <v>50</v>
      </c>
      <c r="B20" s="5" t="s">
        <v>69</v>
      </c>
      <c r="C20" s="5" t="s">
        <v>116</v>
      </c>
    </row>
    <row r="21" ht="15.75" spans="1:3">
      <c r="A21" s="5" t="s">
        <v>50</v>
      </c>
      <c r="B21" s="5" t="s">
        <v>67</v>
      </c>
      <c r="C21" s="5" t="s">
        <v>117</v>
      </c>
    </row>
    <row r="22" ht="15.75" spans="1:3">
      <c r="A22" s="5" t="s">
        <v>50</v>
      </c>
      <c r="B22" s="5" t="s">
        <v>79</v>
      </c>
      <c r="C22" s="5" t="s">
        <v>118</v>
      </c>
    </row>
    <row r="23" ht="15.75" spans="1:3">
      <c r="A23" s="5" t="s">
        <v>56</v>
      </c>
      <c r="B23" s="5" t="s">
        <v>74</v>
      </c>
      <c r="C23" s="5" t="s">
        <v>119</v>
      </c>
    </row>
    <row r="24" ht="15.75" spans="1:3">
      <c r="A24" s="5" t="s">
        <v>56</v>
      </c>
      <c r="B24" s="5" t="s">
        <v>69</v>
      </c>
      <c r="C24" s="5" t="s">
        <v>120</v>
      </c>
    </row>
    <row r="25" ht="15.75" spans="1:3">
      <c r="A25" s="5" t="s">
        <v>56</v>
      </c>
      <c r="B25" s="5" t="s">
        <v>79</v>
      </c>
      <c r="C25" s="5" t="s">
        <v>121</v>
      </c>
    </row>
    <row r="26" ht="15.75" spans="1:3">
      <c r="A26" s="5" t="s">
        <v>56</v>
      </c>
      <c r="B26" s="5" t="s">
        <v>65</v>
      </c>
      <c r="C26" s="5" t="s">
        <v>122</v>
      </c>
    </row>
    <row r="27" ht="15.75" spans="1:3">
      <c r="A27" s="5" t="s">
        <v>56</v>
      </c>
      <c r="B27" s="5" t="s">
        <v>75</v>
      </c>
      <c r="C27" s="5" t="s">
        <v>123</v>
      </c>
    </row>
    <row r="28" ht="15.75" spans="1:3">
      <c r="A28" s="5" t="s">
        <v>47</v>
      </c>
      <c r="B28" s="5" t="s">
        <v>79</v>
      </c>
      <c r="C28" s="5" t="s">
        <v>124</v>
      </c>
    </row>
    <row r="29" ht="15.75" spans="1:3">
      <c r="A29" s="5" t="s">
        <v>40</v>
      </c>
      <c r="B29" s="5" t="s">
        <v>66</v>
      </c>
      <c r="C29" s="5" t="s">
        <v>125</v>
      </c>
    </row>
    <row r="30" ht="15.75" spans="1:3">
      <c r="A30" s="5" t="s">
        <v>40</v>
      </c>
      <c r="B30" s="5" t="s">
        <v>68</v>
      </c>
      <c r="C30" s="5" t="s">
        <v>126</v>
      </c>
    </row>
    <row r="31" ht="15.75" spans="1:3">
      <c r="A31" s="5" t="s">
        <v>40</v>
      </c>
      <c r="B31" s="5" t="s">
        <v>79</v>
      </c>
      <c r="C31" s="5" t="s">
        <v>127</v>
      </c>
    </row>
    <row r="32" ht="15.75" spans="1:3">
      <c r="A32" s="5" t="s">
        <v>40</v>
      </c>
      <c r="B32" s="5" t="s">
        <v>65</v>
      </c>
      <c r="C32" s="5" t="s">
        <v>128</v>
      </c>
    </row>
    <row r="33" ht="15.75" spans="1:3">
      <c r="A33" s="5" t="s">
        <v>40</v>
      </c>
      <c r="B33" s="5" t="s">
        <v>67</v>
      </c>
      <c r="C33" s="5" t="s">
        <v>129</v>
      </c>
    </row>
    <row r="34" ht="15.75" spans="1:3">
      <c r="A34" s="5" t="s">
        <v>52</v>
      </c>
      <c r="B34" s="5" t="s">
        <v>70</v>
      </c>
      <c r="C34" s="5" t="s">
        <v>130</v>
      </c>
    </row>
    <row r="35" ht="15.75" spans="1:3">
      <c r="A35" s="5" t="s">
        <v>52</v>
      </c>
      <c r="B35" s="5" t="s">
        <v>67</v>
      </c>
      <c r="C35" s="5" t="s">
        <v>131</v>
      </c>
    </row>
    <row r="36" ht="15.75" spans="1:3">
      <c r="A36" s="5" t="s">
        <v>57</v>
      </c>
      <c r="B36" s="5" t="s">
        <v>66</v>
      </c>
      <c r="C36" s="5" t="s">
        <v>132</v>
      </c>
    </row>
    <row r="37" ht="15.75" spans="1:3">
      <c r="A37" s="5" t="s">
        <v>57</v>
      </c>
      <c r="B37" s="5" t="s">
        <v>79</v>
      </c>
      <c r="C37" s="5" t="s">
        <v>133</v>
      </c>
    </row>
    <row r="38" ht="15.75" spans="1:3">
      <c r="A38" s="5" t="s">
        <v>57</v>
      </c>
      <c r="B38" s="5" t="s">
        <v>67</v>
      </c>
      <c r="C38" s="5" t="s">
        <v>134</v>
      </c>
    </row>
    <row r="39" ht="15.75" spans="1:3">
      <c r="A39" s="5" t="s">
        <v>44</v>
      </c>
      <c r="B39" s="5" t="s">
        <v>67</v>
      </c>
      <c r="C39" s="5" t="s">
        <v>135</v>
      </c>
    </row>
    <row r="40" ht="15.75" spans="1:3">
      <c r="A40" s="5" t="s">
        <v>58</v>
      </c>
      <c r="B40" s="5" t="s">
        <v>66</v>
      </c>
      <c r="C40" s="5" t="s">
        <v>136</v>
      </c>
    </row>
    <row r="41" ht="15.75" spans="1:3">
      <c r="A41" s="5" t="s">
        <v>58</v>
      </c>
      <c r="B41" s="5" t="s">
        <v>79</v>
      </c>
      <c r="C41" s="5" t="s">
        <v>137</v>
      </c>
    </row>
    <row r="42" ht="15.75" spans="1:3">
      <c r="A42" s="5" t="s">
        <v>41</v>
      </c>
      <c r="B42" s="5" t="s">
        <v>67</v>
      </c>
      <c r="C42" s="5" t="s">
        <v>138</v>
      </c>
    </row>
    <row r="43" ht="15.75" spans="1:3">
      <c r="A43" s="5" t="s">
        <v>62</v>
      </c>
      <c r="B43" s="5" t="s">
        <v>79</v>
      </c>
      <c r="C43" s="5" t="s">
        <v>139</v>
      </c>
    </row>
    <row r="44" ht="15.75" spans="1:3">
      <c r="A44" s="5" t="s">
        <v>45</v>
      </c>
      <c r="B44" s="5" t="s">
        <v>66</v>
      </c>
      <c r="C44" s="5" t="s">
        <v>140</v>
      </c>
    </row>
    <row r="45" ht="15.75" spans="1:3">
      <c r="A45" s="5" t="s">
        <v>45</v>
      </c>
      <c r="B45" s="5" t="s">
        <v>67</v>
      </c>
      <c r="C45" s="5" t="s">
        <v>141</v>
      </c>
    </row>
    <row r="46" ht="15.75" spans="1:3">
      <c r="A46" s="5" t="s">
        <v>59</v>
      </c>
      <c r="B46" s="5" t="s">
        <v>73</v>
      </c>
      <c r="C46" s="5" t="s">
        <v>142</v>
      </c>
    </row>
    <row r="47" ht="15.75" spans="1:3">
      <c r="A47" s="5" t="s">
        <v>59</v>
      </c>
      <c r="B47" s="5" t="s">
        <v>79</v>
      </c>
      <c r="C47" s="5" t="s">
        <v>143</v>
      </c>
    </row>
    <row r="48" ht="15.75" spans="1:3">
      <c r="A48" s="5" t="s">
        <v>60</v>
      </c>
      <c r="B48" s="5" t="s">
        <v>73</v>
      </c>
      <c r="C48" s="5" t="s">
        <v>144</v>
      </c>
    </row>
    <row r="49" ht="15.75" spans="1:3">
      <c r="A49" s="5" t="s">
        <v>60</v>
      </c>
      <c r="B49" s="5" t="s">
        <v>70</v>
      </c>
      <c r="C49" s="5" t="s">
        <v>145</v>
      </c>
    </row>
    <row r="50" ht="15.75" spans="1:3">
      <c r="A50" s="5" t="s">
        <v>60</v>
      </c>
      <c r="B50" s="5" t="s">
        <v>66</v>
      </c>
      <c r="C50" s="5" t="s">
        <v>146</v>
      </c>
    </row>
    <row r="51" ht="15.75" spans="1:3">
      <c r="A51" s="5" t="s">
        <v>60</v>
      </c>
      <c r="B51" s="5" t="s">
        <v>68</v>
      </c>
      <c r="C51" s="5" t="s">
        <v>147</v>
      </c>
    </row>
    <row r="52" ht="15.75" spans="1:3">
      <c r="A52" s="5" t="s">
        <v>60</v>
      </c>
      <c r="B52" s="5" t="s">
        <v>79</v>
      </c>
      <c r="C52" s="5" t="s">
        <v>148</v>
      </c>
    </row>
    <row r="53" ht="15.75" spans="1:3">
      <c r="A53" s="5" t="s">
        <v>60</v>
      </c>
      <c r="B53" s="5" t="s">
        <v>65</v>
      </c>
      <c r="C53" s="5" t="s">
        <v>149</v>
      </c>
    </row>
    <row r="54" ht="15.75" spans="1:3">
      <c r="A54" s="5" t="s">
        <v>36</v>
      </c>
      <c r="B54" s="5" t="s">
        <v>67</v>
      </c>
      <c r="C54" s="5" t="s">
        <v>150</v>
      </c>
    </row>
    <row r="55" ht="15.75" spans="1:3">
      <c r="A55" s="5" t="s">
        <v>51</v>
      </c>
      <c r="B55" s="5" t="s">
        <v>70</v>
      </c>
      <c r="C55" s="5" t="s">
        <v>151</v>
      </c>
    </row>
    <row r="56" ht="15.75" spans="1:3">
      <c r="A56" s="5" t="s">
        <v>51</v>
      </c>
      <c r="B56" s="5" t="s">
        <v>69</v>
      </c>
      <c r="C56" s="5" t="s">
        <v>152</v>
      </c>
    </row>
    <row r="57" ht="15.75" spans="1:3">
      <c r="A57" s="5" t="s">
        <v>51</v>
      </c>
      <c r="B57" s="5" t="s">
        <v>79</v>
      </c>
      <c r="C57" s="5" t="s">
        <v>153</v>
      </c>
    </row>
    <row r="58" ht="15.75" spans="1:3">
      <c r="A58" s="5" t="s">
        <v>51</v>
      </c>
      <c r="B58" s="5" t="s">
        <v>71</v>
      </c>
      <c r="C58" s="5" t="s">
        <v>154</v>
      </c>
    </row>
    <row r="59" ht="15.75" spans="1:3">
      <c r="A59" s="5" t="s">
        <v>51</v>
      </c>
      <c r="B59" s="5" t="s">
        <v>65</v>
      </c>
      <c r="C59" s="5" t="s">
        <v>155</v>
      </c>
    </row>
    <row r="60" ht="15.75" spans="1:3">
      <c r="A60" s="5" t="s">
        <v>51</v>
      </c>
      <c r="B60" s="5" t="s">
        <v>76</v>
      </c>
      <c r="C60" s="5" t="s">
        <v>156</v>
      </c>
    </row>
    <row r="61" ht="15.75" spans="1:3">
      <c r="A61" s="5" t="s">
        <v>51</v>
      </c>
      <c r="B61" s="5" t="s">
        <v>66</v>
      </c>
      <c r="C61" s="5" t="s">
        <v>157</v>
      </c>
    </row>
    <row r="62" ht="15.75" spans="1:3">
      <c r="A62" s="5" t="s">
        <v>51</v>
      </c>
      <c r="B62" s="5" t="s">
        <v>78</v>
      </c>
      <c r="C62" s="5" t="s">
        <v>158</v>
      </c>
    </row>
    <row r="63" ht="15.75" spans="1:3">
      <c r="A63" s="5" t="s">
        <v>35</v>
      </c>
      <c r="B63" s="5" t="s">
        <v>79</v>
      </c>
      <c r="C63" s="5" t="s">
        <v>159</v>
      </c>
    </row>
    <row r="64" ht="15.75" spans="1:3">
      <c r="A64" s="5" t="s">
        <v>35</v>
      </c>
      <c r="B64" s="5" t="s">
        <v>67</v>
      </c>
      <c r="C64" s="5" t="s">
        <v>160</v>
      </c>
    </row>
    <row r="65" ht="15.75" spans="1:3">
      <c r="A65" s="5" t="s">
        <v>54</v>
      </c>
      <c r="B65" s="5" t="s">
        <v>66</v>
      </c>
      <c r="C65" s="5" t="s">
        <v>161</v>
      </c>
    </row>
    <row r="66" ht="15.75" spans="1:3">
      <c r="A66" s="5" t="s">
        <v>54</v>
      </c>
      <c r="B66" s="5" t="s">
        <v>79</v>
      </c>
      <c r="C66" s="5" t="s">
        <v>162</v>
      </c>
    </row>
    <row r="67" ht="15.75" spans="1:3">
      <c r="A67" s="5" t="s">
        <v>55</v>
      </c>
      <c r="B67" s="5" t="s">
        <v>73</v>
      </c>
      <c r="C67" s="5" t="s">
        <v>163</v>
      </c>
    </row>
    <row r="68" ht="15.75" spans="1:3">
      <c r="A68" s="5" t="s">
        <v>55</v>
      </c>
      <c r="B68" s="5" t="s">
        <v>66</v>
      </c>
      <c r="C68" s="5" t="s">
        <v>164</v>
      </c>
    </row>
    <row r="69" ht="15.75" spans="1:3">
      <c r="A69" s="5" t="s">
        <v>55</v>
      </c>
      <c r="B69" s="5" t="s">
        <v>72</v>
      </c>
      <c r="C69" s="5" t="s">
        <v>165</v>
      </c>
    </row>
    <row r="70" ht="15.75" spans="1:3">
      <c r="A70" s="5" t="s">
        <v>55</v>
      </c>
      <c r="B70" s="5" t="s">
        <v>79</v>
      </c>
      <c r="C70" s="5" t="s">
        <v>166</v>
      </c>
    </row>
    <row r="71" ht="15.75" spans="1:3">
      <c r="A71" s="5" t="s">
        <v>55</v>
      </c>
      <c r="B71" s="5" t="s">
        <v>71</v>
      </c>
      <c r="C71" s="5" t="s">
        <v>167</v>
      </c>
    </row>
    <row r="72" ht="15.75" spans="1:3">
      <c r="A72" s="5" t="s">
        <v>55</v>
      </c>
      <c r="B72" s="5" t="s">
        <v>65</v>
      </c>
      <c r="C72" s="5" t="s">
        <v>168</v>
      </c>
    </row>
    <row r="73" ht="15.75" spans="1:3">
      <c r="A73" s="5" t="s">
        <v>55</v>
      </c>
      <c r="B73" s="5" t="s">
        <v>67</v>
      </c>
      <c r="C73" s="5" t="s">
        <v>169</v>
      </c>
    </row>
    <row r="74" ht="15.75" spans="1:3">
      <c r="A74" s="5" t="s">
        <v>55</v>
      </c>
      <c r="B74" s="5" t="s">
        <v>76</v>
      </c>
      <c r="C74" s="5" t="s">
        <v>170</v>
      </c>
    </row>
    <row r="75" ht="15.75" spans="1:3">
      <c r="A75" s="5" t="s">
        <v>55</v>
      </c>
      <c r="B75" s="5" t="s">
        <v>75</v>
      </c>
      <c r="C75" s="5" t="s">
        <v>171</v>
      </c>
    </row>
    <row r="76" ht="15.75" spans="1:3">
      <c r="A76" s="5" t="s">
        <v>55</v>
      </c>
      <c r="B76" s="5" t="s">
        <v>69</v>
      </c>
      <c r="C76" s="5" t="s">
        <v>172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Imported Bauxite Stocks</vt:lpstr>
      <vt:lpstr>Bauxite Requirement &amp; Supply, M</vt:lpstr>
      <vt:lpstr>Alumina by Province, Mt Aa</vt:lpstr>
      <vt:lpstr>MONTHLY DOMESTIC PRICE (RMB per</vt:lpstr>
      <vt:lpstr>MONTHLY IMPORT BY COUNTRY (dmt)</vt:lpstr>
      <vt:lpstr>MONTHLY IMPORT BY REGION (dmt)</vt:lpstr>
      <vt:lpstr>MONTHLY IMPORT BY CUSTOMER (dmt</vt:lpstr>
      <vt:lpstr>MONTHLY IMPORT BY COUNTRY 2 (dm</vt:lpstr>
      <vt:lpstr>MONTHLY DOMESTIC PRICE (US$ per</vt:lpstr>
      <vt:lpstr>Monthly Average CFR Price</vt:lpstr>
      <vt:lpstr>Monthly Average VIU CFR Price</vt:lpstr>
      <vt:lpstr>MONTHLY AVERAGE CIF PRICE_CONTR</vt:lpstr>
      <vt:lpstr>MONTHLY AVERAGE CFR PRICE 2</vt:lpstr>
      <vt:lpstr>MONTHLY IMPORTED TONNAGE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Kwame Dunyo</dc:creator>
  <cp:lastModifiedBy>A11113</cp:lastModifiedBy>
  <cp:revision>6</cp:revision>
  <dcterms:created xsi:type="dcterms:W3CDTF">2020-07-16T23:44:00Z</dcterms:created>
  <dcterms:modified xsi:type="dcterms:W3CDTF">2020-09-20T19:15:36Z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KSOProductBuildVer">
    <vt:lpwstr>1033-11.2.0.9665</vt:lpwstr>
  </property>
</Properties>
</file>