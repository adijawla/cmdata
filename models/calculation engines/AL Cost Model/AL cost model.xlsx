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4" activeTab="18"/>
  </bookViews>
  <sheets>
    <sheet name="Data Engine" sheetId="1" r:id="rId1"/>
    <sheet name="Capital Cost" sheetId="13" r:id="rId2"/>
    <sheet name="AlF3_Price" sheetId="15" r:id="rId3"/>
    <sheet name="carbon price" sheetId="16" r:id="rId4"/>
    <sheet name="Carbon Source" sheetId="17" r:id="rId5"/>
    <sheet name="CapitalCost" sheetId="14" r:id="rId6"/>
    <sheet name="Captive power cost" sheetId="8" r:id="rId7"/>
    <sheet name="Electricity Consumption" sheetId="10" r:id="rId8"/>
    <sheet name="Electricity Grid" sheetId="9" r:id="rId9"/>
    <sheet name="Electricity Source" sheetId="2" r:id="rId10"/>
    <sheet name="NaturalGasPrice" sheetId="11" r:id="rId11"/>
    <sheet name="Salary" sheetId="12" r:id="rId12"/>
    <sheet name="Currency" sheetId="3" r:id="rId13"/>
    <sheet name="Smelter Capacity" sheetId="4" r:id="rId14"/>
    <sheet name="Smelter Production" sheetId="5" r:id="rId15"/>
    <sheet name="Aa Source" sheetId="6" r:id="rId16"/>
    <sheet name="web3" sheetId="19" r:id="rId17"/>
    <sheet name="SelfsuppliedAacost" sheetId="20" r:id="rId18"/>
    <sheet name="AaselfsupplyRatio" sheetId="22" r:id="rId19"/>
    <sheet name="SelfSuppliedRefinary" sheetId="21" r:id="rId20"/>
    <sheet name="AaSource" sheetId="18" r:id="rId21"/>
    <sheet name="Aa SelfSupply Ratio" sheetId="7" r:id="rId2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2" i="17" l="1"/>
  <c r="AG122" i="17" s="1"/>
  <c r="AF121" i="17"/>
  <c r="AG121" i="17" s="1"/>
  <c r="AF120" i="17"/>
  <c r="AG120" i="17" s="1"/>
  <c r="AF119" i="17"/>
  <c r="AG119" i="17" s="1"/>
  <c r="AF118" i="17"/>
  <c r="AG118" i="17" s="1"/>
  <c r="AF117" i="17"/>
  <c r="AG117" i="17" s="1"/>
  <c r="AF116" i="17"/>
  <c r="AG116" i="17" s="1"/>
  <c r="AF115" i="17"/>
  <c r="AG115" i="17" s="1"/>
  <c r="AF114" i="17"/>
  <c r="AG114" i="17" s="1"/>
  <c r="AF113" i="17"/>
  <c r="AG113" i="17" s="1"/>
  <c r="AF112" i="17"/>
  <c r="AG112" i="17" s="1"/>
  <c r="AF111" i="17"/>
  <c r="AG111" i="17" s="1"/>
  <c r="AF110" i="17"/>
  <c r="AG110" i="17" s="1"/>
  <c r="AF109" i="17"/>
  <c r="AG109" i="17" s="1"/>
  <c r="AF108" i="17"/>
  <c r="AG108" i="17" s="1"/>
  <c r="AF107" i="17"/>
  <c r="AG107" i="17" s="1"/>
  <c r="AF106" i="17"/>
  <c r="AG106" i="17" s="1"/>
  <c r="AF105" i="17"/>
  <c r="AG105" i="17" s="1"/>
  <c r="AF104" i="17"/>
  <c r="AG104" i="17" s="1"/>
  <c r="AF103" i="17"/>
  <c r="AG103" i="17" s="1"/>
  <c r="AF102" i="17"/>
  <c r="AG102" i="17" s="1"/>
  <c r="AF101" i="17"/>
  <c r="AG101" i="17" s="1"/>
  <c r="AF100" i="17"/>
  <c r="AG100" i="17" s="1"/>
  <c r="AF99" i="17"/>
  <c r="AG99" i="17" s="1"/>
  <c r="AF98" i="17"/>
  <c r="AG98" i="17" s="1"/>
  <c r="AF97" i="17"/>
  <c r="AG97" i="17" s="1"/>
  <c r="AF96" i="17"/>
  <c r="AG96" i="17" s="1"/>
  <c r="AF95" i="17"/>
  <c r="AG95" i="17" s="1"/>
  <c r="AF94" i="17"/>
  <c r="AG94" i="17" s="1"/>
  <c r="AF93" i="17"/>
  <c r="AG93" i="17" s="1"/>
  <c r="AF92" i="17"/>
  <c r="AG92" i="17" s="1"/>
  <c r="AF91" i="17"/>
  <c r="AG91" i="17" s="1"/>
  <c r="AF90" i="17"/>
  <c r="AG90" i="17" s="1"/>
  <c r="AF89" i="17"/>
  <c r="AG89" i="17" s="1"/>
  <c r="AF88" i="17"/>
  <c r="AG88" i="17" s="1"/>
  <c r="AF87" i="17"/>
  <c r="AG87" i="17" s="1"/>
  <c r="AF86" i="17"/>
  <c r="AG86" i="17" s="1"/>
  <c r="AF85" i="17"/>
  <c r="AG85" i="17" s="1"/>
  <c r="AF84" i="17"/>
  <c r="AG84" i="17" s="1"/>
  <c r="AF83" i="17"/>
  <c r="AG83" i="17" s="1"/>
  <c r="AF82" i="17"/>
  <c r="AG82" i="17" s="1"/>
  <c r="AF81" i="17"/>
  <c r="AG81" i="17" s="1"/>
  <c r="AF80" i="17"/>
  <c r="AG80" i="17" s="1"/>
  <c r="AF79" i="17"/>
  <c r="AG79" i="17" s="1"/>
  <c r="AF78" i="17"/>
  <c r="AG78" i="17" s="1"/>
  <c r="AF77" i="17"/>
  <c r="AG77" i="17" s="1"/>
  <c r="AF76" i="17"/>
  <c r="AG76" i="17" s="1"/>
  <c r="AF75" i="17"/>
  <c r="AG75" i="17" s="1"/>
  <c r="AF74" i="17"/>
  <c r="AG74" i="17" s="1"/>
  <c r="AF73" i="17"/>
  <c r="AG73" i="17" s="1"/>
  <c r="AF72" i="17"/>
  <c r="AG72" i="17" s="1"/>
  <c r="AF71" i="17"/>
  <c r="AG71" i="17" s="1"/>
  <c r="AF70" i="17"/>
  <c r="AG70" i="17" s="1"/>
  <c r="AF69" i="17"/>
  <c r="AG69" i="17" s="1"/>
  <c r="AF68" i="17"/>
  <c r="AG68" i="17" s="1"/>
  <c r="AF67" i="17"/>
  <c r="AG67" i="17" s="1"/>
  <c r="AF66" i="17"/>
  <c r="AG66" i="17" s="1"/>
  <c r="AF65" i="17"/>
  <c r="AG65" i="17" s="1"/>
  <c r="AF64" i="17"/>
  <c r="AG64" i="17" s="1"/>
  <c r="AF63" i="17"/>
  <c r="AG63" i="17" s="1"/>
  <c r="AF62" i="17"/>
  <c r="AG62" i="17" s="1"/>
  <c r="AF61" i="17"/>
  <c r="AG61" i="17" s="1"/>
  <c r="AF60" i="17"/>
  <c r="AG60" i="17" s="1"/>
  <c r="AF59" i="17"/>
  <c r="AG59" i="17" s="1"/>
  <c r="AF58" i="17"/>
  <c r="AG58" i="17" s="1"/>
  <c r="AF57" i="17"/>
  <c r="AG57" i="17" s="1"/>
  <c r="AF56" i="17"/>
  <c r="AG56" i="17" s="1"/>
  <c r="AF55" i="17"/>
  <c r="AG55" i="17" s="1"/>
  <c r="AF54" i="17"/>
  <c r="AG54" i="17" s="1"/>
  <c r="AF53" i="17"/>
  <c r="AG53" i="17" s="1"/>
  <c r="AF52" i="17"/>
  <c r="AG52" i="17" s="1"/>
  <c r="AF51" i="17"/>
  <c r="AG51" i="17" s="1"/>
  <c r="AF50" i="17"/>
  <c r="AG50" i="17" s="1"/>
  <c r="AF49" i="17"/>
  <c r="AG49" i="17" s="1"/>
  <c r="AG48" i="17"/>
  <c r="AF48" i="17"/>
  <c r="AF47" i="17"/>
  <c r="AG47" i="17" s="1"/>
  <c r="AF46" i="17"/>
  <c r="AG46" i="17" s="1"/>
  <c r="AF45" i="17"/>
  <c r="AG45" i="17" s="1"/>
  <c r="AG44" i="17"/>
  <c r="AF44" i="17"/>
  <c r="AF43" i="17"/>
  <c r="AG43" i="17" s="1"/>
  <c r="AF42" i="17"/>
  <c r="AG42" i="17" s="1"/>
  <c r="AF41" i="17"/>
  <c r="AG41" i="17" s="1"/>
  <c r="AF40" i="17"/>
  <c r="AG40" i="17" s="1"/>
  <c r="AF39" i="17"/>
  <c r="AG39" i="17" s="1"/>
  <c r="AF38" i="17"/>
  <c r="AG38" i="17" s="1"/>
  <c r="AF37" i="17"/>
  <c r="AG37" i="17" s="1"/>
  <c r="AF36" i="17"/>
  <c r="AG36" i="17" s="1"/>
  <c r="AF35" i="17"/>
  <c r="AG35" i="17" s="1"/>
  <c r="AF34" i="17"/>
  <c r="AG34" i="17" s="1"/>
  <c r="AF33" i="17"/>
  <c r="AG33" i="17" s="1"/>
  <c r="AF32" i="17"/>
  <c r="AG32" i="17" s="1"/>
  <c r="AF31" i="17"/>
  <c r="AG31" i="17" s="1"/>
  <c r="AF30" i="17"/>
  <c r="AG30" i="17" s="1"/>
  <c r="AF29" i="17"/>
  <c r="AG29" i="17" s="1"/>
  <c r="AF28" i="17"/>
  <c r="AG28" i="17" s="1"/>
  <c r="AF27" i="17"/>
  <c r="AG27" i="17" s="1"/>
  <c r="AF26" i="17"/>
  <c r="AG26" i="17" s="1"/>
  <c r="AF25" i="17"/>
  <c r="AG25" i="17" s="1"/>
  <c r="AF24" i="17"/>
  <c r="AG24" i="17" s="1"/>
  <c r="AF23" i="17"/>
  <c r="AG23" i="17" s="1"/>
  <c r="AF22" i="17"/>
  <c r="AG22" i="17" s="1"/>
  <c r="AF21" i="17"/>
  <c r="AG21" i="17" s="1"/>
  <c r="AF20" i="17"/>
  <c r="AG20" i="17" s="1"/>
  <c r="AF19" i="17"/>
  <c r="AG19" i="17" s="1"/>
  <c r="AG18" i="17"/>
  <c r="AF18" i="17"/>
  <c r="AF17" i="17"/>
  <c r="AG17" i="17" s="1"/>
  <c r="AF16" i="17"/>
  <c r="AG16" i="17" s="1"/>
  <c r="AF15" i="17"/>
  <c r="AG15" i="17" s="1"/>
  <c r="AF14" i="17"/>
  <c r="AG14" i="17" s="1"/>
  <c r="AF13" i="17"/>
  <c r="AG13" i="17" s="1"/>
  <c r="AF12" i="17"/>
  <c r="AG12" i="17" s="1"/>
  <c r="AF11" i="17"/>
  <c r="AG11" i="17" s="1"/>
  <c r="AF10" i="17"/>
  <c r="AG10" i="17" s="1"/>
  <c r="AF9" i="17"/>
  <c r="AG9" i="17" s="1"/>
  <c r="AF8" i="17"/>
  <c r="AG8" i="17" s="1"/>
  <c r="AF7" i="17"/>
  <c r="AG7" i="17" s="1"/>
  <c r="AF6" i="17"/>
  <c r="AG6" i="17" s="1"/>
  <c r="AF5" i="17"/>
  <c r="AG5" i="17" s="1"/>
  <c r="AF4" i="17"/>
  <c r="AG4" i="17" s="1"/>
  <c r="AF3" i="17"/>
  <c r="AG3" i="17" s="1"/>
  <c r="AF2" i="17"/>
  <c r="AG2" i="17" s="1"/>
  <c r="AE20" i="16"/>
  <c r="AE19" i="16"/>
  <c r="AE18" i="16"/>
  <c r="AE17" i="16"/>
  <c r="AE15" i="16"/>
  <c r="AE14" i="16"/>
  <c r="AE13" i="16"/>
  <c r="AE11" i="16"/>
  <c r="AE10" i="16"/>
  <c r="AE9" i="16"/>
  <c r="AE8" i="16"/>
  <c r="AE5" i="16"/>
  <c r="AE4" i="16"/>
  <c r="AE2" i="16"/>
  <c r="AE20" i="15"/>
  <c r="AE19" i="15"/>
  <c r="AE18" i="15"/>
  <c r="AE17" i="15"/>
  <c r="AE15" i="15"/>
  <c r="AE14" i="15"/>
  <c r="AE13" i="15"/>
  <c r="AE11" i="15"/>
  <c r="AE10" i="15"/>
  <c r="AE9" i="15"/>
  <c r="AE8" i="15"/>
  <c r="AE6" i="15"/>
  <c r="AE5" i="15"/>
  <c r="AE4" i="15"/>
  <c r="Z20" i="12" l="1"/>
  <c r="AA20" i="12" s="1"/>
  <c r="AB20" i="12" s="1"/>
  <c r="AC20" i="12" s="1"/>
  <c r="AD20" i="12" s="1"/>
  <c r="AE20" i="12" s="1"/>
  <c r="AF20" i="12" s="1"/>
  <c r="AG20" i="12" s="1"/>
  <c r="V20" i="12"/>
  <c r="W20" i="12" s="1"/>
  <c r="X20" i="12" s="1"/>
  <c r="Z19" i="12"/>
  <c r="AA19" i="12" s="1"/>
  <c r="AB19" i="12" s="1"/>
  <c r="AC19" i="12" s="1"/>
  <c r="AD19" i="12" s="1"/>
  <c r="AE19" i="12" s="1"/>
  <c r="AF19" i="12" s="1"/>
  <c r="AG19" i="12" s="1"/>
  <c r="V19" i="12"/>
  <c r="W19" i="12" s="1"/>
  <c r="X19" i="12" s="1"/>
  <c r="Z18" i="12"/>
  <c r="AA18" i="12" s="1"/>
  <c r="AB18" i="12" s="1"/>
  <c r="AC18" i="12" s="1"/>
  <c r="AD18" i="12" s="1"/>
  <c r="AE18" i="12" s="1"/>
  <c r="AF18" i="12" s="1"/>
  <c r="AG18" i="12" s="1"/>
  <c r="V18" i="12"/>
  <c r="W18" i="12" s="1"/>
  <c r="X18" i="12" s="1"/>
  <c r="AA17" i="12"/>
  <c r="AB17" i="12" s="1"/>
  <c r="AC17" i="12" s="1"/>
  <c r="AD17" i="12" s="1"/>
  <c r="AE17" i="12" s="1"/>
  <c r="AF17" i="12" s="1"/>
  <c r="AG17" i="12" s="1"/>
  <c r="Z17" i="12"/>
  <c r="V17" i="12"/>
  <c r="W17" i="12" s="1"/>
  <c r="X17" i="12" s="1"/>
  <c r="Z16" i="12"/>
  <c r="AA16" i="12" s="1"/>
  <c r="AB16" i="12" s="1"/>
  <c r="AC16" i="12" s="1"/>
  <c r="AD16" i="12" s="1"/>
  <c r="AE16" i="12" s="1"/>
  <c r="AF16" i="12" s="1"/>
  <c r="AG16" i="12" s="1"/>
  <c r="V16" i="12"/>
  <c r="W16" i="12" s="1"/>
  <c r="X16" i="12" s="1"/>
  <c r="Z15" i="12"/>
  <c r="AA15" i="12" s="1"/>
  <c r="AB15" i="12" s="1"/>
  <c r="AC15" i="12" s="1"/>
  <c r="AD15" i="12" s="1"/>
  <c r="AE15" i="12" s="1"/>
  <c r="AF15" i="12" s="1"/>
  <c r="AG15" i="12" s="1"/>
  <c r="V15" i="12"/>
  <c r="W15" i="12" s="1"/>
  <c r="X15" i="12" s="1"/>
  <c r="Z14" i="12"/>
  <c r="AA14" i="12" s="1"/>
  <c r="AB14" i="12" s="1"/>
  <c r="AC14" i="12" s="1"/>
  <c r="AD14" i="12" s="1"/>
  <c r="AE14" i="12" s="1"/>
  <c r="AF14" i="12" s="1"/>
  <c r="AG14" i="12" s="1"/>
  <c r="W14" i="12"/>
  <c r="X14" i="12" s="1"/>
  <c r="V14" i="12"/>
  <c r="Z13" i="12"/>
  <c r="AA13" i="12" s="1"/>
  <c r="AB13" i="12" s="1"/>
  <c r="AC13" i="12" s="1"/>
  <c r="AD13" i="12" s="1"/>
  <c r="AE13" i="12" s="1"/>
  <c r="AF13" i="12" s="1"/>
  <c r="AG13" i="12" s="1"/>
  <c r="V13" i="12"/>
  <c r="W13" i="12" s="1"/>
  <c r="X13" i="12" s="1"/>
  <c r="Z12" i="12"/>
  <c r="AA12" i="12" s="1"/>
  <c r="AB12" i="12" s="1"/>
  <c r="AC12" i="12" s="1"/>
  <c r="AD12" i="12" s="1"/>
  <c r="AE12" i="12" s="1"/>
  <c r="AF12" i="12" s="1"/>
  <c r="AG12" i="12" s="1"/>
  <c r="V12" i="12"/>
  <c r="W12" i="12" s="1"/>
  <c r="X12" i="12" s="1"/>
  <c r="Z11" i="12"/>
  <c r="AA11" i="12" s="1"/>
  <c r="AB11" i="12" s="1"/>
  <c r="AC11" i="12" s="1"/>
  <c r="AD11" i="12" s="1"/>
  <c r="AE11" i="12" s="1"/>
  <c r="AF11" i="12" s="1"/>
  <c r="AG11" i="12" s="1"/>
  <c r="V11" i="12"/>
  <c r="W11" i="12" s="1"/>
  <c r="X11" i="12" s="1"/>
  <c r="Z10" i="12"/>
  <c r="AA10" i="12" s="1"/>
  <c r="AB10" i="12" s="1"/>
  <c r="AC10" i="12" s="1"/>
  <c r="AD10" i="12" s="1"/>
  <c r="AE10" i="12" s="1"/>
  <c r="AF10" i="12" s="1"/>
  <c r="AG10" i="12" s="1"/>
  <c r="V10" i="12"/>
  <c r="W10" i="12" s="1"/>
  <c r="X10" i="12" s="1"/>
  <c r="AA9" i="12"/>
  <c r="AB9" i="12" s="1"/>
  <c r="AC9" i="12" s="1"/>
  <c r="AD9" i="12" s="1"/>
  <c r="AE9" i="12" s="1"/>
  <c r="AF9" i="12" s="1"/>
  <c r="AG9" i="12" s="1"/>
  <c r="Z9" i="12"/>
  <c r="V9" i="12"/>
  <c r="W9" i="12" s="1"/>
  <c r="X9" i="12" s="1"/>
  <c r="Z8" i="12"/>
  <c r="AA8" i="12" s="1"/>
  <c r="AB8" i="12" s="1"/>
  <c r="AC8" i="12" s="1"/>
  <c r="AD8" i="12" s="1"/>
  <c r="AE8" i="12" s="1"/>
  <c r="AF8" i="12" s="1"/>
  <c r="AG8" i="12" s="1"/>
  <c r="V8" i="12"/>
  <c r="W8" i="12" s="1"/>
  <c r="X8" i="12" s="1"/>
  <c r="Z7" i="12"/>
  <c r="AA7" i="12" s="1"/>
  <c r="AB7" i="12" s="1"/>
  <c r="AC7" i="12" s="1"/>
  <c r="AD7" i="12" s="1"/>
  <c r="AE7" i="12" s="1"/>
  <c r="AF7" i="12" s="1"/>
  <c r="AG7" i="12" s="1"/>
  <c r="V7" i="12"/>
  <c r="W7" i="12" s="1"/>
  <c r="X7" i="12" s="1"/>
  <c r="Z6" i="12"/>
  <c r="AA6" i="12" s="1"/>
  <c r="AB6" i="12" s="1"/>
  <c r="AC6" i="12" s="1"/>
  <c r="AD6" i="12" s="1"/>
  <c r="AE6" i="12" s="1"/>
  <c r="AF6" i="12" s="1"/>
  <c r="AG6" i="12" s="1"/>
  <c r="W6" i="12"/>
  <c r="X6" i="12" s="1"/>
  <c r="V6" i="12"/>
  <c r="Z5" i="12"/>
  <c r="AA5" i="12" s="1"/>
  <c r="AB5" i="12" s="1"/>
  <c r="AC5" i="12" s="1"/>
  <c r="AD5" i="12" s="1"/>
  <c r="AE5" i="12" s="1"/>
  <c r="AF5" i="12" s="1"/>
  <c r="AG5" i="12" s="1"/>
  <c r="V5" i="12"/>
  <c r="W5" i="12" s="1"/>
  <c r="X5" i="12" s="1"/>
  <c r="Z4" i="12"/>
  <c r="AA4" i="12" s="1"/>
  <c r="AB4" i="12" s="1"/>
  <c r="AC4" i="12" s="1"/>
  <c r="AD4" i="12" s="1"/>
  <c r="AE4" i="12" s="1"/>
  <c r="AF4" i="12" s="1"/>
  <c r="AG4" i="12" s="1"/>
  <c r="V4" i="12"/>
  <c r="W4" i="12" s="1"/>
  <c r="X4" i="12" s="1"/>
  <c r="AA3" i="12"/>
  <c r="AB3" i="12" s="1"/>
  <c r="AC3" i="12" s="1"/>
  <c r="AD3" i="12" s="1"/>
  <c r="AE3" i="12" s="1"/>
  <c r="AF3" i="12" s="1"/>
  <c r="AG3" i="12" s="1"/>
  <c r="Z3" i="12"/>
  <c r="V3" i="12"/>
  <c r="W3" i="12" s="1"/>
  <c r="X3" i="12" s="1"/>
  <c r="Z2" i="12"/>
  <c r="AA2" i="12" s="1"/>
  <c r="AB2" i="12" s="1"/>
  <c r="AC2" i="12" s="1"/>
  <c r="AD2" i="12" s="1"/>
  <c r="AE2" i="12" s="1"/>
  <c r="AF2" i="12" s="1"/>
  <c r="AG2" i="12" s="1"/>
  <c r="W2" i="12"/>
  <c r="X2" i="12" s="1"/>
  <c r="V2" i="12"/>
  <c r="AG301" i="5" l="1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H301" i="4"/>
  <c r="AH300" i="4"/>
  <c r="AH299" i="4"/>
  <c r="AH298" i="4"/>
  <c r="AH297" i="4"/>
  <c r="AH296" i="4"/>
  <c r="AH295" i="4"/>
  <c r="AH294" i="4"/>
  <c r="AH293" i="4"/>
  <c r="AH292" i="4"/>
  <c r="AH291" i="4"/>
  <c r="AH290" i="4"/>
  <c r="AH289" i="4"/>
  <c r="AH288" i="4"/>
  <c r="AH287" i="4"/>
  <c r="AH286" i="4"/>
  <c r="AH285" i="4"/>
  <c r="AH284" i="4"/>
  <c r="AH283" i="4"/>
  <c r="AH282" i="4"/>
  <c r="AH281" i="4"/>
  <c r="AH280" i="4"/>
  <c r="AH279" i="4"/>
  <c r="AH278" i="4"/>
  <c r="AH277" i="4"/>
  <c r="AH276" i="4"/>
  <c r="AH275" i="4"/>
  <c r="AH274" i="4"/>
  <c r="AH273" i="4"/>
  <c r="AH272" i="4"/>
  <c r="AH271" i="4"/>
  <c r="AH270" i="4"/>
  <c r="AH269" i="4"/>
  <c r="AH268" i="4"/>
  <c r="AH267" i="4"/>
  <c r="AH266" i="4"/>
  <c r="AH265" i="4"/>
  <c r="AH264" i="4"/>
  <c r="AH263" i="4"/>
  <c r="AH262" i="4"/>
  <c r="AH261" i="4"/>
  <c r="AH260" i="4"/>
  <c r="AH259" i="4"/>
  <c r="AH258" i="4"/>
  <c r="AH257" i="4"/>
  <c r="AH256" i="4"/>
  <c r="AH255" i="4"/>
  <c r="AH254" i="4"/>
  <c r="AH253" i="4"/>
  <c r="AH252" i="4"/>
  <c r="AH251" i="4"/>
  <c r="AH250" i="4"/>
  <c r="AH249" i="4"/>
  <c r="AH248" i="4"/>
  <c r="AH247" i="4"/>
  <c r="AH246" i="4"/>
  <c r="AH245" i="4"/>
  <c r="AH244" i="4"/>
  <c r="AH243" i="4"/>
  <c r="AH242" i="4"/>
  <c r="AH241" i="4"/>
  <c r="AH240" i="4"/>
  <c r="AH239" i="4"/>
  <c r="AH238" i="4"/>
  <c r="AH237" i="4"/>
  <c r="AH236" i="4"/>
  <c r="AH235" i="4"/>
  <c r="AH234" i="4"/>
  <c r="AH233" i="4"/>
  <c r="AH232" i="4"/>
  <c r="AH231" i="4"/>
  <c r="AH230" i="4"/>
  <c r="AH229" i="4"/>
  <c r="AH228" i="4"/>
  <c r="AH227" i="4"/>
  <c r="AH226" i="4"/>
  <c r="AH225" i="4"/>
  <c r="AH224" i="4"/>
  <c r="AH223" i="4"/>
  <c r="AH222" i="4"/>
  <c r="AH221" i="4"/>
  <c r="AH220" i="4"/>
  <c r="AH219" i="4"/>
  <c r="AH218" i="4"/>
  <c r="AH217" i="4"/>
  <c r="AH216" i="4"/>
  <c r="AH215" i="4"/>
  <c r="AH214" i="4"/>
  <c r="AH213" i="4"/>
  <c r="AH212" i="4"/>
  <c r="AH211" i="4"/>
  <c r="AH210" i="4"/>
  <c r="AH209" i="4"/>
  <c r="AH208" i="4"/>
  <c r="AH207" i="4"/>
  <c r="AH206" i="4"/>
  <c r="AH205" i="4"/>
  <c r="AH204" i="4"/>
  <c r="AH203" i="4"/>
  <c r="AH202" i="4"/>
  <c r="AH201" i="4"/>
  <c r="AH200" i="4"/>
  <c r="AH199" i="4"/>
  <c r="AH198" i="4"/>
  <c r="AH197" i="4"/>
  <c r="AH196" i="4"/>
  <c r="AH195" i="4"/>
  <c r="AH194" i="4"/>
  <c r="AH193" i="4"/>
  <c r="AH192" i="4"/>
  <c r="AH191" i="4"/>
  <c r="AH190" i="4"/>
  <c r="AH189" i="4"/>
  <c r="AH188" i="4"/>
  <c r="AH187" i="4"/>
  <c r="AH186" i="4"/>
  <c r="AH185" i="4"/>
  <c r="AH184" i="4"/>
  <c r="AH183" i="4"/>
  <c r="AH182" i="4"/>
  <c r="AH181" i="4"/>
  <c r="AH180" i="4"/>
  <c r="AH179" i="4"/>
  <c r="AH178" i="4"/>
  <c r="AH177" i="4"/>
  <c r="AH176" i="4"/>
  <c r="AH175" i="4"/>
  <c r="AH174" i="4"/>
  <c r="AH173" i="4"/>
  <c r="AH172" i="4"/>
  <c r="AH171" i="4"/>
  <c r="AH170" i="4"/>
  <c r="AH169" i="4"/>
  <c r="AH168" i="4"/>
  <c r="AH167" i="4"/>
  <c r="AH166" i="4"/>
  <c r="AH165" i="4"/>
  <c r="AH164" i="4"/>
  <c r="AH163" i="4"/>
  <c r="AH162" i="4"/>
  <c r="AH161" i="4"/>
  <c r="AH160" i="4"/>
  <c r="AH159" i="4"/>
  <c r="AH158" i="4"/>
  <c r="AH157" i="4"/>
  <c r="AH156" i="4"/>
  <c r="AH155" i="4"/>
  <c r="AH154" i="4"/>
  <c r="AH153" i="4"/>
  <c r="AH152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I122" i="4"/>
  <c r="AH122" i="4"/>
  <c r="AH121" i="4"/>
  <c r="AI121" i="4" s="1"/>
  <c r="AI120" i="4"/>
  <c r="AH120" i="4"/>
  <c r="AH119" i="4"/>
  <c r="AI119" i="4" s="1"/>
  <c r="AI118" i="4"/>
  <c r="AH118" i="4"/>
  <c r="AH117" i="4"/>
  <c r="AI117" i="4" s="1"/>
  <c r="AI116" i="4"/>
  <c r="AH116" i="4"/>
  <c r="AH115" i="4"/>
  <c r="AI115" i="4" s="1"/>
  <c r="AI114" i="4"/>
  <c r="AH114" i="4"/>
  <c r="AH113" i="4"/>
  <c r="AI113" i="4" s="1"/>
  <c r="AI112" i="4"/>
  <c r="AH112" i="4"/>
  <c r="AH111" i="4"/>
  <c r="AI111" i="4" s="1"/>
  <c r="AI110" i="4"/>
  <c r="AH110" i="4"/>
  <c r="AH109" i="4"/>
  <c r="AI109" i="4" s="1"/>
  <c r="AI108" i="4"/>
  <c r="AH108" i="4"/>
  <c r="AH107" i="4"/>
  <c r="AI107" i="4" s="1"/>
  <c r="AI106" i="4"/>
  <c r="AH106" i="4"/>
  <c r="AH105" i="4"/>
  <c r="AI105" i="4" s="1"/>
  <c r="AI104" i="4"/>
  <c r="AH104" i="4"/>
  <c r="AH103" i="4"/>
  <c r="AI103" i="4" s="1"/>
  <c r="AI102" i="4"/>
  <c r="AH102" i="4"/>
  <c r="AH101" i="4"/>
  <c r="AI101" i="4" s="1"/>
  <c r="AI100" i="4"/>
  <c r="AH100" i="4"/>
  <c r="AH99" i="4"/>
  <c r="AI99" i="4" s="1"/>
  <c r="AI98" i="4"/>
  <c r="AH98" i="4"/>
  <c r="AH97" i="4"/>
  <c r="AI97" i="4" s="1"/>
  <c r="AI96" i="4"/>
  <c r="AH96" i="4"/>
  <c r="AH95" i="4"/>
  <c r="AI95" i="4" s="1"/>
  <c r="AI94" i="4"/>
  <c r="AH94" i="4"/>
  <c r="AH93" i="4"/>
  <c r="AI93" i="4" s="1"/>
  <c r="AI92" i="4"/>
  <c r="AH92" i="4"/>
  <c r="AH91" i="4"/>
  <c r="AI91" i="4" s="1"/>
  <c r="AI90" i="4"/>
  <c r="AH90" i="4"/>
  <c r="AH89" i="4"/>
  <c r="AI89" i="4" s="1"/>
  <c r="AI88" i="4"/>
  <c r="AH88" i="4"/>
  <c r="AH87" i="4"/>
  <c r="AI87" i="4" s="1"/>
  <c r="AI86" i="4"/>
  <c r="AH86" i="4"/>
  <c r="AH85" i="4"/>
  <c r="AI85" i="4" s="1"/>
  <c r="AI84" i="4"/>
  <c r="AH84" i="4"/>
  <c r="AH83" i="4"/>
  <c r="AI83" i="4" s="1"/>
  <c r="AI82" i="4"/>
  <c r="AH82" i="4"/>
  <c r="AH81" i="4"/>
  <c r="AI81" i="4" s="1"/>
  <c r="AI80" i="4"/>
  <c r="AH80" i="4"/>
  <c r="AH79" i="4"/>
  <c r="AI79" i="4" s="1"/>
  <c r="AI78" i="4"/>
  <c r="AH78" i="4"/>
  <c r="AH77" i="4"/>
  <c r="AI77" i="4" s="1"/>
  <c r="AI76" i="4"/>
  <c r="AH76" i="4"/>
  <c r="AH75" i="4"/>
  <c r="AI75" i="4" s="1"/>
  <c r="AI74" i="4"/>
  <c r="AH74" i="4"/>
  <c r="AH73" i="4"/>
  <c r="AI73" i="4" s="1"/>
  <c r="AI72" i="4"/>
  <c r="AH72" i="4"/>
  <c r="AH71" i="4"/>
  <c r="AI71" i="4" s="1"/>
  <c r="AI70" i="4"/>
  <c r="AH70" i="4"/>
  <c r="AH69" i="4"/>
  <c r="AI69" i="4" s="1"/>
  <c r="AI68" i="4"/>
  <c r="AH68" i="4"/>
  <c r="AH67" i="4"/>
  <c r="AI67" i="4" s="1"/>
  <c r="AI66" i="4"/>
  <c r="AH66" i="4"/>
  <c r="AH65" i="4"/>
  <c r="AI65" i="4" s="1"/>
  <c r="AI64" i="4"/>
  <c r="AH64" i="4"/>
  <c r="AH63" i="4"/>
  <c r="AI63" i="4" s="1"/>
  <c r="AI62" i="4"/>
  <c r="AH62" i="4"/>
  <c r="AH61" i="4"/>
  <c r="AI61" i="4" s="1"/>
  <c r="AI60" i="4"/>
  <c r="AH60" i="4"/>
  <c r="AH59" i="4"/>
  <c r="AI59" i="4" s="1"/>
  <c r="AI58" i="4"/>
  <c r="AH58" i="4"/>
  <c r="AH57" i="4"/>
  <c r="AI57" i="4" s="1"/>
  <c r="AI56" i="4"/>
  <c r="AH56" i="4"/>
  <c r="AH55" i="4"/>
  <c r="AI55" i="4" s="1"/>
  <c r="AI54" i="4"/>
  <c r="AH54" i="4"/>
  <c r="AH53" i="4"/>
  <c r="AI53" i="4" s="1"/>
  <c r="AI52" i="4"/>
  <c r="AH52" i="4"/>
  <c r="AH51" i="4"/>
  <c r="AI51" i="4" s="1"/>
  <c r="AI50" i="4"/>
  <c r="AH50" i="4"/>
  <c r="AH49" i="4"/>
  <c r="AI49" i="4" s="1"/>
  <c r="AI48" i="4"/>
  <c r="AH48" i="4"/>
  <c r="AH47" i="4"/>
  <c r="AI47" i="4" s="1"/>
  <c r="AI46" i="4"/>
  <c r="AH46" i="4"/>
  <c r="AH45" i="4"/>
  <c r="AI45" i="4" s="1"/>
  <c r="AI44" i="4"/>
  <c r="AH44" i="4"/>
  <c r="AH43" i="4"/>
  <c r="AI43" i="4" s="1"/>
  <c r="AI42" i="4"/>
  <c r="AH42" i="4"/>
  <c r="AH41" i="4"/>
  <c r="AI41" i="4" s="1"/>
  <c r="AI40" i="4"/>
  <c r="AH40" i="4"/>
  <c r="AH39" i="4"/>
  <c r="AI39" i="4" s="1"/>
  <c r="AI38" i="4"/>
  <c r="AH38" i="4"/>
  <c r="AH37" i="4"/>
  <c r="AI37" i="4" s="1"/>
  <c r="AI36" i="4"/>
  <c r="AH36" i="4"/>
  <c r="AH35" i="4"/>
  <c r="AI35" i="4" s="1"/>
  <c r="AI34" i="4"/>
  <c r="AH34" i="4"/>
  <c r="AH33" i="4"/>
  <c r="AI33" i="4" s="1"/>
  <c r="AI32" i="4"/>
  <c r="AH32" i="4"/>
  <c r="AH31" i="4"/>
  <c r="AI31" i="4" s="1"/>
  <c r="AI30" i="4"/>
  <c r="AH30" i="4"/>
  <c r="AH29" i="4"/>
  <c r="AI29" i="4" s="1"/>
  <c r="AI28" i="4"/>
  <c r="AH28" i="4"/>
  <c r="AH27" i="4"/>
  <c r="AI27" i="4" s="1"/>
  <c r="AI26" i="4"/>
  <c r="AH26" i="4"/>
  <c r="AH25" i="4"/>
  <c r="AI25" i="4" s="1"/>
  <c r="AI24" i="4"/>
  <c r="AH24" i="4"/>
  <c r="AH23" i="4"/>
  <c r="AI23" i="4" s="1"/>
  <c r="AI22" i="4"/>
  <c r="AH22" i="4"/>
  <c r="AH21" i="4"/>
  <c r="AI21" i="4" s="1"/>
  <c r="AI20" i="4"/>
  <c r="AH20" i="4"/>
  <c r="AH19" i="4"/>
  <c r="AI19" i="4" s="1"/>
  <c r="AI18" i="4"/>
  <c r="AH18" i="4"/>
  <c r="AH17" i="4"/>
  <c r="AI17" i="4" s="1"/>
  <c r="AI16" i="4"/>
  <c r="AH16" i="4"/>
  <c r="AH15" i="4"/>
  <c r="AI15" i="4" s="1"/>
  <c r="AI14" i="4"/>
  <c r="AH14" i="4"/>
  <c r="AH13" i="4"/>
  <c r="AI13" i="4" s="1"/>
  <c r="AI12" i="4"/>
  <c r="AH12" i="4"/>
  <c r="AH11" i="4"/>
  <c r="AI11" i="4" s="1"/>
  <c r="AI10" i="4"/>
  <c r="AH10" i="4"/>
  <c r="AH9" i="4"/>
  <c r="AI9" i="4" s="1"/>
  <c r="AI8" i="4"/>
  <c r="AH8" i="4"/>
  <c r="AH7" i="4"/>
  <c r="AI7" i="4" s="1"/>
  <c r="AI6" i="4"/>
  <c r="AH6" i="4"/>
  <c r="AH5" i="4"/>
  <c r="AI5" i="4" s="1"/>
  <c r="AI4" i="4"/>
  <c r="AH4" i="4"/>
  <c r="AH3" i="4"/>
  <c r="AI3" i="4" s="1"/>
  <c r="AI2" i="4"/>
  <c r="AH2" i="4"/>
</calcChain>
</file>

<file path=xl/sharedStrings.xml><?xml version="1.0" encoding="utf-8"?>
<sst xmlns="http://schemas.openxmlformats.org/spreadsheetml/2006/main" count="9321" uniqueCount="792">
  <si>
    <t>2020 Q1</t>
    <phoneticPr fontId="0" type="noConversion"/>
  </si>
  <si>
    <t>Ref</t>
  </si>
  <si>
    <t>Smelter</t>
  </si>
  <si>
    <t>Ch_Smelter</t>
  </si>
  <si>
    <t>Smelter Short Name</t>
  </si>
  <si>
    <t>Group</t>
  </si>
  <si>
    <t>Continent</t>
  </si>
  <si>
    <t>Country</t>
  </si>
  <si>
    <t>Technoloy</t>
  </si>
  <si>
    <t>State/Province</t>
  </si>
  <si>
    <t>Average Cell Life,day</t>
  </si>
  <si>
    <t>Headcount (workshop)</t>
  </si>
  <si>
    <t>Latitude</t>
  </si>
  <si>
    <t>Longitude</t>
  </si>
  <si>
    <t>Energy Source</t>
  </si>
  <si>
    <t>Currency</t>
  </si>
  <si>
    <t>Baise Mining</t>
  </si>
  <si>
    <t>广西百矿铝业有限公司</t>
  </si>
  <si>
    <t>Asia</t>
  </si>
  <si>
    <t>China</t>
  </si>
  <si>
    <t>Prebaked</t>
  </si>
  <si>
    <t>Guangxi</t>
  </si>
  <si>
    <t>Provincial SOE</t>
  </si>
  <si>
    <t>Baise Yinhai</t>
  </si>
  <si>
    <t>广西百色银海铝业有限责任公司</t>
  </si>
  <si>
    <t>GIG</t>
  </si>
  <si>
    <t>Baotou Aluminum</t>
  </si>
  <si>
    <t>包头铝业有限公司</t>
  </si>
  <si>
    <t>Chalco Baotou</t>
  </si>
  <si>
    <t>Chalco</t>
  </si>
  <si>
    <t>Inner Mongolia</t>
  </si>
  <si>
    <t>Central SOE</t>
  </si>
  <si>
    <t>Bomei Qimingxing</t>
  </si>
  <si>
    <t>眉山市博眉启明星铝业有限公司</t>
  </si>
  <si>
    <t>Bomei Aluminium</t>
  </si>
  <si>
    <t>Bosai</t>
  </si>
  <si>
    <t>Sichuan</t>
  </si>
  <si>
    <t>Private</t>
  </si>
  <si>
    <t>Bosai Ngawa</t>
  </si>
  <si>
    <t>阿坝铝厂</t>
  </si>
  <si>
    <t>Aba Aluminium</t>
  </si>
  <si>
    <t>Chalco Lanzhou</t>
  </si>
  <si>
    <t>中国铝业股份有限公司兰州分公司</t>
  </si>
  <si>
    <t>Gansu</t>
  </si>
  <si>
    <t>Chalco Liancheng</t>
  </si>
  <si>
    <t>中国铝业股份有限公司连城分公司</t>
  </si>
  <si>
    <t>Chalco Qinghai</t>
  </si>
  <si>
    <t>中国铝业股份有限公司青海分公司</t>
  </si>
  <si>
    <t>Qinghai</t>
  </si>
  <si>
    <t>Chalco Qinyang</t>
  </si>
  <si>
    <t>中铝沁阳</t>
  </si>
  <si>
    <t>Henan</t>
  </si>
  <si>
    <t>Chalco Shanxi Huarun</t>
  </si>
  <si>
    <t>山西中铝华润有限公司</t>
  </si>
  <si>
    <t>Chalco Huarun</t>
  </si>
  <si>
    <t>Shanxi</t>
  </si>
  <si>
    <t>Chalco Shanxi New Material (Aluminium)</t>
  </si>
  <si>
    <t>中铝山西新材料有限公司电解铝</t>
  </si>
  <si>
    <t>Chalco Huaze</t>
  </si>
  <si>
    <t>Chalco Runxin (Yunnan)</t>
  </si>
  <si>
    <t>云南云铝润鑫铝业有限公司</t>
  </si>
  <si>
    <t>Yunnan Runxin</t>
  </si>
  <si>
    <t>Yunnan</t>
  </si>
  <si>
    <t>Chalco Yongxin (Yunnan)</t>
  </si>
  <si>
    <t>云南云铝涌鑫铝业有限公司</t>
  </si>
  <si>
    <t>Yunnan Yongxin</t>
  </si>
  <si>
    <t>Chalco Zexin (Yunnan)</t>
  </si>
  <si>
    <t>云南云铝泽鑫铝业有限公司</t>
  </si>
  <si>
    <t>Yunnan Zeixin</t>
  </si>
  <si>
    <t>Yunnan Aluminium</t>
  </si>
  <si>
    <t>云南铝业股份有限公司</t>
  </si>
  <si>
    <t>Chalco Yuxin (Yunnan)</t>
  </si>
  <si>
    <t>曲靖云铝淯鑫铝业有限公司</t>
  </si>
  <si>
    <t>Qujing Aluminium</t>
  </si>
  <si>
    <t>Chalco Haixin (Yunnan)</t>
  </si>
  <si>
    <t>云南云铝海鑫铝业有限公司</t>
  </si>
  <si>
    <t>Yunnan Haixin</t>
  </si>
  <si>
    <t>Chongqing Energy Banner</t>
  </si>
  <si>
    <t>重庆旗能电铝有限公司</t>
  </si>
  <si>
    <t>Qineng</t>
  </si>
  <si>
    <t>Chongqing Energy</t>
  </si>
  <si>
    <t>Chongqing</t>
  </si>
  <si>
    <t>Chongqing Guofeng</t>
  </si>
  <si>
    <t>重庆国丰实业有限公司</t>
  </si>
  <si>
    <t>Guofeng Industry</t>
  </si>
  <si>
    <t>Guofeng</t>
  </si>
  <si>
    <t>Chongqing Jinghongyuan</t>
  </si>
  <si>
    <t>重庆京宏源</t>
  </si>
  <si>
    <t>Jinghongyuan</t>
  </si>
  <si>
    <t>Chuangyuan</t>
  </si>
  <si>
    <t>创元铝业</t>
  </si>
  <si>
    <t>Zengshi</t>
  </si>
  <si>
    <t>Hunan</t>
  </si>
  <si>
    <t>Datang recycle</t>
  </si>
  <si>
    <t>内蒙古大唐国际再生资源开发有限公司</t>
  </si>
  <si>
    <t>Datang Aluminium</t>
  </si>
  <si>
    <t>Datang</t>
  </si>
  <si>
    <t>Debao Baise Mining</t>
  </si>
  <si>
    <t>广西德保百矿铝业有限公司</t>
  </si>
  <si>
    <t>Baise Mining Debao</t>
  </si>
  <si>
    <t>Dongsheng Aluminium</t>
  </si>
  <si>
    <t>东升铝业</t>
  </si>
  <si>
    <t>Dongsheng</t>
  </si>
  <si>
    <t>East Hope Baotou</t>
  </si>
  <si>
    <t>东方希望包头稀土铝业有限责任公司</t>
  </si>
  <si>
    <t>East Hope Rare Earth Aluminium</t>
  </si>
  <si>
    <t>East Hope</t>
  </si>
  <si>
    <t>East Hope Xinjiang</t>
  </si>
  <si>
    <t>新疆东方希望有色金属有限公司</t>
  </si>
  <si>
    <t>Xinjiang</t>
  </si>
  <si>
    <t>Faxing Aluminium</t>
  </si>
  <si>
    <t>发祥铝业</t>
  </si>
  <si>
    <t>Faxiang</t>
  </si>
  <si>
    <t>Fujian Nanping</t>
  </si>
  <si>
    <t>福建省南平铝业股份有限公司</t>
  </si>
  <si>
    <t>Nanping</t>
  </si>
  <si>
    <t>Fujian</t>
  </si>
  <si>
    <t>Gansu Linzhao</t>
  </si>
  <si>
    <t>甘肃省临洮铝业有限责任公司</t>
  </si>
  <si>
    <t>Lintao Aluminium</t>
  </si>
  <si>
    <t>Gansu Lintao</t>
  </si>
  <si>
    <t>Guangxi Baikuang</t>
  </si>
  <si>
    <t>广西田林百矿铝业有限公司</t>
  </si>
  <si>
    <t>Baise Mining Tianling</t>
  </si>
  <si>
    <t>Guangxi Hualei</t>
  </si>
  <si>
    <t>广西华磊新材料有限公司</t>
  </si>
  <si>
    <t>Chalco Hualei</t>
  </si>
  <si>
    <t>Guangxi Suyuan</t>
  </si>
  <si>
    <t>广西苏源投资股份有限公司</t>
  </si>
  <si>
    <t>Suyuan Investment</t>
  </si>
  <si>
    <t>Guangyuan Qimingxing</t>
  </si>
  <si>
    <t>四川广元启明星铝业有限责任公司</t>
  </si>
  <si>
    <t>Qimingxing</t>
  </si>
  <si>
    <t>Guizhou Huangguoshu</t>
  </si>
  <si>
    <t>贵州省安顺黄果树铝业有限公司</t>
  </si>
  <si>
    <t>Limei Aluminium</t>
  </si>
  <si>
    <t>Guizhou</t>
  </si>
  <si>
    <t>Guizhou Huaren</t>
  </si>
  <si>
    <t>贵州华仁新材料有限公司</t>
  </si>
  <si>
    <t>Chalco Guizhou</t>
  </si>
  <si>
    <t>Guizhou Shuangyuan</t>
  </si>
  <si>
    <t>贵州省六盘水双元铝业有限责任公司</t>
  </si>
  <si>
    <t>Shaungyuan</t>
  </si>
  <si>
    <t>Hanjiang Danjiangkou</t>
  </si>
  <si>
    <t>汉江丹江口铝业有限责任公司</t>
  </si>
  <si>
    <t>Danjiankou Aluminium</t>
  </si>
  <si>
    <t>Hanjiang Hydro</t>
  </si>
  <si>
    <t>Hubei</t>
  </si>
  <si>
    <t>Henan Wanji</t>
  </si>
  <si>
    <t>河南万基铝业股份有限公司</t>
  </si>
  <si>
    <t>Wanji</t>
  </si>
  <si>
    <t>Henan Wanji (No.1 Factory)</t>
  </si>
  <si>
    <t>河南万基铝业股份有限公司一分厂</t>
  </si>
  <si>
    <t>Henan Yugang Longquan</t>
  </si>
  <si>
    <t>河南豫港龙泉铝业有限公司</t>
  </si>
  <si>
    <t>Yichuan Yugang Longquan</t>
  </si>
  <si>
    <t>Yichuan Electricity</t>
  </si>
  <si>
    <t>Henan Zhongfu</t>
  </si>
  <si>
    <t>河南中孚铝业有限公司</t>
  </si>
  <si>
    <t>Zhongfu Industry</t>
  </si>
  <si>
    <t>Zhongfu</t>
  </si>
  <si>
    <t>Heqing Yixin</t>
  </si>
  <si>
    <t>鹤庆溢鑫铝业有限公司</t>
  </si>
  <si>
    <t>Yunnan Yixin</t>
  </si>
  <si>
    <t>Huanghe Xinye</t>
  </si>
  <si>
    <t>黄河鑫业有限公司</t>
  </si>
  <si>
    <t>SPIC Qinghai</t>
  </si>
  <si>
    <t>SPIC</t>
  </si>
  <si>
    <t>Inner Mongolia Chuangyuan</t>
  </si>
  <si>
    <t>内蒙古创源金属有限公司</t>
  </si>
  <si>
    <t>Chuangxin</t>
  </si>
  <si>
    <t>Inner Mongolia Huayun</t>
  </si>
  <si>
    <t>内蒙古华云新材料有限公司</t>
  </si>
  <si>
    <t>Chalco Huayun</t>
  </si>
  <si>
    <t>Inner Mongolia Jinlian</t>
  </si>
  <si>
    <t>内蒙古锦联铝材有限公司</t>
  </si>
  <si>
    <t>Jinlian</t>
  </si>
  <si>
    <t>Jinjiang</t>
  </si>
  <si>
    <t>Jiaozuo Wanfang</t>
  </si>
  <si>
    <t>焦作万方铝业股份有限公司</t>
  </si>
  <si>
    <t>Wanfang</t>
  </si>
  <si>
    <t>Jiayuguan Dongxing</t>
  </si>
  <si>
    <t>甘肃东兴铝业有限公司嘉峪关分公司</t>
  </si>
  <si>
    <t>Dongxing Jiayuguan</t>
  </si>
  <si>
    <t>JISCO</t>
  </si>
  <si>
    <t>Jinyuan Aluminium</t>
  </si>
  <si>
    <t>金源铝业</t>
  </si>
  <si>
    <t>Jinyuan</t>
  </si>
  <si>
    <t>Keao Aluminium</t>
  </si>
  <si>
    <t>科奥铝业</t>
  </si>
  <si>
    <t>Yankuang Group</t>
  </si>
  <si>
    <t>Shandong</t>
  </si>
  <si>
    <t>Laibin Yinhai</t>
  </si>
  <si>
    <t>广西来宾银海铝业有限责任公司</t>
  </si>
  <si>
    <t>Liaocheng Xinyuan</t>
  </si>
  <si>
    <t>聊城信源集团有限公司</t>
  </si>
  <si>
    <t>Xinfa</t>
  </si>
  <si>
    <t>Linzhou Linfeng</t>
  </si>
  <si>
    <t>林州市林丰铝电有限责任公司</t>
  </si>
  <si>
    <t>Linfeng Al.</t>
  </si>
  <si>
    <t>Longxi Dongxing</t>
  </si>
  <si>
    <t>甘肃东兴铝业有限公司陇西分公司</t>
  </si>
  <si>
    <t>Dongxing Longxi</t>
  </si>
  <si>
    <t>Luoyang Yugang Longquan</t>
  </si>
  <si>
    <t>洛阳豫港龙泉铝业有限公司</t>
  </si>
  <si>
    <t>Luquan Quzhai</t>
  </si>
  <si>
    <t>鹿泉曲寨铝业</t>
  </si>
  <si>
    <t>Quzhai Group</t>
  </si>
  <si>
    <t>Hebei</t>
  </si>
  <si>
    <t>Ordos Mengtai</t>
  </si>
  <si>
    <t>鄂尔多斯市蒙泰铝业有限责任公司</t>
  </si>
  <si>
    <t>Mentai Al.</t>
  </si>
  <si>
    <t>Mengtai</t>
  </si>
  <si>
    <t>QHIG Baihe Aluminum</t>
  </si>
  <si>
    <t>青海百河铝业有限责任公司</t>
  </si>
  <si>
    <t>Baihei Al.</t>
  </si>
  <si>
    <t>Qinghai Investment</t>
  </si>
  <si>
    <t>QHIG Baihe Secondary Al.</t>
  </si>
  <si>
    <t>青海百和再生铝业有限责任公司</t>
  </si>
  <si>
    <t>Baihe Recycling Al.</t>
  </si>
  <si>
    <t>QHIG Western Hydropower</t>
  </si>
  <si>
    <t>青海西部水电有限公司</t>
  </si>
  <si>
    <t xml:space="preserve">West Hydropower </t>
  </si>
  <si>
    <t>West Hydro</t>
  </si>
  <si>
    <t>Qinghai Jiayun</t>
  </si>
  <si>
    <t>青海佳韵铝业股份有限公司</t>
  </si>
  <si>
    <t>Qinghai Jiayun Aluminium</t>
  </si>
  <si>
    <t>Qinghai Materials Industry</t>
  </si>
  <si>
    <t>青海物产工业投资有限公司</t>
  </si>
  <si>
    <t>Qinghai Supply and Investment Group</t>
  </si>
  <si>
    <t>Qinghai Qiaotou</t>
  </si>
  <si>
    <t>青海桥头铝电股份有限公司</t>
  </si>
  <si>
    <t>Qinghai Xinheng</t>
  </si>
  <si>
    <t>青海鑫恒铝业有限公司</t>
  </si>
  <si>
    <t>Xinheng</t>
  </si>
  <si>
    <t>Qingtongxia Aluminum</t>
  </si>
  <si>
    <t>青铜峡铝业股份有限公司青铜峡铝业分公司</t>
  </si>
  <si>
    <t>Qingtongxia Al.</t>
  </si>
  <si>
    <t>Ningxia</t>
  </si>
  <si>
    <t>Qingtongxia Aluminum Ningdong</t>
  </si>
  <si>
    <t>青铜峡铝业股份有限公司宁东铝业分公司</t>
  </si>
  <si>
    <t>Qingtongxia Ningdong</t>
  </si>
  <si>
    <t>Shaanxi Meixin</t>
  </si>
  <si>
    <t>陕西美鑫产业投资有限公司</t>
  </si>
  <si>
    <t>Meixin</t>
  </si>
  <si>
    <t>Shaanxi Nonferrous</t>
  </si>
  <si>
    <t>Shaanxi</t>
  </si>
  <si>
    <t>Shaanxi Non-ferrous Metals Yulin</t>
  </si>
  <si>
    <t>陕西有色榆林新材料有限责任公司</t>
  </si>
  <si>
    <t>Yulin New Materials</t>
  </si>
  <si>
    <t>Shandong Huayu</t>
  </si>
  <si>
    <t>山东华宇合金材料有限公司</t>
  </si>
  <si>
    <t>Chiping Xinfa</t>
  </si>
  <si>
    <t>Shandong Nanshan (480ktpa)</t>
  </si>
  <si>
    <t>山东南山铝业股份有限公司（48万吨电解铝）</t>
  </si>
  <si>
    <t>Nanshan</t>
  </si>
  <si>
    <t>Shandong Nanshan (200ktpa)</t>
  </si>
  <si>
    <t>山东南山铝业股份有限公司（20万吨电解铝）</t>
  </si>
  <si>
    <t>Shanxi Huasheng</t>
  </si>
  <si>
    <t>山西华圣铝业有限公司</t>
  </si>
  <si>
    <t>Chalco Huasheng</t>
  </si>
  <si>
    <t>Shanxi Zhaofeng</t>
  </si>
  <si>
    <t>山西兆丰铝电有限责任公司电解铝分公司</t>
  </si>
  <si>
    <t>Zhaofeng</t>
  </si>
  <si>
    <t>Yanquan Coal</t>
  </si>
  <si>
    <t>Shanzhou Hengkang</t>
  </si>
  <si>
    <t>陕县恒康铝业有限公司</t>
  </si>
  <si>
    <t>Hengkang Al.</t>
  </si>
  <si>
    <t>Shaanxi Hengkang</t>
  </si>
  <si>
    <t>Shenhuo Yongcheng</t>
  </si>
  <si>
    <t>河南神火煤电股份有限公司永城铝厂</t>
  </si>
  <si>
    <t>Shenhuo Foguang Al.</t>
  </si>
  <si>
    <t>Shenhuo</t>
  </si>
  <si>
    <t>Shuozhou Energy</t>
  </si>
  <si>
    <t>朔州能源</t>
  </si>
  <si>
    <t>Jinneng Group</t>
  </si>
  <si>
    <t>Sichuan Aostar</t>
  </si>
  <si>
    <t>四川启明星铝业有限责任公司</t>
  </si>
  <si>
    <t xml:space="preserve">Sichuan Linfeng </t>
  </si>
  <si>
    <t>四川林丰</t>
  </si>
  <si>
    <t>SPIC Baiyinhua</t>
  </si>
  <si>
    <t>国电投白音华项目</t>
  </si>
  <si>
    <t>SPIC Huolinhe</t>
  </si>
  <si>
    <t>中电投霍林河煤电集团铝业股份有限公司</t>
  </si>
  <si>
    <t>Huolinhe Coal Corp. Hongjun Al-Power JV</t>
  </si>
  <si>
    <t>SPIC Huomei Hongjun</t>
  </si>
  <si>
    <t>内蒙古霍煤鸿骏铝电有限责任公司</t>
  </si>
  <si>
    <t>SPIC Huomei Hongjun (Zhahanaoer)</t>
  </si>
  <si>
    <t>内蒙古霍煤鸿骏铝电有限责任公司扎哈淖尔分公司</t>
  </si>
  <si>
    <t>Huomei Hongjun Zhahanuoer Branch</t>
  </si>
  <si>
    <t>SPIC Tongshun</t>
  </si>
  <si>
    <t>国电投通顺铝业</t>
  </si>
  <si>
    <t>Taiyuan Donglv</t>
  </si>
  <si>
    <t>太原东铝铝业有限公司</t>
  </si>
  <si>
    <t>Taiyuan New East</t>
  </si>
  <si>
    <t>Tongchuan Aluminium</t>
  </si>
  <si>
    <t>铜川铝业</t>
  </si>
  <si>
    <t>Shaanxi Non-ferrous</t>
  </si>
  <si>
    <t>Weiqiao (1.26 mtpa aluminium)</t>
  </si>
  <si>
    <t>山东魏桥铝电有限公司年产126万吨原铝生产线</t>
  </si>
  <si>
    <t>Weiqiao_1</t>
  </si>
  <si>
    <t>Weiqiao</t>
  </si>
  <si>
    <t>Weiqiao (1.01 mtpa aluminium)</t>
  </si>
  <si>
    <t>山东魏桥铝电有限公司年产101万吨原铝生产线</t>
  </si>
  <si>
    <t>Weiqiao_2</t>
  </si>
  <si>
    <t>Binzhou Zhengtong (220 ktpa aluminium)</t>
  </si>
  <si>
    <t>滨州市政通新型铝材有限公司年产22万吨原铝生产线</t>
  </si>
  <si>
    <t>Weiqiao_3</t>
  </si>
  <si>
    <t>Binzhou Hongnuo (710 ktpa aluminium)</t>
  </si>
  <si>
    <t>滨州市宏诺新材料有限公司年产71万吨原铝生产线</t>
  </si>
  <si>
    <t>Weiqiao_4</t>
  </si>
  <si>
    <t>Beihai Huihong (670 ktpa aluminium)</t>
  </si>
  <si>
    <t>滨州北海汇宏新材料有限公司年产67万吨原铝生产线</t>
  </si>
  <si>
    <t>Weiqiao_5</t>
  </si>
  <si>
    <t>Weiqiao Zouping (600 ktpa aluminium)</t>
  </si>
  <si>
    <t>山东魏桥铝电有限公司邹平年产60万吨原铝生产线</t>
  </si>
  <si>
    <t>Weiqiao_6</t>
  </si>
  <si>
    <t>Weiqiao Yangxin (210 ktpa aluminium)</t>
  </si>
  <si>
    <t>山东魏桥铝电有限公司阳信年产60万吨原铝生产线</t>
  </si>
  <si>
    <t>Weiqiao_7</t>
  </si>
  <si>
    <t>Huimin Huihong (600ktpa aluminium)</t>
  </si>
  <si>
    <t>惠民县汇宏新材料有限公司年产60万吨原铝生产线</t>
  </si>
  <si>
    <t>Weiqiao_8</t>
  </si>
  <si>
    <t>Weiqiao (300ktpa aluminium)</t>
  </si>
  <si>
    <t>山东魏桥铝电有限公司年产30万吨原铝生产线</t>
  </si>
  <si>
    <t>Weiqiao_9</t>
  </si>
  <si>
    <t>Weiqiao (280ktpa aluminium)</t>
  </si>
  <si>
    <t>山东魏桥铝电有限公司年产28万吨原铝生产线</t>
  </si>
  <si>
    <t>Weiqiao_10</t>
  </si>
  <si>
    <t>Weiqiao (210ktpa aluminium)</t>
  </si>
  <si>
    <t>山东魏桥铝电有限公司年产21万吨原铝生产线</t>
  </si>
  <si>
    <t>Weiqiao_11</t>
  </si>
  <si>
    <t>Xiangji Non-ferrous Metals</t>
  </si>
  <si>
    <t>广西翔吉有色金属有限公司</t>
  </si>
  <si>
    <t>Longlin (Guixin) Xiangji Non-ferrous Metal</t>
  </si>
  <si>
    <t>Xiangji</t>
  </si>
  <si>
    <t>Liaocheng Xinyuan (No.1 Factory)</t>
  </si>
  <si>
    <t>聊城信源集团有限公司（一厂）</t>
  </si>
  <si>
    <t>Xinfa Huayuan</t>
  </si>
  <si>
    <t>山东信发华源铝业有限公司</t>
  </si>
  <si>
    <t>Xinfa Guangxi</t>
  </si>
  <si>
    <t>广西信发铝电有限公司</t>
  </si>
  <si>
    <t>Xinfa Jingxi</t>
  </si>
  <si>
    <t>Xinfa Huaxin</t>
  </si>
  <si>
    <t>山东信发华信铝业有限公司</t>
  </si>
  <si>
    <t>Xinjiang Jairun</t>
  </si>
  <si>
    <t>新疆嘉润资源控股有限公司</t>
  </si>
  <si>
    <t>Jiarun</t>
  </si>
  <si>
    <t>Xinjiang Jiarun</t>
  </si>
  <si>
    <t>Xinjiang Nongliushi</t>
  </si>
  <si>
    <t>新疆农六师铝业有限公司</t>
  </si>
  <si>
    <t>Xinfa Xinjiang</t>
  </si>
  <si>
    <t>Xinjiang Qiya</t>
  </si>
  <si>
    <t>新疆其亚铝电有限公司</t>
  </si>
  <si>
    <t>Qiya Xinjiang</t>
  </si>
  <si>
    <t>Qiya</t>
  </si>
  <si>
    <t xml:space="preserve">Xinjiang Shenhuo </t>
  </si>
  <si>
    <t>新疆神火煤电有限公司</t>
  </si>
  <si>
    <t>Shenhuo Xinjiang</t>
  </si>
  <si>
    <t>Xinjiang Tianlong</t>
  </si>
  <si>
    <t>新疆天龙矿业股份有限公司</t>
  </si>
  <si>
    <t>Tianlong</t>
  </si>
  <si>
    <t>Xinjiang Tianshan</t>
  </si>
  <si>
    <t>新疆生产建设兵团第八师天山铝业股份有限公司</t>
  </si>
  <si>
    <t>Tianshan</t>
  </si>
  <si>
    <t>Xinjiang Zhonghe</t>
  </si>
  <si>
    <t>新疆众和股份有限公司</t>
  </si>
  <si>
    <t>Zhonghe</t>
  </si>
  <si>
    <t>TBEA</t>
  </si>
  <si>
    <t>Xinren Denggao</t>
  </si>
  <si>
    <t>兴仁登高铝业</t>
  </si>
  <si>
    <t>Denggao Group</t>
  </si>
  <si>
    <t>Yinchuan Yugang Longquan</t>
  </si>
  <si>
    <t>伊川豫港龙泉铝业有限公司</t>
  </si>
  <si>
    <t>Yingjiang Xingyun Aluminium</t>
  </si>
  <si>
    <t>盈江星云铝业</t>
  </si>
  <si>
    <t>Xingyun</t>
  </si>
  <si>
    <t>Yingkou Zhongwang</t>
  </si>
  <si>
    <t>营口忠旺铝业有限公司</t>
  </si>
  <si>
    <t>Zhongwang</t>
  </si>
  <si>
    <t>Liaoning</t>
  </si>
  <si>
    <t>Yongdeng Yangcheng</t>
  </si>
  <si>
    <t>河南永登铝业有限公司阳城分公司</t>
  </si>
  <si>
    <t>Yongdeng Al.</t>
  </si>
  <si>
    <t>Yongdeng</t>
  </si>
  <si>
    <t>Yunnan Qiya</t>
  </si>
  <si>
    <t>云南其亚</t>
  </si>
  <si>
    <t>Yunnan Shenhuo</t>
  </si>
  <si>
    <t>云南神火</t>
  </si>
  <si>
    <t>Zhenghao Huasheng</t>
  </si>
  <si>
    <t>潜江市正豪华盛铝电有限公司（铝厂）</t>
  </si>
  <si>
    <t>Huasheng</t>
  </si>
  <si>
    <t>Zhenye Shangmao</t>
  </si>
  <si>
    <t>振业商贸铝业</t>
  </si>
  <si>
    <t>Zhengye</t>
  </si>
  <si>
    <t>Zhongning Jinning</t>
  </si>
  <si>
    <t>中宁县锦宁铝镁新材料有限公司</t>
  </si>
  <si>
    <t>Jinning</t>
  </si>
  <si>
    <t>Zouping Aluminum</t>
  </si>
  <si>
    <t>邹平铝业有限公司</t>
  </si>
  <si>
    <t>Zouping Aluminium</t>
  </si>
  <si>
    <t>Qixing</t>
  </si>
  <si>
    <t>Zunyi Aluminum</t>
  </si>
  <si>
    <t>遵义铝业股份有限公司</t>
  </si>
  <si>
    <t>Chalco Zunyi</t>
  </si>
  <si>
    <t>Zunyi Weiming</t>
  </si>
  <si>
    <t>遵义伟明</t>
  </si>
  <si>
    <t>Weiming</t>
  </si>
  <si>
    <t>ABI</t>
  </si>
  <si>
    <t>N. America</t>
  </si>
  <si>
    <t>Canada</t>
  </si>
  <si>
    <t>Becancour</t>
  </si>
  <si>
    <t>Alba</t>
  </si>
  <si>
    <t>Other Aisa</t>
  </si>
  <si>
    <t>Bahrain</t>
  </si>
  <si>
    <t>Ras Zurrayed</t>
  </si>
  <si>
    <t xml:space="preserve">Albras </t>
  </si>
  <si>
    <t>S. America</t>
  </si>
  <si>
    <t>Brazil</t>
  </si>
  <si>
    <t>Barcarena</t>
  </si>
  <si>
    <t>Alcasa</t>
  </si>
  <si>
    <t xml:space="preserve">Venezuela </t>
  </si>
  <si>
    <t>Matanzas</t>
  </si>
  <si>
    <t>Alcoa</t>
  </si>
  <si>
    <t>Europe</t>
  </si>
  <si>
    <t>Spain</t>
  </si>
  <si>
    <t>San Ciprian</t>
  </si>
  <si>
    <t>Aldel - Aluminium Delfzijl</t>
  </si>
  <si>
    <t>Netherlands</t>
  </si>
  <si>
    <t>Delfzijl</t>
  </si>
  <si>
    <t>Alma</t>
  </si>
  <si>
    <t>Almahdi Aluminium</t>
  </si>
  <si>
    <t>Middle East</t>
  </si>
  <si>
    <t>Iran</t>
  </si>
  <si>
    <t>Bandar Abbas</t>
  </si>
  <si>
    <t>Alouette - Aluminerie</t>
  </si>
  <si>
    <t>Sept-Iles</t>
  </si>
  <si>
    <t>Alro</t>
  </si>
  <si>
    <t>Romania</t>
  </si>
  <si>
    <t>Slatina</t>
  </si>
  <si>
    <t xml:space="preserve">Aluar </t>
  </si>
  <si>
    <t>Argentina</t>
  </si>
  <si>
    <t>Puerto Madryn</t>
  </si>
  <si>
    <t>Alucam</t>
  </si>
  <si>
    <t>Africa</t>
  </si>
  <si>
    <t>Cameroon</t>
  </si>
  <si>
    <t>Edea</t>
  </si>
  <si>
    <t>Aluminerie Laualco</t>
  </si>
  <si>
    <t>Deschambault</t>
  </si>
  <si>
    <t>Aluminij Mostar</t>
  </si>
  <si>
    <t>Bosnia</t>
  </si>
  <si>
    <t>Mostar</t>
  </si>
  <si>
    <t>Aluminium de Greece</t>
  </si>
  <si>
    <t>Greece</t>
  </si>
  <si>
    <t>Distomon</t>
  </si>
  <si>
    <t>Alusaf</t>
  </si>
  <si>
    <t>South Africa</t>
  </si>
  <si>
    <t>Richards Bay - Hillside</t>
  </si>
  <si>
    <t>Aviles</t>
  </si>
  <si>
    <t>AzerAl</t>
  </si>
  <si>
    <t>CIS</t>
  </si>
  <si>
    <t>Azerbaijan</t>
  </si>
  <si>
    <t>Sumgait</t>
  </si>
  <si>
    <t>Baie Comeau</t>
  </si>
  <si>
    <t>Bell Bay</t>
  </si>
  <si>
    <t>Oceania</t>
  </si>
  <si>
    <t>Australia</t>
  </si>
  <si>
    <t>BEMO</t>
  </si>
  <si>
    <t>Russia</t>
  </si>
  <si>
    <t>Krasnoyarsk</t>
  </si>
  <si>
    <t>Boyne Smelters</t>
  </si>
  <si>
    <t>Gladstone</t>
  </si>
  <si>
    <t>BrAZ - Bratsk Aluminium</t>
  </si>
  <si>
    <t>Bratsk</t>
  </si>
  <si>
    <t xml:space="preserve">CBA </t>
  </si>
  <si>
    <t>Sorocaba</t>
  </si>
  <si>
    <t>Century Aluminum</t>
  </si>
  <si>
    <t>USA</t>
  </si>
  <si>
    <t>Hawesville</t>
  </si>
  <si>
    <t>Mount Holly</t>
  </si>
  <si>
    <t>Sebree</t>
  </si>
  <si>
    <t>Det. Al</t>
  </si>
  <si>
    <t>Ganja</t>
  </si>
  <si>
    <t>Dubal</t>
  </si>
  <si>
    <t>UAE</t>
  </si>
  <si>
    <t>Jebel Ali, Dubai</t>
  </si>
  <si>
    <t>Egyptian Aluminium</t>
  </si>
  <si>
    <t>Egypt</t>
  </si>
  <si>
    <t>Nag Hammadi</t>
  </si>
  <si>
    <t>Elkem</t>
  </si>
  <si>
    <t>Norway</t>
  </si>
  <si>
    <t>Lista</t>
  </si>
  <si>
    <t>Mosjoen</t>
  </si>
  <si>
    <t>Emal</t>
  </si>
  <si>
    <t>Abu Dhabi</t>
  </si>
  <si>
    <t>Eti Aluminium</t>
  </si>
  <si>
    <t>Turkey</t>
  </si>
  <si>
    <t>Seydisehir</t>
  </si>
  <si>
    <t>Grande Baie</t>
  </si>
  <si>
    <t>Hindalco</t>
  </si>
  <si>
    <t>India</t>
  </si>
  <si>
    <t>Aditya</t>
  </si>
  <si>
    <t>Mahan</t>
  </si>
  <si>
    <t>Renukoot</t>
  </si>
  <si>
    <t>Hydro Aluminium</t>
  </si>
  <si>
    <t>Ardal</t>
  </si>
  <si>
    <t>Hoyanger</t>
  </si>
  <si>
    <t>Karmoy</t>
  </si>
  <si>
    <t>Sunndalsora</t>
  </si>
  <si>
    <t>Hydro Aluminium Neuss</t>
  </si>
  <si>
    <t>Germany</t>
  </si>
  <si>
    <t>Norf</t>
  </si>
  <si>
    <t>Inalum - Asahan</t>
  </si>
  <si>
    <t>Indonesia</t>
  </si>
  <si>
    <t>Kuala Tanjung</t>
  </si>
  <si>
    <t>Indal - Hindalco</t>
  </si>
  <si>
    <t>Hirakud</t>
  </si>
  <si>
    <t>Intalco</t>
  </si>
  <si>
    <t>Ferndale</t>
  </si>
  <si>
    <t xml:space="preserve">Iralco </t>
  </si>
  <si>
    <t>Arak</t>
  </si>
  <si>
    <t>IrAZ - Irkutsk Aluminium</t>
  </si>
  <si>
    <t>Shelekevo</t>
  </si>
  <si>
    <t>ISAL</t>
  </si>
  <si>
    <t>Iceland</t>
  </si>
  <si>
    <t>Straumsvik</t>
  </si>
  <si>
    <t>KAP - Kombinat Aluminijuma</t>
  </si>
  <si>
    <t>Montenegro</t>
  </si>
  <si>
    <t xml:space="preserve">Podgorica </t>
  </si>
  <si>
    <t>KAZ - Kandalaksha Aluminium</t>
  </si>
  <si>
    <t>Kandalaksha</t>
  </si>
  <si>
    <t>Khakass Aluminum Works</t>
  </si>
  <si>
    <t>Sayansk</t>
  </si>
  <si>
    <t>Kitimat</t>
  </si>
  <si>
    <t>KrAZ - Krasnoyarsk Alumin.</t>
  </si>
  <si>
    <t xml:space="preserve">Kubikenborg </t>
  </si>
  <si>
    <t>Sweden</t>
  </si>
  <si>
    <t>Sundsvall</t>
  </si>
  <si>
    <t>La Coruna</t>
  </si>
  <si>
    <t>Laterriere</t>
  </si>
  <si>
    <t>Liberty House</t>
  </si>
  <si>
    <t>France</t>
  </si>
  <si>
    <t>Dunkerque</t>
  </si>
  <si>
    <t>UK</t>
  </si>
  <si>
    <t>Lochaber</t>
  </si>
  <si>
    <t>Ma'aden</t>
  </si>
  <si>
    <t>Saudi Arabia</t>
  </si>
  <si>
    <t>Ras Az Zawr</t>
  </si>
  <si>
    <t>Magnitude 7 Metals </t>
  </si>
  <si>
    <t>New Madrid</t>
  </si>
  <si>
    <t>Massena West</t>
  </si>
  <si>
    <t>Mozal</t>
  </si>
  <si>
    <t>Mozambique</t>
  </si>
  <si>
    <t>Maputo</t>
  </si>
  <si>
    <t xml:space="preserve">Nalco </t>
  </si>
  <si>
    <t>Angul</t>
  </si>
  <si>
    <t>NkAZ - Novokuznetsk Alum.</t>
  </si>
  <si>
    <t>Novokuznetsk</t>
  </si>
  <si>
    <t>Nordic Aluminium</t>
  </si>
  <si>
    <t>Grundartangi</t>
  </si>
  <si>
    <t>Nzas</t>
  </si>
  <si>
    <t>New Zealand</t>
  </si>
  <si>
    <t>Tiwai Point</t>
  </si>
  <si>
    <t xml:space="preserve">PAZ </t>
  </si>
  <si>
    <t>Kazakhstan</t>
  </si>
  <si>
    <t>Pavlodar</t>
  </si>
  <si>
    <t>Portland</t>
  </si>
  <si>
    <t xml:space="preserve">Press Metal </t>
  </si>
  <si>
    <t>Malaysia</t>
  </si>
  <si>
    <t>Muhah</t>
  </si>
  <si>
    <t xml:space="preserve">Qatalum </t>
  </si>
  <si>
    <t>Qatar</t>
  </si>
  <si>
    <t>Doha</t>
  </si>
  <si>
    <t>Reydarfjordur</t>
  </si>
  <si>
    <t>Fjardaál</t>
  </si>
  <si>
    <t>SaAZ - Sayansk Aluminium</t>
  </si>
  <si>
    <t>Sayanogorsk</t>
  </si>
  <si>
    <t>Saguenay - AP60</t>
  </si>
  <si>
    <t>Arvida</t>
  </si>
  <si>
    <t>Slovalco</t>
  </si>
  <si>
    <t>Slovakia</t>
  </si>
  <si>
    <t>Ziar-on-Hron</t>
  </si>
  <si>
    <t>Sohar</t>
  </si>
  <si>
    <t>Oman</t>
  </si>
  <si>
    <t>Soral - Sor Norge</t>
  </si>
  <si>
    <t>Husnes</t>
  </si>
  <si>
    <t>Talco</t>
  </si>
  <si>
    <t>Tajikistan</t>
  </si>
  <si>
    <t>Tursunzade - Regar</t>
  </si>
  <si>
    <t>Talum</t>
  </si>
  <si>
    <t>Slovenia</t>
  </si>
  <si>
    <t>Kidricevo</t>
  </si>
  <si>
    <t>Tomago</t>
  </si>
  <si>
    <t>Trimet</t>
  </si>
  <si>
    <t>Essen</t>
  </si>
  <si>
    <t>Hamburg</t>
  </si>
  <si>
    <t>S-Jean de Maurienne</t>
  </si>
  <si>
    <t>Valco - Volta Aluminium</t>
  </si>
  <si>
    <t>Ghana</t>
  </si>
  <si>
    <t>Tema</t>
  </si>
  <si>
    <t>Vedanta - Balco - Sterlite</t>
  </si>
  <si>
    <t>Korba</t>
  </si>
  <si>
    <t>Vedanta</t>
  </si>
  <si>
    <t>Jharsuguda</t>
  </si>
  <si>
    <t>Venalum</t>
  </si>
  <si>
    <t>VgAZ - Volgograd Alumin.</t>
  </si>
  <si>
    <t>Volgograd</t>
  </si>
  <si>
    <t>Voerdal</t>
  </si>
  <si>
    <t>Voerde</t>
  </si>
  <si>
    <t>Warrick</t>
  </si>
  <si>
    <t>Wenatchee</t>
  </si>
  <si>
    <t>Alumar</t>
  </si>
  <si>
    <t>Sao Luis</t>
  </si>
  <si>
    <t>Thermal</t>
  </si>
  <si>
    <t>RMB</t>
  </si>
  <si>
    <t>Hydro</t>
  </si>
  <si>
    <t>C$ CAD</t>
  </si>
  <si>
    <t>dinar BHD</t>
  </si>
  <si>
    <t>real BRL</t>
  </si>
  <si>
    <t>bolívar fuerte</t>
  </si>
  <si>
    <t>euro EUR</t>
  </si>
  <si>
    <t>rial IRR</t>
  </si>
  <si>
    <t>leu RON</t>
  </si>
  <si>
    <t>peso ARS</t>
  </si>
  <si>
    <t>US$</t>
  </si>
  <si>
    <t>marka BAM</t>
  </si>
  <si>
    <t>SA rand ZAR</t>
  </si>
  <si>
    <t>R rouble RUB</t>
  </si>
  <si>
    <t>A$ AUD</t>
  </si>
  <si>
    <t>US$ USD</t>
  </si>
  <si>
    <t>UAE dirham AED</t>
  </si>
  <si>
    <t>E£ EGP</t>
  </si>
  <si>
    <t>N.kronor NOK</t>
  </si>
  <si>
    <t>T£ TRY</t>
  </si>
  <si>
    <t>rupee INR</t>
  </si>
  <si>
    <t>rupiah IDR</t>
  </si>
  <si>
    <t>I.kronor ISK</t>
  </si>
  <si>
    <t>dinar RSD</t>
  </si>
  <si>
    <t>S.kronor SEK</t>
  </si>
  <si>
    <t>UK£ GBP</t>
  </si>
  <si>
    <t>S riyal SAR</t>
  </si>
  <si>
    <t>NZ$ NZD</t>
  </si>
  <si>
    <t>tenge KZT</t>
  </si>
  <si>
    <t>ringgit MYR</t>
  </si>
  <si>
    <t>Q riyal QAR</t>
  </si>
  <si>
    <t>O riyal OMR</t>
  </si>
  <si>
    <t>UNIT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</si>
  <si>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</si>
  <si>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</si>
  <si>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</si>
  <si>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</si>
  <si>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</si>
  <si>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</si>
  <si>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</si>
  <si>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</si>
  <si>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</si>
  <si>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</si>
  <si>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</si>
  <si>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</si>
  <si>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</si>
  <si>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</si>
  <si>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</si>
  <si>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</si>
  <si>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</si>
  <si>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</si>
  <si>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</si>
  <si>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</si>
  <si>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</si>
  <si>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</si>
  <si>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</si>
  <si>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</si>
  <si>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</si>
  <si>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</si>
  <si>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</si>
  <si>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</si>
  <si>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USD/CAD</t>
  </si>
  <si>
    <t>USD/USD</t>
  </si>
  <si>
    <t>USD/ARS</t>
  </si>
  <si>
    <t>USD/BRL</t>
  </si>
  <si>
    <t>USD/EUR</t>
  </si>
  <si>
    <t>USD/ISK</t>
  </si>
  <si>
    <t>USD/NOK</t>
  </si>
  <si>
    <t>USD/SEK</t>
  </si>
  <si>
    <t>USD/TRY</t>
  </si>
  <si>
    <t>USD/GBP</t>
  </si>
  <si>
    <t>USD/BAM</t>
  </si>
  <si>
    <t>USD/RSD</t>
  </si>
  <si>
    <t>USD/RON</t>
  </si>
  <si>
    <t>USD/RUB</t>
  </si>
  <si>
    <t>USD/KZT</t>
  </si>
  <si>
    <t>USD/EGP</t>
  </si>
  <si>
    <t>USD/ZAR</t>
  </si>
  <si>
    <t>USD/BHD</t>
  </si>
  <si>
    <t>USD/IRR</t>
  </si>
  <si>
    <t>USD/OMR</t>
  </si>
  <si>
    <t>USD/QAR</t>
  </si>
  <si>
    <t>USD/AED</t>
  </si>
  <si>
    <t>USD/SAR</t>
  </si>
  <si>
    <t>USD/INR</t>
  </si>
  <si>
    <t>USD/MYR</t>
  </si>
  <si>
    <t>USD/IDR</t>
  </si>
  <si>
    <t>USD/RMB</t>
  </si>
  <si>
    <t>USD/AUD</t>
  </si>
  <si>
    <t>USD/NZD</t>
  </si>
  <si>
    <t>USD/VES</t>
  </si>
  <si>
    <t>Year of commence</t>
  </si>
  <si>
    <t>Ktpa</t>
  </si>
  <si>
    <t>Kt</t>
  </si>
  <si>
    <t>2020 Q1</t>
    <phoneticPr fontId="0" type="noConversion"/>
  </si>
  <si>
    <t>%</t>
  </si>
  <si>
    <t>Cells Below 300</t>
  </si>
  <si>
    <t>Cells 300</t>
  </si>
  <si>
    <t>Cells 350</t>
  </si>
  <si>
    <t>Cells 400</t>
  </si>
  <si>
    <t>Cells 420</t>
  </si>
  <si>
    <t>Cells 500</t>
  </si>
  <si>
    <t>Cells 600</t>
  </si>
  <si>
    <t>Operating cells Below 300</t>
  </si>
  <si>
    <t>Operating cells 300</t>
  </si>
  <si>
    <t>Operating cells 350</t>
  </si>
  <si>
    <t>Operating cells 400</t>
  </si>
  <si>
    <t>Operating cells 420</t>
  </si>
  <si>
    <t>Operating cells 500</t>
  </si>
  <si>
    <t>Operating cells 600</t>
  </si>
  <si>
    <t>2020 Q1</t>
  </si>
  <si>
    <t>Captive Power Source</t>
  </si>
  <si>
    <t>Province</t>
  </si>
  <si>
    <t>CM Adjustment for Grid</t>
  </si>
  <si>
    <t>Coalfire</t>
  </si>
  <si>
    <t>RMB/kW.h</t>
  </si>
  <si>
    <t>Grid</t>
  </si>
  <si>
    <t>2020 Q1</t>
    <phoneticPr fontId="0" type="noConversion"/>
  </si>
  <si>
    <t>Anhui</t>
  </si>
  <si>
    <t>RMB/kWh</t>
  </si>
  <si>
    <t>Heilongjiang</t>
  </si>
  <si>
    <t>Jiangsu</t>
  </si>
  <si>
    <t>Jiangxi</t>
  </si>
  <si>
    <t>Jilin</t>
  </si>
  <si>
    <t>Zhejiang</t>
  </si>
  <si>
    <t>kW.h/t.Al</t>
  </si>
  <si>
    <t>2020 Q1</t>
    <phoneticPr fontId="0" type="noConversion"/>
  </si>
  <si>
    <t>2019 Q4</t>
    <phoneticPr fontId="5" type="noConversion"/>
  </si>
  <si>
    <t>2020 Q1</t>
    <phoneticPr fontId="0" type="noConversion"/>
  </si>
  <si>
    <t>RMB/m3</t>
  </si>
  <si>
    <t>Survey</t>
  </si>
  <si>
    <t>NBS</t>
  </si>
  <si>
    <t>Adjustment</t>
  </si>
  <si>
    <t>RMB/yr</t>
  </si>
  <si>
    <t>Ownership</t>
  </si>
  <si>
    <t>Capital Cost</t>
  </si>
  <si>
    <t>Value</t>
  </si>
  <si>
    <t>Greenfield/Brownfield</t>
  </si>
  <si>
    <t>B</t>
    <phoneticPr fontId="0" type="noConversion"/>
  </si>
  <si>
    <t>B</t>
  </si>
  <si>
    <t>Construction period</t>
  </si>
  <si>
    <t>Finance charge (Intererest rate)</t>
  </si>
  <si>
    <t>2019 Q4</t>
    <phoneticPr fontId="5" type="noConversion"/>
  </si>
  <si>
    <t>2020 Q1</t>
    <phoneticPr fontId="0" type="noConversion"/>
  </si>
  <si>
    <t>RMB/t</t>
  </si>
  <si>
    <t>Self-supply</t>
  </si>
  <si>
    <t>Guangxi self</t>
  </si>
  <si>
    <t>Shandong self</t>
  </si>
  <si>
    <t>Henan self</t>
  </si>
  <si>
    <t>Shanxi self</t>
  </si>
  <si>
    <t>Yunnan self</t>
  </si>
  <si>
    <t>Inner Mongolia self</t>
  </si>
  <si>
    <t xml:space="preserve">Guizhou self </t>
  </si>
  <si>
    <t xml:space="preserve">Chongqing self </t>
  </si>
  <si>
    <t>Refinery1</t>
  </si>
  <si>
    <t>Ratio1</t>
  </si>
  <si>
    <t>Refinery2</t>
  </si>
  <si>
    <t>Ratio2</t>
  </si>
  <si>
    <t>2020 Q1</t>
    <phoneticPr fontId="0" type="noConversion"/>
  </si>
  <si>
    <t>Huayin</t>
  </si>
  <si>
    <t>Chalco Henan</t>
  </si>
  <si>
    <t>Chalco Shanxi</t>
  </si>
  <si>
    <t>Wenshan</t>
  </si>
  <si>
    <t>East Hope Sanmenxia</t>
  </si>
  <si>
    <t>East Hope Lingshi</t>
  </si>
  <si>
    <t>Chalco Pingguo</t>
  </si>
  <si>
    <t>Huajin</t>
  </si>
  <si>
    <t>SPIC Shanxi</t>
  </si>
  <si>
    <t>Fusheng</t>
  </si>
  <si>
    <t>Xinfa Shandong</t>
  </si>
  <si>
    <t>Xinwang Inner Mongolia</t>
  </si>
  <si>
    <t>Chalco Shandong</t>
  </si>
  <si>
    <t>Xingfa Shanxi</t>
  </si>
  <si>
    <t>Qiya Guizhou</t>
  </si>
  <si>
    <t>Huiyuan Lushan</t>
  </si>
  <si>
    <t>Xing'an</t>
  </si>
  <si>
    <t>Bochuang</t>
  </si>
  <si>
    <t>Refinary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</si>
</sst>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.0_);_(@_)"/>
    <numFmt numFmtId="167" formatCode="0.00_)"/>
    <numFmt numFmtId="168" formatCode="_(* #,##0.000_);_(* \(#,##0.000\);_(* &quot;-&quot;??_);_(@_)"/>
    <numFmt numFmtId="169" formatCode="0.0_ "/>
    <numFmt numFmtId="170" formatCode="0.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4"/>
      <charset val="134"/>
      <scheme val="minor"/>
    </font>
    <font>
      <sz val="14"/>
      <name val="Calibri Light"/>
      <family val="2"/>
    </font>
    <font>
      <sz val="12"/>
      <color rgb="FFFF0000"/>
      <name val="Calibri"/>
      <family val="2"/>
      <scheme val="minor"/>
    </font>
    <font>
      <b/>
      <sz val="14"/>
      <name val="Calibri Light"/>
      <family val="2"/>
    </font>
    <font>
      <sz val="9"/>
      <name val="Arial"/>
      <family val="2"/>
    </font>
    <font>
      <sz val="12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4"/>
      <color rgb="FFFFFF00"/>
      <name val="Calibri Light"/>
      <family val="2"/>
    </font>
    <font>
      <b/>
      <sz val="12"/>
      <color theme="1"/>
      <name val="Calibri"/>
      <family val="4"/>
      <charset val="134"/>
      <scheme val="minor"/>
    </font>
    <font>
      <sz val="12"/>
      <color theme="0"/>
      <name val="Calibri"/>
      <family val="2"/>
      <scheme val="minor"/>
    </font>
    <font>
      <sz val="14"/>
      <color theme="1"/>
      <name val="Calibri Light"/>
      <family val="2"/>
    </font>
  </fonts>
  <fills count="2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3" borderId="0" xfId="0" applyFill="1"/>
    <xf numFmtId="165" fontId="0" fillId="3" borderId="0" xfId="1" applyNumberFormat="1" applyFont="1" applyFill="1"/>
    <xf numFmtId="166" fontId="4" fillId="3" borderId="0" xfId="1" applyNumberFormat="1" applyFont="1" applyFill="1"/>
    <xf numFmtId="165" fontId="4" fillId="3" borderId="0" xfId="1" applyNumberFormat="1" applyFont="1" applyFill="1"/>
    <xf numFmtId="165" fontId="0" fillId="8" borderId="0" xfId="1" applyNumberFormat="1" applyFont="1" applyFill="1"/>
    <xf numFmtId="165" fontId="0" fillId="2" borderId="0" xfId="0" applyNumberFormat="1" applyFill="1"/>
    <xf numFmtId="0" fontId="5" fillId="9" borderId="1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0" fillId="10" borderId="0" xfId="0" applyFill="1"/>
    <xf numFmtId="0" fontId="7" fillId="9" borderId="1" xfId="0" applyFont="1" applyFill="1" applyBorder="1" applyAlignment="1">
      <alignment horizontal="center" vertical="center"/>
    </xf>
    <xf numFmtId="0" fontId="8" fillId="9" borderId="0" xfId="2" applyFont="1" applyFill="1" applyBorder="1" applyProtection="1"/>
    <xf numFmtId="167" fontId="8" fillId="9" borderId="0" xfId="0" applyNumberFormat="1" applyFont="1" applyFill="1" applyBorder="1" applyAlignment="1" applyProtection="1">
      <alignment horizontal="right"/>
      <protection locked="0"/>
    </xf>
    <xf numFmtId="168" fontId="9" fillId="9" borderId="0" xfId="1" applyNumberFormat="1" applyFont="1" applyFill="1" applyBorder="1"/>
    <xf numFmtId="1" fontId="8" fillId="9" borderId="0" xfId="2" applyNumberFormat="1" applyFont="1" applyFill="1" applyBorder="1" applyAlignment="1" applyProtection="1">
      <alignment horizontal="left"/>
    </xf>
    <xf numFmtId="0" fontId="9" fillId="9" borderId="0" xfId="0" applyFont="1" applyFill="1" applyBorder="1"/>
    <xf numFmtId="168" fontId="9" fillId="2" borderId="0" xfId="1" applyNumberFormat="1" applyFont="1" applyFill="1" applyBorder="1"/>
    <xf numFmtId="164" fontId="9" fillId="2" borderId="0" xfId="1" applyNumberFormat="1" applyFont="1" applyFill="1" applyBorder="1"/>
    <xf numFmtId="164" fontId="6" fillId="7" borderId="0" xfId="0" applyNumberFormat="1" applyFont="1" applyFill="1" applyBorder="1"/>
    <xf numFmtId="0" fontId="9" fillId="2" borderId="0" xfId="0" applyFont="1" applyFill="1" applyBorder="1"/>
    <xf numFmtId="164" fontId="2" fillId="2" borderId="0" xfId="1" applyNumberFormat="1" applyFont="1" applyFill="1" applyBorder="1"/>
    <xf numFmtId="0" fontId="5" fillId="9" borderId="1" xfId="0" applyFont="1" applyFill="1" applyBorder="1" applyAlignment="1">
      <alignment horizontal="center" vertical="center" wrapText="1"/>
    </xf>
    <xf numFmtId="0" fontId="0" fillId="6" borderId="0" xfId="0" applyFill="1"/>
    <xf numFmtId="169" fontId="0" fillId="8" borderId="0" xfId="0" applyNumberFormat="1" applyFont="1" applyFill="1" applyBorder="1" applyAlignment="1">
      <alignment vertical="center"/>
    </xf>
    <xf numFmtId="169" fontId="0" fillId="11" borderId="0" xfId="0" applyNumberFormat="1" applyFill="1"/>
    <xf numFmtId="169" fontId="10" fillId="12" borderId="0" xfId="0" applyNumberFormat="1" applyFont="1" applyFill="1"/>
    <xf numFmtId="0" fontId="3" fillId="13" borderId="0" xfId="0" applyFont="1" applyFill="1"/>
    <xf numFmtId="0" fontId="3" fillId="4" borderId="0" xfId="0" applyFont="1" applyFill="1"/>
    <xf numFmtId="0" fontId="0" fillId="14" borderId="0" xfId="0" applyFill="1"/>
    <xf numFmtId="9" fontId="0" fillId="16" borderId="0" xfId="3" applyFont="1" applyFill="1"/>
    <xf numFmtId="9" fontId="0" fillId="8" borderId="0" xfId="3" applyFont="1" applyFill="1" applyBorder="1" applyAlignment="1">
      <alignment vertical="center"/>
    </xf>
    <xf numFmtId="0" fontId="11" fillId="17" borderId="1" xfId="0" applyFont="1" applyFill="1" applyBorder="1" applyAlignment="1">
      <alignment horizontal="center" vertical="center"/>
    </xf>
    <xf numFmtId="0" fontId="0" fillId="9" borderId="0" xfId="0" applyFill="1"/>
    <xf numFmtId="2" fontId="0" fillId="8" borderId="0" xfId="0" applyNumberFormat="1" applyFont="1" applyFill="1"/>
    <xf numFmtId="9" fontId="6" fillId="8" borderId="0" xfId="3" applyFont="1" applyFill="1" applyBorder="1" applyAlignment="1">
      <alignment vertical="center"/>
    </xf>
    <xf numFmtId="0" fontId="12" fillId="4" borderId="0" xfId="0" applyFont="1" applyFill="1"/>
    <xf numFmtId="0" fontId="0" fillId="8" borderId="0" xfId="0" applyFill="1"/>
    <xf numFmtId="3" fontId="0" fillId="8" borderId="0" xfId="0" applyNumberFormat="1" applyFill="1"/>
    <xf numFmtId="43" fontId="0" fillId="8" borderId="0" xfId="1" applyFont="1" applyFill="1"/>
    <xf numFmtId="9" fontId="4" fillId="6" borderId="0" xfId="3" applyFont="1" applyFill="1"/>
    <xf numFmtId="165" fontId="0" fillId="7" borderId="0" xfId="1" applyNumberFormat="1" applyFont="1" applyFill="1"/>
    <xf numFmtId="0" fontId="0" fillId="0" borderId="0" xfId="0" applyAlignment="1"/>
    <xf numFmtId="0" fontId="0" fillId="18" borderId="2" xfId="0" applyFill="1" applyBorder="1"/>
    <xf numFmtId="0" fontId="9" fillId="0" borderId="0" xfId="0" applyFont="1" applyAlignment="1">
      <alignment horizontal="left" indent="1"/>
    </xf>
    <xf numFmtId="165" fontId="0" fillId="8" borderId="0" xfId="1" applyNumberFormat="1" applyFont="1" applyFill="1" applyAlignment="1"/>
    <xf numFmtId="165" fontId="6" fillId="8" borderId="0" xfId="1" applyNumberFormat="1" applyFont="1" applyFill="1" applyAlignment="1"/>
    <xf numFmtId="0" fontId="0" fillId="0" borderId="3" xfId="0" applyBorder="1"/>
    <xf numFmtId="165" fontId="0" fillId="8" borderId="4" xfId="1" applyNumberFormat="1" applyFont="1" applyFill="1" applyBorder="1"/>
    <xf numFmtId="0" fontId="0" fillId="0" borderId="5" xfId="0" applyBorder="1"/>
    <xf numFmtId="165" fontId="0" fillId="8" borderId="6" xfId="1" applyNumberFormat="1" applyFont="1" applyFill="1" applyBorder="1"/>
    <xf numFmtId="0" fontId="0" fillId="0" borderId="7" xfId="0" applyBorder="1"/>
    <xf numFmtId="165" fontId="0" fillId="8" borderId="8" xfId="1" applyNumberFormat="1" applyFont="1" applyFill="1" applyBorder="1"/>
    <xf numFmtId="0" fontId="13" fillId="19" borderId="0" xfId="0" applyFont="1" applyFill="1" applyAlignment="1"/>
    <xf numFmtId="43" fontId="0" fillId="6" borderId="0" xfId="1" applyFont="1" applyFill="1" applyAlignment="1"/>
    <xf numFmtId="170" fontId="0" fillId="6" borderId="0" xfId="3" applyNumberFormat="1" applyFont="1" applyFill="1" applyAlignment="1"/>
    <xf numFmtId="1" fontId="0" fillId="15" borderId="0" xfId="0" applyNumberFormat="1" applyFill="1"/>
    <xf numFmtId="0" fontId="0" fillId="0" borderId="0" xfId="0" applyFont="1"/>
    <xf numFmtId="0" fontId="14" fillId="9" borderId="1" xfId="0" applyFont="1" applyFill="1" applyBorder="1" applyAlignment="1">
      <alignment horizontal="center" vertical="center"/>
    </xf>
    <xf numFmtId="0" fontId="0" fillId="8" borderId="0" xfId="0" applyFont="1" applyFill="1"/>
    <xf numFmtId="3" fontId="0" fillId="8" borderId="0" xfId="0" applyNumberFormat="1" applyFont="1" applyFill="1"/>
    <xf numFmtId="3" fontId="4" fillId="8" borderId="0" xfId="0" applyNumberFormat="1" applyFont="1" applyFill="1"/>
    <xf numFmtId="3" fontId="0" fillId="15" borderId="0" xfId="0" applyNumberFormat="1" applyFont="1" applyFill="1"/>
    <xf numFmtId="0" fontId="0" fillId="0" borderId="0" xfId="0" applyFont="1" applyFill="1"/>
    <xf numFmtId="9" fontId="0" fillId="0" borderId="0" xfId="3" applyFont="1" applyFill="1"/>
    <xf numFmtId="3" fontId="0" fillId="0" borderId="0" xfId="0" applyNumberFormat="1" applyFont="1" applyFill="1"/>
    <xf numFmtId="3" fontId="0" fillId="0" borderId="0" xfId="0" applyNumberFormat="1" applyFont="1"/>
    <xf numFmtId="165" fontId="0" fillId="0" borderId="0" xfId="1" applyNumberFormat="1" applyFont="1"/>
    <xf numFmtId="9" fontId="4" fillId="8" borderId="0" xfId="3" applyFont="1" applyFill="1" applyBorder="1" applyAlignment="1">
      <alignment vertical="center"/>
    </xf>
    <xf numFmtId="9" fontId="0" fillId="7" borderId="0" xfId="0" applyNumberFormat="1" applyFill="1"/>
    <xf numFmtId="0" fontId="0" fillId="20" borderId="0" xfId="0" applyFill="1"/>
    <xf numFmtId="9" fontId="0" fillId="7" borderId="0" xfId="3" applyFont="1" applyFill="1"/>
    <xf numFmtId="9" fontId="0" fillId="10" borderId="0" xfId="3" applyFont="1" applyFill="1"/>
    <xf numFmtId="165" fontId="0" fillId="15" borderId="0" xfId="1" applyNumberFormat="1" applyFont="1" applyFill="1"/>
    <xf numFmtId="0" fontId="12" fillId="13" borderId="0" xfId="0" applyFont="1" applyFill="1"/>
    <xf numFmtId="9" fontId="4" fillId="3" borderId="0" xfId="3" applyFont="1" applyFill="1"/>
    <xf numFmtId="165" fontId="0" fillId="12" borderId="0" xfId="1" applyNumberFormat="1" applyFont="1" applyFill="1"/>
  </cellXfs>
  <cellStyles count="4">
    <cellStyle name="Comma" xfId="1" builtinId="3"/>
    <cellStyle name="Normal" xfId="0" builtinId="0"/>
    <cellStyle name="Normal_cocapal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5"/>
  <sheetViews>
    <sheetView workbookViewId="0">
      <selection activeCell="K14" sqref="K14"/>
    </sheetView>
  </sheetViews>
  <sheetFormatPr defaultRowHeight="15"/>
  <sheetData>
    <row r="1" spans="1:29" ht="63">
      <c r="A1" s="2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748</v>
      </c>
      <c r="N1" s="3" t="s">
        <v>12</v>
      </c>
      <c r="O1" s="3" t="s">
        <v>13</v>
      </c>
      <c r="P1" s="4" t="s">
        <v>710</v>
      </c>
      <c r="Q1" s="4" t="s">
        <v>711</v>
      </c>
      <c r="R1" s="4" t="s">
        <v>712</v>
      </c>
      <c r="S1" s="4" t="s">
        <v>713</v>
      </c>
      <c r="T1" s="4" t="s">
        <v>714</v>
      </c>
      <c r="U1" s="4" t="s">
        <v>715</v>
      </c>
      <c r="V1" s="4" t="s">
        <v>716</v>
      </c>
      <c r="W1" s="4" t="s">
        <v>717</v>
      </c>
      <c r="X1" s="4" t="s">
        <v>718</v>
      </c>
      <c r="Y1" s="4" t="s">
        <v>719</v>
      </c>
      <c r="Z1" s="4" t="s">
        <v>720</v>
      </c>
      <c r="AA1" s="4" t="s">
        <v>721</v>
      </c>
      <c r="AB1" s="4" t="s">
        <v>722</v>
      </c>
      <c r="AC1" s="4" t="s">
        <v>723</v>
      </c>
    </row>
    <row r="2" spans="1:29" ht="15.75">
      <c r="B2" s="5">
        <v>1</v>
      </c>
      <c r="C2" s="6" t="s">
        <v>16</v>
      </c>
      <c r="D2" s="6" t="s">
        <v>17</v>
      </c>
      <c r="E2" s="6" t="s">
        <v>16</v>
      </c>
      <c r="F2" s="6" t="s">
        <v>16</v>
      </c>
      <c r="G2" s="6" t="s">
        <v>18</v>
      </c>
      <c r="H2" s="6" t="s">
        <v>19</v>
      </c>
      <c r="I2" s="6" t="s">
        <v>20</v>
      </c>
      <c r="J2" s="7" t="s">
        <v>21</v>
      </c>
      <c r="K2" s="8">
        <v>2000</v>
      </c>
      <c r="L2" s="9">
        <v>465</v>
      </c>
      <c r="M2" s="7" t="s">
        <v>22</v>
      </c>
      <c r="N2" s="6">
        <v>23.49</v>
      </c>
      <c r="O2" s="6">
        <v>106.49</v>
      </c>
      <c r="P2" s="10">
        <v>0</v>
      </c>
      <c r="Q2" s="10">
        <v>0</v>
      </c>
      <c r="R2" s="10">
        <v>0</v>
      </c>
      <c r="S2" s="10">
        <v>0</v>
      </c>
      <c r="T2" s="10">
        <v>408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408</v>
      </c>
      <c r="AB2" s="10">
        <v>0</v>
      </c>
      <c r="AC2" s="10">
        <v>0</v>
      </c>
    </row>
    <row r="3" spans="1:29" ht="15.75">
      <c r="B3" s="5">
        <v>2</v>
      </c>
      <c r="C3" s="6" t="s">
        <v>23</v>
      </c>
      <c r="D3" s="6" t="s">
        <v>24</v>
      </c>
      <c r="E3" s="6" t="s">
        <v>23</v>
      </c>
      <c r="F3" s="6" t="s">
        <v>25</v>
      </c>
      <c r="G3" s="6" t="s">
        <v>18</v>
      </c>
      <c r="H3" s="6" t="s">
        <v>19</v>
      </c>
      <c r="I3" s="6" t="s">
        <v>20</v>
      </c>
      <c r="J3" s="7" t="s">
        <v>21</v>
      </c>
      <c r="K3" s="8">
        <v>1500.0000000000002</v>
      </c>
      <c r="L3" s="9">
        <v>349</v>
      </c>
      <c r="M3" s="7" t="s">
        <v>22</v>
      </c>
      <c r="N3" s="6">
        <v>23.49</v>
      </c>
      <c r="O3" s="6">
        <v>106.39</v>
      </c>
      <c r="P3" s="10">
        <v>336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336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</row>
    <row r="4" spans="1:29" ht="15.75">
      <c r="B4" s="5">
        <v>3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18</v>
      </c>
      <c r="H4" s="6" t="s">
        <v>19</v>
      </c>
      <c r="I4" s="6" t="s">
        <v>20</v>
      </c>
      <c r="J4" s="7" t="s">
        <v>30</v>
      </c>
      <c r="K4" s="8">
        <v>2000</v>
      </c>
      <c r="L4" s="9">
        <v>767</v>
      </c>
      <c r="M4" s="7" t="s">
        <v>31</v>
      </c>
      <c r="N4" s="6">
        <v>40.58</v>
      </c>
      <c r="O4" s="6">
        <v>110.1</v>
      </c>
      <c r="P4" s="10">
        <v>414</v>
      </c>
      <c r="Q4" s="10">
        <v>0</v>
      </c>
      <c r="R4" s="10">
        <v>0</v>
      </c>
      <c r="S4" s="10">
        <v>300</v>
      </c>
      <c r="T4" s="10">
        <v>0</v>
      </c>
      <c r="U4" s="10">
        <v>0</v>
      </c>
      <c r="V4" s="10">
        <v>0</v>
      </c>
      <c r="W4" s="10">
        <v>414</v>
      </c>
      <c r="X4" s="10">
        <v>0</v>
      </c>
      <c r="Y4" s="10">
        <v>0</v>
      </c>
      <c r="Z4" s="10">
        <v>300</v>
      </c>
      <c r="AA4" s="10">
        <v>0</v>
      </c>
      <c r="AB4" s="10">
        <v>0</v>
      </c>
      <c r="AC4" s="10">
        <v>0</v>
      </c>
    </row>
    <row r="5" spans="1:29" ht="15.75">
      <c r="B5" s="5">
        <v>4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18</v>
      </c>
      <c r="H5" s="6" t="s">
        <v>19</v>
      </c>
      <c r="I5" s="6" t="s">
        <v>20</v>
      </c>
      <c r="J5" s="7" t="s">
        <v>36</v>
      </c>
      <c r="K5" s="8">
        <v>1500.0000000000002</v>
      </c>
      <c r="L5" s="9">
        <v>175</v>
      </c>
      <c r="M5" s="7" t="s">
        <v>37</v>
      </c>
      <c r="N5" s="6">
        <v>29.59</v>
      </c>
      <c r="O5" s="6">
        <v>103.44</v>
      </c>
      <c r="P5" s="10">
        <v>0</v>
      </c>
      <c r="Q5" s="10">
        <v>168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168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</row>
    <row r="6" spans="1:29" ht="15.75">
      <c r="B6" s="5">
        <v>5</v>
      </c>
      <c r="C6" s="6" t="s">
        <v>38</v>
      </c>
      <c r="D6" s="6" t="s">
        <v>39</v>
      </c>
      <c r="E6" s="6" t="s">
        <v>40</v>
      </c>
      <c r="F6" s="6" t="s">
        <v>35</v>
      </c>
      <c r="G6" s="6" t="s">
        <v>18</v>
      </c>
      <c r="H6" s="6" t="s">
        <v>19</v>
      </c>
      <c r="I6" s="6" t="s">
        <v>20</v>
      </c>
      <c r="J6" s="7" t="s">
        <v>36</v>
      </c>
      <c r="K6" s="8">
        <v>1500.0000000000002</v>
      </c>
      <c r="L6" s="9">
        <v>320</v>
      </c>
      <c r="M6" s="7" t="s">
        <v>37</v>
      </c>
      <c r="N6" s="6">
        <v>31.1</v>
      </c>
      <c r="O6" s="6">
        <v>103.28</v>
      </c>
      <c r="P6" s="10">
        <v>0</v>
      </c>
      <c r="Q6" s="10">
        <v>0</v>
      </c>
      <c r="R6" s="10">
        <v>296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296</v>
      </c>
      <c r="Z6" s="10">
        <v>0</v>
      </c>
      <c r="AA6" s="10">
        <v>0</v>
      </c>
      <c r="AB6" s="10">
        <v>0</v>
      </c>
      <c r="AC6" s="10">
        <v>0</v>
      </c>
    </row>
    <row r="7" spans="1:29" ht="15.75">
      <c r="B7" s="5">
        <v>6</v>
      </c>
      <c r="C7" s="6" t="s">
        <v>41</v>
      </c>
      <c r="D7" s="6" t="s">
        <v>42</v>
      </c>
      <c r="E7" s="6" t="s">
        <v>41</v>
      </c>
      <c r="F7" s="6" t="s">
        <v>29</v>
      </c>
      <c r="G7" s="6" t="s">
        <v>18</v>
      </c>
      <c r="H7" s="6" t="s">
        <v>19</v>
      </c>
      <c r="I7" s="6" t="s">
        <v>20</v>
      </c>
      <c r="J7" s="7" t="s">
        <v>43</v>
      </c>
      <c r="K7" s="8">
        <v>1500.0000000000002</v>
      </c>
      <c r="L7" s="9">
        <v>492</v>
      </c>
      <c r="M7" s="7" t="s">
        <v>31</v>
      </c>
      <c r="N7" s="6">
        <v>36.9</v>
      </c>
      <c r="O7" s="6">
        <v>103.23</v>
      </c>
      <c r="P7" s="10">
        <v>228</v>
      </c>
      <c r="Q7" s="10">
        <v>0</v>
      </c>
      <c r="R7" s="10">
        <v>0</v>
      </c>
      <c r="S7" s="10">
        <v>228</v>
      </c>
      <c r="T7" s="10">
        <v>0</v>
      </c>
      <c r="U7" s="10">
        <v>0</v>
      </c>
      <c r="V7" s="10">
        <v>0</v>
      </c>
      <c r="W7" s="10">
        <v>228</v>
      </c>
      <c r="X7" s="10">
        <v>0</v>
      </c>
      <c r="Y7" s="10">
        <v>0</v>
      </c>
      <c r="Z7" s="10">
        <v>228</v>
      </c>
      <c r="AA7" s="10">
        <v>0</v>
      </c>
      <c r="AB7" s="10">
        <v>0</v>
      </c>
      <c r="AC7" s="10">
        <v>0</v>
      </c>
    </row>
    <row r="8" spans="1:29" ht="15.75">
      <c r="B8" s="5">
        <v>7</v>
      </c>
      <c r="C8" s="6" t="s">
        <v>44</v>
      </c>
      <c r="D8" s="6" t="s">
        <v>45</v>
      </c>
      <c r="E8" s="6" t="s">
        <v>44</v>
      </c>
      <c r="F8" s="6" t="s">
        <v>29</v>
      </c>
      <c r="G8" s="6" t="s">
        <v>18</v>
      </c>
      <c r="H8" s="6" t="s">
        <v>19</v>
      </c>
      <c r="I8" s="6" t="s">
        <v>20</v>
      </c>
      <c r="J8" s="7" t="s">
        <v>43</v>
      </c>
      <c r="K8" s="8">
        <v>1500.0000000000002</v>
      </c>
      <c r="L8" s="9">
        <v>346</v>
      </c>
      <c r="M8" s="7" t="s">
        <v>31</v>
      </c>
      <c r="N8" s="6">
        <v>36.340000000000003</v>
      </c>
      <c r="O8" s="6">
        <v>103.21</v>
      </c>
      <c r="P8" s="10">
        <v>262</v>
      </c>
      <c r="Q8" s="10">
        <v>0</v>
      </c>
      <c r="R8" s="10">
        <v>0</v>
      </c>
      <c r="S8" s="10">
        <v>0</v>
      </c>
      <c r="T8" s="10">
        <v>0</v>
      </c>
      <c r="U8" s="10">
        <v>288</v>
      </c>
      <c r="V8" s="10">
        <v>0</v>
      </c>
      <c r="W8" s="10">
        <v>262</v>
      </c>
      <c r="X8" s="10">
        <v>0</v>
      </c>
      <c r="Y8" s="10">
        <v>0</v>
      </c>
      <c r="Z8" s="10">
        <v>0</v>
      </c>
      <c r="AA8" s="10">
        <v>0</v>
      </c>
      <c r="AB8" s="10">
        <v>288</v>
      </c>
      <c r="AC8" s="10">
        <v>0</v>
      </c>
    </row>
    <row r="9" spans="1:29" ht="15.75">
      <c r="B9" s="5">
        <v>8</v>
      </c>
      <c r="C9" s="6" t="s">
        <v>46</v>
      </c>
      <c r="D9" s="6" t="s">
        <v>47</v>
      </c>
      <c r="E9" s="6" t="s">
        <v>46</v>
      </c>
      <c r="F9" s="6" t="s">
        <v>29</v>
      </c>
      <c r="G9" s="6" t="s">
        <v>18</v>
      </c>
      <c r="H9" s="6" t="s">
        <v>19</v>
      </c>
      <c r="I9" s="6" t="s">
        <v>20</v>
      </c>
      <c r="J9" s="7" t="s">
        <v>48</v>
      </c>
      <c r="K9" s="8">
        <v>2000</v>
      </c>
      <c r="L9" s="9">
        <v>834</v>
      </c>
      <c r="M9" s="7" t="s">
        <v>31</v>
      </c>
      <c r="N9" s="6">
        <v>36.520000000000003</v>
      </c>
      <c r="O9" s="6">
        <v>101.43</v>
      </c>
      <c r="P9" s="10">
        <v>802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802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</row>
    <row r="10" spans="1:29" ht="15.75">
      <c r="B10" s="5">
        <v>9</v>
      </c>
      <c r="C10" s="6" t="s">
        <v>49</v>
      </c>
      <c r="D10" s="6" t="s">
        <v>50</v>
      </c>
      <c r="E10" s="6" t="s">
        <v>49</v>
      </c>
      <c r="F10" s="6" t="s">
        <v>29</v>
      </c>
      <c r="G10" s="6" t="s">
        <v>18</v>
      </c>
      <c r="H10" s="6" t="s">
        <v>19</v>
      </c>
      <c r="I10" s="6" t="s">
        <v>20</v>
      </c>
      <c r="J10" s="7" t="s">
        <v>51</v>
      </c>
      <c r="K10" s="8">
        <v>1500.0000000000002</v>
      </c>
      <c r="L10" s="9">
        <v>0</v>
      </c>
      <c r="M10" s="7" t="s">
        <v>31</v>
      </c>
      <c r="N10" s="6">
        <v>35.19</v>
      </c>
      <c r="O10" s="6">
        <v>112.9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</row>
    <row r="11" spans="1:29" ht="15.75">
      <c r="B11" s="5">
        <v>10</v>
      </c>
      <c r="C11" s="6" t="s">
        <v>52</v>
      </c>
      <c r="D11" s="6" t="s">
        <v>53</v>
      </c>
      <c r="E11" s="6" t="s">
        <v>54</v>
      </c>
      <c r="F11" s="6" t="s">
        <v>29</v>
      </c>
      <c r="G11" s="6" t="s">
        <v>18</v>
      </c>
      <c r="H11" s="6" t="s">
        <v>19</v>
      </c>
      <c r="I11" s="6" t="s">
        <v>20</v>
      </c>
      <c r="J11" s="7" t="s">
        <v>55</v>
      </c>
      <c r="K11" s="8">
        <v>2000</v>
      </c>
      <c r="L11" s="9">
        <v>216</v>
      </c>
      <c r="M11" s="7" t="s">
        <v>31</v>
      </c>
      <c r="N11" s="6">
        <v>38.369999999999997</v>
      </c>
      <c r="O11" s="6">
        <v>110.58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360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180</v>
      </c>
      <c r="AC11" s="10">
        <v>0</v>
      </c>
    </row>
    <row r="12" spans="1:29" ht="15.75">
      <c r="B12" s="5">
        <v>11</v>
      </c>
      <c r="C12" s="6" t="s">
        <v>56</v>
      </c>
      <c r="D12" s="6" t="s">
        <v>57</v>
      </c>
      <c r="E12" s="6" t="s">
        <v>58</v>
      </c>
      <c r="F12" s="6" t="s">
        <v>29</v>
      </c>
      <c r="G12" s="6" t="s">
        <v>18</v>
      </c>
      <c r="H12" s="6" t="s">
        <v>19</v>
      </c>
      <c r="I12" s="6" t="s">
        <v>20</v>
      </c>
      <c r="J12" s="7" t="s">
        <v>55</v>
      </c>
      <c r="K12" s="8">
        <v>2000</v>
      </c>
      <c r="L12" s="9">
        <v>541</v>
      </c>
      <c r="M12" s="7" t="s">
        <v>31</v>
      </c>
      <c r="N12" s="6">
        <v>35.659999999999997</v>
      </c>
      <c r="O12" s="6">
        <v>110.68</v>
      </c>
      <c r="P12" s="10">
        <v>0</v>
      </c>
      <c r="Q12" s="10">
        <v>520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520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</row>
    <row r="13" spans="1:29" ht="15.75">
      <c r="B13" s="5">
        <v>12</v>
      </c>
      <c r="C13" s="6" t="s">
        <v>59</v>
      </c>
      <c r="D13" s="6" t="s">
        <v>60</v>
      </c>
      <c r="E13" s="6" t="s">
        <v>61</v>
      </c>
      <c r="F13" s="6" t="s">
        <v>29</v>
      </c>
      <c r="G13" s="6" t="s">
        <v>18</v>
      </c>
      <c r="H13" s="6" t="s">
        <v>19</v>
      </c>
      <c r="I13" s="6" t="s">
        <v>20</v>
      </c>
      <c r="J13" s="7" t="s">
        <v>62</v>
      </c>
      <c r="K13" s="8">
        <v>2000</v>
      </c>
      <c r="L13" s="9">
        <v>462</v>
      </c>
      <c r="M13" s="7" t="s">
        <v>31</v>
      </c>
      <c r="N13" s="6">
        <v>23.26</v>
      </c>
      <c r="O13" s="6">
        <v>103.15</v>
      </c>
      <c r="P13" s="10">
        <v>272</v>
      </c>
      <c r="Q13" s="10">
        <v>172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272</v>
      </c>
      <c r="X13" s="10">
        <v>172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</row>
    <row r="14" spans="1:29" ht="15.75">
      <c r="B14" s="5">
        <v>13</v>
      </c>
      <c r="C14" s="6" t="s">
        <v>63</v>
      </c>
      <c r="D14" s="6" t="s">
        <v>64</v>
      </c>
      <c r="E14" s="6" t="s">
        <v>65</v>
      </c>
      <c r="F14" s="6" t="s">
        <v>29</v>
      </c>
      <c r="G14" s="6" t="s">
        <v>18</v>
      </c>
      <c r="H14" s="6" t="s">
        <v>19</v>
      </c>
      <c r="I14" s="6" t="s">
        <v>20</v>
      </c>
      <c r="J14" s="7" t="s">
        <v>62</v>
      </c>
      <c r="K14" s="8">
        <v>2000</v>
      </c>
      <c r="L14" s="9">
        <v>328</v>
      </c>
      <c r="M14" s="7" t="s">
        <v>31</v>
      </c>
      <c r="N14" s="6">
        <v>23.41</v>
      </c>
      <c r="O14" s="6">
        <v>102.52</v>
      </c>
      <c r="P14" s="10">
        <v>0</v>
      </c>
      <c r="Q14" s="10">
        <v>0</v>
      </c>
      <c r="R14" s="10">
        <v>0</v>
      </c>
      <c r="S14" s="10">
        <v>0</v>
      </c>
      <c r="T14" s="10">
        <v>288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288</v>
      </c>
      <c r="AB14" s="10">
        <v>0</v>
      </c>
      <c r="AC14" s="10">
        <v>0</v>
      </c>
    </row>
    <row r="15" spans="1:29" ht="15.75">
      <c r="B15" s="5">
        <v>14</v>
      </c>
      <c r="C15" s="6" t="s">
        <v>66</v>
      </c>
      <c r="D15" s="6" t="s">
        <v>67</v>
      </c>
      <c r="E15" s="6" t="s">
        <v>68</v>
      </c>
      <c r="F15" s="6" t="s">
        <v>29</v>
      </c>
      <c r="G15" s="6" t="s">
        <v>18</v>
      </c>
      <c r="H15" s="6" t="s">
        <v>19</v>
      </c>
      <c r="I15" s="6" t="s">
        <v>20</v>
      </c>
      <c r="J15" s="7" t="s">
        <v>62</v>
      </c>
      <c r="K15" s="8">
        <v>2000</v>
      </c>
      <c r="L15" s="9">
        <v>328</v>
      </c>
      <c r="M15" s="7" t="s">
        <v>31</v>
      </c>
      <c r="N15" s="6">
        <v>24.45</v>
      </c>
      <c r="O15" s="6">
        <v>104.14</v>
      </c>
      <c r="P15" s="10">
        <v>0</v>
      </c>
      <c r="Q15" s="10">
        <v>0</v>
      </c>
      <c r="R15" s="10">
        <v>0</v>
      </c>
      <c r="S15" s="10">
        <v>0</v>
      </c>
      <c r="T15" s="10">
        <v>288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288</v>
      </c>
      <c r="AB15" s="10">
        <v>0</v>
      </c>
      <c r="AC15" s="10">
        <v>0</v>
      </c>
    </row>
    <row r="16" spans="1:29" ht="15.75">
      <c r="B16" s="5">
        <v>15</v>
      </c>
      <c r="C16" s="6" t="s">
        <v>69</v>
      </c>
      <c r="D16" s="6" t="s">
        <v>70</v>
      </c>
      <c r="E16" s="6" t="s">
        <v>69</v>
      </c>
      <c r="F16" s="6" t="s">
        <v>29</v>
      </c>
      <c r="G16" s="6" t="s">
        <v>18</v>
      </c>
      <c r="H16" s="6" t="s">
        <v>19</v>
      </c>
      <c r="I16" s="6" t="s">
        <v>20</v>
      </c>
      <c r="J16" s="7" t="s">
        <v>62</v>
      </c>
      <c r="K16" s="8">
        <v>2000</v>
      </c>
      <c r="L16" s="9">
        <v>468</v>
      </c>
      <c r="M16" s="7" t="s">
        <v>31</v>
      </c>
      <c r="N16" s="6">
        <v>24.55</v>
      </c>
      <c r="O16" s="6">
        <v>102.58</v>
      </c>
      <c r="P16" s="10">
        <v>202</v>
      </c>
      <c r="Q16" s="10">
        <v>248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202</v>
      </c>
      <c r="X16" s="10">
        <v>248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2:29" ht="15.75">
      <c r="B17" s="5">
        <v>16</v>
      </c>
      <c r="C17" s="6" t="s">
        <v>71</v>
      </c>
      <c r="D17" s="6" t="s">
        <v>72</v>
      </c>
      <c r="E17" s="6" t="s">
        <v>73</v>
      </c>
      <c r="F17" s="6" t="s">
        <v>29</v>
      </c>
      <c r="G17" s="6" t="s">
        <v>18</v>
      </c>
      <c r="H17" s="6" t="s">
        <v>19</v>
      </c>
      <c r="I17" s="6" t="s">
        <v>20</v>
      </c>
      <c r="J17" s="7" t="s">
        <v>62</v>
      </c>
      <c r="K17" s="8">
        <v>2000</v>
      </c>
      <c r="L17" s="9">
        <v>515</v>
      </c>
      <c r="M17" s="7" t="s">
        <v>31</v>
      </c>
      <c r="N17" s="6">
        <v>25.39</v>
      </c>
      <c r="O17" s="6">
        <v>104.2</v>
      </c>
      <c r="P17" s="10">
        <v>246</v>
      </c>
      <c r="Q17" s="10">
        <v>0</v>
      </c>
      <c r="R17" s="10">
        <v>240</v>
      </c>
      <c r="S17" s="10">
        <v>0</v>
      </c>
      <c r="T17" s="10">
        <v>0</v>
      </c>
      <c r="U17" s="10">
        <v>0</v>
      </c>
      <c r="V17" s="10">
        <v>0</v>
      </c>
      <c r="W17" s="10">
        <v>246</v>
      </c>
      <c r="X17" s="10">
        <v>0</v>
      </c>
      <c r="Y17" s="10">
        <v>240</v>
      </c>
      <c r="Z17" s="10">
        <v>0</v>
      </c>
      <c r="AA17" s="10">
        <v>0</v>
      </c>
      <c r="AB17" s="10">
        <v>0</v>
      </c>
      <c r="AC17" s="10">
        <v>0</v>
      </c>
    </row>
    <row r="18" spans="2:29" ht="15.75">
      <c r="B18" s="5">
        <v>17</v>
      </c>
      <c r="C18" s="6" t="s">
        <v>74</v>
      </c>
      <c r="D18" s="6" t="s">
        <v>75</v>
      </c>
      <c r="E18" s="6" t="s">
        <v>76</v>
      </c>
      <c r="F18" s="6" t="s">
        <v>29</v>
      </c>
      <c r="G18" s="6" t="s">
        <v>18</v>
      </c>
      <c r="H18" s="6" t="s">
        <v>19</v>
      </c>
      <c r="I18" s="6" t="s">
        <v>20</v>
      </c>
      <c r="J18" s="7" t="s">
        <v>62</v>
      </c>
      <c r="K18" s="8">
        <v>2000</v>
      </c>
      <c r="L18" s="9">
        <v>289</v>
      </c>
      <c r="M18" s="7" t="s">
        <v>31</v>
      </c>
      <c r="N18" s="6">
        <v>27.29</v>
      </c>
      <c r="O18" s="6">
        <v>103.42</v>
      </c>
      <c r="P18" s="10">
        <v>0</v>
      </c>
      <c r="Q18" s="10">
        <v>0</v>
      </c>
      <c r="R18" s="10">
        <v>0</v>
      </c>
      <c r="S18" s="10">
        <v>258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258</v>
      </c>
      <c r="AA18" s="10">
        <v>0</v>
      </c>
      <c r="AB18" s="10">
        <v>0</v>
      </c>
      <c r="AC18" s="10">
        <v>0</v>
      </c>
    </row>
    <row r="19" spans="2:29" ht="15.75">
      <c r="B19" s="5">
        <v>18</v>
      </c>
      <c r="C19" s="6" t="s">
        <v>77</v>
      </c>
      <c r="D19" s="6" t="s">
        <v>78</v>
      </c>
      <c r="E19" s="6" t="s">
        <v>79</v>
      </c>
      <c r="F19" s="6" t="s">
        <v>80</v>
      </c>
      <c r="G19" s="6" t="s">
        <v>18</v>
      </c>
      <c r="H19" s="6" t="s">
        <v>19</v>
      </c>
      <c r="I19" s="6" t="s">
        <v>20</v>
      </c>
      <c r="J19" s="7" t="s">
        <v>81</v>
      </c>
      <c r="K19" s="8">
        <v>2000</v>
      </c>
      <c r="L19" s="9">
        <v>337</v>
      </c>
      <c r="M19" s="7" t="s">
        <v>22</v>
      </c>
      <c r="N19" s="6">
        <v>29.2</v>
      </c>
      <c r="O19" s="6">
        <v>106.38</v>
      </c>
      <c r="P19" s="10">
        <v>0</v>
      </c>
      <c r="Q19" s="10">
        <v>0</v>
      </c>
      <c r="R19" s="10">
        <v>0</v>
      </c>
      <c r="S19" s="10">
        <v>296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296</v>
      </c>
      <c r="AB19" s="10">
        <v>0</v>
      </c>
      <c r="AC19" s="10">
        <v>0</v>
      </c>
    </row>
    <row r="20" spans="2:29" ht="15.75">
      <c r="B20" s="5">
        <v>19</v>
      </c>
      <c r="C20" s="6" t="s">
        <v>82</v>
      </c>
      <c r="D20" s="6" t="s">
        <v>83</v>
      </c>
      <c r="E20" s="6" t="s">
        <v>84</v>
      </c>
      <c r="F20" s="6" t="s">
        <v>85</v>
      </c>
      <c r="G20" s="6" t="s">
        <v>18</v>
      </c>
      <c r="H20" s="6" t="s">
        <v>19</v>
      </c>
      <c r="I20" s="6" t="s">
        <v>20</v>
      </c>
      <c r="J20" s="7" t="s">
        <v>81</v>
      </c>
      <c r="K20" s="8">
        <v>1500.0000000000002</v>
      </c>
      <c r="L20" s="9">
        <v>266</v>
      </c>
      <c r="M20" s="7" t="s">
        <v>37</v>
      </c>
      <c r="N20" s="6">
        <v>29.47</v>
      </c>
      <c r="O20" s="6">
        <v>107.27</v>
      </c>
      <c r="P20" s="10">
        <v>130</v>
      </c>
      <c r="Q20" s="10">
        <v>126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130</v>
      </c>
      <c r="X20" s="10">
        <v>126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</row>
    <row r="21" spans="2:29" ht="15.75">
      <c r="B21" s="5">
        <v>20</v>
      </c>
      <c r="C21" s="6" t="s">
        <v>86</v>
      </c>
      <c r="D21" s="6" t="s">
        <v>87</v>
      </c>
      <c r="E21" s="6" t="s">
        <v>86</v>
      </c>
      <c r="F21" s="6" t="s">
        <v>88</v>
      </c>
      <c r="G21" s="6" t="s">
        <v>18</v>
      </c>
      <c r="H21" s="6" t="s">
        <v>19</v>
      </c>
      <c r="I21" s="6" t="s">
        <v>20</v>
      </c>
      <c r="J21" s="7" t="s">
        <v>81</v>
      </c>
      <c r="K21" s="8">
        <v>1500.0000000000002</v>
      </c>
      <c r="L21" s="9">
        <v>108</v>
      </c>
      <c r="M21" s="7" t="s">
        <v>37</v>
      </c>
      <c r="N21" s="6">
        <v>29.45</v>
      </c>
      <c r="O21" s="6">
        <v>108.74</v>
      </c>
      <c r="P21" s="10">
        <v>0</v>
      </c>
      <c r="Q21" s="10">
        <v>0</v>
      </c>
      <c r="R21" s="10">
        <v>0</v>
      </c>
      <c r="S21" s="10">
        <v>96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96</v>
      </c>
      <c r="AA21" s="10">
        <v>0</v>
      </c>
      <c r="AB21" s="10">
        <v>0</v>
      </c>
      <c r="AC21" s="10">
        <v>0</v>
      </c>
    </row>
    <row r="22" spans="2:29" ht="15.75">
      <c r="B22" s="5">
        <v>21</v>
      </c>
      <c r="C22" s="6" t="s">
        <v>89</v>
      </c>
      <c r="D22" s="6" t="s">
        <v>90</v>
      </c>
      <c r="E22" s="6" t="s">
        <v>89</v>
      </c>
      <c r="F22" s="6" t="s">
        <v>91</v>
      </c>
      <c r="G22" s="6" t="s">
        <v>18</v>
      </c>
      <c r="H22" s="6" t="s">
        <v>19</v>
      </c>
      <c r="I22" s="6" t="s">
        <v>20</v>
      </c>
      <c r="J22" s="7" t="s">
        <v>92</v>
      </c>
      <c r="K22" s="8">
        <v>1500.0000000000002</v>
      </c>
      <c r="L22" s="9">
        <v>458</v>
      </c>
      <c r="M22" s="7" t="s">
        <v>37</v>
      </c>
      <c r="N22" s="6">
        <v>29.2</v>
      </c>
      <c r="O22" s="6">
        <v>111.58</v>
      </c>
      <c r="P22" s="10">
        <v>176</v>
      </c>
      <c r="Q22" s="10">
        <v>264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176</v>
      </c>
      <c r="X22" s="10">
        <v>264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</row>
    <row r="23" spans="2:29" ht="15.75">
      <c r="B23" s="5">
        <v>22</v>
      </c>
      <c r="C23" s="6" t="s">
        <v>93</v>
      </c>
      <c r="D23" s="6" t="s">
        <v>94</v>
      </c>
      <c r="E23" s="6" t="s">
        <v>95</v>
      </c>
      <c r="F23" s="6" t="s">
        <v>96</v>
      </c>
      <c r="G23" s="6" t="s">
        <v>18</v>
      </c>
      <c r="H23" s="6" t="s">
        <v>19</v>
      </c>
      <c r="I23" s="6" t="s">
        <v>20</v>
      </c>
      <c r="J23" s="7" t="s">
        <v>30</v>
      </c>
      <c r="K23" s="8">
        <v>2000</v>
      </c>
      <c r="L23" s="9">
        <v>321</v>
      </c>
      <c r="M23" s="7" t="s">
        <v>31</v>
      </c>
      <c r="N23" s="6">
        <v>40.1</v>
      </c>
      <c r="O23" s="6">
        <v>111.21</v>
      </c>
      <c r="P23" s="10">
        <v>0</v>
      </c>
      <c r="Q23" s="10">
        <v>0</v>
      </c>
      <c r="R23" s="10">
        <v>297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297</v>
      </c>
      <c r="Z23" s="10">
        <v>0</v>
      </c>
      <c r="AA23" s="10">
        <v>0</v>
      </c>
      <c r="AB23" s="10">
        <v>0</v>
      </c>
      <c r="AC23" s="10">
        <v>0</v>
      </c>
    </row>
    <row r="24" spans="2:29" ht="15.75">
      <c r="B24" s="5">
        <v>23</v>
      </c>
      <c r="C24" s="6" t="s">
        <v>97</v>
      </c>
      <c r="D24" s="6" t="s">
        <v>98</v>
      </c>
      <c r="E24" s="6" t="s">
        <v>99</v>
      </c>
      <c r="F24" s="6" t="s">
        <v>16</v>
      </c>
      <c r="G24" s="6" t="s">
        <v>18</v>
      </c>
      <c r="H24" s="6" t="s">
        <v>19</v>
      </c>
      <c r="I24" s="6" t="s">
        <v>20</v>
      </c>
      <c r="J24" s="7" t="s">
        <v>21</v>
      </c>
      <c r="K24" s="8">
        <v>2000</v>
      </c>
      <c r="L24" s="9">
        <v>96</v>
      </c>
      <c r="M24" s="7" t="s">
        <v>22</v>
      </c>
      <c r="N24" s="6">
        <v>23.21</v>
      </c>
      <c r="O24" s="6">
        <v>106.34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240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80</v>
      </c>
    </row>
    <row r="25" spans="2:29" ht="15.75">
      <c r="B25" s="5">
        <v>24</v>
      </c>
      <c r="C25" s="6" t="s">
        <v>100</v>
      </c>
      <c r="D25" s="6" t="s">
        <v>101</v>
      </c>
      <c r="E25" s="6" t="s">
        <v>100</v>
      </c>
      <c r="F25" s="6" t="s">
        <v>102</v>
      </c>
      <c r="G25" s="6" t="s">
        <v>18</v>
      </c>
      <c r="H25" s="6" t="s">
        <v>19</v>
      </c>
      <c r="I25" s="6" t="s">
        <v>20</v>
      </c>
      <c r="J25" s="7" t="s">
        <v>81</v>
      </c>
      <c r="K25" s="8">
        <v>2000</v>
      </c>
      <c r="L25" s="9">
        <v>188</v>
      </c>
      <c r="M25" s="7" t="s">
        <v>22</v>
      </c>
      <c r="N25" s="6">
        <v>29.8</v>
      </c>
      <c r="O25" s="6">
        <v>107.46</v>
      </c>
      <c r="P25" s="10">
        <v>181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181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</row>
    <row r="26" spans="2:29" ht="15.75">
      <c r="B26" s="5">
        <v>25</v>
      </c>
      <c r="C26" s="6" t="s">
        <v>103</v>
      </c>
      <c r="D26" s="6" t="s">
        <v>104</v>
      </c>
      <c r="E26" s="6" t="s">
        <v>105</v>
      </c>
      <c r="F26" s="6" t="s">
        <v>106</v>
      </c>
      <c r="G26" s="6" t="s">
        <v>18</v>
      </c>
      <c r="H26" s="6" t="s">
        <v>19</v>
      </c>
      <c r="I26" s="6" t="s">
        <v>20</v>
      </c>
      <c r="J26" s="7" t="s">
        <v>30</v>
      </c>
      <c r="K26" s="8">
        <v>2000</v>
      </c>
      <c r="L26" s="9">
        <v>973</v>
      </c>
      <c r="M26" s="7" t="s">
        <v>37</v>
      </c>
      <c r="N26" s="6">
        <v>40.35</v>
      </c>
      <c r="O26" s="6">
        <v>109.46</v>
      </c>
      <c r="P26" s="10">
        <v>0</v>
      </c>
      <c r="Q26" s="10">
        <v>604</v>
      </c>
      <c r="R26" s="10">
        <v>0</v>
      </c>
      <c r="S26" s="10">
        <v>308</v>
      </c>
      <c r="T26" s="10">
        <v>0</v>
      </c>
      <c r="U26" s="10">
        <v>0</v>
      </c>
      <c r="V26" s="10">
        <v>0</v>
      </c>
      <c r="W26" s="10">
        <v>0</v>
      </c>
      <c r="X26" s="10">
        <v>604</v>
      </c>
      <c r="Y26" s="10">
        <v>0</v>
      </c>
      <c r="Z26" s="10">
        <v>308</v>
      </c>
      <c r="AA26" s="10">
        <v>0</v>
      </c>
      <c r="AB26" s="10">
        <v>0</v>
      </c>
      <c r="AC26" s="10">
        <v>0</v>
      </c>
    </row>
    <row r="27" spans="2:29" ht="15.75">
      <c r="B27" s="5">
        <v>26</v>
      </c>
      <c r="C27" s="6" t="s">
        <v>107</v>
      </c>
      <c r="D27" s="6" t="s">
        <v>108</v>
      </c>
      <c r="E27" s="6" t="s">
        <v>107</v>
      </c>
      <c r="F27" s="6" t="s">
        <v>106</v>
      </c>
      <c r="G27" s="6" t="s">
        <v>18</v>
      </c>
      <c r="H27" s="6" t="s">
        <v>19</v>
      </c>
      <c r="I27" s="6" t="s">
        <v>20</v>
      </c>
      <c r="J27" s="7" t="s">
        <v>109</v>
      </c>
      <c r="K27" s="8">
        <v>2000</v>
      </c>
      <c r="L27" s="9">
        <v>806</v>
      </c>
      <c r="M27" s="7" t="s">
        <v>37</v>
      </c>
      <c r="N27" s="6">
        <v>44.41</v>
      </c>
      <c r="O27" s="6">
        <v>89.07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672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672</v>
      </c>
      <c r="AC27" s="10">
        <v>0</v>
      </c>
    </row>
    <row r="28" spans="2:29" ht="15.75">
      <c r="B28" s="5">
        <v>27</v>
      </c>
      <c r="C28" s="6" t="s">
        <v>110</v>
      </c>
      <c r="D28" s="6" t="s">
        <v>111</v>
      </c>
      <c r="E28" s="6" t="s">
        <v>110</v>
      </c>
      <c r="F28" s="6" t="s">
        <v>112</v>
      </c>
      <c r="G28" s="6" t="s">
        <v>18</v>
      </c>
      <c r="H28" s="6" t="s">
        <v>19</v>
      </c>
      <c r="I28" s="6" t="s">
        <v>20</v>
      </c>
      <c r="J28" s="7" t="s">
        <v>51</v>
      </c>
      <c r="K28" s="8">
        <v>1500.0000000000002</v>
      </c>
      <c r="L28" s="9">
        <v>0</v>
      </c>
      <c r="M28" s="7" t="s">
        <v>37</v>
      </c>
      <c r="N28" s="6">
        <v>34.51</v>
      </c>
      <c r="O28" s="6">
        <v>113.16</v>
      </c>
      <c r="P28" s="10">
        <v>148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</row>
    <row r="29" spans="2:29" ht="15.75">
      <c r="B29" s="5">
        <v>28</v>
      </c>
      <c r="C29" s="6" t="s">
        <v>113</v>
      </c>
      <c r="D29" s="6" t="s">
        <v>114</v>
      </c>
      <c r="E29" s="6" t="s">
        <v>115</v>
      </c>
      <c r="F29" s="6" t="s">
        <v>115</v>
      </c>
      <c r="G29" s="6" t="s">
        <v>18</v>
      </c>
      <c r="H29" s="6" t="s">
        <v>19</v>
      </c>
      <c r="I29" s="6" t="s">
        <v>20</v>
      </c>
      <c r="J29" s="7" t="s">
        <v>116</v>
      </c>
      <c r="K29" s="8">
        <v>1500.0000000000002</v>
      </c>
      <c r="L29" s="9">
        <v>115</v>
      </c>
      <c r="M29" s="7" t="s">
        <v>22</v>
      </c>
      <c r="N29" s="6">
        <v>26.38</v>
      </c>
      <c r="O29" s="6">
        <v>118.11</v>
      </c>
      <c r="P29" s="10">
        <v>111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111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</row>
    <row r="30" spans="2:29" ht="15.75">
      <c r="B30" s="5">
        <v>29</v>
      </c>
      <c r="C30" s="6" t="s">
        <v>117</v>
      </c>
      <c r="D30" s="6" t="s">
        <v>118</v>
      </c>
      <c r="E30" s="6" t="s">
        <v>119</v>
      </c>
      <c r="F30" s="6" t="s">
        <v>120</v>
      </c>
      <c r="G30" s="6" t="s">
        <v>18</v>
      </c>
      <c r="H30" s="6" t="s">
        <v>19</v>
      </c>
      <c r="I30" s="6" t="s">
        <v>20</v>
      </c>
      <c r="J30" s="7" t="s">
        <v>43</v>
      </c>
      <c r="K30" s="8">
        <v>2000</v>
      </c>
      <c r="L30" s="9">
        <v>141</v>
      </c>
      <c r="M30" s="7" t="s">
        <v>37</v>
      </c>
      <c r="N30" s="6">
        <v>35.14</v>
      </c>
      <c r="O30" s="6">
        <v>103.5</v>
      </c>
      <c r="P30" s="10">
        <v>0</v>
      </c>
      <c r="Q30" s="10">
        <v>136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136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</row>
    <row r="31" spans="2:29" ht="15.75">
      <c r="B31" s="5">
        <v>30</v>
      </c>
      <c r="C31" s="6" t="s">
        <v>121</v>
      </c>
      <c r="D31" s="6" t="s">
        <v>122</v>
      </c>
      <c r="E31" s="6" t="s">
        <v>123</v>
      </c>
      <c r="F31" s="6" t="s">
        <v>16</v>
      </c>
      <c r="G31" s="6" t="s">
        <v>18</v>
      </c>
      <c r="H31" s="6" t="s">
        <v>19</v>
      </c>
      <c r="I31" s="6" t="s">
        <v>20</v>
      </c>
      <c r="J31" s="7" t="s">
        <v>21</v>
      </c>
      <c r="K31" s="8">
        <v>2000</v>
      </c>
      <c r="L31" s="9">
        <v>96</v>
      </c>
      <c r="M31" s="7" t="s">
        <v>22</v>
      </c>
      <c r="N31" s="6">
        <v>24.41</v>
      </c>
      <c r="O31" s="6">
        <v>105.44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240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80</v>
      </c>
    </row>
    <row r="32" spans="2:29" ht="15.75">
      <c r="B32" s="5">
        <v>31</v>
      </c>
      <c r="C32" s="6" t="s">
        <v>124</v>
      </c>
      <c r="D32" s="6" t="s">
        <v>125</v>
      </c>
      <c r="E32" s="6" t="s">
        <v>126</v>
      </c>
      <c r="F32" s="6" t="s">
        <v>29</v>
      </c>
      <c r="G32" s="6" t="s">
        <v>18</v>
      </c>
      <c r="H32" s="6" t="s">
        <v>19</v>
      </c>
      <c r="I32" s="6" t="s">
        <v>20</v>
      </c>
      <c r="J32" s="7" t="s">
        <v>21</v>
      </c>
      <c r="K32" s="8">
        <v>2000</v>
      </c>
      <c r="L32" s="9">
        <v>360</v>
      </c>
      <c r="M32" s="7" t="s">
        <v>31</v>
      </c>
      <c r="N32" s="6">
        <v>23.2</v>
      </c>
      <c r="O32" s="6">
        <v>107.29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300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300</v>
      </c>
      <c r="AC32" s="10">
        <v>0</v>
      </c>
    </row>
    <row r="33" spans="2:29" ht="15.75">
      <c r="B33" s="5">
        <v>32</v>
      </c>
      <c r="C33" s="6" t="s">
        <v>127</v>
      </c>
      <c r="D33" s="6" t="s">
        <v>128</v>
      </c>
      <c r="E33" s="6" t="s">
        <v>129</v>
      </c>
      <c r="F33" s="6" t="s">
        <v>16</v>
      </c>
      <c r="G33" s="6" t="s">
        <v>18</v>
      </c>
      <c r="H33" s="6" t="s">
        <v>19</v>
      </c>
      <c r="I33" s="6" t="s">
        <v>20</v>
      </c>
      <c r="J33" s="7" t="s">
        <v>21</v>
      </c>
      <c r="K33" s="8">
        <v>2000</v>
      </c>
      <c r="L33" s="9">
        <v>203</v>
      </c>
      <c r="M33" s="7" t="s">
        <v>22</v>
      </c>
      <c r="N33" s="6">
        <v>23.49</v>
      </c>
      <c r="O33" s="6">
        <v>106.48</v>
      </c>
      <c r="P33" s="10">
        <v>0</v>
      </c>
      <c r="Q33" s="10">
        <v>0</v>
      </c>
      <c r="R33" s="10">
        <v>0</v>
      </c>
      <c r="S33" s="10">
        <v>0</v>
      </c>
      <c r="T33" s="10">
        <v>178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178</v>
      </c>
      <c r="AB33" s="10">
        <v>0</v>
      </c>
      <c r="AC33" s="10">
        <v>0</v>
      </c>
    </row>
    <row r="34" spans="2:29" ht="15.75">
      <c r="B34" s="5">
        <v>33</v>
      </c>
      <c r="C34" s="6" t="s">
        <v>130</v>
      </c>
      <c r="D34" s="6" t="s">
        <v>131</v>
      </c>
      <c r="E34" s="6" t="s">
        <v>130</v>
      </c>
      <c r="F34" s="6" t="s">
        <v>132</v>
      </c>
      <c r="G34" s="6" t="s">
        <v>18</v>
      </c>
      <c r="H34" s="6" t="s">
        <v>19</v>
      </c>
      <c r="I34" s="6" t="s">
        <v>20</v>
      </c>
      <c r="J34" s="7" t="s">
        <v>36</v>
      </c>
      <c r="K34" s="8">
        <v>1500.0000000000002</v>
      </c>
      <c r="L34" s="9">
        <v>171</v>
      </c>
      <c r="M34" s="7" t="s">
        <v>37</v>
      </c>
      <c r="N34" s="6">
        <v>32.24</v>
      </c>
      <c r="O34" s="6">
        <v>105.45</v>
      </c>
      <c r="P34" s="10">
        <v>0</v>
      </c>
      <c r="Q34" s="10">
        <v>164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164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</row>
    <row r="35" spans="2:29" ht="15.75">
      <c r="B35" s="5">
        <v>34</v>
      </c>
      <c r="C35" s="6" t="s">
        <v>133</v>
      </c>
      <c r="D35" s="6" t="s">
        <v>134</v>
      </c>
      <c r="E35" s="6" t="s">
        <v>135</v>
      </c>
      <c r="F35" s="6" t="s">
        <v>91</v>
      </c>
      <c r="G35" s="6" t="s">
        <v>18</v>
      </c>
      <c r="H35" s="6" t="s">
        <v>19</v>
      </c>
      <c r="I35" s="6" t="s">
        <v>20</v>
      </c>
      <c r="J35" s="7" t="s">
        <v>136</v>
      </c>
      <c r="K35" s="8">
        <v>1000</v>
      </c>
      <c r="L35" s="9">
        <v>213</v>
      </c>
      <c r="M35" s="7" t="s">
        <v>37</v>
      </c>
      <c r="N35" s="6">
        <v>26.18</v>
      </c>
      <c r="O35" s="6">
        <v>105.56</v>
      </c>
      <c r="P35" s="10">
        <v>205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205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</row>
    <row r="36" spans="2:29" ht="15.75">
      <c r="B36" s="5">
        <v>35</v>
      </c>
      <c r="C36" s="6" t="s">
        <v>137</v>
      </c>
      <c r="D36" s="6" t="s">
        <v>138</v>
      </c>
      <c r="E36" s="6" t="s">
        <v>139</v>
      </c>
      <c r="F36" s="6" t="s">
        <v>29</v>
      </c>
      <c r="G36" s="6" t="s">
        <v>18</v>
      </c>
      <c r="H36" s="6" t="s">
        <v>19</v>
      </c>
      <c r="I36" s="6" t="s">
        <v>20</v>
      </c>
      <c r="J36" s="7" t="s">
        <v>136</v>
      </c>
      <c r="K36" s="8">
        <v>2000</v>
      </c>
      <c r="L36" s="9">
        <v>360</v>
      </c>
      <c r="M36" s="7" t="s">
        <v>31</v>
      </c>
      <c r="N36" s="6">
        <v>26.46</v>
      </c>
      <c r="O36" s="6">
        <v>106.07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300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300</v>
      </c>
      <c r="AC36" s="10">
        <v>0</v>
      </c>
    </row>
    <row r="37" spans="2:29" ht="15.75">
      <c r="B37" s="5">
        <v>36</v>
      </c>
      <c r="C37" s="6" t="s">
        <v>140</v>
      </c>
      <c r="D37" s="6" t="s">
        <v>141</v>
      </c>
      <c r="E37" s="6" t="s">
        <v>142</v>
      </c>
      <c r="F37" s="6" t="s">
        <v>91</v>
      </c>
      <c r="G37" s="6" t="s">
        <v>18</v>
      </c>
      <c r="H37" s="6" t="s">
        <v>19</v>
      </c>
      <c r="I37" s="6" t="s">
        <v>20</v>
      </c>
      <c r="J37" s="7" t="s">
        <v>136</v>
      </c>
      <c r="K37" s="8">
        <v>2000</v>
      </c>
      <c r="L37" s="9">
        <v>225</v>
      </c>
      <c r="M37" s="7" t="s">
        <v>37</v>
      </c>
      <c r="N37" s="6">
        <v>26.56</v>
      </c>
      <c r="O37" s="6">
        <v>105.04</v>
      </c>
      <c r="P37" s="10">
        <v>216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216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</row>
    <row r="38" spans="2:29" ht="15.75">
      <c r="B38" s="5">
        <v>37</v>
      </c>
      <c r="C38" s="6" t="s">
        <v>143</v>
      </c>
      <c r="D38" s="6" t="s">
        <v>144</v>
      </c>
      <c r="E38" s="6" t="s">
        <v>145</v>
      </c>
      <c r="F38" s="6" t="s">
        <v>146</v>
      </c>
      <c r="G38" s="6" t="s">
        <v>18</v>
      </c>
      <c r="H38" s="6" t="s">
        <v>19</v>
      </c>
      <c r="I38" s="6" t="s">
        <v>20</v>
      </c>
      <c r="J38" s="7" t="s">
        <v>147</v>
      </c>
      <c r="K38" s="8">
        <v>1400</v>
      </c>
      <c r="L38" s="9">
        <v>279</v>
      </c>
      <c r="M38" s="7" t="s">
        <v>22</v>
      </c>
      <c r="N38" s="6">
        <v>32.33</v>
      </c>
      <c r="O38" s="6">
        <v>111.31</v>
      </c>
      <c r="P38" s="10">
        <v>268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268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</row>
    <row r="39" spans="2:29" ht="15.75">
      <c r="B39" s="5">
        <v>38</v>
      </c>
      <c r="C39" s="6" t="s">
        <v>148</v>
      </c>
      <c r="D39" s="6" t="s">
        <v>149</v>
      </c>
      <c r="E39" s="6" t="s">
        <v>150</v>
      </c>
      <c r="F39" s="6" t="s">
        <v>150</v>
      </c>
      <c r="G39" s="6" t="s">
        <v>18</v>
      </c>
      <c r="H39" s="6" t="s">
        <v>19</v>
      </c>
      <c r="I39" s="6" t="s">
        <v>20</v>
      </c>
      <c r="J39" s="7" t="s">
        <v>51</v>
      </c>
      <c r="K39" s="8">
        <v>2000</v>
      </c>
      <c r="L39" s="9">
        <v>341</v>
      </c>
      <c r="M39" s="7" t="s">
        <v>37</v>
      </c>
      <c r="N39" s="6">
        <v>34.74</v>
      </c>
      <c r="O39" s="6">
        <v>112.08</v>
      </c>
      <c r="P39" s="10">
        <v>0</v>
      </c>
      <c r="Q39" s="10">
        <v>222</v>
      </c>
      <c r="R39" s="10">
        <v>102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222</v>
      </c>
      <c r="Y39" s="10">
        <v>102</v>
      </c>
      <c r="Z39" s="10">
        <v>0</v>
      </c>
      <c r="AA39" s="10">
        <v>0</v>
      </c>
      <c r="AB39" s="10">
        <v>0</v>
      </c>
      <c r="AC39" s="10">
        <v>0</v>
      </c>
    </row>
    <row r="40" spans="2:29" ht="15.75">
      <c r="B40" s="5">
        <v>39</v>
      </c>
      <c r="C40" s="6" t="s">
        <v>151</v>
      </c>
      <c r="D40" s="6" t="s">
        <v>152</v>
      </c>
      <c r="E40" s="6" t="s">
        <v>150</v>
      </c>
      <c r="F40" s="6" t="s">
        <v>150</v>
      </c>
      <c r="G40" s="6" t="s">
        <v>18</v>
      </c>
      <c r="H40" s="6" t="s">
        <v>19</v>
      </c>
      <c r="I40" s="6" t="s">
        <v>20</v>
      </c>
      <c r="J40" s="7" t="s">
        <v>51</v>
      </c>
      <c r="K40" s="8">
        <v>2000</v>
      </c>
      <c r="L40" s="9">
        <v>332</v>
      </c>
      <c r="M40" s="7" t="s">
        <v>37</v>
      </c>
      <c r="N40" s="6">
        <v>34.75</v>
      </c>
      <c r="O40" s="6">
        <v>112.07</v>
      </c>
      <c r="P40" s="10">
        <v>0</v>
      </c>
      <c r="Q40" s="10">
        <v>0</v>
      </c>
      <c r="R40" s="10">
        <v>102</v>
      </c>
      <c r="S40" s="10">
        <v>198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102</v>
      </c>
      <c r="Z40" s="10">
        <v>198</v>
      </c>
      <c r="AA40" s="10">
        <v>0</v>
      </c>
      <c r="AB40" s="10">
        <v>0</v>
      </c>
      <c r="AC40" s="10">
        <v>0</v>
      </c>
    </row>
    <row r="41" spans="2:29" ht="15.75">
      <c r="B41" s="5">
        <v>40</v>
      </c>
      <c r="C41" s="6" t="s">
        <v>153</v>
      </c>
      <c r="D41" s="6" t="s">
        <v>154</v>
      </c>
      <c r="E41" s="6" t="s">
        <v>155</v>
      </c>
      <c r="F41" s="6" t="s">
        <v>156</v>
      </c>
      <c r="G41" s="6" t="s">
        <v>18</v>
      </c>
      <c r="H41" s="6" t="s">
        <v>19</v>
      </c>
      <c r="I41" s="6" t="s">
        <v>20</v>
      </c>
      <c r="J41" s="7" t="s">
        <v>51</v>
      </c>
      <c r="K41" s="8">
        <v>2000</v>
      </c>
      <c r="L41" s="9">
        <v>322</v>
      </c>
      <c r="M41" s="7" t="s">
        <v>22</v>
      </c>
      <c r="N41" s="6">
        <v>34.409999999999997</v>
      </c>
      <c r="O41" s="6">
        <v>112.56</v>
      </c>
      <c r="P41" s="10">
        <v>0</v>
      </c>
      <c r="Q41" s="10">
        <v>310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310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</row>
    <row r="42" spans="2:29" ht="15.75">
      <c r="B42" s="5">
        <v>41</v>
      </c>
      <c r="C42" s="6" t="s">
        <v>157</v>
      </c>
      <c r="D42" s="6" t="s">
        <v>158</v>
      </c>
      <c r="E42" s="6" t="s">
        <v>159</v>
      </c>
      <c r="F42" s="6" t="s">
        <v>160</v>
      </c>
      <c r="G42" s="6" t="s">
        <v>18</v>
      </c>
      <c r="H42" s="6" t="s">
        <v>19</v>
      </c>
      <c r="I42" s="6" t="s">
        <v>20</v>
      </c>
      <c r="J42" s="7" t="s">
        <v>51</v>
      </c>
      <c r="K42" s="8">
        <v>2000</v>
      </c>
      <c r="L42" s="9">
        <v>242</v>
      </c>
      <c r="M42" s="7" t="s">
        <v>22</v>
      </c>
      <c r="N42" s="6">
        <v>34.47</v>
      </c>
      <c r="O42" s="6">
        <v>113.4</v>
      </c>
      <c r="P42" s="10">
        <v>0</v>
      </c>
      <c r="Q42" s="10">
        <v>0</v>
      </c>
      <c r="R42" s="10">
        <v>0</v>
      </c>
      <c r="S42" s="10">
        <v>216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216</v>
      </c>
      <c r="AA42" s="10">
        <v>0</v>
      </c>
      <c r="AB42" s="10">
        <v>0</v>
      </c>
      <c r="AC42" s="10">
        <v>0</v>
      </c>
    </row>
    <row r="43" spans="2:29" ht="15.75">
      <c r="B43" s="5">
        <v>42</v>
      </c>
      <c r="C43" s="6" t="s">
        <v>161</v>
      </c>
      <c r="D43" s="6" t="s">
        <v>162</v>
      </c>
      <c r="E43" s="6" t="s">
        <v>163</v>
      </c>
      <c r="F43" s="6" t="s">
        <v>29</v>
      </c>
      <c r="G43" s="6" t="s">
        <v>18</v>
      </c>
      <c r="H43" s="6" t="s">
        <v>19</v>
      </c>
      <c r="I43" s="6" t="s">
        <v>20</v>
      </c>
      <c r="J43" s="7" t="s">
        <v>62</v>
      </c>
      <c r="K43" s="8">
        <v>2000</v>
      </c>
      <c r="L43" s="9">
        <v>184</v>
      </c>
      <c r="M43" s="7" t="s">
        <v>31</v>
      </c>
      <c r="N43" s="6">
        <v>26.16</v>
      </c>
      <c r="O43" s="6">
        <v>100.1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306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153</v>
      </c>
    </row>
    <row r="44" spans="2:29" ht="15.75">
      <c r="B44" s="5">
        <v>43</v>
      </c>
      <c r="C44" s="6" t="s">
        <v>164</v>
      </c>
      <c r="D44" s="6" t="s">
        <v>165</v>
      </c>
      <c r="E44" s="6" t="s">
        <v>166</v>
      </c>
      <c r="F44" s="6" t="s">
        <v>167</v>
      </c>
      <c r="G44" s="6" t="s">
        <v>18</v>
      </c>
      <c r="H44" s="6" t="s">
        <v>19</v>
      </c>
      <c r="I44" s="6" t="s">
        <v>20</v>
      </c>
      <c r="J44" s="7" t="s">
        <v>48</v>
      </c>
      <c r="K44" s="8">
        <v>2000</v>
      </c>
      <c r="L44" s="9">
        <v>629</v>
      </c>
      <c r="M44" s="7" t="s">
        <v>31</v>
      </c>
      <c r="N44" s="6">
        <v>36.299999999999997</v>
      </c>
      <c r="O44" s="6">
        <v>101.32</v>
      </c>
      <c r="P44" s="10">
        <v>0</v>
      </c>
      <c r="Q44" s="10">
        <v>0</v>
      </c>
      <c r="R44" s="10">
        <v>286</v>
      </c>
      <c r="S44" s="10">
        <v>286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286</v>
      </c>
      <c r="Z44" s="10">
        <v>286</v>
      </c>
      <c r="AA44" s="10">
        <v>0</v>
      </c>
      <c r="AB44" s="10">
        <v>0</v>
      </c>
      <c r="AC44" s="10">
        <v>0</v>
      </c>
    </row>
    <row r="45" spans="2:29" ht="15.75">
      <c r="B45" s="5">
        <v>44</v>
      </c>
      <c r="C45" s="6" t="s">
        <v>168</v>
      </c>
      <c r="D45" s="6" t="s">
        <v>169</v>
      </c>
      <c r="E45" s="6" t="s">
        <v>89</v>
      </c>
      <c r="F45" s="6" t="s">
        <v>170</v>
      </c>
      <c r="G45" s="6" t="s">
        <v>18</v>
      </c>
      <c r="H45" s="6" t="s">
        <v>19</v>
      </c>
      <c r="I45" s="6" t="s">
        <v>20</v>
      </c>
      <c r="J45" s="7" t="s">
        <v>30</v>
      </c>
      <c r="K45" s="8">
        <v>2000</v>
      </c>
      <c r="L45" s="9">
        <v>396</v>
      </c>
      <c r="M45" s="7" t="s">
        <v>37</v>
      </c>
      <c r="N45" s="6">
        <v>45.26</v>
      </c>
      <c r="O45" s="6">
        <v>119.26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330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330</v>
      </c>
      <c r="AC45" s="10">
        <v>0</v>
      </c>
    </row>
    <row r="46" spans="2:29" ht="15.75">
      <c r="B46" s="5">
        <v>45</v>
      </c>
      <c r="C46" s="6" t="s">
        <v>171</v>
      </c>
      <c r="D46" s="6" t="s">
        <v>172</v>
      </c>
      <c r="E46" s="6" t="s">
        <v>173</v>
      </c>
      <c r="F46" s="6" t="s">
        <v>29</v>
      </c>
      <c r="G46" s="6" t="s">
        <v>18</v>
      </c>
      <c r="H46" s="6" t="s">
        <v>19</v>
      </c>
      <c r="I46" s="6" t="s">
        <v>20</v>
      </c>
      <c r="J46" s="7" t="s">
        <v>30</v>
      </c>
      <c r="K46" s="8">
        <v>2000</v>
      </c>
      <c r="L46" s="9">
        <v>509</v>
      </c>
      <c r="M46" s="7" t="s">
        <v>31</v>
      </c>
      <c r="N46" s="6">
        <v>40.33</v>
      </c>
      <c r="O46" s="6">
        <v>110.9</v>
      </c>
      <c r="P46" s="10">
        <v>0</v>
      </c>
      <c r="Q46" s="10">
        <v>0</v>
      </c>
      <c r="R46" s="10">
        <v>0</v>
      </c>
      <c r="S46" s="10">
        <v>88</v>
      </c>
      <c r="T46" s="10">
        <v>0</v>
      </c>
      <c r="U46" s="10">
        <v>342</v>
      </c>
      <c r="V46" s="10">
        <v>0</v>
      </c>
      <c r="W46" s="10">
        <v>0</v>
      </c>
      <c r="X46" s="10">
        <v>0</v>
      </c>
      <c r="Y46" s="10">
        <v>0</v>
      </c>
      <c r="Z46" s="10">
        <v>88</v>
      </c>
      <c r="AA46" s="10">
        <v>0</v>
      </c>
      <c r="AB46" s="10">
        <v>342</v>
      </c>
      <c r="AC46" s="10">
        <v>0</v>
      </c>
    </row>
    <row r="47" spans="2:29" ht="15.75">
      <c r="B47" s="5">
        <v>46</v>
      </c>
      <c r="C47" s="6" t="s">
        <v>174</v>
      </c>
      <c r="D47" s="6" t="s">
        <v>175</v>
      </c>
      <c r="E47" s="6" t="s">
        <v>176</v>
      </c>
      <c r="F47" s="6" t="s">
        <v>177</v>
      </c>
      <c r="G47" s="6" t="s">
        <v>18</v>
      </c>
      <c r="H47" s="6" t="s">
        <v>19</v>
      </c>
      <c r="I47" s="6" t="s">
        <v>20</v>
      </c>
      <c r="J47" s="7" t="s">
        <v>30</v>
      </c>
      <c r="K47" s="8">
        <v>2000</v>
      </c>
      <c r="L47" s="9">
        <v>824</v>
      </c>
      <c r="M47" s="7" t="s">
        <v>37</v>
      </c>
      <c r="N47" s="6">
        <v>45.24</v>
      </c>
      <c r="O47" s="6">
        <v>119.35</v>
      </c>
      <c r="P47" s="10">
        <v>0</v>
      </c>
      <c r="Q47" s="10">
        <v>0</v>
      </c>
      <c r="R47" s="10">
        <v>0</v>
      </c>
      <c r="S47" s="10">
        <v>736</v>
      </c>
      <c r="T47" s="10">
        <v>0</v>
      </c>
      <c r="U47" s="10">
        <v>148</v>
      </c>
      <c r="V47" s="10">
        <v>0</v>
      </c>
      <c r="W47" s="10">
        <v>0</v>
      </c>
      <c r="X47" s="10">
        <v>0</v>
      </c>
      <c r="Y47" s="10">
        <v>0</v>
      </c>
      <c r="Z47" s="10">
        <v>736</v>
      </c>
      <c r="AA47" s="10">
        <v>0</v>
      </c>
      <c r="AB47" s="10">
        <v>0</v>
      </c>
      <c r="AC47" s="10">
        <v>0</v>
      </c>
    </row>
    <row r="48" spans="2:29" ht="15.75">
      <c r="B48" s="5">
        <v>47</v>
      </c>
      <c r="C48" s="6" t="s">
        <v>178</v>
      </c>
      <c r="D48" s="6" t="s">
        <v>179</v>
      </c>
      <c r="E48" s="6" t="s">
        <v>178</v>
      </c>
      <c r="F48" s="6" t="s">
        <v>180</v>
      </c>
      <c r="G48" s="6" t="s">
        <v>18</v>
      </c>
      <c r="H48" s="6" t="s">
        <v>19</v>
      </c>
      <c r="I48" s="6" t="s">
        <v>20</v>
      </c>
      <c r="J48" s="7" t="s">
        <v>51</v>
      </c>
      <c r="K48" s="8">
        <v>2000</v>
      </c>
      <c r="L48" s="9">
        <v>580</v>
      </c>
      <c r="M48" s="7" t="s">
        <v>22</v>
      </c>
      <c r="N48" s="6">
        <v>35.14</v>
      </c>
      <c r="O48" s="6">
        <v>113.22</v>
      </c>
      <c r="P48" s="10">
        <v>558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558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</row>
    <row r="49" spans="2:29" ht="15.75">
      <c r="B49" s="5">
        <v>48</v>
      </c>
      <c r="C49" s="6" t="s">
        <v>181</v>
      </c>
      <c r="D49" s="6" t="s">
        <v>182</v>
      </c>
      <c r="E49" s="6" t="s">
        <v>183</v>
      </c>
      <c r="F49" s="6" t="s">
        <v>184</v>
      </c>
      <c r="G49" s="6" t="s">
        <v>18</v>
      </c>
      <c r="H49" s="6" t="s">
        <v>19</v>
      </c>
      <c r="I49" s="6" t="s">
        <v>20</v>
      </c>
      <c r="J49" s="7" t="s">
        <v>43</v>
      </c>
      <c r="K49" s="8">
        <v>2000</v>
      </c>
      <c r="L49" s="9">
        <v>1210</v>
      </c>
      <c r="M49" s="7" t="s">
        <v>22</v>
      </c>
      <c r="N49" s="6">
        <v>39.49</v>
      </c>
      <c r="O49" s="6">
        <v>98.16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1008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1008</v>
      </c>
      <c r="AC49" s="10">
        <v>0</v>
      </c>
    </row>
    <row r="50" spans="2:29" ht="15.75">
      <c r="B50" s="5">
        <v>49</v>
      </c>
      <c r="C50" s="6" t="s">
        <v>185</v>
      </c>
      <c r="D50" s="6" t="s">
        <v>186</v>
      </c>
      <c r="E50" s="6" t="s">
        <v>185</v>
      </c>
      <c r="F50" s="6" t="s">
        <v>187</v>
      </c>
      <c r="G50" s="6" t="s">
        <v>18</v>
      </c>
      <c r="H50" s="6" t="s">
        <v>19</v>
      </c>
      <c r="I50" s="6" t="s">
        <v>20</v>
      </c>
      <c r="J50" s="7" t="s">
        <v>48</v>
      </c>
      <c r="K50" s="8">
        <v>1400</v>
      </c>
      <c r="L50" s="9">
        <v>0</v>
      </c>
      <c r="M50" s="7" t="s">
        <v>37</v>
      </c>
      <c r="N50" s="6">
        <v>36.1</v>
      </c>
      <c r="O50" s="6">
        <v>101.86</v>
      </c>
      <c r="P50" s="10">
        <v>160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</row>
    <row r="51" spans="2:29" ht="15.75">
      <c r="B51" s="5">
        <v>50</v>
      </c>
      <c r="C51" s="6" t="s">
        <v>188</v>
      </c>
      <c r="D51" s="6" t="s">
        <v>189</v>
      </c>
      <c r="E51" s="6" t="s">
        <v>188</v>
      </c>
      <c r="F51" s="6" t="s">
        <v>190</v>
      </c>
      <c r="G51" s="6" t="s">
        <v>18</v>
      </c>
      <c r="H51" s="6" t="s">
        <v>19</v>
      </c>
      <c r="I51" s="6" t="s">
        <v>20</v>
      </c>
      <c r="J51" s="7" t="s">
        <v>191</v>
      </c>
      <c r="K51" s="8">
        <v>1500.0000000000002</v>
      </c>
      <c r="L51" s="9">
        <v>0</v>
      </c>
      <c r="M51" s="7" t="s">
        <v>22</v>
      </c>
      <c r="N51" s="6">
        <v>35.369999999999997</v>
      </c>
      <c r="O51" s="6">
        <v>116.88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</row>
    <row r="52" spans="2:29" ht="15.75">
      <c r="B52" s="5">
        <v>51</v>
      </c>
      <c r="C52" s="6" t="s">
        <v>192</v>
      </c>
      <c r="D52" s="6" t="s">
        <v>193</v>
      </c>
      <c r="E52" s="6" t="s">
        <v>192</v>
      </c>
      <c r="F52" s="6" t="s">
        <v>25</v>
      </c>
      <c r="G52" s="6" t="s">
        <v>18</v>
      </c>
      <c r="H52" s="6" t="s">
        <v>19</v>
      </c>
      <c r="I52" s="6" t="s">
        <v>20</v>
      </c>
      <c r="J52" s="7" t="s">
        <v>21</v>
      </c>
      <c r="K52" s="8">
        <v>2000</v>
      </c>
      <c r="L52" s="9">
        <v>523</v>
      </c>
      <c r="M52" s="7" t="s">
        <v>22</v>
      </c>
      <c r="N52" s="6">
        <v>23.31</v>
      </c>
      <c r="O52" s="6">
        <v>108.56</v>
      </c>
      <c r="P52" s="10">
        <v>0</v>
      </c>
      <c r="Q52" s="10">
        <v>0</v>
      </c>
      <c r="R52" s="10">
        <v>280</v>
      </c>
      <c r="S52" s="10">
        <v>0</v>
      </c>
      <c r="T52" s="10">
        <v>0</v>
      </c>
      <c r="U52" s="10">
        <v>184</v>
      </c>
      <c r="V52" s="10">
        <v>0</v>
      </c>
      <c r="W52" s="10">
        <v>0</v>
      </c>
      <c r="X52" s="10">
        <v>0</v>
      </c>
      <c r="Y52" s="10">
        <v>280</v>
      </c>
      <c r="Z52" s="10">
        <v>0</v>
      </c>
      <c r="AA52" s="10">
        <v>0</v>
      </c>
      <c r="AB52" s="10">
        <v>184</v>
      </c>
      <c r="AC52" s="10">
        <v>0</v>
      </c>
    </row>
    <row r="53" spans="2:29" ht="15.75">
      <c r="B53" s="5">
        <v>52</v>
      </c>
      <c r="C53" s="6" t="s">
        <v>194</v>
      </c>
      <c r="D53" s="6" t="s">
        <v>195</v>
      </c>
      <c r="E53" s="6" t="s">
        <v>196</v>
      </c>
      <c r="F53" s="6" t="s">
        <v>196</v>
      </c>
      <c r="G53" s="6" t="s">
        <v>18</v>
      </c>
      <c r="H53" s="6" t="s">
        <v>19</v>
      </c>
      <c r="I53" s="6" t="s">
        <v>20</v>
      </c>
      <c r="J53" s="7" t="s">
        <v>191</v>
      </c>
      <c r="K53" s="8">
        <v>2000</v>
      </c>
      <c r="L53" s="9">
        <v>0</v>
      </c>
      <c r="M53" s="7" t="s">
        <v>37</v>
      </c>
      <c r="N53" s="6">
        <v>36.619999999999997</v>
      </c>
      <c r="O53" s="6">
        <v>116.24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</row>
    <row r="54" spans="2:29" ht="15.75">
      <c r="B54" s="5">
        <v>53</v>
      </c>
      <c r="C54" s="6" t="s">
        <v>197</v>
      </c>
      <c r="D54" s="6" t="s">
        <v>198</v>
      </c>
      <c r="E54" s="6" t="s">
        <v>199</v>
      </c>
      <c r="F54" s="6" t="s">
        <v>160</v>
      </c>
      <c r="G54" s="6" t="s">
        <v>18</v>
      </c>
      <c r="H54" s="6" t="s">
        <v>19</v>
      </c>
      <c r="I54" s="6" t="s">
        <v>20</v>
      </c>
      <c r="J54" s="7" t="s">
        <v>51</v>
      </c>
      <c r="K54" s="8">
        <v>2000</v>
      </c>
      <c r="L54" s="9">
        <v>0</v>
      </c>
      <c r="M54" s="7" t="s">
        <v>22</v>
      </c>
      <c r="N54" s="6">
        <v>36.6</v>
      </c>
      <c r="O54" s="6">
        <v>113.52</v>
      </c>
      <c r="P54" s="10">
        <v>0</v>
      </c>
      <c r="Q54" s="10">
        <v>0</v>
      </c>
      <c r="R54" s="10">
        <v>0</v>
      </c>
      <c r="S54" s="10">
        <v>234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</row>
    <row r="55" spans="2:29" ht="15.75">
      <c r="B55" s="5">
        <v>54</v>
      </c>
      <c r="C55" s="6" t="s">
        <v>200</v>
      </c>
      <c r="D55" s="6" t="s">
        <v>201</v>
      </c>
      <c r="E55" s="6" t="s">
        <v>202</v>
      </c>
      <c r="F55" s="6" t="s">
        <v>184</v>
      </c>
      <c r="G55" s="6" t="s">
        <v>18</v>
      </c>
      <c r="H55" s="6" t="s">
        <v>19</v>
      </c>
      <c r="I55" s="6" t="s">
        <v>20</v>
      </c>
      <c r="J55" s="7" t="s">
        <v>43</v>
      </c>
      <c r="K55" s="8">
        <v>2000</v>
      </c>
      <c r="L55" s="9">
        <v>426</v>
      </c>
      <c r="M55" s="7" t="s">
        <v>22</v>
      </c>
      <c r="N55" s="6">
        <v>34.58</v>
      </c>
      <c r="O55" s="6">
        <v>104.38</v>
      </c>
      <c r="P55" s="10">
        <v>164</v>
      </c>
      <c r="Q55" s="10">
        <v>0</v>
      </c>
      <c r="R55" s="10">
        <v>0</v>
      </c>
      <c r="S55" s="10">
        <v>228</v>
      </c>
      <c r="T55" s="10">
        <v>0</v>
      </c>
      <c r="U55" s="10">
        <v>0</v>
      </c>
      <c r="V55" s="10">
        <v>0</v>
      </c>
      <c r="W55" s="10">
        <v>164</v>
      </c>
      <c r="X55" s="10">
        <v>0</v>
      </c>
      <c r="Y55" s="10">
        <v>0</v>
      </c>
      <c r="Z55" s="10">
        <v>228</v>
      </c>
      <c r="AA55" s="10">
        <v>0</v>
      </c>
      <c r="AB55" s="10">
        <v>0</v>
      </c>
      <c r="AC55" s="10">
        <v>0</v>
      </c>
    </row>
    <row r="56" spans="2:29" ht="15.75">
      <c r="B56" s="5">
        <v>55</v>
      </c>
      <c r="C56" s="6" t="s">
        <v>203</v>
      </c>
      <c r="D56" s="6" t="s">
        <v>204</v>
      </c>
      <c r="E56" s="6" t="s">
        <v>155</v>
      </c>
      <c r="F56" s="6" t="s">
        <v>156</v>
      </c>
      <c r="G56" s="6" t="s">
        <v>18</v>
      </c>
      <c r="H56" s="6" t="s">
        <v>19</v>
      </c>
      <c r="I56" s="6" t="s">
        <v>20</v>
      </c>
      <c r="J56" s="7" t="s">
        <v>51</v>
      </c>
      <c r="K56" s="8">
        <v>2000</v>
      </c>
      <c r="L56" s="9">
        <v>241</v>
      </c>
      <c r="M56" s="7" t="s">
        <v>22</v>
      </c>
      <c r="N56" s="6">
        <v>34.42</v>
      </c>
      <c r="O56" s="6">
        <v>112.51</v>
      </c>
      <c r="P56" s="10">
        <v>0</v>
      </c>
      <c r="Q56" s="10">
        <v>232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232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</row>
    <row r="57" spans="2:29" ht="15.75">
      <c r="B57" s="5">
        <v>56</v>
      </c>
      <c r="C57" s="6" t="s">
        <v>205</v>
      </c>
      <c r="D57" s="6" t="s">
        <v>206</v>
      </c>
      <c r="E57" s="6" t="s">
        <v>205</v>
      </c>
      <c r="F57" s="6" t="s">
        <v>207</v>
      </c>
      <c r="G57" s="6" t="s">
        <v>18</v>
      </c>
      <c r="H57" s="6" t="s">
        <v>19</v>
      </c>
      <c r="I57" s="6" t="s">
        <v>20</v>
      </c>
      <c r="J57" s="7" t="s">
        <v>208</v>
      </c>
      <c r="K57" s="8">
        <v>1500.0000000000002</v>
      </c>
      <c r="L57" s="9">
        <v>0</v>
      </c>
      <c r="M57" s="7" t="s">
        <v>22</v>
      </c>
      <c r="N57" s="6">
        <v>38.14</v>
      </c>
      <c r="O57" s="6">
        <v>114.34</v>
      </c>
      <c r="P57" s="10">
        <v>170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</row>
    <row r="58" spans="2:29" ht="15.75">
      <c r="B58" s="5">
        <v>57</v>
      </c>
      <c r="C58" s="6" t="s">
        <v>209</v>
      </c>
      <c r="D58" s="6" t="s">
        <v>210</v>
      </c>
      <c r="E58" s="6" t="s">
        <v>211</v>
      </c>
      <c r="F58" s="6" t="s">
        <v>212</v>
      </c>
      <c r="G58" s="6" t="s">
        <v>18</v>
      </c>
      <c r="H58" s="6" t="s">
        <v>19</v>
      </c>
      <c r="I58" s="6" t="s">
        <v>20</v>
      </c>
      <c r="J58" s="7" t="s">
        <v>30</v>
      </c>
      <c r="K58" s="8">
        <v>2000</v>
      </c>
      <c r="L58" s="9">
        <v>360</v>
      </c>
      <c r="M58" s="7" t="s">
        <v>22</v>
      </c>
      <c r="N58" s="6">
        <v>40.159999999999997</v>
      </c>
      <c r="O58" s="6">
        <v>110.4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300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300</v>
      </c>
      <c r="AC58" s="10">
        <v>0</v>
      </c>
    </row>
    <row r="59" spans="2:29" ht="15.75">
      <c r="B59" s="5">
        <v>58</v>
      </c>
      <c r="C59" s="6" t="s">
        <v>213</v>
      </c>
      <c r="D59" s="6" t="s">
        <v>214</v>
      </c>
      <c r="E59" s="6" t="s">
        <v>215</v>
      </c>
      <c r="F59" s="6" t="s">
        <v>216</v>
      </c>
      <c r="G59" s="6" t="s">
        <v>18</v>
      </c>
      <c r="H59" s="6" t="s">
        <v>19</v>
      </c>
      <c r="I59" s="6" t="s">
        <v>20</v>
      </c>
      <c r="J59" s="7" t="s">
        <v>48</v>
      </c>
      <c r="K59" s="8">
        <v>2000</v>
      </c>
      <c r="L59" s="9">
        <v>312</v>
      </c>
      <c r="M59" s="7" t="s">
        <v>22</v>
      </c>
      <c r="N59" s="6">
        <v>36.299999999999997</v>
      </c>
      <c r="O59" s="6">
        <v>101.34</v>
      </c>
      <c r="P59" s="10">
        <v>300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300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</row>
    <row r="60" spans="2:29" ht="15.75">
      <c r="B60" s="5">
        <v>59</v>
      </c>
      <c r="C60" s="6" t="s">
        <v>217</v>
      </c>
      <c r="D60" s="6" t="s">
        <v>218</v>
      </c>
      <c r="E60" s="6" t="s">
        <v>219</v>
      </c>
      <c r="F60" s="6" t="s">
        <v>216</v>
      </c>
      <c r="G60" s="6" t="s">
        <v>18</v>
      </c>
      <c r="H60" s="6" t="s">
        <v>19</v>
      </c>
      <c r="I60" s="6" t="s">
        <v>20</v>
      </c>
      <c r="J60" s="7" t="s">
        <v>48</v>
      </c>
      <c r="K60" s="8">
        <v>2000</v>
      </c>
      <c r="L60" s="9">
        <v>302</v>
      </c>
      <c r="M60" s="7" t="s">
        <v>22</v>
      </c>
      <c r="N60" s="6">
        <v>36.299999999999997</v>
      </c>
      <c r="O60" s="6">
        <v>101.34</v>
      </c>
      <c r="P60" s="10">
        <v>0</v>
      </c>
      <c r="Q60" s="10">
        <v>0</v>
      </c>
      <c r="R60" s="10">
        <v>560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280</v>
      </c>
      <c r="Z60" s="10">
        <v>0</v>
      </c>
      <c r="AA60" s="10">
        <v>0</v>
      </c>
      <c r="AB60" s="10">
        <v>0</v>
      </c>
      <c r="AC60" s="10">
        <v>0</v>
      </c>
    </row>
    <row r="61" spans="2:29" ht="15.75">
      <c r="B61" s="5">
        <v>60</v>
      </c>
      <c r="C61" s="6" t="s">
        <v>220</v>
      </c>
      <c r="D61" s="6" t="s">
        <v>221</v>
      </c>
      <c r="E61" s="6" t="s">
        <v>222</v>
      </c>
      <c r="F61" s="6" t="s">
        <v>223</v>
      </c>
      <c r="G61" s="6" t="s">
        <v>18</v>
      </c>
      <c r="H61" s="6" t="s">
        <v>19</v>
      </c>
      <c r="I61" s="6" t="s">
        <v>20</v>
      </c>
      <c r="J61" s="7" t="s">
        <v>48</v>
      </c>
      <c r="K61" s="8">
        <v>2000</v>
      </c>
      <c r="L61" s="9">
        <v>550</v>
      </c>
      <c r="M61" s="7" t="s">
        <v>22</v>
      </c>
      <c r="N61" s="6">
        <v>36.18</v>
      </c>
      <c r="O61" s="6">
        <v>102.54</v>
      </c>
      <c r="P61" s="10">
        <v>236</v>
      </c>
      <c r="Q61" s="10">
        <v>0</v>
      </c>
      <c r="R61" s="10">
        <v>0</v>
      </c>
      <c r="S61" s="10">
        <v>272</v>
      </c>
      <c r="T61" s="10">
        <v>0</v>
      </c>
      <c r="U61" s="10">
        <v>0</v>
      </c>
      <c r="V61" s="10">
        <v>0</v>
      </c>
      <c r="W61" s="10">
        <v>236</v>
      </c>
      <c r="X61" s="10">
        <v>0</v>
      </c>
      <c r="Y61" s="10">
        <v>0</v>
      </c>
      <c r="Z61" s="10">
        <v>272</v>
      </c>
      <c r="AA61" s="10">
        <v>0</v>
      </c>
      <c r="AB61" s="10">
        <v>0</v>
      </c>
      <c r="AC61" s="10">
        <v>0</v>
      </c>
    </row>
    <row r="62" spans="2:29" ht="15.75">
      <c r="B62" s="5">
        <v>61</v>
      </c>
      <c r="C62" s="6" t="s">
        <v>224</v>
      </c>
      <c r="D62" s="6" t="s">
        <v>225</v>
      </c>
      <c r="E62" s="6" t="s">
        <v>226</v>
      </c>
      <c r="F62" s="6" t="s">
        <v>224</v>
      </c>
      <c r="G62" s="6" t="s">
        <v>18</v>
      </c>
      <c r="H62" s="6" t="s">
        <v>19</v>
      </c>
      <c r="I62" s="6" t="s">
        <v>20</v>
      </c>
      <c r="J62" s="7" t="s">
        <v>48</v>
      </c>
      <c r="K62" s="8">
        <v>1500.0000000000002</v>
      </c>
      <c r="L62" s="9">
        <v>166</v>
      </c>
      <c r="M62" s="7" t="s">
        <v>37</v>
      </c>
      <c r="N62" s="6">
        <v>36.700000000000003</v>
      </c>
      <c r="O62" s="6">
        <v>102.14</v>
      </c>
      <c r="P62" s="10">
        <v>160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160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</row>
    <row r="63" spans="2:29" ht="15.75">
      <c r="B63" s="5">
        <v>62</v>
      </c>
      <c r="C63" s="6" t="s">
        <v>227</v>
      </c>
      <c r="D63" s="6" t="s">
        <v>228</v>
      </c>
      <c r="E63" s="6" t="s">
        <v>229</v>
      </c>
      <c r="F63" s="6" t="s">
        <v>216</v>
      </c>
      <c r="G63" s="6" t="s">
        <v>18</v>
      </c>
      <c r="H63" s="6" t="s">
        <v>19</v>
      </c>
      <c r="I63" s="6" t="s">
        <v>20</v>
      </c>
      <c r="J63" s="7" t="s">
        <v>48</v>
      </c>
      <c r="K63" s="8">
        <v>1500.0000000000002</v>
      </c>
      <c r="L63" s="9">
        <v>0</v>
      </c>
      <c r="M63" s="7" t="s">
        <v>22</v>
      </c>
      <c r="N63" s="6">
        <v>36.46</v>
      </c>
      <c r="O63" s="6">
        <v>101.45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</row>
    <row r="64" spans="2:29" ht="15.75">
      <c r="B64" s="5">
        <v>63</v>
      </c>
      <c r="C64" s="6" t="s">
        <v>230</v>
      </c>
      <c r="D64" s="6" t="s">
        <v>231</v>
      </c>
      <c r="E64" s="6" t="s">
        <v>230</v>
      </c>
      <c r="F64" s="6" t="s">
        <v>216</v>
      </c>
      <c r="G64" s="6" t="s">
        <v>18</v>
      </c>
      <c r="H64" s="6" t="s">
        <v>19</v>
      </c>
      <c r="I64" s="6" t="s">
        <v>20</v>
      </c>
      <c r="J64" s="7" t="s">
        <v>48</v>
      </c>
      <c r="K64" s="8">
        <v>2000</v>
      </c>
      <c r="L64" s="9">
        <v>491</v>
      </c>
      <c r="M64" s="7" t="s">
        <v>22</v>
      </c>
      <c r="N64" s="6">
        <v>36.53</v>
      </c>
      <c r="O64" s="6">
        <v>101.42</v>
      </c>
      <c r="P64" s="10">
        <v>472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472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</row>
    <row r="65" spans="2:29" ht="15.75">
      <c r="B65" s="5">
        <v>64</v>
      </c>
      <c r="C65" s="6" t="s">
        <v>232</v>
      </c>
      <c r="D65" s="6" t="s">
        <v>233</v>
      </c>
      <c r="E65" s="6" t="s">
        <v>234</v>
      </c>
      <c r="F65" s="6" t="s">
        <v>234</v>
      </c>
      <c r="G65" s="6" t="s">
        <v>18</v>
      </c>
      <c r="H65" s="6" t="s">
        <v>19</v>
      </c>
      <c r="I65" s="6" t="s">
        <v>20</v>
      </c>
      <c r="J65" s="7" t="s">
        <v>48</v>
      </c>
      <c r="K65" s="8">
        <v>2000</v>
      </c>
      <c r="L65" s="9">
        <v>0</v>
      </c>
      <c r="M65" s="7" t="s">
        <v>37</v>
      </c>
      <c r="N65" s="6">
        <v>36.56</v>
      </c>
      <c r="O65" s="6">
        <v>101.51</v>
      </c>
      <c r="P65" s="10">
        <v>0</v>
      </c>
      <c r="Q65" s="10">
        <v>0</v>
      </c>
      <c r="R65" s="10">
        <v>0</v>
      </c>
      <c r="S65" s="10">
        <v>312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</row>
    <row r="66" spans="2:29" ht="15.75">
      <c r="B66" s="5">
        <v>65</v>
      </c>
      <c r="C66" s="6" t="s">
        <v>235</v>
      </c>
      <c r="D66" s="6" t="s">
        <v>236</v>
      </c>
      <c r="E66" s="6" t="s">
        <v>237</v>
      </c>
      <c r="F66" s="6" t="s">
        <v>167</v>
      </c>
      <c r="G66" s="6" t="s">
        <v>18</v>
      </c>
      <c r="H66" s="6" t="s">
        <v>19</v>
      </c>
      <c r="I66" s="6" t="s">
        <v>20</v>
      </c>
      <c r="J66" s="7" t="s">
        <v>238</v>
      </c>
      <c r="K66" s="8">
        <v>2000</v>
      </c>
      <c r="L66" s="9">
        <v>602</v>
      </c>
      <c r="M66" s="7" t="s">
        <v>31</v>
      </c>
      <c r="N66" s="6">
        <v>37.53</v>
      </c>
      <c r="O66" s="6">
        <v>105.56</v>
      </c>
      <c r="P66" s="10">
        <v>280</v>
      </c>
      <c r="Q66" s="10">
        <v>0</v>
      </c>
      <c r="R66" s="10">
        <v>288</v>
      </c>
      <c r="S66" s="10">
        <v>0</v>
      </c>
      <c r="T66" s="10">
        <v>0</v>
      </c>
      <c r="U66" s="10">
        <v>0</v>
      </c>
      <c r="V66" s="10">
        <v>0</v>
      </c>
      <c r="W66" s="10">
        <v>280</v>
      </c>
      <c r="X66" s="10">
        <v>0</v>
      </c>
      <c r="Y66" s="10">
        <v>288</v>
      </c>
      <c r="Z66" s="10">
        <v>0</v>
      </c>
      <c r="AA66" s="10">
        <v>0</v>
      </c>
      <c r="AB66" s="10">
        <v>0</v>
      </c>
      <c r="AC66" s="10">
        <v>0</v>
      </c>
    </row>
    <row r="67" spans="2:29" ht="15.75">
      <c r="B67" s="5">
        <v>66</v>
      </c>
      <c r="C67" s="6" t="s">
        <v>239</v>
      </c>
      <c r="D67" s="6" t="s">
        <v>240</v>
      </c>
      <c r="E67" s="6" t="s">
        <v>241</v>
      </c>
      <c r="F67" s="6" t="s">
        <v>167</v>
      </c>
      <c r="G67" s="6" t="s">
        <v>18</v>
      </c>
      <c r="H67" s="6" t="s">
        <v>19</v>
      </c>
      <c r="I67" s="6" t="s">
        <v>20</v>
      </c>
      <c r="J67" s="7" t="s">
        <v>238</v>
      </c>
      <c r="K67" s="8">
        <v>2000</v>
      </c>
      <c r="L67" s="9">
        <v>634</v>
      </c>
      <c r="M67" s="7" t="s">
        <v>31</v>
      </c>
      <c r="N67" s="6">
        <v>38.119999999999997</v>
      </c>
      <c r="O67" s="6">
        <v>106.31</v>
      </c>
      <c r="P67" s="10">
        <v>0</v>
      </c>
      <c r="Q67" s="10">
        <v>0</v>
      </c>
      <c r="R67" s="10">
        <v>288</v>
      </c>
      <c r="S67" s="10">
        <v>288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288</v>
      </c>
      <c r="Z67" s="10">
        <v>288</v>
      </c>
      <c r="AA67" s="10">
        <v>0</v>
      </c>
      <c r="AB67" s="10">
        <v>0</v>
      </c>
      <c r="AC67" s="10">
        <v>0</v>
      </c>
    </row>
    <row r="68" spans="2:29" ht="15.75">
      <c r="B68" s="5">
        <v>67</v>
      </c>
      <c r="C68" s="6" t="s">
        <v>242</v>
      </c>
      <c r="D68" s="6" t="s">
        <v>243</v>
      </c>
      <c r="E68" s="6" t="s">
        <v>244</v>
      </c>
      <c r="F68" s="6" t="s">
        <v>245</v>
      </c>
      <c r="G68" s="6" t="s">
        <v>18</v>
      </c>
      <c r="H68" s="6" t="s">
        <v>19</v>
      </c>
      <c r="I68" s="6" t="s">
        <v>20</v>
      </c>
      <c r="J68" s="7" t="s">
        <v>246</v>
      </c>
      <c r="K68" s="8">
        <v>2000</v>
      </c>
      <c r="L68" s="9">
        <v>216</v>
      </c>
      <c r="M68" s="7" t="s">
        <v>22</v>
      </c>
      <c r="N68" s="6">
        <v>34.58</v>
      </c>
      <c r="O68" s="6">
        <v>108.59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240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180</v>
      </c>
      <c r="AC68" s="10">
        <v>0</v>
      </c>
    </row>
    <row r="69" spans="2:29" ht="15.75">
      <c r="B69" s="5">
        <v>68</v>
      </c>
      <c r="C69" s="6" t="s">
        <v>247</v>
      </c>
      <c r="D69" s="6" t="s">
        <v>248</v>
      </c>
      <c r="E69" s="6" t="s">
        <v>249</v>
      </c>
      <c r="F69" s="6" t="s">
        <v>245</v>
      </c>
      <c r="G69" s="6" t="s">
        <v>18</v>
      </c>
      <c r="H69" s="6" t="s">
        <v>19</v>
      </c>
      <c r="I69" s="6" t="s">
        <v>20</v>
      </c>
      <c r="J69" s="7" t="s">
        <v>246</v>
      </c>
      <c r="K69" s="8">
        <v>2000</v>
      </c>
      <c r="L69" s="9">
        <v>645</v>
      </c>
      <c r="M69" s="7" t="s">
        <v>22</v>
      </c>
      <c r="N69" s="6">
        <v>38.24</v>
      </c>
      <c r="O69" s="6">
        <v>109.46</v>
      </c>
      <c r="P69" s="10">
        <v>0</v>
      </c>
      <c r="Q69" s="10">
        <v>0</v>
      </c>
      <c r="R69" s="10">
        <v>0</v>
      </c>
      <c r="S69" s="10">
        <v>576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576</v>
      </c>
      <c r="AA69" s="10">
        <v>0</v>
      </c>
      <c r="AB69" s="10">
        <v>0</v>
      </c>
      <c r="AC69" s="10">
        <v>0</v>
      </c>
    </row>
    <row r="70" spans="2:29" ht="15.75">
      <c r="B70" s="5">
        <v>69</v>
      </c>
      <c r="C70" s="6" t="s">
        <v>250</v>
      </c>
      <c r="D70" s="6" t="s">
        <v>251</v>
      </c>
      <c r="E70" s="6" t="s">
        <v>252</v>
      </c>
      <c r="F70" s="6" t="s">
        <v>29</v>
      </c>
      <c r="G70" s="6" t="s">
        <v>18</v>
      </c>
      <c r="H70" s="6" t="s">
        <v>19</v>
      </c>
      <c r="I70" s="6" t="s">
        <v>20</v>
      </c>
      <c r="J70" s="7" t="s">
        <v>191</v>
      </c>
      <c r="K70" s="8">
        <v>2000</v>
      </c>
      <c r="L70" s="9">
        <v>0</v>
      </c>
      <c r="M70" s="7" t="s">
        <v>37</v>
      </c>
      <c r="N70" s="6">
        <v>34.97</v>
      </c>
      <c r="O70" s="6">
        <v>118.32</v>
      </c>
      <c r="P70" s="10">
        <v>332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</row>
    <row r="71" spans="2:29" ht="15.75">
      <c r="B71" s="5">
        <v>70</v>
      </c>
      <c r="C71" s="6" t="s">
        <v>253</v>
      </c>
      <c r="D71" s="6" t="s">
        <v>254</v>
      </c>
      <c r="E71" s="6" t="s">
        <v>255</v>
      </c>
      <c r="F71" s="6" t="s">
        <v>255</v>
      </c>
      <c r="G71" s="6" t="s">
        <v>18</v>
      </c>
      <c r="H71" s="6" t="s">
        <v>19</v>
      </c>
      <c r="I71" s="6" t="s">
        <v>20</v>
      </c>
      <c r="J71" s="7" t="s">
        <v>191</v>
      </c>
      <c r="K71" s="8">
        <v>2000</v>
      </c>
      <c r="L71" s="9">
        <v>664</v>
      </c>
      <c r="M71" s="7" t="s">
        <v>37</v>
      </c>
      <c r="N71" s="6">
        <v>37.43</v>
      </c>
      <c r="O71" s="6">
        <v>120.28</v>
      </c>
      <c r="P71" s="10">
        <v>0</v>
      </c>
      <c r="Q71" s="10">
        <v>412</v>
      </c>
      <c r="R71" s="10">
        <v>0</v>
      </c>
      <c r="S71" s="10">
        <v>210</v>
      </c>
      <c r="T71" s="10">
        <v>0</v>
      </c>
      <c r="U71" s="10">
        <v>0</v>
      </c>
      <c r="V71" s="10">
        <v>0</v>
      </c>
      <c r="W71" s="10">
        <v>0</v>
      </c>
      <c r="X71" s="10">
        <v>412</v>
      </c>
      <c r="Y71" s="10">
        <v>0</v>
      </c>
      <c r="Z71" s="10">
        <v>210</v>
      </c>
      <c r="AA71" s="10">
        <v>0</v>
      </c>
      <c r="AB71" s="10">
        <v>0</v>
      </c>
      <c r="AC71" s="10">
        <v>0</v>
      </c>
    </row>
    <row r="72" spans="2:29" ht="15.75">
      <c r="B72" s="5">
        <v>71</v>
      </c>
      <c r="C72" s="6" t="s">
        <v>256</v>
      </c>
      <c r="D72" s="6" t="s">
        <v>257</v>
      </c>
      <c r="E72" s="6" t="s">
        <v>255</v>
      </c>
      <c r="F72" s="6" t="s">
        <v>255</v>
      </c>
      <c r="G72" s="6" t="s">
        <v>18</v>
      </c>
      <c r="H72" s="6" t="s">
        <v>19</v>
      </c>
      <c r="I72" s="6" t="s">
        <v>20</v>
      </c>
      <c r="J72" s="7" t="s">
        <v>191</v>
      </c>
      <c r="K72" s="8">
        <v>2000</v>
      </c>
      <c r="L72" s="9">
        <v>312</v>
      </c>
      <c r="M72" s="7" t="s">
        <v>37</v>
      </c>
      <c r="N72" s="6">
        <v>37.44</v>
      </c>
      <c r="O72" s="6">
        <v>120.27</v>
      </c>
      <c r="P72" s="10">
        <v>300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300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</row>
    <row r="73" spans="2:29" ht="15.75">
      <c r="B73" s="5">
        <v>72</v>
      </c>
      <c r="C73" s="6" t="s">
        <v>258</v>
      </c>
      <c r="D73" s="6" t="s">
        <v>259</v>
      </c>
      <c r="E73" s="6" t="s">
        <v>260</v>
      </c>
      <c r="F73" s="6" t="s">
        <v>29</v>
      </c>
      <c r="G73" s="6" t="s">
        <v>18</v>
      </c>
      <c r="H73" s="6" t="s">
        <v>19</v>
      </c>
      <c r="I73" s="6" t="s">
        <v>20</v>
      </c>
      <c r="J73" s="7" t="s">
        <v>55</v>
      </c>
      <c r="K73" s="8">
        <v>2000</v>
      </c>
      <c r="L73" s="9">
        <v>0</v>
      </c>
      <c r="M73" s="7" t="s">
        <v>31</v>
      </c>
      <c r="N73" s="6">
        <v>34.51</v>
      </c>
      <c r="O73" s="6">
        <v>110.31</v>
      </c>
      <c r="P73" s="10">
        <v>0</v>
      </c>
      <c r="Q73" s="10">
        <v>276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</row>
    <row r="74" spans="2:29" ht="15.75">
      <c r="B74" s="5">
        <v>73</v>
      </c>
      <c r="C74" s="6" t="s">
        <v>261</v>
      </c>
      <c r="D74" s="6" t="s">
        <v>262</v>
      </c>
      <c r="E74" s="6" t="s">
        <v>263</v>
      </c>
      <c r="F74" s="6" t="s">
        <v>264</v>
      </c>
      <c r="G74" s="6" t="s">
        <v>18</v>
      </c>
      <c r="H74" s="6" t="s">
        <v>19</v>
      </c>
      <c r="I74" s="6" t="s">
        <v>20</v>
      </c>
      <c r="J74" s="7" t="s">
        <v>55</v>
      </c>
      <c r="K74" s="8">
        <v>2000</v>
      </c>
      <c r="L74" s="9">
        <v>162</v>
      </c>
      <c r="M74" s="7" t="s">
        <v>22</v>
      </c>
      <c r="N74" s="6">
        <v>37.76</v>
      </c>
      <c r="O74" s="6">
        <v>113.58</v>
      </c>
      <c r="P74" s="10">
        <v>156</v>
      </c>
      <c r="Q74" s="10">
        <v>156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156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</row>
    <row r="75" spans="2:29" ht="15.75">
      <c r="B75" s="5">
        <v>74</v>
      </c>
      <c r="C75" s="6" t="s">
        <v>265</v>
      </c>
      <c r="D75" s="6" t="s">
        <v>266</v>
      </c>
      <c r="E75" s="6" t="s">
        <v>267</v>
      </c>
      <c r="F75" s="6" t="s">
        <v>268</v>
      </c>
      <c r="G75" s="6" t="s">
        <v>18</v>
      </c>
      <c r="H75" s="6" t="s">
        <v>19</v>
      </c>
      <c r="I75" s="6" t="s">
        <v>20</v>
      </c>
      <c r="J75" s="7" t="s">
        <v>51</v>
      </c>
      <c r="K75" s="8">
        <v>1500.0000000000002</v>
      </c>
      <c r="L75" s="9">
        <v>0</v>
      </c>
      <c r="M75" s="7" t="s">
        <v>22</v>
      </c>
      <c r="N75" s="6">
        <v>34.729999999999997</v>
      </c>
      <c r="O75" s="6">
        <v>111.07</v>
      </c>
      <c r="P75" s="10">
        <v>0</v>
      </c>
      <c r="Q75" s="10">
        <v>0</v>
      </c>
      <c r="R75" s="10">
        <v>0</v>
      </c>
      <c r="S75" s="10">
        <v>220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</row>
    <row r="76" spans="2:29" ht="15.75">
      <c r="B76" s="5">
        <v>75</v>
      </c>
      <c r="C76" s="6" t="s">
        <v>269</v>
      </c>
      <c r="D76" s="6" t="s">
        <v>270</v>
      </c>
      <c r="E76" s="6" t="s">
        <v>271</v>
      </c>
      <c r="F76" s="6" t="s">
        <v>272</v>
      </c>
      <c r="G76" s="6" t="s">
        <v>18</v>
      </c>
      <c r="H76" s="6" t="s">
        <v>19</v>
      </c>
      <c r="I76" s="6" t="s">
        <v>20</v>
      </c>
      <c r="J76" s="7" t="s">
        <v>51</v>
      </c>
      <c r="K76" s="8">
        <v>2000</v>
      </c>
      <c r="L76" s="9">
        <v>0</v>
      </c>
      <c r="M76" s="7" t="s">
        <v>22</v>
      </c>
      <c r="N76" s="6">
        <v>33.549999999999997</v>
      </c>
      <c r="O76" s="6">
        <v>116.33</v>
      </c>
      <c r="P76" s="10">
        <v>0</v>
      </c>
      <c r="Q76" s="10">
        <v>0</v>
      </c>
      <c r="R76" s="10">
        <v>230</v>
      </c>
      <c r="S76" s="10">
        <v>210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</row>
    <row r="77" spans="2:29" ht="15.75">
      <c r="B77" s="5">
        <v>76</v>
      </c>
      <c r="C77" s="6" t="s">
        <v>273</v>
      </c>
      <c r="D77" s="6" t="s">
        <v>274</v>
      </c>
      <c r="E77" s="6" t="s">
        <v>273</v>
      </c>
      <c r="F77" s="6" t="s">
        <v>275</v>
      </c>
      <c r="G77" s="6" t="s">
        <v>18</v>
      </c>
      <c r="H77" s="6" t="s">
        <v>19</v>
      </c>
      <c r="I77" s="6" t="s">
        <v>20</v>
      </c>
      <c r="J77" s="7" t="s">
        <v>55</v>
      </c>
      <c r="K77" s="8">
        <v>1400</v>
      </c>
      <c r="L77" s="9">
        <v>0</v>
      </c>
      <c r="M77" s="7" t="s">
        <v>22</v>
      </c>
      <c r="N77" s="6">
        <v>39.299999999999997</v>
      </c>
      <c r="O77" s="6">
        <v>112.49</v>
      </c>
      <c r="P77" s="10">
        <v>80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</row>
    <row r="78" spans="2:29" ht="15.75">
      <c r="B78" s="5">
        <v>77</v>
      </c>
      <c r="C78" s="6" t="s">
        <v>276</v>
      </c>
      <c r="D78" s="6" t="s">
        <v>277</v>
      </c>
      <c r="E78" s="6" t="s">
        <v>276</v>
      </c>
      <c r="F78" s="6" t="s">
        <v>132</v>
      </c>
      <c r="G78" s="6" t="s">
        <v>18</v>
      </c>
      <c r="H78" s="6" t="s">
        <v>19</v>
      </c>
      <c r="I78" s="6" t="s">
        <v>20</v>
      </c>
      <c r="J78" s="7" t="s">
        <v>36</v>
      </c>
      <c r="K78" s="8">
        <v>1500.0000000000002</v>
      </c>
      <c r="L78" s="9">
        <v>349</v>
      </c>
      <c r="M78" s="7" t="s">
        <v>31</v>
      </c>
      <c r="N78" s="6">
        <v>29.59</v>
      </c>
      <c r="O78" s="6">
        <v>103.44</v>
      </c>
      <c r="P78" s="10">
        <v>0</v>
      </c>
      <c r="Q78" s="10">
        <v>336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336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</row>
    <row r="79" spans="2:29" ht="15.75">
      <c r="B79" s="5">
        <v>78</v>
      </c>
      <c r="C79" s="6" t="s">
        <v>278</v>
      </c>
      <c r="D79" s="6" t="s">
        <v>279</v>
      </c>
      <c r="E79" s="6" t="s">
        <v>278</v>
      </c>
      <c r="F79" s="6" t="s">
        <v>160</v>
      </c>
      <c r="G79" s="6" t="s">
        <v>18</v>
      </c>
      <c r="H79" s="6" t="s">
        <v>19</v>
      </c>
      <c r="I79" s="6" t="s">
        <v>20</v>
      </c>
      <c r="J79" s="7" t="s">
        <v>36</v>
      </c>
      <c r="K79" s="8">
        <v>2000</v>
      </c>
      <c r="L79" s="9">
        <v>87</v>
      </c>
      <c r="M79" s="7" t="s">
        <v>22</v>
      </c>
      <c r="N79" s="6">
        <v>32.4</v>
      </c>
      <c r="O79" s="6">
        <v>105.78</v>
      </c>
      <c r="P79" s="10">
        <v>0</v>
      </c>
      <c r="Q79" s="10">
        <v>0</v>
      </c>
      <c r="R79" s="10">
        <v>0</v>
      </c>
      <c r="S79" s="10">
        <v>234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78</v>
      </c>
      <c r="AA79" s="10">
        <v>0</v>
      </c>
      <c r="AB79" s="10">
        <v>0</v>
      </c>
      <c r="AC79" s="10">
        <v>0</v>
      </c>
    </row>
    <row r="80" spans="2:29" ht="15.75">
      <c r="B80" s="5">
        <v>79</v>
      </c>
      <c r="C80" s="6" t="s">
        <v>280</v>
      </c>
      <c r="D80" s="6" t="s">
        <v>281</v>
      </c>
      <c r="E80" s="6" t="s">
        <v>280</v>
      </c>
      <c r="F80" s="6" t="s">
        <v>167</v>
      </c>
      <c r="G80" s="6" t="s">
        <v>18</v>
      </c>
      <c r="H80" s="6" t="s">
        <v>19</v>
      </c>
      <c r="I80" s="6" t="s">
        <v>20</v>
      </c>
      <c r="J80" s="7" t="s">
        <v>30</v>
      </c>
      <c r="K80" s="8">
        <v>2000</v>
      </c>
      <c r="L80" s="9">
        <v>0</v>
      </c>
      <c r="M80" s="7" t="s">
        <v>31</v>
      </c>
      <c r="N80" s="6">
        <v>44.73</v>
      </c>
      <c r="O80" s="6">
        <v>118.41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308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</row>
    <row r="81" spans="2:29" ht="15.75">
      <c r="B81" s="5">
        <v>80</v>
      </c>
      <c r="C81" s="6" t="s">
        <v>282</v>
      </c>
      <c r="D81" s="6" t="s">
        <v>283</v>
      </c>
      <c r="E81" s="6" t="s">
        <v>284</v>
      </c>
      <c r="F81" s="6" t="s">
        <v>167</v>
      </c>
      <c r="G81" s="6" t="s">
        <v>18</v>
      </c>
      <c r="H81" s="6" t="s">
        <v>19</v>
      </c>
      <c r="I81" s="6" t="s">
        <v>20</v>
      </c>
      <c r="J81" s="7" t="s">
        <v>30</v>
      </c>
      <c r="K81" s="8">
        <v>2000</v>
      </c>
      <c r="L81" s="9">
        <v>0</v>
      </c>
      <c r="M81" s="7" t="s">
        <v>31</v>
      </c>
      <c r="N81" s="6">
        <v>43.37</v>
      </c>
      <c r="O81" s="6">
        <v>122.19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/>
    </row>
    <row r="82" spans="2:29" ht="15.75">
      <c r="B82" s="5">
        <v>81</v>
      </c>
      <c r="C82" s="6" t="s">
        <v>285</v>
      </c>
      <c r="D82" s="6" t="s">
        <v>286</v>
      </c>
      <c r="E82" s="6" t="s">
        <v>284</v>
      </c>
      <c r="F82" s="6" t="s">
        <v>167</v>
      </c>
      <c r="G82" s="6" t="s">
        <v>18</v>
      </c>
      <c r="H82" s="6" t="s">
        <v>19</v>
      </c>
      <c r="I82" s="6" t="s">
        <v>20</v>
      </c>
      <c r="J82" s="7" t="s">
        <v>30</v>
      </c>
      <c r="K82" s="8">
        <v>2000</v>
      </c>
      <c r="L82" s="9">
        <v>534</v>
      </c>
      <c r="M82" s="7" t="s">
        <v>31</v>
      </c>
      <c r="N82" s="6">
        <v>45.27</v>
      </c>
      <c r="O82" s="6">
        <v>119.39</v>
      </c>
      <c r="P82" s="10">
        <v>0</v>
      </c>
      <c r="Q82" s="10">
        <v>256</v>
      </c>
      <c r="R82" s="10">
        <v>248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256</v>
      </c>
      <c r="Y82" s="10">
        <v>248</v>
      </c>
      <c r="Z82" s="10">
        <v>0</v>
      </c>
      <c r="AA82" s="10">
        <v>0</v>
      </c>
      <c r="AB82" s="10">
        <v>0</v>
      </c>
      <c r="AC82" s="10">
        <v>0</v>
      </c>
    </row>
    <row r="83" spans="2:29" ht="15.75">
      <c r="B83" s="5">
        <v>82</v>
      </c>
      <c r="C83" s="6" t="s">
        <v>287</v>
      </c>
      <c r="D83" s="6" t="s">
        <v>288</v>
      </c>
      <c r="E83" s="6" t="s">
        <v>289</v>
      </c>
      <c r="F83" s="6" t="s">
        <v>167</v>
      </c>
      <c r="G83" s="6" t="s">
        <v>18</v>
      </c>
      <c r="H83" s="6" t="s">
        <v>19</v>
      </c>
      <c r="I83" s="6" t="s">
        <v>20</v>
      </c>
      <c r="J83" s="7" t="s">
        <v>30</v>
      </c>
      <c r="K83" s="8">
        <v>2000</v>
      </c>
      <c r="L83" s="9">
        <v>367</v>
      </c>
      <c r="M83" s="7" t="s">
        <v>31</v>
      </c>
      <c r="N83" s="6">
        <v>45.22</v>
      </c>
      <c r="O83" s="6">
        <v>119.31</v>
      </c>
      <c r="P83" s="10">
        <v>0</v>
      </c>
      <c r="Q83" s="10">
        <v>0</v>
      </c>
      <c r="R83" s="10">
        <v>0</v>
      </c>
      <c r="S83" s="10">
        <v>328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328</v>
      </c>
      <c r="AA83" s="10">
        <v>0</v>
      </c>
      <c r="AB83" s="10">
        <v>0</v>
      </c>
      <c r="AC83" s="10">
        <v>0</v>
      </c>
    </row>
    <row r="84" spans="2:29" ht="15.75">
      <c r="B84" s="5">
        <v>83</v>
      </c>
      <c r="C84" s="6" t="s">
        <v>290</v>
      </c>
      <c r="D84" s="6" t="s">
        <v>291</v>
      </c>
      <c r="E84" s="6" t="s">
        <v>290</v>
      </c>
      <c r="F84" s="6" t="s">
        <v>167</v>
      </c>
      <c r="G84" s="6" t="s">
        <v>18</v>
      </c>
      <c r="H84" s="6" t="s">
        <v>19</v>
      </c>
      <c r="I84" s="6" t="s">
        <v>20</v>
      </c>
      <c r="J84" s="7" t="s">
        <v>30</v>
      </c>
      <c r="K84" s="8">
        <v>1500.0000000000002</v>
      </c>
      <c r="L84" s="9">
        <v>0</v>
      </c>
      <c r="M84" s="7" t="s">
        <v>31</v>
      </c>
      <c r="N84" s="6">
        <v>43.63</v>
      </c>
      <c r="O84" s="6">
        <v>122.34</v>
      </c>
      <c r="P84" s="10">
        <v>170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</row>
    <row r="85" spans="2:29" ht="15.75">
      <c r="B85" s="5">
        <v>84</v>
      </c>
      <c r="C85" s="6" t="s">
        <v>292</v>
      </c>
      <c r="D85" s="6" t="s">
        <v>293</v>
      </c>
      <c r="E85" s="6" t="s">
        <v>294</v>
      </c>
      <c r="F85" s="6" t="s">
        <v>292</v>
      </c>
      <c r="G85" s="6" t="s">
        <v>18</v>
      </c>
      <c r="H85" s="6" t="s">
        <v>19</v>
      </c>
      <c r="I85" s="6" t="s">
        <v>20</v>
      </c>
      <c r="J85" s="7" t="s">
        <v>55</v>
      </c>
      <c r="K85" s="8">
        <v>2000</v>
      </c>
      <c r="L85" s="9">
        <v>0</v>
      </c>
      <c r="M85" s="7" t="s">
        <v>22</v>
      </c>
      <c r="N85" s="6">
        <v>38.4</v>
      </c>
      <c r="O85" s="6">
        <v>112.41</v>
      </c>
      <c r="P85" s="10">
        <v>152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</row>
    <row r="86" spans="2:29" ht="15.75">
      <c r="B86" s="5">
        <v>85</v>
      </c>
      <c r="C86" s="6" t="s">
        <v>295</v>
      </c>
      <c r="D86" s="6" t="s">
        <v>296</v>
      </c>
      <c r="E86" s="6" t="s">
        <v>295</v>
      </c>
      <c r="F86" s="6" t="s">
        <v>297</v>
      </c>
      <c r="G86" s="6" t="s">
        <v>18</v>
      </c>
      <c r="H86" s="6" t="s">
        <v>19</v>
      </c>
      <c r="I86" s="6" t="s">
        <v>20</v>
      </c>
      <c r="J86" s="7" t="s">
        <v>246</v>
      </c>
      <c r="K86" s="8">
        <v>1400</v>
      </c>
      <c r="L86" s="9">
        <v>0</v>
      </c>
      <c r="M86" s="7" t="s">
        <v>22</v>
      </c>
      <c r="N86" s="6">
        <v>34.979999999999997</v>
      </c>
      <c r="O86" s="6">
        <v>108.99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</row>
    <row r="87" spans="2:29" ht="15.75">
      <c r="B87" s="5">
        <v>86</v>
      </c>
      <c r="C87" s="6" t="s">
        <v>298</v>
      </c>
      <c r="D87" s="6" t="s">
        <v>299</v>
      </c>
      <c r="E87" s="6" t="s">
        <v>300</v>
      </c>
      <c r="F87" s="6" t="s">
        <v>301</v>
      </c>
      <c r="G87" s="6" t="s">
        <v>18</v>
      </c>
      <c r="H87" s="6" t="s">
        <v>19</v>
      </c>
      <c r="I87" s="6" t="s">
        <v>20</v>
      </c>
      <c r="J87" s="7" t="s">
        <v>191</v>
      </c>
      <c r="K87" s="8">
        <v>2000</v>
      </c>
      <c r="L87" s="9">
        <v>1086</v>
      </c>
      <c r="M87" s="7" t="s">
        <v>37</v>
      </c>
      <c r="N87" s="6">
        <v>36.549999999999997</v>
      </c>
      <c r="O87" s="6">
        <v>117.44</v>
      </c>
      <c r="P87" s="10">
        <v>0</v>
      </c>
      <c r="Q87" s="10">
        <v>0</v>
      </c>
      <c r="R87" s="10">
        <v>0</v>
      </c>
      <c r="S87" s="10">
        <v>969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969</v>
      </c>
      <c r="AA87" s="10">
        <v>0</v>
      </c>
      <c r="AB87" s="10">
        <v>0</v>
      </c>
      <c r="AC87" s="10">
        <v>0</v>
      </c>
    </row>
    <row r="88" spans="2:29" ht="15.75">
      <c r="B88" s="5">
        <v>87</v>
      </c>
      <c r="C88" s="6" t="s">
        <v>302</v>
      </c>
      <c r="D88" s="6" t="s">
        <v>303</v>
      </c>
      <c r="E88" s="6" t="s">
        <v>304</v>
      </c>
      <c r="F88" s="6" t="s">
        <v>301</v>
      </c>
      <c r="G88" s="6" t="s">
        <v>18</v>
      </c>
      <c r="H88" s="6" t="s">
        <v>19</v>
      </c>
      <c r="I88" s="6" t="s">
        <v>20</v>
      </c>
      <c r="J88" s="7" t="s">
        <v>191</v>
      </c>
      <c r="K88" s="8">
        <v>2000</v>
      </c>
      <c r="L88" s="9">
        <v>870</v>
      </c>
      <c r="M88" s="7" t="s">
        <v>37</v>
      </c>
      <c r="N88" s="6">
        <v>36.54</v>
      </c>
      <c r="O88" s="6">
        <v>117.48</v>
      </c>
      <c r="P88" s="10">
        <v>0</v>
      </c>
      <c r="Q88" s="10">
        <v>0</v>
      </c>
      <c r="R88" s="10">
        <v>0</v>
      </c>
      <c r="S88" s="10">
        <v>777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777</v>
      </c>
      <c r="AA88" s="10">
        <v>0</v>
      </c>
      <c r="AB88" s="10">
        <v>0</v>
      </c>
      <c r="AC88" s="10">
        <v>0</v>
      </c>
    </row>
    <row r="89" spans="2:29" ht="15.75">
      <c r="B89" s="5">
        <v>88</v>
      </c>
      <c r="C89" s="6" t="s">
        <v>305</v>
      </c>
      <c r="D89" s="6" t="s">
        <v>306</v>
      </c>
      <c r="E89" s="6" t="s">
        <v>307</v>
      </c>
      <c r="F89" s="6" t="s">
        <v>301</v>
      </c>
      <c r="G89" s="6" t="s">
        <v>18</v>
      </c>
      <c r="H89" s="6" t="s">
        <v>19</v>
      </c>
      <c r="I89" s="6" t="s">
        <v>20</v>
      </c>
      <c r="J89" s="7" t="s">
        <v>191</v>
      </c>
      <c r="K89" s="8">
        <v>2000</v>
      </c>
      <c r="L89" s="9">
        <v>189</v>
      </c>
      <c r="M89" s="7" t="s">
        <v>37</v>
      </c>
      <c r="N89" s="6">
        <v>37.22</v>
      </c>
      <c r="O89" s="6">
        <v>117.54</v>
      </c>
      <c r="P89" s="10">
        <v>0</v>
      </c>
      <c r="Q89" s="10">
        <v>0</v>
      </c>
      <c r="R89" s="10">
        <v>0</v>
      </c>
      <c r="S89" s="10">
        <v>169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169</v>
      </c>
      <c r="AA89" s="10">
        <v>0</v>
      </c>
      <c r="AB89" s="10">
        <v>0</v>
      </c>
      <c r="AC89" s="10">
        <v>0</v>
      </c>
    </row>
    <row r="90" spans="2:29" ht="15.75">
      <c r="B90" s="5">
        <v>89</v>
      </c>
      <c r="C90" s="6" t="s">
        <v>308</v>
      </c>
      <c r="D90" s="6" t="s">
        <v>309</v>
      </c>
      <c r="E90" s="6" t="s">
        <v>310</v>
      </c>
      <c r="F90" s="6" t="s">
        <v>301</v>
      </c>
      <c r="G90" s="6" t="s">
        <v>18</v>
      </c>
      <c r="H90" s="6" t="s">
        <v>19</v>
      </c>
      <c r="I90" s="6" t="s">
        <v>20</v>
      </c>
      <c r="J90" s="7" t="s">
        <v>191</v>
      </c>
      <c r="K90" s="8">
        <v>2000</v>
      </c>
      <c r="L90" s="9">
        <v>605</v>
      </c>
      <c r="M90" s="7" t="s">
        <v>37</v>
      </c>
      <c r="N90" s="6">
        <v>37.22</v>
      </c>
      <c r="O90" s="6">
        <v>117.54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504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504</v>
      </c>
    </row>
    <row r="91" spans="2:29" ht="15.75">
      <c r="B91" s="5">
        <v>90</v>
      </c>
      <c r="C91" s="6" t="s">
        <v>311</v>
      </c>
      <c r="D91" s="6" t="s">
        <v>312</v>
      </c>
      <c r="E91" s="6" t="s">
        <v>313</v>
      </c>
      <c r="F91" s="6" t="s">
        <v>301</v>
      </c>
      <c r="G91" s="6" t="s">
        <v>18</v>
      </c>
      <c r="H91" s="6" t="s">
        <v>19</v>
      </c>
      <c r="I91" s="6" t="s">
        <v>20</v>
      </c>
      <c r="J91" s="7" t="s">
        <v>191</v>
      </c>
      <c r="K91" s="8">
        <v>2000</v>
      </c>
      <c r="L91" s="9">
        <v>518</v>
      </c>
      <c r="M91" s="7" t="s">
        <v>37</v>
      </c>
      <c r="N91" s="6">
        <v>38.1</v>
      </c>
      <c r="O91" s="6">
        <v>117.57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432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432</v>
      </c>
    </row>
    <row r="92" spans="2:29" ht="15.75">
      <c r="B92" s="5">
        <v>91</v>
      </c>
      <c r="C92" s="6" t="s">
        <v>314</v>
      </c>
      <c r="D92" s="6" t="s">
        <v>315</v>
      </c>
      <c r="E92" s="6" t="s">
        <v>316</v>
      </c>
      <c r="F92" s="6" t="s">
        <v>301</v>
      </c>
      <c r="G92" s="6" t="s">
        <v>18</v>
      </c>
      <c r="H92" s="6" t="s">
        <v>19</v>
      </c>
      <c r="I92" s="6" t="s">
        <v>20</v>
      </c>
      <c r="J92" s="7" t="s">
        <v>191</v>
      </c>
      <c r="K92" s="8">
        <v>2000</v>
      </c>
      <c r="L92" s="9">
        <v>533</v>
      </c>
      <c r="M92" s="7" t="s">
        <v>37</v>
      </c>
      <c r="N92" s="6">
        <v>36.53</v>
      </c>
      <c r="O92" s="6">
        <v>117.48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444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444</v>
      </c>
      <c r="AC92" s="10">
        <v>0</v>
      </c>
    </row>
    <row r="93" spans="2:29" ht="15.75">
      <c r="B93" s="5">
        <v>92</v>
      </c>
      <c r="C93" s="6" t="s">
        <v>317</v>
      </c>
      <c r="D93" s="6" t="s">
        <v>318</v>
      </c>
      <c r="E93" s="6" t="s">
        <v>319</v>
      </c>
      <c r="F93" s="6" t="s">
        <v>301</v>
      </c>
      <c r="G93" s="6" t="s">
        <v>18</v>
      </c>
      <c r="H93" s="6" t="s">
        <v>19</v>
      </c>
      <c r="I93" s="6" t="s">
        <v>20</v>
      </c>
      <c r="J93" s="7" t="s">
        <v>191</v>
      </c>
      <c r="K93" s="8">
        <v>2000</v>
      </c>
      <c r="L93" s="9">
        <v>533</v>
      </c>
      <c r="M93" s="7" t="s">
        <v>37</v>
      </c>
      <c r="N93" s="6">
        <v>36.53</v>
      </c>
      <c r="O93" s="6">
        <v>117.48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444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444</v>
      </c>
      <c r="AC93" s="10">
        <v>0</v>
      </c>
    </row>
    <row r="94" spans="2:29" ht="15.75">
      <c r="B94" s="5">
        <v>93</v>
      </c>
      <c r="C94" s="6" t="s">
        <v>320</v>
      </c>
      <c r="D94" s="6" t="s">
        <v>321</v>
      </c>
      <c r="E94" s="6" t="s">
        <v>322</v>
      </c>
      <c r="F94" s="6" t="s">
        <v>301</v>
      </c>
      <c r="G94" s="6" t="s">
        <v>18</v>
      </c>
      <c r="H94" s="6" t="s">
        <v>19</v>
      </c>
      <c r="I94" s="6" t="s">
        <v>20</v>
      </c>
      <c r="J94" s="7" t="s">
        <v>191</v>
      </c>
      <c r="K94" s="8">
        <v>2000</v>
      </c>
      <c r="L94" s="9">
        <v>517</v>
      </c>
      <c r="M94" s="7" t="s">
        <v>37</v>
      </c>
      <c r="N94" s="6">
        <v>37.21</v>
      </c>
      <c r="O94" s="6">
        <v>117.47</v>
      </c>
      <c r="P94" s="10">
        <v>0</v>
      </c>
      <c r="Q94" s="10">
        <v>0</v>
      </c>
      <c r="R94" s="10">
        <v>0</v>
      </c>
      <c r="S94" s="10">
        <v>462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462</v>
      </c>
      <c r="AA94" s="10">
        <v>0</v>
      </c>
      <c r="AB94" s="10">
        <v>0</v>
      </c>
      <c r="AC94" s="10">
        <v>0</v>
      </c>
    </row>
    <row r="95" spans="2:29" ht="15.75">
      <c r="B95" s="5">
        <v>94</v>
      </c>
      <c r="C95" s="6" t="s">
        <v>323</v>
      </c>
      <c r="D95" s="6" t="s">
        <v>324</v>
      </c>
      <c r="E95" s="6" t="s">
        <v>325</v>
      </c>
      <c r="F95" s="6" t="s">
        <v>301</v>
      </c>
      <c r="G95" s="6" t="s">
        <v>18</v>
      </c>
      <c r="H95" s="6" t="s">
        <v>19</v>
      </c>
      <c r="I95" s="6" t="s">
        <v>20</v>
      </c>
      <c r="J95" s="7" t="s">
        <v>191</v>
      </c>
      <c r="K95" s="8">
        <v>2000</v>
      </c>
      <c r="L95" s="9">
        <v>258</v>
      </c>
      <c r="M95" s="7" t="s">
        <v>37</v>
      </c>
      <c r="N95" s="6">
        <v>37.1</v>
      </c>
      <c r="O95" s="6">
        <v>117.27</v>
      </c>
      <c r="P95" s="10">
        <v>0</v>
      </c>
      <c r="Q95" s="10">
        <v>0</v>
      </c>
      <c r="R95" s="10">
        <v>0</v>
      </c>
      <c r="S95" s="10">
        <v>231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231</v>
      </c>
      <c r="AA95" s="10">
        <v>0</v>
      </c>
      <c r="AB95" s="10">
        <v>0</v>
      </c>
      <c r="AC95" s="10">
        <v>0</v>
      </c>
    </row>
    <row r="96" spans="2:29" ht="15.75">
      <c r="B96" s="5">
        <v>95</v>
      </c>
      <c r="C96" s="6" t="s">
        <v>326</v>
      </c>
      <c r="D96" s="6" t="s">
        <v>327</v>
      </c>
      <c r="E96" s="6" t="s">
        <v>328</v>
      </c>
      <c r="F96" s="6" t="s">
        <v>301</v>
      </c>
      <c r="G96" s="6" t="s">
        <v>18</v>
      </c>
      <c r="H96" s="6" t="s">
        <v>19</v>
      </c>
      <c r="I96" s="6" t="s">
        <v>20</v>
      </c>
      <c r="J96" s="7" t="s">
        <v>191</v>
      </c>
      <c r="K96" s="8">
        <v>2000</v>
      </c>
      <c r="L96" s="9">
        <v>241</v>
      </c>
      <c r="M96" s="7" t="s">
        <v>37</v>
      </c>
      <c r="N96" s="6">
        <v>37.1</v>
      </c>
      <c r="O96" s="6">
        <v>117.29</v>
      </c>
      <c r="P96" s="10">
        <v>0</v>
      </c>
      <c r="Q96" s="10">
        <v>0</v>
      </c>
      <c r="R96" s="10">
        <v>0</v>
      </c>
      <c r="S96" s="10">
        <v>215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215</v>
      </c>
      <c r="AA96" s="10">
        <v>0</v>
      </c>
      <c r="AB96" s="10">
        <v>0</v>
      </c>
      <c r="AC96" s="10">
        <v>0</v>
      </c>
    </row>
    <row r="97" spans="2:29" ht="15.75">
      <c r="B97" s="5">
        <v>96</v>
      </c>
      <c r="C97" s="6" t="s">
        <v>329</v>
      </c>
      <c r="D97" s="6" t="s">
        <v>330</v>
      </c>
      <c r="E97" s="6" t="s">
        <v>331</v>
      </c>
      <c r="F97" s="6" t="s">
        <v>301</v>
      </c>
      <c r="G97" s="6" t="s">
        <v>18</v>
      </c>
      <c r="H97" s="6" t="s">
        <v>19</v>
      </c>
      <c r="I97" s="6" t="s">
        <v>20</v>
      </c>
      <c r="J97" s="7" t="s">
        <v>191</v>
      </c>
      <c r="K97" s="8">
        <v>2000</v>
      </c>
      <c r="L97" s="9">
        <v>181</v>
      </c>
      <c r="M97" s="7" t="s">
        <v>37</v>
      </c>
      <c r="N97" s="6">
        <v>36.54</v>
      </c>
      <c r="O97" s="6">
        <v>117.46</v>
      </c>
      <c r="P97" s="10">
        <v>0</v>
      </c>
      <c r="Q97" s="10">
        <v>0</v>
      </c>
      <c r="R97" s="10">
        <v>0</v>
      </c>
      <c r="S97" s="10">
        <v>162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162</v>
      </c>
      <c r="AA97" s="10">
        <v>0</v>
      </c>
      <c r="AB97" s="10">
        <v>0</v>
      </c>
      <c r="AC97" s="10">
        <v>0</v>
      </c>
    </row>
    <row r="98" spans="2:29" ht="15.75">
      <c r="B98" s="5">
        <v>97</v>
      </c>
      <c r="C98" s="6" t="s">
        <v>332</v>
      </c>
      <c r="D98" s="6" t="s">
        <v>333</v>
      </c>
      <c r="E98" s="6" t="s">
        <v>334</v>
      </c>
      <c r="F98" s="6" t="s">
        <v>335</v>
      </c>
      <c r="G98" s="6" t="s">
        <v>18</v>
      </c>
      <c r="H98" s="6" t="s">
        <v>19</v>
      </c>
      <c r="I98" s="6" t="s">
        <v>20</v>
      </c>
      <c r="J98" s="7" t="s">
        <v>21</v>
      </c>
      <c r="K98" s="8">
        <v>1500.0000000000002</v>
      </c>
      <c r="L98" s="9">
        <v>138</v>
      </c>
      <c r="M98" s="7" t="s">
        <v>22</v>
      </c>
      <c r="N98" s="6">
        <v>24.46</v>
      </c>
      <c r="O98" s="6">
        <v>105.22</v>
      </c>
      <c r="P98" s="10">
        <v>133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133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</row>
    <row r="99" spans="2:29" ht="15.75">
      <c r="B99" s="5">
        <v>98</v>
      </c>
      <c r="C99" s="6" t="s">
        <v>336</v>
      </c>
      <c r="D99" s="6" t="s">
        <v>337</v>
      </c>
      <c r="E99" s="6" t="s">
        <v>196</v>
      </c>
      <c r="F99" s="6" t="s">
        <v>196</v>
      </c>
      <c r="G99" s="6" t="s">
        <v>18</v>
      </c>
      <c r="H99" s="6" t="s">
        <v>19</v>
      </c>
      <c r="I99" s="6" t="s">
        <v>20</v>
      </c>
      <c r="J99" s="7" t="s">
        <v>191</v>
      </c>
      <c r="K99" s="8">
        <v>2000</v>
      </c>
      <c r="L99" s="9">
        <v>1820</v>
      </c>
      <c r="M99" s="7" t="s">
        <v>37</v>
      </c>
      <c r="N99" s="6">
        <v>36.61</v>
      </c>
      <c r="O99" s="6">
        <v>116.23</v>
      </c>
      <c r="P99" s="10">
        <v>1750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1750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</row>
    <row r="100" spans="2:29" ht="15.75">
      <c r="B100" s="5">
        <v>99</v>
      </c>
      <c r="C100" s="6" t="s">
        <v>338</v>
      </c>
      <c r="D100" s="6" t="s">
        <v>339</v>
      </c>
      <c r="E100" s="6" t="s">
        <v>252</v>
      </c>
      <c r="F100" s="6" t="s">
        <v>196</v>
      </c>
      <c r="G100" s="6" t="s">
        <v>18</v>
      </c>
      <c r="H100" s="6" t="s">
        <v>19</v>
      </c>
      <c r="I100" s="6" t="s">
        <v>20</v>
      </c>
      <c r="J100" s="7" t="s">
        <v>191</v>
      </c>
      <c r="K100" s="8">
        <v>2000</v>
      </c>
      <c r="L100" s="9">
        <v>570</v>
      </c>
      <c r="M100" s="7" t="s">
        <v>37</v>
      </c>
      <c r="N100" s="6">
        <v>36.6</v>
      </c>
      <c r="O100" s="6">
        <v>116.23</v>
      </c>
      <c r="P100" s="10">
        <v>0</v>
      </c>
      <c r="Q100" s="10">
        <v>548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548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</row>
    <row r="101" spans="2:29" ht="15.75">
      <c r="B101" s="5">
        <v>100</v>
      </c>
      <c r="C101" s="6" t="s">
        <v>340</v>
      </c>
      <c r="D101" s="6" t="s">
        <v>341</v>
      </c>
      <c r="E101" s="6" t="s">
        <v>342</v>
      </c>
      <c r="F101" s="6" t="s">
        <v>196</v>
      </c>
      <c r="G101" s="6" t="s">
        <v>18</v>
      </c>
      <c r="H101" s="6" t="s">
        <v>19</v>
      </c>
      <c r="I101" s="6" t="s">
        <v>20</v>
      </c>
      <c r="J101" s="7" t="s">
        <v>21</v>
      </c>
      <c r="K101" s="8">
        <v>2000</v>
      </c>
      <c r="L101" s="9">
        <v>462</v>
      </c>
      <c r="M101" s="7" t="s">
        <v>37</v>
      </c>
      <c r="N101" s="6">
        <v>23.16</v>
      </c>
      <c r="O101" s="6">
        <v>106.22</v>
      </c>
      <c r="P101" s="10">
        <v>444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444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</row>
    <row r="102" spans="2:29" ht="15.75">
      <c r="B102" s="5">
        <v>101</v>
      </c>
      <c r="C102" s="6" t="s">
        <v>343</v>
      </c>
      <c r="D102" s="6" t="s">
        <v>344</v>
      </c>
      <c r="E102" s="6" t="s">
        <v>252</v>
      </c>
      <c r="F102" s="6" t="s">
        <v>196</v>
      </c>
      <c r="G102" s="6" t="s">
        <v>18</v>
      </c>
      <c r="H102" s="6" t="s">
        <v>19</v>
      </c>
      <c r="I102" s="6" t="s">
        <v>20</v>
      </c>
      <c r="J102" s="7" t="s">
        <v>191</v>
      </c>
      <c r="K102" s="8">
        <v>2000</v>
      </c>
      <c r="L102" s="9">
        <v>285</v>
      </c>
      <c r="M102" s="7" t="s">
        <v>37</v>
      </c>
      <c r="N102" s="6">
        <v>36.619999999999997</v>
      </c>
      <c r="O102" s="6">
        <v>116.26</v>
      </c>
      <c r="P102" s="10">
        <v>0</v>
      </c>
      <c r="Q102" s="10">
        <v>274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274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</row>
    <row r="103" spans="2:29" ht="15.75">
      <c r="B103" s="5">
        <v>102</v>
      </c>
      <c r="C103" s="6" t="s">
        <v>345</v>
      </c>
      <c r="D103" s="6" t="s">
        <v>346</v>
      </c>
      <c r="E103" s="6" t="s">
        <v>347</v>
      </c>
      <c r="F103" s="6" t="s">
        <v>348</v>
      </c>
      <c r="G103" s="6" t="s">
        <v>18</v>
      </c>
      <c r="H103" s="6" t="s">
        <v>19</v>
      </c>
      <c r="I103" s="6" t="s">
        <v>20</v>
      </c>
      <c r="J103" s="7" t="s">
        <v>109</v>
      </c>
      <c r="K103" s="8">
        <v>2000</v>
      </c>
      <c r="L103" s="9">
        <v>538</v>
      </c>
      <c r="M103" s="7" t="s">
        <v>37</v>
      </c>
      <c r="N103" s="6">
        <v>44.17</v>
      </c>
      <c r="O103" s="6">
        <v>86.24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448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448</v>
      </c>
      <c r="AC103" s="10">
        <v>0</v>
      </c>
    </row>
    <row r="104" spans="2:29" ht="15.75">
      <c r="B104" s="5">
        <v>103</v>
      </c>
      <c r="C104" s="6" t="s">
        <v>349</v>
      </c>
      <c r="D104" s="6" t="s">
        <v>350</v>
      </c>
      <c r="E104" s="6" t="s">
        <v>351</v>
      </c>
      <c r="F104" s="6" t="s">
        <v>196</v>
      </c>
      <c r="G104" s="6" t="s">
        <v>18</v>
      </c>
      <c r="H104" s="6" t="s">
        <v>19</v>
      </c>
      <c r="I104" s="6" t="s">
        <v>20</v>
      </c>
      <c r="J104" s="7" t="s">
        <v>109</v>
      </c>
      <c r="K104" s="8">
        <v>2000</v>
      </c>
      <c r="L104" s="9">
        <v>1636</v>
      </c>
      <c r="M104" s="7" t="s">
        <v>37</v>
      </c>
      <c r="N104" s="6">
        <v>44.16</v>
      </c>
      <c r="O104" s="6">
        <v>87.41</v>
      </c>
      <c r="P104" s="10">
        <v>0</v>
      </c>
      <c r="Q104" s="10">
        <v>0</v>
      </c>
      <c r="R104" s="10">
        <v>0</v>
      </c>
      <c r="S104" s="10">
        <v>672</v>
      </c>
      <c r="T104" s="10">
        <v>0</v>
      </c>
      <c r="U104" s="10">
        <v>736</v>
      </c>
      <c r="V104" s="10">
        <v>0</v>
      </c>
      <c r="W104" s="10">
        <v>0</v>
      </c>
      <c r="X104" s="10">
        <v>0</v>
      </c>
      <c r="Y104" s="10">
        <v>0</v>
      </c>
      <c r="Z104" s="10">
        <v>672</v>
      </c>
      <c r="AA104" s="10">
        <v>0</v>
      </c>
      <c r="AB104" s="10">
        <v>736</v>
      </c>
      <c r="AC104" s="10">
        <v>0</v>
      </c>
    </row>
    <row r="105" spans="2:29" ht="15.75">
      <c r="B105" s="5">
        <v>104</v>
      </c>
      <c r="C105" s="6" t="s">
        <v>352</v>
      </c>
      <c r="D105" s="6" t="s">
        <v>353</v>
      </c>
      <c r="E105" s="6" t="s">
        <v>354</v>
      </c>
      <c r="F105" s="6" t="s">
        <v>355</v>
      </c>
      <c r="G105" s="6" t="s">
        <v>18</v>
      </c>
      <c r="H105" s="6" t="s">
        <v>19</v>
      </c>
      <c r="I105" s="6" t="s">
        <v>20</v>
      </c>
      <c r="J105" s="7" t="s">
        <v>109</v>
      </c>
      <c r="K105" s="8">
        <v>2000</v>
      </c>
      <c r="L105" s="9">
        <v>782</v>
      </c>
      <c r="M105" s="7" t="s">
        <v>37</v>
      </c>
      <c r="N105" s="6">
        <v>44.52</v>
      </c>
      <c r="O105" s="6">
        <v>89.02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652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652</v>
      </c>
      <c r="AC105" s="10">
        <v>0</v>
      </c>
    </row>
    <row r="106" spans="2:29" ht="15.75">
      <c r="B106" s="5">
        <v>105</v>
      </c>
      <c r="C106" s="6" t="s">
        <v>356</v>
      </c>
      <c r="D106" s="6" t="s">
        <v>357</v>
      </c>
      <c r="E106" s="6" t="s">
        <v>358</v>
      </c>
      <c r="F106" s="6" t="s">
        <v>272</v>
      </c>
      <c r="G106" s="6" t="s">
        <v>18</v>
      </c>
      <c r="H106" s="6" t="s">
        <v>19</v>
      </c>
      <c r="I106" s="6" t="s">
        <v>20</v>
      </c>
      <c r="J106" s="7" t="s">
        <v>109</v>
      </c>
      <c r="K106" s="8">
        <v>2000</v>
      </c>
      <c r="L106" s="9">
        <v>775</v>
      </c>
      <c r="M106" s="7" t="s">
        <v>22</v>
      </c>
      <c r="N106" s="6">
        <v>44.53</v>
      </c>
      <c r="O106" s="6">
        <v>89.02</v>
      </c>
      <c r="P106" s="10">
        <v>0</v>
      </c>
      <c r="Q106" s="10">
        <v>0</v>
      </c>
      <c r="R106" s="10">
        <v>0</v>
      </c>
      <c r="S106" s="10">
        <v>336</v>
      </c>
      <c r="T106" s="10">
        <v>0</v>
      </c>
      <c r="U106" s="10">
        <v>332</v>
      </c>
      <c r="V106" s="10">
        <v>0</v>
      </c>
      <c r="W106" s="10">
        <v>0</v>
      </c>
      <c r="X106" s="10">
        <v>0</v>
      </c>
      <c r="Y106" s="10">
        <v>0</v>
      </c>
      <c r="Z106" s="10">
        <v>336</v>
      </c>
      <c r="AA106" s="10">
        <v>0</v>
      </c>
      <c r="AB106" s="10">
        <v>332</v>
      </c>
      <c r="AC106" s="10">
        <v>0</v>
      </c>
    </row>
    <row r="107" spans="2:29" ht="15.75">
      <c r="B107" s="5">
        <v>106</v>
      </c>
      <c r="C107" s="6" t="s">
        <v>359</v>
      </c>
      <c r="D107" s="6" t="s">
        <v>360</v>
      </c>
      <c r="E107" s="6" t="s">
        <v>361</v>
      </c>
      <c r="F107" s="6" t="s">
        <v>361</v>
      </c>
      <c r="G107" s="6" t="s">
        <v>18</v>
      </c>
      <c r="H107" s="6" t="s">
        <v>19</v>
      </c>
      <c r="I107" s="6" t="s">
        <v>20</v>
      </c>
      <c r="J107" s="7" t="s">
        <v>109</v>
      </c>
      <c r="K107" s="8">
        <v>2000</v>
      </c>
      <c r="L107" s="9">
        <v>191</v>
      </c>
      <c r="M107" s="7" t="s">
        <v>22</v>
      </c>
      <c r="N107" s="6">
        <v>44.1</v>
      </c>
      <c r="O107" s="6">
        <v>88.37</v>
      </c>
      <c r="P107" s="10">
        <v>80</v>
      </c>
      <c r="Q107" s="10">
        <v>0</v>
      </c>
      <c r="R107" s="10">
        <v>0</v>
      </c>
      <c r="S107" s="10">
        <v>96</v>
      </c>
      <c r="T107" s="10">
        <v>0</v>
      </c>
      <c r="U107" s="10">
        <v>0</v>
      </c>
      <c r="V107" s="10">
        <v>0</v>
      </c>
      <c r="W107" s="10">
        <v>80</v>
      </c>
      <c r="X107" s="10">
        <v>0</v>
      </c>
      <c r="Y107" s="10">
        <v>0</v>
      </c>
      <c r="Z107" s="10">
        <v>96</v>
      </c>
      <c r="AA107" s="10">
        <v>0</v>
      </c>
      <c r="AB107" s="10">
        <v>0</v>
      </c>
      <c r="AC107" s="10">
        <v>0</v>
      </c>
    </row>
    <row r="108" spans="2:29" ht="15.75">
      <c r="B108" s="5">
        <v>107</v>
      </c>
      <c r="C108" s="6" t="s">
        <v>362</v>
      </c>
      <c r="D108" s="6" t="s">
        <v>363</v>
      </c>
      <c r="E108" s="6" t="s">
        <v>364</v>
      </c>
      <c r="F108" s="6" t="s">
        <v>91</v>
      </c>
      <c r="G108" s="6" t="s">
        <v>18</v>
      </c>
      <c r="H108" s="6" t="s">
        <v>19</v>
      </c>
      <c r="I108" s="6" t="s">
        <v>20</v>
      </c>
      <c r="J108" s="7" t="s">
        <v>109</v>
      </c>
      <c r="K108" s="8">
        <v>2000</v>
      </c>
      <c r="L108" s="9">
        <v>1211</v>
      </c>
      <c r="M108" s="7" t="s">
        <v>37</v>
      </c>
      <c r="N108" s="6">
        <v>44.25</v>
      </c>
      <c r="O108" s="6">
        <v>88.4</v>
      </c>
      <c r="P108" s="10">
        <v>0</v>
      </c>
      <c r="Q108" s="10">
        <v>0</v>
      </c>
      <c r="R108" s="10">
        <v>0</v>
      </c>
      <c r="S108" s="10">
        <v>0</v>
      </c>
      <c r="T108" s="10">
        <v>1062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1062</v>
      </c>
      <c r="AB108" s="10">
        <v>0</v>
      </c>
      <c r="AC108" s="10">
        <v>0</v>
      </c>
    </row>
    <row r="109" spans="2:29" ht="15.75">
      <c r="B109" s="5">
        <v>108</v>
      </c>
      <c r="C109" s="6" t="s">
        <v>365</v>
      </c>
      <c r="D109" s="6" t="s">
        <v>366</v>
      </c>
      <c r="E109" s="6" t="s">
        <v>367</v>
      </c>
      <c r="F109" s="6" t="s">
        <v>368</v>
      </c>
      <c r="G109" s="6" t="s">
        <v>18</v>
      </c>
      <c r="H109" s="6" t="s">
        <v>19</v>
      </c>
      <c r="I109" s="6" t="s">
        <v>20</v>
      </c>
      <c r="J109" s="7" t="s">
        <v>109</v>
      </c>
      <c r="K109" s="8">
        <v>2000</v>
      </c>
      <c r="L109" s="9">
        <v>184</v>
      </c>
      <c r="M109" s="7" t="s">
        <v>31</v>
      </c>
      <c r="N109" s="6">
        <v>44.8</v>
      </c>
      <c r="O109" s="6">
        <v>87.46</v>
      </c>
      <c r="P109" s="10">
        <v>0</v>
      </c>
      <c r="Q109" s="10">
        <v>0</v>
      </c>
      <c r="R109" s="10">
        <v>0</v>
      </c>
      <c r="S109" s="10">
        <v>164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164</v>
      </c>
      <c r="AA109" s="10">
        <v>0</v>
      </c>
      <c r="AB109" s="10">
        <v>0</v>
      </c>
      <c r="AC109" s="10">
        <v>0</v>
      </c>
    </row>
    <row r="110" spans="2:29" ht="15.75">
      <c r="B110" s="5">
        <v>109</v>
      </c>
      <c r="C110" s="6" t="s">
        <v>369</v>
      </c>
      <c r="D110" s="6" t="s">
        <v>370</v>
      </c>
      <c r="E110" s="6" t="s">
        <v>369</v>
      </c>
      <c r="F110" s="6" t="s">
        <v>371</v>
      </c>
      <c r="G110" s="6" t="s">
        <v>18</v>
      </c>
      <c r="H110" s="6" t="s">
        <v>19</v>
      </c>
      <c r="I110" s="6" t="s">
        <v>20</v>
      </c>
      <c r="J110" s="7" t="s">
        <v>136</v>
      </c>
      <c r="K110" s="8">
        <v>2000</v>
      </c>
      <c r="L110" s="9">
        <v>106</v>
      </c>
      <c r="M110" s="7" t="s">
        <v>37</v>
      </c>
      <c r="N110" s="6">
        <v>25.48</v>
      </c>
      <c r="O110" s="6">
        <v>105.42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176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88</v>
      </c>
      <c r="AC110" s="10">
        <v>0</v>
      </c>
    </row>
    <row r="111" spans="2:29" ht="15.75">
      <c r="B111" s="5">
        <v>110</v>
      </c>
      <c r="C111" s="6" t="s">
        <v>372</v>
      </c>
      <c r="D111" s="6" t="s">
        <v>373</v>
      </c>
      <c r="E111" s="6" t="s">
        <v>155</v>
      </c>
      <c r="F111" s="6" t="s">
        <v>156</v>
      </c>
      <c r="G111" s="6" t="s">
        <v>18</v>
      </c>
      <c r="H111" s="6" t="s">
        <v>19</v>
      </c>
      <c r="I111" s="6" t="s">
        <v>20</v>
      </c>
      <c r="J111" s="7" t="s">
        <v>51</v>
      </c>
      <c r="K111" s="8">
        <v>2000</v>
      </c>
      <c r="L111" s="9">
        <v>241</v>
      </c>
      <c r="M111" s="7" t="s">
        <v>22</v>
      </c>
      <c r="N111" s="6">
        <v>34.43</v>
      </c>
      <c r="O111" s="6">
        <v>112.5</v>
      </c>
      <c r="P111" s="10">
        <v>0</v>
      </c>
      <c r="Q111" s="10">
        <v>232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232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</row>
    <row r="112" spans="2:29" ht="15.75">
      <c r="B112" s="5">
        <v>111</v>
      </c>
      <c r="C112" s="6" t="s">
        <v>374</v>
      </c>
      <c r="D112" s="6" t="s">
        <v>375</v>
      </c>
      <c r="E112" s="6" t="s">
        <v>374</v>
      </c>
      <c r="F112" s="6" t="s">
        <v>376</v>
      </c>
      <c r="G112" s="6" t="s">
        <v>18</v>
      </c>
      <c r="H112" s="6" t="s">
        <v>19</v>
      </c>
      <c r="I112" s="6" t="s">
        <v>20</v>
      </c>
      <c r="J112" s="7" t="s">
        <v>62</v>
      </c>
      <c r="K112" s="8">
        <v>2000</v>
      </c>
      <c r="L112" s="9">
        <v>0</v>
      </c>
      <c r="M112" s="7" t="s">
        <v>37</v>
      </c>
      <c r="N112" s="6">
        <v>27.76</v>
      </c>
      <c r="O112" s="6">
        <v>97.7</v>
      </c>
      <c r="P112" s="10">
        <v>56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</row>
    <row r="113" spans="2:29" ht="15.75">
      <c r="B113" s="5">
        <v>112</v>
      </c>
      <c r="C113" s="6" t="s">
        <v>377</v>
      </c>
      <c r="D113" s="6" t="s">
        <v>378</v>
      </c>
      <c r="E113" s="6" t="s">
        <v>379</v>
      </c>
      <c r="F113" s="6" t="s">
        <v>379</v>
      </c>
      <c r="G113" s="6" t="s">
        <v>18</v>
      </c>
      <c r="H113" s="6" t="s">
        <v>19</v>
      </c>
      <c r="I113" s="6" t="s">
        <v>20</v>
      </c>
      <c r="J113" s="7" t="s">
        <v>380</v>
      </c>
      <c r="K113" s="8">
        <v>2000</v>
      </c>
      <c r="L113" s="9">
        <v>768</v>
      </c>
      <c r="M113" s="7" t="s">
        <v>37</v>
      </c>
      <c r="N113" s="6">
        <v>40.340000000000003</v>
      </c>
      <c r="O113" s="6">
        <v>122.16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640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640</v>
      </c>
      <c r="AC113" s="10">
        <v>0</v>
      </c>
    </row>
    <row r="114" spans="2:29" ht="15.75">
      <c r="B114" s="5">
        <v>113</v>
      </c>
      <c r="C114" s="6" t="s">
        <v>381</v>
      </c>
      <c r="D114" s="6" t="s">
        <v>382</v>
      </c>
      <c r="E114" s="6" t="s">
        <v>383</v>
      </c>
      <c r="F114" s="6" t="s">
        <v>384</v>
      </c>
      <c r="G114" s="6" t="s">
        <v>18</v>
      </c>
      <c r="H114" s="6" t="s">
        <v>19</v>
      </c>
      <c r="I114" s="6" t="s">
        <v>20</v>
      </c>
      <c r="J114" s="7" t="s">
        <v>51</v>
      </c>
      <c r="K114" s="8">
        <v>2000</v>
      </c>
      <c r="L114" s="9">
        <v>0</v>
      </c>
      <c r="M114" s="7" t="s">
        <v>22</v>
      </c>
      <c r="N114" s="6">
        <v>34.39</v>
      </c>
      <c r="O114" s="6">
        <v>113.14</v>
      </c>
      <c r="P114" s="10">
        <v>124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</row>
    <row r="115" spans="2:29" ht="15.75">
      <c r="B115" s="5">
        <v>114</v>
      </c>
      <c r="C115" s="6" t="s">
        <v>385</v>
      </c>
      <c r="D115" s="6" t="s">
        <v>386</v>
      </c>
      <c r="E115" s="6" t="s">
        <v>385</v>
      </c>
      <c r="F115" s="6" t="s">
        <v>355</v>
      </c>
      <c r="G115" s="6" t="s">
        <v>18</v>
      </c>
      <c r="H115" s="6" t="s">
        <v>19</v>
      </c>
      <c r="I115" s="6" t="s">
        <v>20</v>
      </c>
      <c r="J115" s="7" t="s">
        <v>62</v>
      </c>
      <c r="K115" s="8">
        <v>2000</v>
      </c>
      <c r="L115" s="9">
        <v>0</v>
      </c>
      <c r="M115" s="7" t="s">
        <v>37</v>
      </c>
      <c r="N115" s="6">
        <v>26.56</v>
      </c>
      <c r="O115" s="6">
        <v>100.22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250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</row>
    <row r="116" spans="2:29" ht="15.75">
      <c r="B116" s="5">
        <v>115</v>
      </c>
      <c r="C116" s="6" t="s">
        <v>387</v>
      </c>
      <c r="D116" s="6" t="s">
        <v>388</v>
      </c>
      <c r="E116" s="6" t="s">
        <v>387</v>
      </c>
      <c r="F116" s="6" t="s">
        <v>272</v>
      </c>
      <c r="G116" s="6" t="s">
        <v>18</v>
      </c>
      <c r="H116" s="6" t="s">
        <v>19</v>
      </c>
      <c r="I116" s="6" t="s">
        <v>20</v>
      </c>
      <c r="J116" s="7" t="s">
        <v>62</v>
      </c>
      <c r="K116" s="8">
        <v>2000</v>
      </c>
      <c r="L116" s="9">
        <v>0</v>
      </c>
      <c r="M116" s="7" t="s">
        <v>22</v>
      </c>
      <c r="N116" s="6">
        <v>23.68</v>
      </c>
      <c r="O116" s="6">
        <v>105.59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330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</row>
    <row r="117" spans="2:29" ht="15.75">
      <c r="B117" s="5">
        <v>116</v>
      </c>
      <c r="C117" s="6" t="s">
        <v>389</v>
      </c>
      <c r="D117" s="6" t="s">
        <v>390</v>
      </c>
      <c r="E117" s="6" t="s">
        <v>389</v>
      </c>
      <c r="F117" s="6" t="s">
        <v>391</v>
      </c>
      <c r="G117" s="6" t="s">
        <v>18</v>
      </c>
      <c r="H117" s="6" t="s">
        <v>19</v>
      </c>
      <c r="I117" s="6" t="s">
        <v>20</v>
      </c>
      <c r="J117" s="7" t="s">
        <v>147</v>
      </c>
      <c r="K117" s="8">
        <v>1400</v>
      </c>
      <c r="L117" s="9">
        <v>104</v>
      </c>
      <c r="M117" s="7" t="s">
        <v>37</v>
      </c>
      <c r="N117" s="6">
        <v>30.11</v>
      </c>
      <c r="O117" s="6">
        <v>112.36</v>
      </c>
      <c r="P117" s="10">
        <v>100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100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</row>
    <row r="118" spans="2:29" ht="15.75">
      <c r="B118" s="5">
        <v>117</v>
      </c>
      <c r="C118" s="6" t="s">
        <v>392</v>
      </c>
      <c r="D118" s="6" t="s">
        <v>393</v>
      </c>
      <c r="E118" s="6" t="s">
        <v>392</v>
      </c>
      <c r="F118" s="6" t="s">
        <v>394</v>
      </c>
      <c r="G118" s="6" t="s">
        <v>18</v>
      </c>
      <c r="H118" s="6" t="s">
        <v>19</v>
      </c>
      <c r="I118" s="6" t="s">
        <v>20</v>
      </c>
      <c r="J118" s="7" t="s">
        <v>136</v>
      </c>
      <c r="K118" s="8">
        <v>1500.0000000000002</v>
      </c>
      <c r="L118" s="9">
        <v>0</v>
      </c>
      <c r="M118" s="7" t="s">
        <v>37</v>
      </c>
      <c r="N118" s="6">
        <v>27.61</v>
      </c>
      <c r="O118" s="6">
        <v>106.97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</row>
    <row r="119" spans="2:29" ht="15.75">
      <c r="B119" s="5">
        <v>118</v>
      </c>
      <c r="C119" s="6" t="s">
        <v>395</v>
      </c>
      <c r="D119" s="6" t="s">
        <v>396</v>
      </c>
      <c r="E119" s="6" t="s">
        <v>397</v>
      </c>
      <c r="F119" s="6" t="s">
        <v>177</v>
      </c>
      <c r="G119" s="6" t="s">
        <v>18</v>
      </c>
      <c r="H119" s="6" t="s">
        <v>19</v>
      </c>
      <c r="I119" s="6" t="s">
        <v>20</v>
      </c>
      <c r="J119" s="7" t="s">
        <v>238</v>
      </c>
      <c r="K119" s="8">
        <v>2000</v>
      </c>
      <c r="L119" s="9">
        <v>211</v>
      </c>
      <c r="M119" s="7" t="s">
        <v>37</v>
      </c>
      <c r="N119" s="6">
        <v>37.56</v>
      </c>
      <c r="O119" s="6">
        <v>105.65</v>
      </c>
      <c r="P119" s="10">
        <v>0</v>
      </c>
      <c r="Q119" s="10">
        <v>0</v>
      </c>
      <c r="R119" s="10">
        <v>0</v>
      </c>
      <c r="S119" s="10">
        <v>282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188</v>
      </c>
      <c r="AA119" s="10">
        <v>0</v>
      </c>
      <c r="AB119" s="10">
        <v>0</v>
      </c>
      <c r="AC119" s="10">
        <v>0</v>
      </c>
    </row>
    <row r="120" spans="2:29" ht="15.75">
      <c r="B120" s="5">
        <v>119</v>
      </c>
      <c r="C120" s="6" t="s">
        <v>398</v>
      </c>
      <c r="D120" s="6" t="s">
        <v>399</v>
      </c>
      <c r="E120" s="6" t="s">
        <v>400</v>
      </c>
      <c r="F120" s="6" t="s">
        <v>401</v>
      </c>
      <c r="G120" s="6" t="s">
        <v>18</v>
      </c>
      <c r="H120" s="6" t="s">
        <v>19</v>
      </c>
      <c r="I120" s="6" t="s">
        <v>20</v>
      </c>
      <c r="J120" s="7" t="s">
        <v>191</v>
      </c>
      <c r="K120" s="8">
        <v>1500.0000000000002</v>
      </c>
      <c r="L120" s="9">
        <v>0</v>
      </c>
      <c r="M120" s="7" t="s">
        <v>37</v>
      </c>
      <c r="N120" s="6">
        <v>36.520000000000003</v>
      </c>
      <c r="O120" s="6">
        <v>117.47</v>
      </c>
      <c r="P120" s="10">
        <v>224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</row>
    <row r="121" spans="2:29" ht="15.75">
      <c r="B121" s="5">
        <v>120</v>
      </c>
      <c r="C121" s="6" t="s">
        <v>402</v>
      </c>
      <c r="D121" s="6" t="s">
        <v>403</v>
      </c>
      <c r="E121" s="6" t="s">
        <v>404</v>
      </c>
      <c r="F121" s="6" t="s">
        <v>29</v>
      </c>
      <c r="G121" s="6" t="s">
        <v>18</v>
      </c>
      <c r="H121" s="6" t="s">
        <v>19</v>
      </c>
      <c r="I121" s="6" t="s">
        <v>20</v>
      </c>
      <c r="J121" s="7" t="s">
        <v>136</v>
      </c>
      <c r="K121" s="8">
        <v>2000</v>
      </c>
      <c r="L121" s="9">
        <v>527</v>
      </c>
      <c r="M121" s="7" t="s">
        <v>31</v>
      </c>
      <c r="N121" s="6">
        <v>27.31</v>
      </c>
      <c r="O121" s="6">
        <v>106.5</v>
      </c>
      <c r="P121" s="10">
        <v>208</v>
      </c>
      <c r="Q121" s="10">
        <v>0</v>
      </c>
      <c r="R121" s="10">
        <v>288</v>
      </c>
      <c r="S121" s="10">
        <v>0</v>
      </c>
      <c r="T121" s="10">
        <v>0</v>
      </c>
      <c r="U121" s="10">
        <v>0</v>
      </c>
      <c r="V121" s="10">
        <v>0</v>
      </c>
      <c r="W121" s="10">
        <v>208</v>
      </c>
      <c r="X121" s="10">
        <v>0</v>
      </c>
      <c r="Y121" s="10">
        <v>288</v>
      </c>
      <c r="Z121" s="10">
        <v>0</v>
      </c>
      <c r="AA121" s="10">
        <v>0</v>
      </c>
      <c r="AB121" s="10">
        <v>0</v>
      </c>
      <c r="AC121" s="10">
        <v>0</v>
      </c>
    </row>
    <row r="122" spans="2:29" ht="15.75">
      <c r="B122" s="5">
        <v>121</v>
      </c>
      <c r="C122" s="6" t="s">
        <v>405</v>
      </c>
      <c r="D122" s="6" t="s">
        <v>406</v>
      </c>
      <c r="E122" s="6" t="s">
        <v>405</v>
      </c>
      <c r="F122" s="6" t="s">
        <v>407</v>
      </c>
      <c r="G122" s="6" t="s">
        <v>18</v>
      </c>
      <c r="H122" s="6" t="s">
        <v>19</v>
      </c>
      <c r="I122" s="6" t="s">
        <v>20</v>
      </c>
      <c r="J122" s="7" t="s">
        <v>136</v>
      </c>
      <c r="K122" s="8">
        <v>1500.0000000000002</v>
      </c>
      <c r="L122" s="9">
        <v>0</v>
      </c>
      <c r="M122" s="7" t="s">
        <v>37</v>
      </c>
      <c r="N122" s="6">
        <v>28.1</v>
      </c>
      <c r="O122" s="6">
        <v>106.8</v>
      </c>
      <c r="P122" s="10">
        <v>180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</row>
    <row r="123" spans="2:29">
      <c r="B123" s="5">
        <v>122</v>
      </c>
      <c r="C123" s="1" t="s">
        <v>408</v>
      </c>
      <c r="D123" s="1"/>
      <c r="E123" s="1"/>
      <c r="F123" s="1"/>
      <c r="G123" s="1" t="s">
        <v>409</v>
      </c>
      <c r="H123" s="1" t="s">
        <v>410</v>
      </c>
      <c r="I123" s="1"/>
      <c r="J123" s="1" t="s">
        <v>411</v>
      </c>
      <c r="K123" s="1"/>
      <c r="L123" s="1"/>
      <c r="M123" s="1"/>
      <c r="N123" s="1"/>
      <c r="O123" s="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spans="2:29">
      <c r="B124" s="5">
        <v>123</v>
      </c>
      <c r="C124" s="1" t="s">
        <v>412</v>
      </c>
      <c r="D124" s="1"/>
      <c r="E124" s="1"/>
      <c r="F124" s="1"/>
      <c r="G124" s="1" t="s">
        <v>413</v>
      </c>
      <c r="H124" s="1" t="s">
        <v>414</v>
      </c>
      <c r="I124" s="1"/>
      <c r="J124" s="1" t="s">
        <v>415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2:29">
      <c r="B125" s="5">
        <v>124</v>
      </c>
      <c r="C125" s="1" t="s">
        <v>416</v>
      </c>
      <c r="D125" s="1"/>
      <c r="E125" s="1"/>
      <c r="F125" s="1"/>
      <c r="G125" s="1" t="s">
        <v>417</v>
      </c>
      <c r="H125" s="1" t="s">
        <v>418</v>
      </c>
      <c r="I125" s="1"/>
      <c r="J125" s="1" t="s">
        <v>419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2:29">
      <c r="B126" s="5">
        <v>125</v>
      </c>
      <c r="C126" s="1" t="s">
        <v>420</v>
      </c>
      <c r="D126" s="1"/>
      <c r="E126" s="1"/>
      <c r="F126" s="1"/>
      <c r="G126" s="1" t="s">
        <v>417</v>
      </c>
      <c r="H126" s="1" t="s">
        <v>421</v>
      </c>
      <c r="I126" s="1"/>
      <c r="J126" s="1" t="s">
        <v>422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2:29">
      <c r="B127" s="5">
        <v>126</v>
      </c>
      <c r="C127" s="1" t="s">
        <v>423</v>
      </c>
      <c r="D127" s="1"/>
      <c r="E127" s="1"/>
      <c r="F127" s="1"/>
      <c r="G127" s="1" t="s">
        <v>424</v>
      </c>
      <c r="H127" s="1" t="s">
        <v>425</v>
      </c>
      <c r="I127" s="1"/>
      <c r="J127" s="1" t="s">
        <v>426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2:29">
      <c r="B128" s="5">
        <v>127</v>
      </c>
      <c r="C128" s="1" t="s">
        <v>427</v>
      </c>
      <c r="D128" s="1"/>
      <c r="E128" s="1"/>
      <c r="F128" s="1"/>
      <c r="G128" s="1" t="s">
        <v>424</v>
      </c>
      <c r="H128" s="1" t="s">
        <v>428</v>
      </c>
      <c r="I128" s="1"/>
      <c r="J128" s="1" t="s">
        <v>429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2:29">
      <c r="B129" s="5">
        <v>128</v>
      </c>
      <c r="C129" s="1" t="s">
        <v>430</v>
      </c>
      <c r="D129" s="1"/>
      <c r="E129" s="1"/>
      <c r="F129" s="1"/>
      <c r="G129" s="1" t="s">
        <v>409</v>
      </c>
      <c r="H129" s="1" t="s">
        <v>410</v>
      </c>
      <c r="I129" s="1"/>
      <c r="J129" s="1" t="s">
        <v>430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2:29">
      <c r="B130" s="5">
        <v>129</v>
      </c>
      <c r="C130" s="1" t="s">
        <v>431</v>
      </c>
      <c r="D130" s="1"/>
      <c r="E130" s="1"/>
      <c r="F130" s="1"/>
      <c r="G130" s="1" t="s">
        <v>432</v>
      </c>
      <c r="H130" s="1" t="s">
        <v>433</v>
      </c>
      <c r="I130" s="1"/>
      <c r="J130" s="1" t="s">
        <v>434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2:29">
      <c r="B131" s="5">
        <v>130</v>
      </c>
      <c r="C131" s="1" t="s">
        <v>435</v>
      </c>
      <c r="D131" s="1"/>
      <c r="E131" s="1"/>
      <c r="F131" s="1"/>
      <c r="G131" s="1" t="s">
        <v>409</v>
      </c>
      <c r="H131" s="1" t="s">
        <v>410</v>
      </c>
      <c r="I131" s="1"/>
      <c r="J131" s="1" t="s">
        <v>436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2:29">
      <c r="B132" s="5">
        <v>131</v>
      </c>
      <c r="C132" s="1" t="s">
        <v>437</v>
      </c>
      <c r="D132" s="1"/>
      <c r="E132" s="1"/>
      <c r="F132" s="1"/>
      <c r="G132" s="1" t="s">
        <v>424</v>
      </c>
      <c r="H132" s="1" t="s">
        <v>438</v>
      </c>
      <c r="I132" s="1"/>
      <c r="J132" s="1" t="s">
        <v>439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2:29">
      <c r="B133" s="5">
        <v>132</v>
      </c>
      <c r="C133" s="1" t="s">
        <v>440</v>
      </c>
      <c r="D133" s="1"/>
      <c r="E133" s="1"/>
      <c r="F133" s="1"/>
      <c r="G133" s="1" t="s">
        <v>417</v>
      </c>
      <c r="H133" s="1" t="s">
        <v>441</v>
      </c>
      <c r="I133" s="1"/>
      <c r="J133" s="1" t="s">
        <v>442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2:29">
      <c r="B134" s="5">
        <v>133</v>
      </c>
      <c r="C134" s="1" t="s">
        <v>443</v>
      </c>
      <c r="D134" s="1"/>
      <c r="E134" s="1"/>
      <c r="F134" s="1"/>
      <c r="G134" s="1" t="s">
        <v>444</v>
      </c>
      <c r="H134" s="1" t="s">
        <v>445</v>
      </c>
      <c r="I134" s="1"/>
      <c r="J134" s="1" t="s">
        <v>446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2:29">
      <c r="B135" s="5">
        <v>134</v>
      </c>
      <c r="C135" s="1" t="s">
        <v>447</v>
      </c>
      <c r="D135" s="1"/>
      <c r="E135" s="1"/>
      <c r="F135" s="1"/>
      <c r="G135" s="1" t="s">
        <v>409</v>
      </c>
      <c r="H135" s="1" t="s">
        <v>410</v>
      </c>
      <c r="I135" s="1"/>
      <c r="J135" s="1" t="s">
        <v>448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2:29">
      <c r="B136" s="5">
        <v>135</v>
      </c>
      <c r="C136" s="1" t="s">
        <v>449</v>
      </c>
      <c r="D136" s="1"/>
      <c r="E136" s="1"/>
      <c r="F136" s="1"/>
      <c r="G136" s="1" t="s">
        <v>424</v>
      </c>
      <c r="H136" s="1" t="s">
        <v>450</v>
      </c>
      <c r="I136" s="1"/>
      <c r="J136" s="1" t="s">
        <v>451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2:29">
      <c r="B137" s="5">
        <v>136</v>
      </c>
      <c r="C137" s="1" t="s">
        <v>452</v>
      </c>
      <c r="D137" s="1"/>
      <c r="E137" s="1"/>
      <c r="F137" s="1"/>
      <c r="G137" s="1" t="s">
        <v>424</v>
      </c>
      <c r="H137" s="1" t="s">
        <v>453</v>
      </c>
      <c r="I137" s="1"/>
      <c r="J137" s="1" t="s">
        <v>454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2:29">
      <c r="B138" s="5">
        <v>137</v>
      </c>
      <c r="C138" s="1" t="s">
        <v>455</v>
      </c>
      <c r="D138" s="1"/>
      <c r="E138" s="1"/>
      <c r="F138" s="1"/>
      <c r="G138" s="1" t="s">
        <v>444</v>
      </c>
      <c r="H138" s="1" t="s">
        <v>456</v>
      </c>
      <c r="I138" s="1"/>
      <c r="J138" s="1" t="s">
        <v>457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2:29">
      <c r="B139" s="5">
        <v>138</v>
      </c>
      <c r="C139" s="1" t="s">
        <v>458</v>
      </c>
      <c r="D139" s="1"/>
      <c r="E139" s="1"/>
      <c r="F139" s="1"/>
      <c r="G139" s="1" t="s">
        <v>424</v>
      </c>
      <c r="H139" s="1" t="s">
        <v>425</v>
      </c>
      <c r="I139" s="1"/>
      <c r="J139" s="1" t="s">
        <v>458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2:29">
      <c r="B140" s="5">
        <v>139</v>
      </c>
      <c r="C140" s="1" t="s">
        <v>459</v>
      </c>
      <c r="D140" s="1"/>
      <c r="E140" s="1"/>
      <c r="F140" s="1"/>
      <c r="G140" s="1" t="s">
        <v>460</v>
      </c>
      <c r="H140" s="1" t="s">
        <v>461</v>
      </c>
      <c r="I140" s="1"/>
      <c r="J140" s="1" t="s">
        <v>462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2:29">
      <c r="B141" s="5">
        <v>140</v>
      </c>
      <c r="C141" s="1" t="s">
        <v>463</v>
      </c>
      <c r="D141" s="1"/>
      <c r="E141" s="1"/>
      <c r="F141" s="1"/>
      <c r="G141" s="1" t="s">
        <v>409</v>
      </c>
      <c r="H141" s="1" t="s">
        <v>410</v>
      </c>
      <c r="I141" s="1"/>
      <c r="J141" s="1" t="s">
        <v>463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2:29">
      <c r="B142" s="5">
        <v>141</v>
      </c>
      <c r="C142" s="1" t="s">
        <v>464</v>
      </c>
      <c r="D142" s="1"/>
      <c r="E142" s="1"/>
      <c r="F142" s="1"/>
      <c r="G142" s="1" t="s">
        <v>465</v>
      </c>
      <c r="H142" s="1" t="s">
        <v>466</v>
      </c>
      <c r="I142" s="1"/>
      <c r="J142" s="1" t="s">
        <v>464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2:29">
      <c r="B143" s="5">
        <v>142</v>
      </c>
      <c r="C143" s="1" t="s">
        <v>467</v>
      </c>
      <c r="D143" s="1"/>
      <c r="E143" s="1"/>
      <c r="F143" s="1"/>
      <c r="G143" s="1" t="s">
        <v>460</v>
      </c>
      <c r="H143" s="1" t="s">
        <v>468</v>
      </c>
      <c r="I143" s="1"/>
      <c r="J143" s="1" t="s">
        <v>469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2:29">
      <c r="B144" s="5">
        <v>143</v>
      </c>
      <c r="C144" s="1" t="s">
        <v>470</v>
      </c>
      <c r="D144" s="1"/>
      <c r="E144" s="1"/>
      <c r="F144" s="1"/>
      <c r="G144" s="1" t="s">
        <v>465</v>
      </c>
      <c r="H144" s="1" t="s">
        <v>466</v>
      </c>
      <c r="I144" s="1"/>
      <c r="J144" s="1" t="s">
        <v>471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2:29">
      <c r="B145" s="5">
        <v>144</v>
      </c>
      <c r="C145" s="1" t="s">
        <v>472</v>
      </c>
      <c r="D145" s="1"/>
      <c r="E145" s="1"/>
      <c r="F145" s="1"/>
      <c r="G145" s="1" t="s">
        <v>460</v>
      </c>
      <c r="H145" s="1" t="s">
        <v>468</v>
      </c>
      <c r="I145" s="1"/>
      <c r="J145" s="1" t="s">
        <v>473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2:29">
      <c r="B146" s="5">
        <v>145</v>
      </c>
      <c r="C146" s="1" t="s">
        <v>474</v>
      </c>
      <c r="D146" s="1"/>
      <c r="E146" s="1"/>
      <c r="F146" s="1"/>
      <c r="G146" s="1" t="s">
        <v>417</v>
      </c>
      <c r="H146" s="1" t="s">
        <v>418</v>
      </c>
      <c r="I146" s="1"/>
      <c r="J146" s="1" t="s">
        <v>475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2:29">
      <c r="B147" s="5">
        <v>146</v>
      </c>
      <c r="C147" s="1" t="s">
        <v>476</v>
      </c>
      <c r="D147" s="1"/>
      <c r="E147" s="1"/>
      <c r="F147" s="1"/>
      <c r="G147" s="1" t="s">
        <v>409</v>
      </c>
      <c r="H147" s="1" t="s">
        <v>477</v>
      </c>
      <c r="I147" s="1"/>
      <c r="J147" s="1" t="s">
        <v>478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2:29">
      <c r="B148" s="5">
        <v>147</v>
      </c>
      <c r="C148" s="1" t="s">
        <v>476</v>
      </c>
      <c r="D148" s="1"/>
      <c r="E148" s="1"/>
      <c r="F148" s="1"/>
      <c r="G148" s="1" t="s">
        <v>409</v>
      </c>
      <c r="H148" s="1" t="s">
        <v>477</v>
      </c>
      <c r="I148" s="1"/>
      <c r="J148" s="1" t="s">
        <v>479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2:29">
      <c r="B149" s="5">
        <v>148</v>
      </c>
      <c r="C149" s="1" t="s">
        <v>476</v>
      </c>
      <c r="D149" s="1"/>
      <c r="E149" s="1"/>
      <c r="F149" s="1"/>
      <c r="G149" s="1" t="s">
        <v>409</v>
      </c>
      <c r="H149" s="1" t="s">
        <v>477</v>
      </c>
      <c r="I149" s="1"/>
      <c r="J149" s="1" t="s">
        <v>480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2:29">
      <c r="B150" s="5">
        <v>149</v>
      </c>
      <c r="C150" s="1" t="s">
        <v>481</v>
      </c>
      <c r="D150" s="1"/>
      <c r="E150" s="1"/>
      <c r="F150" s="1"/>
      <c r="G150" s="1" t="s">
        <v>460</v>
      </c>
      <c r="H150" s="1" t="s">
        <v>461</v>
      </c>
      <c r="I150" s="1"/>
      <c r="J150" s="1" t="s">
        <v>482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2:29">
      <c r="B151" s="5">
        <v>150</v>
      </c>
      <c r="C151" s="1" t="s">
        <v>483</v>
      </c>
      <c r="D151" s="1"/>
      <c r="E151" s="1"/>
      <c r="F151" s="1"/>
      <c r="G151" s="1" t="s">
        <v>432</v>
      </c>
      <c r="H151" s="1" t="s">
        <v>484</v>
      </c>
      <c r="I151" s="1"/>
      <c r="J151" s="1" t="s">
        <v>485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2:29">
      <c r="B152" s="5">
        <v>151</v>
      </c>
      <c r="C152" s="1" t="s">
        <v>486</v>
      </c>
      <c r="D152" s="1"/>
      <c r="E152" s="1"/>
      <c r="F152" s="1"/>
      <c r="G152" s="1" t="s">
        <v>444</v>
      </c>
      <c r="H152" s="1" t="s">
        <v>487</v>
      </c>
      <c r="I152" s="1"/>
      <c r="J152" s="1" t="s">
        <v>488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2:29">
      <c r="B153" s="5">
        <v>152</v>
      </c>
      <c r="C153" s="1" t="s">
        <v>489</v>
      </c>
      <c r="D153" s="1"/>
      <c r="E153" s="1"/>
      <c r="F153" s="1"/>
      <c r="G153" s="1" t="s">
        <v>424</v>
      </c>
      <c r="H153" s="1" t="s">
        <v>490</v>
      </c>
      <c r="I153" s="1"/>
      <c r="J153" s="1" t="s">
        <v>491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2:29">
      <c r="B154" s="5">
        <v>153</v>
      </c>
      <c r="C154" s="1" t="s">
        <v>489</v>
      </c>
      <c r="D154" s="1"/>
      <c r="E154" s="1"/>
      <c r="F154" s="1"/>
      <c r="G154" s="1" t="s">
        <v>424</v>
      </c>
      <c r="H154" s="1" t="s">
        <v>490</v>
      </c>
      <c r="I154" s="1"/>
      <c r="J154" s="1" t="s">
        <v>492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2:29">
      <c r="B155" s="5">
        <v>154</v>
      </c>
      <c r="C155" s="1" t="s">
        <v>493</v>
      </c>
      <c r="D155" s="1"/>
      <c r="E155" s="1"/>
      <c r="F155" s="1"/>
      <c r="G155" s="1" t="s">
        <v>432</v>
      </c>
      <c r="H155" s="1" t="s">
        <v>484</v>
      </c>
      <c r="I155" s="1"/>
      <c r="J155" s="1" t="s">
        <v>494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2:29">
      <c r="B156" s="5">
        <v>155</v>
      </c>
      <c r="C156" s="1" t="s">
        <v>495</v>
      </c>
      <c r="D156" s="1"/>
      <c r="E156" s="1"/>
      <c r="F156" s="1"/>
      <c r="G156" s="1" t="s">
        <v>424</v>
      </c>
      <c r="H156" s="1" t="s">
        <v>496</v>
      </c>
      <c r="I156" s="1"/>
      <c r="J156" s="1" t="s">
        <v>497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2:29">
      <c r="B157" s="5">
        <v>156</v>
      </c>
      <c r="C157" s="1" t="s">
        <v>498</v>
      </c>
      <c r="D157" s="1"/>
      <c r="E157" s="1"/>
      <c r="F157" s="1"/>
      <c r="G157" s="1" t="s">
        <v>409</v>
      </c>
      <c r="H157" s="1" t="s">
        <v>410</v>
      </c>
      <c r="I157" s="1"/>
      <c r="J157" s="1" t="s">
        <v>498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2:29">
      <c r="B158" s="5">
        <v>157</v>
      </c>
      <c r="C158" s="1" t="s">
        <v>499</v>
      </c>
      <c r="D158" s="1"/>
      <c r="E158" s="1"/>
      <c r="F158" s="1"/>
      <c r="G158" s="1" t="s">
        <v>413</v>
      </c>
      <c r="H158" s="1" t="s">
        <v>500</v>
      </c>
      <c r="I158" s="1"/>
      <c r="J158" s="1" t="s">
        <v>501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2:29">
      <c r="B159" s="5">
        <v>158</v>
      </c>
      <c r="C159" s="1" t="s">
        <v>499</v>
      </c>
      <c r="D159" s="1"/>
      <c r="E159" s="1"/>
      <c r="F159" s="1"/>
      <c r="G159" s="1" t="s">
        <v>413</v>
      </c>
      <c r="H159" s="1" t="s">
        <v>500</v>
      </c>
      <c r="I159" s="1"/>
      <c r="J159" s="1" t="s">
        <v>502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2:29">
      <c r="B160" s="5">
        <v>159</v>
      </c>
      <c r="C160" s="1" t="s">
        <v>499</v>
      </c>
      <c r="D160" s="1"/>
      <c r="E160" s="1"/>
      <c r="F160" s="1"/>
      <c r="G160" s="1" t="s">
        <v>413</v>
      </c>
      <c r="H160" s="1" t="s">
        <v>500</v>
      </c>
      <c r="I160" s="1"/>
      <c r="J160" s="1" t="s">
        <v>503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2:29">
      <c r="B161" s="5">
        <v>160</v>
      </c>
      <c r="C161" s="1" t="s">
        <v>504</v>
      </c>
      <c r="D161" s="1"/>
      <c r="E161" s="1"/>
      <c r="F161" s="1"/>
      <c r="G161" s="1" t="s">
        <v>424</v>
      </c>
      <c r="H161" s="1" t="s">
        <v>490</v>
      </c>
      <c r="I161" s="1"/>
      <c r="J161" s="1" t="s">
        <v>505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2:29">
      <c r="B162" s="5">
        <v>161</v>
      </c>
      <c r="C162" s="1" t="s">
        <v>504</v>
      </c>
      <c r="D162" s="1"/>
      <c r="E162" s="1"/>
      <c r="F162" s="1"/>
      <c r="G162" s="1" t="s">
        <v>424</v>
      </c>
      <c r="H162" s="1" t="s">
        <v>490</v>
      </c>
      <c r="I162" s="1"/>
      <c r="J162" s="1" t="s">
        <v>506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2:29">
      <c r="B163" s="5">
        <v>162</v>
      </c>
      <c r="C163" s="1" t="s">
        <v>504</v>
      </c>
      <c r="D163" s="1"/>
      <c r="E163" s="1"/>
      <c r="F163" s="1"/>
      <c r="G163" s="1" t="s">
        <v>424</v>
      </c>
      <c r="H163" s="1" t="s">
        <v>490</v>
      </c>
      <c r="I163" s="1"/>
      <c r="J163" s="1" t="s">
        <v>507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2:29">
      <c r="B164" s="5">
        <v>163</v>
      </c>
      <c r="C164" s="1" t="s">
        <v>504</v>
      </c>
      <c r="D164" s="1"/>
      <c r="E164" s="1"/>
      <c r="F164" s="1"/>
      <c r="G164" s="1" t="s">
        <v>424</v>
      </c>
      <c r="H164" s="1" t="s">
        <v>490</v>
      </c>
      <c r="I164" s="1"/>
      <c r="J164" s="1" t="s">
        <v>508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2:29">
      <c r="B165" s="5">
        <v>164</v>
      </c>
      <c r="C165" s="1" t="s">
        <v>509</v>
      </c>
      <c r="D165" s="1"/>
      <c r="E165" s="1"/>
      <c r="F165" s="1"/>
      <c r="G165" s="1" t="s">
        <v>424</v>
      </c>
      <c r="H165" s="1" t="s">
        <v>510</v>
      </c>
      <c r="I165" s="1"/>
      <c r="J165" s="1" t="s">
        <v>511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2:29">
      <c r="B166" s="5">
        <v>165</v>
      </c>
      <c r="C166" s="1" t="s">
        <v>512</v>
      </c>
      <c r="D166" s="1"/>
      <c r="E166" s="1"/>
      <c r="F166" s="1"/>
      <c r="G166" s="1" t="s">
        <v>413</v>
      </c>
      <c r="H166" s="1" t="s">
        <v>513</v>
      </c>
      <c r="I166" s="1"/>
      <c r="J166" s="1" t="s">
        <v>514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2:29">
      <c r="B167" s="5">
        <v>166</v>
      </c>
      <c r="C167" s="1" t="s">
        <v>515</v>
      </c>
      <c r="D167" s="1"/>
      <c r="E167" s="1"/>
      <c r="F167" s="1"/>
      <c r="G167" s="1" t="s">
        <v>413</v>
      </c>
      <c r="H167" s="1" t="s">
        <v>500</v>
      </c>
      <c r="I167" s="1"/>
      <c r="J167" s="1" t="s">
        <v>516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2:29">
      <c r="B168" s="5">
        <v>167</v>
      </c>
      <c r="C168" s="1" t="s">
        <v>517</v>
      </c>
      <c r="D168" s="1"/>
      <c r="E168" s="1"/>
      <c r="F168" s="1"/>
      <c r="G168" s="1" t="s">
        <v>409</v>
      </c>
      <c r="H168" s="1" t="s">
        <v>477</v>
      </c>
      <c r="I168" s="1"/>
      <c r="J168" s="1" t="s">
        <v>518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2:29">
      <c r="B169" s="5">
        <v>168</v>
      </c>
      <c r="C169" s="1" t="s">
        <v>519</v>
      </c>
      <c r="D169" s="1"/>
      <c r="E169" s="1"/>
      <c r="F169" s="1"/>
      <c r="G169" s="1" t="s">
        <v>432</v>
      </c>
      <c r="H169" s="1" t="s">
        <v>433</v>
      </c>
      <c r="I169" s="1"/>
      <c r="J169" s="1" t="s">
        <v>520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2:29">
      <c r="B170" s="5">
        <v>169</v>
      </c>
      <c r="C170" s="1" t="s">
        <v>521</v>
      </c>
      <c r="D170" s="1"/>
      <c r="E170" s="1"/>
      <c r="F170" s="1"/>
      <c r="G170" s="1" t="s">
        <v>460</v>
      </c>
      <c r="H170" s="1" t="s">
        <v>468</v>
      </c>
      <c r="I170" s="1"/>
      <c r="J170" s="1" t="s">
        <v>522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2:29">
      <c r="B171" s="5">
        <v>170</v>
      </c>
      <c r="C171" s="1" t="s">
        <v>523</v>
      </c>
      <c r="D171" s="1"/>
      <c r="E171" s="1"/>
      <c r="F171" s="1"/>
      <c r="G171" s="1" t="s">
        <v>424</v>
      </c>
      <c r="H171" s="1" t="s">
        <v>524</v>
      </c>
      <c r="I171" s="1"/>
      <c r="J171" s="1" t="s">
        <v>525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2:29">
      <c r="B172" s="5">
        <v>171</v>
      </c>
      <c r="C172" s="1" t="s">
        <v>526</v>
      </c>
      <c r="D172" s="1"/>
      <c r="E172" s="1"/>
      <c r="F172" s="1"/>
      <c r="G172" s="1" t="s">
        <v>424</v>
      </c>
      <c r="H172" s="1" t="s">
        <v>527</v>
      </c>
      <c r="I172" s="1"/>
      <c r="J172" s="1" t="s">
        <v>528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2:29">
      <c r="B173" s="5">
        <v>172</v>
      </c>
      <c r="C173" s="1" t="s">
        <v>529</v>
      </c>
      <c r="D173" s="1"/>
      <c r="E173" s="1"/>
      <c r="F173" s="1"/>
      <c r="G173" s="1" t="s">
        <v>460</v>
      </c>
      <c r="H173" s="1" t="s">
        <v>468</v>
      </c>
      <c r="I173" s="1"/>
      <c r="J173" s="1" t="s">
        <v>530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2:29">
      <c r="B174" s="5">
        <v>173</v>
      </c>
      <c r="C174" s="1" t="s">
        <v>531</v>
      </c>
      <c r="D174" s="1"/>
      <c r="E174" s="1"/>
      <c r="F174" s="1"/>
      <c r="G174" s="1" t="s">
        <v>460</v>
      </c>
      <c r="H174" s="1" t="s">
        <v>468</v>
      </c>
      <c r="I174" s="1"/>
      <c r="J174" s="1" t="s">
        <v>532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2:29">
      <c r="B175" s="5">
        <v>174</v>
      </c>
      <c r="C175" s="1" t="s">
        <v>533</v>
      </c>
      <c r="D175" s="1"/>
      <c r="E175" s="1"/>
      <c r="F175" s="1"/>
      <c r="G175" s="1" t="s">
        <v>409</v>
      </c>
      <c r="H175" s="1" t="s">
        <v>410</v>
      </c>
      <c r="I175" s="1"/>
      <c r="J175" s="1" t="s">
        <v>533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2:29">
      <c r="B176" s="5">
        <v>175</v>
      </c>
      <c r="C176" s="1" t="s">
        <v>534</v>
      </c>
      <c r="D176" s="1"/>
      <c r="E176" s="1"/>
      <c r="F176" s="1"/>
      <c r="G176" s="1" t="s">
        <v>460</v>
      </c>
      <c r="H176" s="1" t="s">
        <v>468</v>
      </c>
      <c r="I176" s="1"/>
      <c r="J176" s="1" t="s">
        <v>469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2:29">
      <c r="B177" s="5">
        <v>176</v>
      </c>
      <c r="C177" s="1" t="s">
        <v>535</v>
      </c>
      <c r="D177" s="1"/>
      <c r="E177" s="1"/>
      <c r="F177" s="1"/>
      <c r="G177" s="1" t="s">
        <v>424</v>
      </c>
      <c r="H177" s="1" t="s">
        <v>536</v>
      </c>
      <c r="I177" s="1"/>
      <c r="J177" s="1" t="s">
        <v>537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2:29">
      <c r="B178" s="5">
        <v>177</v>
      </c>
      <c r="C178" s="1" t="s">
        <v>538</v>
      </c>
      <c r="D178" s="1"/>
      <c r="E178" s="1"/>
      <c r="F178" s="1"/>
      <c r="G178" s="1" t="s">
        <v>424</v>
      </c>
      <c r="H178" s="1" t="s">
        <v>425</v>
      </c>
      <c r="I178" s="1"/>
      <c r="J178" s="1" t="s">
        <v>538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2:29">
      <c r="B179" s="5">
        <v>178</v>
      </c>
      <c r="C179" s="1" t="s">
        <v>539</v>
      </c>
      <c r="D179" s="1"/>
      <c r="E179" s="1"/>
      <c r="F179" s="1"/>
      <c r="G179" s="1" t="s">
        <v>409</v>
      </c>
      <c r="H179" s="1" t="s">
        <v>410</v>
      </c>
      <c r="I179" s="1"/>
      <c r="J179" s="1" t="s">
        <v>539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2:29">
      <c r="B180" s="5">
        <v>179</v>
      </c>
      <c r="C180" s="1" t="s">
        <v>540</v>
      </c>
      <c r="D180" s="1"/>
      <c r="E180" s="1"/>
      <c r="F180" s="1"/>
      <c r="G180" s="1" t="s">
        <v>424</v>
      </c>
      <c r="H180" s="1" t="s">
        <v>541</v>
      </c>
      <c r="I180" s="1"/>
      <c r="J180" s="1" t="s">
        <v>542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2:29">
      <c r="B181" s="5">
        <v>180</v>
      </c>
      <c r="C181" s="1" t="s">
        <v>540</v>
      </c>
      <c r="D181" s="1"/>
      <c r="E181" s="1"/>
      <c r="F181" s="1"/>
      <c r="G181" s="1" t="s">
        <v>424</v>
      </c>
      <c r="H181" s="1" t="s">
        <v>543</v>
      </c>
      <c r="I181" s="1"/>
      <c r="J181" s="1" t="s">
        <v>544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2:29">
      <c r="B182" s="5">
        <v>181</v>
      </c>
      <c r="C182" s="1" t="s">
        <v>545</v>
      </c>
      <c r="D182" s="1"/>
      <c r="E182" s="1"/>
      <c r="F182" s="1"/>
      <c r="G182" s="1" t="s">
        <v>432</v>
      </c>
      <c r="H182" s="1" t="s">
        <v>546</v>
      </c>
      <c r="I182" s="1"/>
      <c r="J182" s="1" t="s">
        <v>547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2:29">
      <c r="B183" s="5">
        <v>182</v>
      </c>
      <c r="C183" s="1" t="s">
        <v>548</v>
      </c>
      <c r="D183" s="1"/>
      <c r="E183" s="1"/>
      <c r="F183" s="1"/>
      <c r="G183" s="1" t="s">
        <v>409</v>
      </c>
      <c r="H183" s="1" t="s">
        <v>477</v>
      </c>
      <c r="I183" s="1"/>
      <c r="J183" s="1" t="s">
        <v>549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2:29">
      <c r="B184" s="5">
        <v>183</v>
      </c>
      <c r="C184" s="1" t="s">
        <v>550</v>
      </c>
      <c r="D184" s="1"/>
      <c r="E184" s="1"/>
      <c r="F184" s="1"/>
      <c r="G184" s="1" t="s">
        <v>409</v>
      </c>
      <c r="H184" s="1" t="s">
        <v>477</v>
      </c>
      <c r="I184" s="1"/>
      <c r="J184" s="1" t="s">
        <v>550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2:29">
      <c r="B185" s="5">
        <v>184</v>
      </c>
      <c r="C185" s="1" t="s">
        <v>551</v>
      </c>
      <c r="D185" s="1"/>
      <c r="E185" s="1"/>
      <c r="F185" s="1"/>
      <c r="G185" s="1" t="s">
        <v>444</v>
      </c>
      <c r="H185" s="1" t="s">
        <v>552</v>
      </c>
      <c r="I185" s="1"/>
      <c r="J185" s="1" t="s">
        <v>553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2:29">
      <c r="B186" s="5">
        <v>185</v>
      </c>
      <c r="C186" s="1" t="s">
        <v>554</v>
      </c>
      <c r="D186" s="1"/>
      <c r="E186" s="1"/>
      <c r="F186" s="1"/>
      <c r="G186" s="1" t="s">
        <v>413</v>
      </c>
      <c r="H186" s="1" t="s">
        <v>500</v>
      </c>
      <c r="I186" s="1"/>
      <c r="J186" s="1" t="s">
        <v>555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2:29">
      <c r="B187" s="5">
        <v>186</v>
      </c>
      <c r="C187" s="1" t="s">
        <v>556</v>
      </c>
      <c r="D187" s="1"/>
      <c r="E187" s="1"/>
      <c r="F187" s="1"/>
      <c r="G187" s="1" t="s">
        <v>460</v>
      </c>
      <c r="H187" s="1" t="s">
        <v>468</v>
      </c>
      <c r="I187" s="1"/>
      <c r="J187" s="1" t="s">
        <v>557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2:29">
      <c r="B188" s="5">
        <v>187</v>
      </c>
      <c r="C188" s="1" t="s">
        <v>558</v>
      </c>
      <c r="D188" s="1"/>
      <c r="E188" s="1"/>
      <c r="F188" s="1"/>
      <c r="G188" s="1" t="s">
        <v>424</v>
      </c>
      <c r="H188" s="1" t="s">
        <v>524</v>
      </c>
      <c r="I188" s="1"/>
      <c r="J188" s="1" t="s">
        <v>559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2:29">
      <c r="B189" s="5">
        <v>188</v>
      </c>
      <c r="C189" s="1" t="s">
        <v>560</v>
      </c>
      <c r="D189" s="1"/>
      <c r="E189" s="1"/>
      <c r="F189" s="1"/>
      <c r="G189" s="1" t="s">
        <v>465</v>
      </c>
      <c r="H189" s="1" t="s">
        <v>561</v>
      </c>
      <c r="I189" s="1"/>
      <c r="J189" s="1" t="s">
        <v>562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2:29">
      <c r="B190" s="5">
        <v>189</v>
      </c>
      <c r="C190" s="1" t="s">
        <v>563</v>
      </c>
      <c r="D190" s="1"/>
      <c r="E190" s="1"/>
      <c r="F190" s="1"/>
      <c r="G190" s="1" t="s">
        <v>460</v>
      </c>
      <c r="H190" s="1" t="s">
        <v>564</v>
      </c>
      <c r="I190" s="1"/>
      <c r="J190" s="1" t="s">
        <v>565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2:29">
      <c r="B191" s="5">
        <v>190</v>
      </c>
      <c r="C191" s="1" t="s">
        <v>566</v>
      </c>
      <c r="D191" s="1"/>
      <c r="E191" s="1"/>
      <c r="F191" s="1"/>
      <c r="G191" s="1" t="s">
        <v>465</v>
      </c>
      <c r="H191" s="1" t="s">
        <v>466</v>
      </c>
      <c r="I191" s="1"/>
      <c r="J191" s="1" t="s">
        <v>566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2:29">
      <c r="B192" s="5">
        <v>191</v>
      </c>
      <c r="C192" s="1" t="s">
        <v>567</v>
      </c>
      <c r="D192" s="1"/>
      <c r="E192" s="1"/>
      <c r="F192" s="1"/>
      <c r="G192" s="1" t="s">
        <v>413</v>
      </c>
      <c r="H192" s="1" t="s">
        <v>568</v>
      </c>
      <c r="I192" s="1"/>
      <c r="J192" s="1" t="s">
        <v>569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2:29">
      <c r="B193" s="5">
        <v>192</v>
      </c>
      <c r="C193" s="1" t="s">
        <v>570</v>
      </c>
      <c r="D193" s="1"/>
      <c r="E193" s="1"/>
      <c r="F193" s="1"/>
      <c r="G193" s="1" t="s">
        <v>432</v>
      </c>
      <c r="H193" s="1" t="s">
        <v>571</v>
      </c>
      <c r="I193" s="1"/>
      <c r="J193" s="1" t="s">
        <v>572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2:29">
      <c r="B194" s="5">
        <v>193</v>
      </c>
      <c r="C194" s="1" t="s">
        <v>573</v>
      </c>
      <c r="D194" s="1"/>
      <c r="E194" s="1"/>
      <c r="F194" s="1"/>
      <c r="G194" s="1" t="s">
        <v>424</v>
      </c>
      <c r="H194" s="1" t="s">
        <v>524</v>
      </c>
      <c r="I194" s="1"/>
      <c r="J194" s="1" t="s">
        <v>574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2:29">
      <c r="B195" s="5">
        <v>194</v>
      </c>
      <c r="C195" s="1" t="s">
        <v>575</v>
      </c>
      <c r="D195" s="1"/>
      <c r="E195" s="1"/>
      <c r="F195" s="1"/>
      <c r="G195" s="1" t="s">
        <v>460</v>
      </c>
      <c r="H195" s="1" t="s">
        <v>468</v>
      </c>
      <c r="I195" s="1"/>
      <c r="J195" s="1" t="s">
        <v>576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2:29">
      <c r="B196" s="5">
        <v>195</v>
      </c>
      <c r="C196" s="1" t="s">
        <v>577</v>
      </c>
      <c r="D196" s="1"/>
      <c r="E196" s="1"/>
      <c r="F196" s="1"/>
      <c r="G196" s="1" t="s">
        <v>409</v>
      </c>
      <c r="H196" s="1" t="s">
        <v>410</v>
      </c>
      <c r="I196" s="1"/>
      <c r="J196" s="1" t="s">
        <v>578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2:29">
      <c r="B197" s="5">
        <v>196</v>
      </c>
      <c r="C197" s="1" t="s">
        <v>577</v>
      </c>
      <c r="D197" s="1"/>
      <c r="E197" s="1"/>
      <c r="F197" s="1"/>
      <c r="G197" s="1" t="s">
        <v>409</v>
      </c>
      <c r="H197" s="1" t="s">
        <v>410</v>
      </c>
      <c r="I197" s="1"/>
      <c r="J197" s="1" t="s">
        <v>577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2:29">
      <c r="B198" s="5">
        <v>197</v>
      </c>
      <c r="C198" s="1" t="s">
        <v>579</v>
      </c>
      <c r="D198" s="1"/>
      <c r="E198" s="1"/>
      <c r="F198" s="1"/>
      <c r="G198" s="1" t="s">
        <v>424</v>
      </c>
      <c r="H198" s="1" t="s">
        <v>580</v>
      </c>
      <c r="I198" s="1"/>
      <c r="J198" s="1" t="s">
        <v>581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2:29">
      <c r="B199" s="5">
        <v>198</v>
      </c>
      <c r="C199" s="1" t="s">
        <v>582</v>
      </c>
      <c r="D199" s="1"/>
      <c r="E199" s="1"/>
      <c r="F199" s="1"/>
      <c r="G199" s="1" t="s">
        <v>432</v>
      </c>
      <c r="H199" s="1" t="s">
        <v>583</v>
      </c>
      <c r="I199" s="1"/>
      <c r="J199" s="1" t="s">
        <v>583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2:29">
      <c r="B200" s="5">
        <v>199</v>
      </c>
      <c r="C200" s="1" t="s">
        <v>584</v>
      </c>
      <c r="D200" s="1"/>
      <c r="E200" s="1"/>
      <c r="F200" s="1"/>
      <c r="G200" s="1" t="s">
        <v>424</v>
      </c>
      <c r="H200" s="1" t="s">
        <v>490</v>
      </c>
      <c r="I200" s="1"/>
      <c r="J200" s="1" t="s">
        <v>585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2:29">
      <c r="B201" s="5">
        <v>200</v>
      </c>
      <c r="C201" s="1" t="s">
        <v>586</v>
      </c>
      <c r="D201" s="1"/>
      <c r="E201" s="1"/>
      <c r="F201" s="1"/>
      <c r="G201" s="1" t="s">
        <v>460</v>
      </c>
      <c r="H201" s="1" t="s">
        <v>587</v>
      </c>
      <c r="I201" s="1"/>
      <c r="J201" s="1" t="s">
        <v>588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2:29">
      <c r="B202" s="5">
        <v>201</v>
      </c>
      <c r="C202" s="1" t="s">
        <v>589</v>
      </c>
      <c r="D202" s="1"/>
      <c r="E202" s="1"/>
      <c r="F202" s="1"/>
      <c r="G202" s="1" t="s">
        <v>424</v>
      </c>
      <c r="H202" s="1" t="s">
        <v>590</v>
      </c>
      <c r="I202" s="1"/>
      <c r="J202" s="1" t="s">
        <v>591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2:29">
      <c r="B203" s="5">
        <v>202</v>
      </c>
      <c r="C203" s="1" t="s">
        <v>592</v>
      </c>
      <c r="D203" s="1"/>
      <c r="E203" s="1"/>
      <c r="F203" s="1"/>
      <c r="G203" s="1" t="s">
        <v>465</v>
      </c>
      <c r="H203" s="1" t="s">
        <v>466</v>
      </c>
      <c r="I203" s="1"/>
      <c r="J203" s="1" t="s">
        <v>592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2:29">
      <c r="B204" s="5">
        <v>203</v>
      </c>
      <c r="C204" s="1" t="s">
        <v>593</v>
      </c>
      <c r="D204" s="1"/>
      <c r="E204" s="1"/>
      <c r="F204" s="1"/>
      <c r="G204" s="1" t="s">
        <v>424</v>
      </c>
      <c r="H204" s="1" t="s">
        <v>510</v>
      </c>
      <c r="I204" s="1"/>
      <c r="J204" s="1" t="s">
        <v>594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2:29">
      <c r="B205" s="5">
        <v>204</v>
      </c>
      <c r="C205" s="1" t="s">
        <v>593</v>
      </c>
      <c r="D205" s="1"/>
      <c r="E205" s="1"/>
      <c r="F205" s="1"/>
      <c r="G205" s="1" t="s">
        <v>424</v>
      </c>
      <c r="H205" s="1" t="s">
        <v>510</v>
      </c>
      <c r="I205" s="1"/>
      <c r="J205" s="1" t="s">
        <v>595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2:29">
      <c r="B206" s="5">
        <v>205</v>
      </c>
      <c r="C206" s="1" t="s">
        <v>593</v>
      </c>
      <c r="D206" s="1"/>
      <c r="E206" s="1"/>
      <c r="F206" s="1"/>
      <c r="G206" s="1" t="s">
        <v>424</v>
      </c>
      <c r="H206" s="1" t="s">
        <v>541</v>
      </c>
      <c r="I206" s="1"/>
      <c r="J206" s="1" t="s">
        <v>596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2:29">
      <c r="B207" s="5">
        <v>206</v>
      </c>
      <c r="C207" s="1" t="s">
        <v>597</v>
      </c>
      <c r="D207" s="1"/>
      <c r="E207" s="1"/>
      <c r="F207" s="1"/>
      <c r="G207" s="1" t="s">
        <v>444</v>
      </c>
      <c r="H207" s="1" t="s">
        <v>598</v>
      </c>
      <c r="I207" s="1"/>
      <c r="J207" s="1" t="s">
        <v>599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2:29">
      <c r="B208" s="5">
        <v>207</v>
      </c>
      <c r="C208" s="1" t="s">
        <v>600</v>
      </c>
      <c r="D208" s="1"/>
      <c r="E208" s="1"/>
      <c r="F208" s="1"/>
      <c r="G208" s="1" t="s">
        <v>413</v>
      </c>
      <c r="H208" s="1" t="s">
        <v>500</v>
      </c>
      <c r="I208" s="1"/>
      <c r="J208" s="1" t="s">
        <v>601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2:29">
      <c r="B209" s="5">
        <v>208</v>
      </c>
      <c r="C209" s="1" t="s">
        <v>602</v>
      </c>
      <c r="D209" s="1"/>
      <c r="E209" s="1"/>
      <c r="F209" s="1"/>
      <c r="G209" s="1" t="s">
        <v>413</v>
      </c>
      <c r="H209" s="1" t="s">
        <v>500</v>
      </c>
      <c r="I209" s="1"/>
      <c r="J209" s="1" t="s">
        <v>603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2:29">
      <c r="B210" s="5">
        <v>209</v>
      </c>
      <c r="C210" s="1" t="s">
        <v>604</v>
      </c>
      <c r="D210" s="1"/>
      <c r="E210" s="1"/>
      <c r="F210" s="1"/>
      <c r="G210" s="1" t="s">
        <v>417</v>
      </c>
      <c r="H210" s="1" t="s">
        <v>421</v>
      </c>
      <c r="I210" s="1"/>
      <c r="J210" s="1" t="s">
        <v>422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2:29">
      <c r="B211" s="5">
        <v>210</v>
      </c>
      <c r="C211" s="1" t="s">
        <v>605</v>
      </c>
      <c r="D211" s="1"/>
      <c r="E211" s="1"/>
      <c r="F211" s="1"/>
      <c r="G211" s="1" t="s">
        <v>460</v>
      </c>
      <c r="H211" s="1" t="s">
        <v>468</v>
      </c>
      <c r="I211" s="1"/>
      <c r="J211" s="1" t="s">
        <v>606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2:29">
      <c r="B212" s="5">
        <v>211</v>
      </c>
      <c r="C212" s="1" t="s">
        <v>607</v>
      </c>
      <c r="D212" s="1"/>
      <c r="E212" s="1"/>
      <c r="F212" s="1"/>
      <c r="G212" s="1" t="s">
        <v>424</v>
      </c>
      <c r="H212" s="1" t="s">
        <v>510</v>
      </c>
      <c r="I212" s="1"/>
      <c r="J212" s="1" t="s">
        <v>608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2:29">
      <c r="B213" s="5">
        <v>212</v>
      </c>
      <c r="C213" s="1" t="s">
        <v>609</v>
      </c>
      <c r="D213" s="1"/>
      <c r="E213" s="1"/>
      <c r="F213" s="1"/>
      <c r="G213" s="1" t="s">
        <v>409</v>
      </c>
      <c r="H213" s="1" t="s">
        <v>477</v>
      </c>
      <c r="I213" s="1"/>
      <c r="J213" s="1" t="s">
        <v>609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2:29">
      <c r="B214" s="5">
        <v>213</v>
      </c>
      <c r="C214" s="1" t="s">
        <v>610</v>
      </c>
      <c r="D214" s="1"/>
      <c r="E214" s="1"/>
      <c r="F214" s="1"/>
      <c r="G214" s="1" t="s">
        <v>477</v>
      </c>
      <c r="H214" s="1" t="s">
        <v>477</v>
      </c>
      <c r="I214" s="1"/>
      <c r="J214" s="1" t="s">
        <v>610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2:29">
      <c r="B215" s="5">
        <v>214</v>
      </c>
      <c r="C215" s="1" t="s">
        <v>611</v>
      </c>
      <c r="D215" s="1"/>
      <c r="E215" s="1"/>
      <c r="F215" s="1"/>
      <c r="G215" s="1" t="s">
        <v>417</v>
      </c>
      <c r="H215" s="1" t="s">
        <v>418</v>
      </c>
      <c r="I215" s="1"/>
      <c r="J215" s="1" t="s">
        <v>612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5"/>
  <sheetViews>
    <sheetView workbookViewId="0">
      <selection activeCell="D15" sqref="D15"/>
    </sheetView>
  </sheetViews>
  <sheetFormatPr defaultRowHeight="15"/>
  <cols>
    <col min="1" max="1" width="27.28515625" customWidth="1"/>
  </cols>
  <sheetData>
    <row r="1" spans="1:194">
      <c r="A1" s="46" t="s">
        <v>1</v>
      </c>
      <c r="B1" s="47">
        <v>1</v>
      </c>
      <c r="C1" s="47">
        <v>2</v>
      </c>
      <c r="D1" s="47">
        <v>3</v>
      </c>
      <c r="E1" s="47">
        <v>4</v>
      </c>
      <c r="F1" s="47">
        <v>5</v>
      </c>
      <c r="G1" s="47">
        <v>6</v>
      </c>
      <c r="H1" s="47">
        <v>7</v>
      </c>
      <c r="I1" s="47">
        <v>8</v>
      </c>
      <c r="J1" s="47">
        <v>9</v>
      </c>
      <c r="K1" s="47">
        <v>10</v>
      </c>
      <c r="L1" s="47">
        <v>11</v>
      </c>
      <c r="M1" s="47">
        <v>12</v>
      </c>
      <c r="N1" s="47">
        <v>13</v>
      </c>
      <c r="O1" s="47">
        <v>14</v>
      </c>
      <c r="P1" s="47">
        <v>15</v>
      </c>
      <c r="Q1" s="47">
        <v>16</v>
      </c>
      <c r="R1" s="47">
        <v>17</v>
      </c>
      <c r="S1" s="47">
        <v>18</v>
      </c>
      <c r="T1" s="47">
        <v>19</v>
      </c>
      <c r="U1" s="47">
        <v>20</v>
      </c>
      <c r="V1" s="47">
        <v>21</v>
      </c>
      <c r="W1" s="47">
        <v>22</v>
      </c>
      <c r="X1" s="47">
        <v>23</v>
      </c>
      <c r="Y1" s="47">
        <v>24</v>
      </c>
      <c r="Z1" s="47">
        <v>25</v>
      </c>
      <c r="AA1" s="47">
        <v>26</v>
      </c>
      <c r="AB1" s="47">
        <v>27</v>
      </c>
      <c r="AC1" s="47">
        <v>28</v>
      </c>
      <c r="AD1" s="47">
        <v>29</v>
      </c>
      <c r="AE1" s="47">
        <v>30</v>
      </c>
      <c r="AF1" s="47">
        <v>31</v>
      </c>
      <c r="AG1" s="47">
        <v>32</v>
      </c>
      <c r="AH1" s="47">
        <v>33</v>
      </c>
      <c r="AI1" s="47">
        <v>34</v>
      </c>
      <c r="AJ1" s="47">
        <v>35</v>
      </c>
      <c r="AK1" s="47">
        <v>36</v>
      </c>
      <c r="AL1" s="47">
        <v>37</v>
      </c>
      <c r="AM1" s="47">
        <v>38</v>
      </c>
      <c r="AN1" s="47">
        <v>39</v>
      </c>
      <c r="AO1" s="47">
        <v>40</v>
      </c>
      <c r="AP1" s="47">
        <v>41</v>
      </c>
      <c r="AQ1" s="47">
        <v>42</v>
      </c>
      <c r="AR1" s="47">
        <v>43</v>
      </c>
      <c r="AS1" s="47">
        <v>44</v>
      </c>
      <c r="AT1" s="47">
        <v>45</v>
      </c>
      <c r="AU1" s="47">
        <v>46</v>
      </c>
      <c r="AV1" s="47">
        <v>47</v>
      </c>
      <c r="AW1" s="47">
        <v>48</v>
      </c>
      <c r="AX1" s="47">
        <v>49</v>
      </c>
      <c r="AY1" s="47">
        <v>50</v>
      </c>
      <c r="AZ1" s="47">
        <v>51</v>
      </c>
      <c r="BA1" s="47">
        <v>52</v>
      </c>
      <c r="BB1" s="47">
        <v>53</v>
      </c>
      <c r="BC1" s="47">
        <v>54</v>
      </c>
      <c r="BD1" s="47">
        <v>55</v>
      </c>
      <c r="BE1" s="47">
        <v>56</v>
      </c>
      <c r="BF1" s="47">
        <v>57</v>
      </c>
      <c r="BG1" s="47">
        <v>58</v>
      </c>
      <c r="BH1" s="47">
        <v>59</v>
      </c>
      <c r="BI1" s="47">
        <v>60</v>
      </c>
      <c r="BJ1" s="47">
        <v>61</v>
      </c>
      <c r="BK1" s="47">
        <v>62</v>
      </c>
      <c r="BL1" s="47">
        <v>63</v>
      </c>
      <c r="BM1" s="47">
        <v>64</v>
      </c>
      <c r="BN1" s="47">
        <v>65</v>
      </c>
      <c r="BO1" s="47">
        <v>66</v>
      </c>
      <c r="BP1" s="47">
        <v>67</v>
      </c>
      <c r="BQ1" s="47">
        <v>68</v>
      </c>
      <c r="BR1" s="47">
        <v>69</v>
      </c>
      <c r="BS1" s="47">
        <v>70</v>
      </c>
      <c r="BT1" s="47">
        <v>71</v>
      </c>
      <c r="BU1" s="47">
        <v>72</v>
      </c>
      <c r="BV1" s="47">
        <v>73</v>
      </c>
      <c r="BW1" s="47">
        <v>74</v>
      </c>
      <c r="BX1" s="47">
        <v>75</v>
      </c>
      <c r="BY1" s="47">
        <v>76</v>
      </c>
      <c r="BZ1" s="47">
        <v>77</v>
      </c>
      <c r="CA1" s="47">
        <v>78</v>
      </c>
      <c r="CB1" s="47">
        <v>79</v>
      </c>
      <c r="CC1" s="47">
        <v>80</v>
      </c>
      <c r="CD1" s="47">
        <v>81</v>
      </c>
      <c r="CE1" s="47">
        <v>82</v>
      </c>
      <c r="CF1" s="47">
        <v>83</v>
      </c>
      <c r="CG1" s="47">
        <v>84</v>
      </c>
      <c r="CH1" s="47">
        <v>85</v>
      </c>
      <c r="CI1" s="47">
        <v>86</v>
      </c>
      <c r="CJ1" s="47">
        <v>87</v>
      </c>
      <c r="CK1" s="47">
        <v>88</v>
      </c>
      <c r="CL1" s="47">
        <v>89</v>
      </c>
      <c r="CM1" s="47">
        <v>90</v>
      </c>
      <c r="CN1" s="47">
        <v>91</v>
      </c>
      <c r="CO1" s="47">
        <v>92</v>
      </c>
      <c r="CP1" s="47">
        <v>93</v>
      </c>
      <c r="CQ1" s="47">
        <v>94</v>
      </c>
      <c r="CR1" s="47">
        <v>95</v>
      </c>
      <c r="CS1" s="47">
        <v>96</v>
      </c>
      <c r="CT1" s="47">
        <v>97</v>
      </c>
      <c r="CU1" s="47">
        <v>98</v>
      </c>
      <c r="CV1" s="47">
        <v>99</v>
      </c>
      <c r="CW1" s="47">
        <v>100</v>
      </c>
      <c r="CX1" s="47">
        <v>101</v>
      </c>
      <c r="CY1" s="47">
        <v>102</v>
      </c>
      <c r="CZ1" s="47">
        <v>103</v>
      </c>
      <c r="DA1" s="47">
        <v>104</v>
      </c>
      <c r="DB1" s="47">
        <v>105</v>
      </c>
      <c r="DC1" s="47">
        <v>106</v>
      </c>
      <c r="DD1" s="47">
        <v>107</v>
      </c>
      <c r="DE1" s="47">
        <v>108</v>
      </c>
      <c r="DF1" s="47">
        <v>109</v>
      </c>
      <c r="DG1" s="47">
        <v>110</v>
      </c>
      <c r="DH1" s="47">
        <v>111</v>
      </c>
      <c r="DI1" s="47">
        <v>112</v>
      </c>
      <c r="DJ1" s="47">
        <v>113</v>
      </c>
      <c r="DK1" s="47">
        <v>114</v>
      </c>
      <c r="DL1" s="47">
        <v>115</v>
      </c>
      <c r="DM1" s="47">
        <v>116</v>
      </c>
      <c r="DN1" s="47">
        <v>117</v>
      </c>
      <c r="DO1" s="47">
        <v>118</v>
      </c>
      <c r="DP1" s="47">
        <v>119</v>
      </c>
      <c r="DQ1" s="47">
        <v>120</v>
      </c>
      <c r="DR1" s="47">
        <v>121</v>
      </c>
      <c r="DS1" s="47">
        <v>122</v>
      </c>
      <c r="DT1" s="47">
        <v>123</v>
      </c>
      <c r="DU1" s="47">
        <v>124</v>
      </c>
      <c r="DV1" s="47">
        <v>125</v>
      </c>
      <c r="DW1" s="47">
        <v>126</v>
      </c>
      <c r="DX1" s="47">
        <v>127</v>
      </c>
      <c r="DY1" s="47">
        <v>128</v>
      </c>
      <c r="DZ1" s="47">
        <v>129</v>
      </c>
      <c r="EA1" s="47">
        <v>130</v>
      </c>
      <c r="EB1" s="47">
        <v>131</v>
      </c>
      <c r="EC1" s="47">
        <v>132</v>
      </c>
      <c r="ED1" s="47">
        <v>133</v>
      </c>
      <c r="EE1" s="47">
        <v>134</v>
      </c>
      <c r="EF1" s="47">
        <v>135</v>
      </c>
      <c r="EG1" s="47">
        <v>136</v>
      </c>
      <c r="EH1" s="47">
        <v>137</v>
      </c>
      <c r="EI1" s="47">
        <v>138</v>
      </c>
      <c r="EJ1" s="47">
        <v>139</v>
      </c>
      <c r="EK1" s="47">
        <v>140</v>
      </c>
      <c r="EL1" s="47">
        <v>141</v>
      </c>
      <c r="EM1" s="47">
        <v>142</v>
      </c>
      <c r="EN1" s="47">
        <v>143</v>
      </c>
      <c r="EO1" s="47">
        <v>144</v>
      </c>
      <c r="EP1" s="47">
        <v>145</v>
      </c>
      <c r="EQ1" s="47">
        <v>146</v>
      </c>
      <c r="ER1" s="47">
        <v>147</v>
      </c>
      <c r="ES1" s="47">
        <v>148</v>
      </c>
      <c r="ET1" s="47">
        <v>149</v>
      </c>
      <c r="EU1" s="47">
        <v>150</v>
      </c>
      <c r="EV1" s="47">
        <v>151</v>
      </c>
      <c r="EW1" s="47">
        <v>152</v>
      </c>
      <c r="EX1" s="47">
        <v>153</v>
      </c>
      <c r="EY1" s="47">
        <v>154</v>
      </c>
      <c r="EZ1" s="47">
        <v>155</v>
      </c>
      <c r="FA1" s="47">
        <v>156</v>
      </c>
      <c r="FB1" s="47">
        <v>157</v>
      </c>
      <c r="FC1" s="47">
        <v>158</v>
      </c>
      <c r="FD1" s="47">
        <v>159</v>
      </c>
      <c r="FE1" s="47">
        <v>160</v>
      </c>
      <c r="FF1" s="47">
        <v>161</v>
      </c>
      <c r="FG1" s="47">
        <v>162</v>
      </c>
      <c r="FH1" s="47">
        <v>163</v>
      </c>
      <c r="FI1" s="47">
        <v>164</v>
      </c>
      <c r="FJ1" s="47">
        <v>165</v>
      </c>
      <c r="FK1" s="47">
        <v>166</v>
      </c>
      <c r="FL1" s="47">
        <v>167</v>
      </c>
      <c r="FM1" s="47">
        <v>168</v>
      </c>
      <c r="FN1" s="47">
        <v>169</v>
      </c>
      <c r="FO1" s="47">
        <v>170</v>
      </c>
      <c r="FP1" s="47">
        <v>171</v>
      </c>
      <c r="FQ1" s="47">
        <v>172</v>
      </c>
      <c r="FR1" s="47">
        <v>173</v>
      </c>
      <c r="FS1" s="47">
        <v>174</v>
      </c>
      <c r="FT1" s="47">
        <v>175</v>
      </c>
      <c r="FU1" s="47">
        <v>176</v>
      </c>
      <c r="FV1" s="47">
        <v>177</v>
      </c>
      <c r="FW1" s="47">
        <v>178</v>
      </c>
      <c r="FX1" s="47">
        <v>179</v>
      </c>
      <c r="FY1" s="47">
        <v>180</v>
      </c>
      <c r="FZ1" s="47">
        <v>181</v>
      </c>
      <c r="GA1" s="47">
        <v>182</v>
      </c>
      <c r="GB1" s="47">
        <v>183</v>
      </c>
      <c r="GC1" s="47">
        <v>184</v>
      </c>
      <c r="GD1" s="47">
        <v>185</v>
      </c>
      <c r="GE1" s="47">
        <v>186</v>
      </c>
      <c r="GF1" s="47">
        <v>187</v>
      </c>
      <c r="GG1" s="47">
        <v>188</v>
      </c>
      <c r="GH1" s="47">
        <v>189</v>
      </c>
      <c r="GI1" s="47">
        <v>190</v>
      </c>
      <c r="GJ1" s="47">
        <v>191</v>
      </c>
      <c r="GK1" s="47">
        <v>192</v>
      </c>
      <c r="GL1" s="47">
        <v>193</v>
      </c>
    </row>
    <row r="2" spans="1:194" ht="15.75">
      <c r="A2" s="48" t="s">
        <v>749</v>
      </c>
      <c r="B2" s="49">
        <v>16000</v>
      </c>
      <c r="C2" s="49">
        <v>11000</v>
      </c>
      <c r="D2" s="49">
        <v>10000</v>
      </c>
      <c r="E2" s="49">
        <v>9600</v>
      </c>
      <c r="F2" s="49">
        <v>7700</v>
      </c>
      <c r="G2" s="50">
        <v>14000</v>
      </c>
      <c r="H2" s="49">
        <v>9793</v>
      </c>
      <c r="I2" s="50">
        <v>14000</v>
      </c>
      <c r="J2" s="50">
        <v>14000</v>
      </c>
      <c r="K2" s="49">
        <v>8200</v>
      </c>
      <c r="L2" s="49">
        <v>14000</v>
      </c>
      <c r="M2" s="49">
        <v>9000</v>
      </c>
      <c r="N2" s="49">
        <v>11000</v>
      </c>
      <c r="O2" s="49">
        <v>10780</v>
      </c>
      <c r="P2" s="49">
        <v>8570</v>
      </c>
      <c r="Q2" s="49">
        <v>8457</v>
      </c>
      <c r="R2" s="49">
        <v>9280</v>
      </c>
      <c r="S2" s="49">
        <v>20000</v>
      </c>
      <c r="T2" s="49">
        <v>11300</v>
      </c>
      <c r="U2" s="49">
        <v>22000</v>
      </c>
      <c r="V2" s="49">
        <v>21300</v>
      </c>
      <c r="W2" s="49">
        <v>11586</v>
      </c>
      <c r="X2" s="49">
        <v>16000</v>
      </c>
      <c r="Y2" s="50">
        <v>20000</v>
      </c>
      <c r="Z2" s="49">
        <v>17045</v>
      </c>
      <c r="AA2" s="49">
        <v>21500</v>
      </c>
      <c r="AB2" s="49">
        <v>7500</v>
      </c>
      <c r="AC2" s="49">
        <v>7573</v>
      </c>
      <c r="AD2" s="49">
        <v>11758</v>
      </c>
      <c r="AE2" s="49">
        <v>16000</v>
      </c>
      <c r="AF2" s="49">
        <v>15250</v>
      </c>
      <c r="AG2" s="49">
        <v>13800</v>
      </c>
      <c r="AH2" s="49"/>
      <c r="AI2" s="49">
        <v>7878</v>
      </c>
      <c r="AJ2" s="49">
        <v>11250</v>
      </c>
      <c r="AK2" s="49">
        <v>9333</v>
      </c>
      <c r="AL2" s="49">
        <v>14900</v>
      </c>
      <c r="AM2" s="49"/>
      <c r="AN2" s="49"/>
      <c r="AO2" s="49">
        <v>11000</v>
      </c>
      <c r="AP2" s="49"/>
      <c r="AQ2" s="49">
        <v>6361.8885714285716</v>
      </c>
      <c r="AR2" s="49">
        <v>14360</v>
      </c>
      <c r="AS2" s="49">
        <v>25000</v>
      </c>
      <c r="AT2" s="49"/>
      <c r="AU2" s="49">
        <v>8000</v>
      </c>
      <c r="AV2" s="49"/>
      <c r="AW2" s="49">
        <v>7000</v>
      </c>
      <c r="AX2" s="49"/>
      <c r="AY2" s="49"/>
      <c r="AZ2" s="49">
        <v>12928</v>
      </c>
      <c r="BA2" s="49"/>
      <c r="BB2" s="49"/>
      <c r="BC2" s="49">
        <v>7000</v>
      </c>
      <c r="BD2" s="49">
        <v>11000</v>
      </c>
      <c r="BE2" s="49"/>
      <c r="BF2" s="49"/>
      <c r="BG2" s="49">
        <v>15000</v>
      </c>
      <c r="BH2" s="49">
        <v>14000</v>
      </c>
      <c r="BI2" s="49">
        <v>12000</v>
      </c>
      <c r="BJ2" s="49"/>
      <c r="BK2" s="49">
        <v>8880</v>
      </c>
      <c r="BL2" s="49"/>
      <c r="BM2" s="49">
        <v>20000</v>
      </c>
      <c r="BN2" s="49"/>
      <c r="BO2" s="49"/>
      <c r="BP2" s="49"/>
      <c r="BQ2" s="49">
        <v>10000</v>
      </c>
      <c r="BR2" s="49"/>
      <c r="BS2" s="49"/>
      <c r="BT2" s="49"/>
      <c r="BU2" s="49">
        <v>11363</v>
      </c>
      <c r="BV2" s="49"/>
      <c r="BW2" s="49">
        <v>10000</v>
      </c>
      <c r="BX2" s="49">
        <v>7000</v>
      </c>
      <c r="BY2" s="49"/>
      <c r="BZ2" s="49">
        <v>9600</v>
      </c>
      <c r="CA2" s="49"/>
      <c r="CB2" s="49"/>
      <c r="CC2" s="49">
        <v>8000</v>
      </c>
      <c r="CD2" s="49">
        <v>8000</v>
      </c>
      <c r="CE2" s="49">
        <v>13674</v>
      </c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>
        <v>13333</v>
      </c>
      <c r="CU2" s="49"/>
      <c r="CV2" s="49"/>
      <c r="CW2" s="49">
        <v>9375</v>
      </c>
      <c r="CX2" s="49"/>
      <c r="CY2" s="49">
        <v>19425</v>
      </c>
      <c r="CZ2" s="49">
        <v>18750</v>
      </c>
      <c r="DA2" s="49">
        <v>15272</v>
      </c>
      <c r="DB2" s="49">
        <v>17000</v>
      </c>
      <c r="DC2" s="49">
        <v>8400</v>
      </c>
      <c r="DD2" s="49">
        <v>21875</v>
      </c>
      <c r="DE2" s="49">
        <v>8500</v>
      </c>
      <c r="DF2" s="49"/>
      <c r="DG2" s="49">
        <v>11000</v>
      </c>
      <c r="DH2" s="50">
        <v>15000</v>
      </c>
      <c r="DI2" s="49">
        <v>8200</v>
      </c>
      <c r="DJ2" s="49"/>
      <c r="DK2" s="49"/>
      <c r="DL2" s="49">
        <v>7500</v>
      </c>
      <c r="DM2" s="49"/>
      <c r="DN2" s="49"/>
      <c r="DO2" s="49">
        <v>14000</v>
      </c>
      <c r="DP2" s="49">
        <v>8333</v>
      </c>
      <c r="DQ2" s="49"/>
      <c r="DR2" s="49">
        <v>12000</v>
      </c>
    </row>
    <row r="3" spans="1:194" ht="15.75">
      <c r="A3" s="48" t="s">
        <v>751</v>
      </c>
      <c r="B3" s="41"/>
      <c r="C3" s="41"/>
      <c r="D3" s="41" t="s">
        <v>752</v>
      </c>
      <c r="E3" s="41"/>
      <c r="F3" s="41" t="s">
        <v>752</v>
      </c>
      <c r="G3" s="41"/>
      <c r="H3" s="41" t="s">
        <v>752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 t="s">
        <v>752</v>
      </c>
      <c r="U3" s="41"/>
      <c r="V3" s="41"/>
      <c r="W3" s="41"/>
      <c r="X3" s="41"/>
      <c r="Y3" s="41"/>
      <c r="Z3" s="41"/>
      <c r="AA3" s="41"/>
      <c r="AB3" s="41" t="s">
        <v>752</v>
      </c>
      <c r="AC3" s="41"/>
      <c r="AD3" s="41" t="s">
        <v>752</v>
      </c>
      <c r="AE3" s="41"/>
      <c r="AF3" s="41"/>
      <c r="AG3" s="41"/>
      <c r="AH3" s="41"/>
      <c r="AI3" s="41" t="s">
        <v>752</v>
      </c>
      <c r="AJ3" s="41"/>
      <c r="AK3" s="41"/>
      <c r="AL3" s="41"/>
      <c r="AM3" s="41"/>
      <c r="AN3" s="41"/>
      <c r="AO3" s="41"/>
      <c r="AP3" s="41"/>
      <c r="AQ3" s="41" t="s">
        <v>753</v>
      </c>
      <c r="AR3" s="41"/>
      <c r="AS3" s="41"/>
      <c r="AT3" s="41"/>
      <c r="AU3" s="41" t="s">
        <v>752</v>
      </c>
      <c r="AV3" s="41"/>
      <c r="AW3" s="41"/>
      <c r="AX3" s="41"/>
      <c r="AY3" s="41"/>
      <c r="AZ3" s="41"/>
      <c r="BA3" s="41"/>
      <c r="BB3" s="41"/>
      <c r="BC3" s="41" t="s">
        <v>752</v>
      </c>
      <c r="BD3" s="41"/>
      <c r="BE3" s="41"/>
      <c r="BF3" s="41"/>
      <c r="BG3" s="41"/>
      <c r="BH3" s="41"/>
      <c r="BI3" s="41"/>
      <c r="BJ3" s="41"/>
      <c r="BK3" s="41" t="s">
        <v>752</v>
      </c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 t="s">
        <v>752</v>
      </c>
      <c r="BY3" s="41"/>
      <c r="BZ3" s="41"/>
      <c r="CA3" s="41"/>
      <c r="CB3" s="41"/>
      <c r="CC3" s="41"/>
      <c r="CD3" s="41" t="s">
        <v>752</v>
      </c>
    </row>
    <row r="4" spans="1:194" ht="15.75">
      <c r="A4" s="48" t="s">
        <v>754</v>
      </c>
      <c r="B4" s="58">
        <v>1</v>
      </c>
      <c r="C4" s="58">
        <v>1</v>
      </c>
      <c r="D4" s="58">
        <v>1</v>
      </c>
      <c r="E4" s="58">
        <v>1</v>
      </c>
      <c r="F4" s="58">
        <v>1</v>
      </c>
      <c r="G4" s="58">
        <v>1</v>
      </c>
      <c r="H4" s="58">
        <v>1</v>
      </c>
      <c r="I4" s="58">
        <v>1</v>
      </c>
      <c r="J4" s="58">
        <v>1</v>
      </c>
      <c r="K4" s="58">
        <v>1</v>
      </c>
      <c r="L4" s="58">
        <v>1</v>
      </c>
      <c r="M4" s="58">
        <v>1</v>
      </c>
      <c r="N4" s="58">
        <v>1</v>
      </c>
      <c r="O4" s="58">
        <v>1</v>
      </c>
      <c r="P4" s="58">
        <v>1</v>
      </c>
      <c r="Q4" s="58">
        <v>1</v>
      </c>
      <c r="R4" s="58">
        <v>1</v>
      </c>
      <c r="S4" s="58">
        <v>1</v>
      </c>
      <c r="T4" s="58">
        <v>1</v>
      </c>
      <c r="U4" s="58">
        <v>1</v>
      </c>
      <c r="V4" s="58">
        <v>1</v>
      </c>
      <c r="W4" s="58">
        <v>1</v>
      </c>
      <c r="X4" s="58">
        <v>1</v>
      </c>
      <c r="Y4" s="58">
        <v>1</v>
      </c>
      <c r="Z4" s="58">
        <v>1</v>
      </c>
      <c r="AA4" s="58">
        <v>1</v>
      </c>
      <c r="AB4" s="58">
        <v>1</v>
      </c>
      <c r="AC4" s="58">
        <v>1</v>
      </c>
      <c r="AD4" s="58">
        <v>1</v>
      </c>
      <c r="AE4" s="58">
        <v>1</v>
      </c>
      <c r="AF4" s="58">
        <v>1</v>
      </c>
      <c r="AG4" s="58">
        <v>1</v>
      </c>
      <c r="AH4" s="58">
        <v>1</v>
      </c>
      <c r="AI4" s="58">
        <v>1</v>
      </c>
      <c r="AJ4" s="58">
        <v>1</v>
      </c>
      <c r="AK4" s="58">
        <v>1</v>
      </c>
      <c r="AL4" s="58">
        <v>1</v>
      </c>
      <c r="AM4" s="58">
        <v>1</v>
      </c>
      <c r="AN4" s="58">
        <v>1</v>
      </c>
      <c r="AO4" s="58">
        <v>1</v>
      </c>
      <c r="AP4" s="58">
        <v>1</v>
      </c>
      <c r="AQ4" s="58">
        <v>1</v>
      </c>
      <c r="AR4" s="58">
        <v>1</v>
      </c>
      <c r="AS4" s="58">
        <v>1</v>
      </c>
      <c r="AT4" s="58">
        <v>1</v>
      </c>
      <c r="AU4" s="58">
        <v>1</v>
      </c>
      <c r="AV4" s="58">
        <v>1</v>
      </c>
      <c r="AW4" s="58">
        <v>1</v>
      </c>
      <c r="AX4" s="58">
        <v>1</v>
      </c>
      <c r="AY4" s="58">
        <v>1</v>
      </c>
      <c r="AZ4" s="58">
        <v>1</v>
      </c>
      <c r="BA4" s="58">
        <v>1</v>
      </c>
      <c r="BB4" s="58">
        <v>1</v>
      </c>
      <c r="BC4" s="58">
        <v>1</v>
      </c>
      <c r="BD4" s="58">
        <v>1</v>
      </c>
      <c r="BE4" s="58">
        <v>1</v>
      </c>
      <c r="BF4" s="58">
        <v>1</v>
      </c>
      <c r="BG4" s="58">
        <v>1</v>
      </c>
      <c r="BH4" s="58">
        <v>1</v>
      </c>
      <c r="BI4" s="58">
        <v>1</v>
      </c>
      <c r="BJ4" s="58">
        <v>1</v>
      </c>
      <c r="BK4" s="58">
        <v>1</v>
      </c>
      <c r="BL4" s="58">
        <v>1</v>
      </c>
      <c r="BM4" s="58">
        <v>1</v>
      </c>
      <c r="BN4" s="58">
        <v>1</v>
      </c>
      <c r="BO4" s="58">
        <v>1</v>
      </c>
      <c r="BP4" s="58">
        <v>1</v>
      </c>
      <c r="BQ4" s="58">
        <v>1</v>
      </c>
      <c r="BR4" s="58">
        <v>1</v>
      </c>
      <c r="BS4" s="58">
        <v>1</v>
      </c>
      <c r="BT4" s="58">
        <v>1</v>
      </c>
      <c r="BU4" s="58">
        <v>1</v>
      </c>
      <c r="BV4" s="58">
        <v>1</v>
      </c>
      <c r="BW4" s="58">
        <v>1</v>
      </c>
      <c r="BX4" s="58">
        <v>1</v>
      </c>
      <c r="BY4" s="58">
        <v>1</v>
      </c>
      <c r="BZ4" s="58">
        <v>1</v>
      </c>
      <c r="CA4" s="58">
        <v>1</v>
      </c>
      <c r="CB4" s="58">
        <v>1</v>
      </c>
      <c r="CC4" s="58">
        <v>1</v>
      </c>
      <c r="CD4" s="58">
        <v>1</v>
      </c>
      <c r="CE4" s="58">
        <v>1</v>
      </c>
      <c r="CF4" s="58">
        <v>1</v>
      </c>
      <c r="CG4" s="58">
        <v>1</v>
      </c>
      <c r="CH4" s="58">
        <v>1</v>
      </c>
      <c r="CI4" s="58">
        <v>1</v>
      </c>
      <c r="CJ4" s="58">
        <v>1</v>
      </c>
      <c r="CK4" s="58">
        <v>1</v>
      </c>
      <c r="CL4" s="58">
        <v>1</v>
      </c>
      <c r="CM4" s="58">
        <v>1</v>
      </c>
      <c r="CN4" s="58">
        <v>1</v>
      </c>
      <c r="CO4" s="58">
        <v>1</v>
      </c>
      <c r="CP4" s="58">
        <v>1</v>
      </c>
      <c r="CQ4" s="58">
        <v>1</v>
      </c>
      <c r="CR4" s="58">
        <v>1</v>
      </c>
      <c r="CS4" s="58">
        <v>1</v>
      </c>
      <c r="CT4" s="58">
        <v>1</v>
      </c>
      <c r="CU4" s="58">
        <v>1</v>
      </c>
      <c r="CV4" s="58">
        <v>1</v>
      </c>
      <c r="CW4" s="58">
        <v>1</v>
      </c>
      <c r="CX4" s="58">
        <v>1</v>
      </c>
      <c r="CY4" s="58">
        <v>1</v>
      </c>
      <c r="CZ4" s="58">
        <v>1</v>
      </c>
      <c r="DA4" s="58">
        <v>1</v>
      </c>
      <c r="DB4" s="58">
        <v>1</v>
      </c>
      <c r="DC4" s="58">
        <v>1</v>
      </c>
      <c r="DD4" s="58">
        <v>1</v>
      </c>
      <c r="DE4" s="58">
        <v>1</v>
      </c>
      <c r="DF4" s="58">
        <v>1</v>
      </c>
      <c r="DG4" s="58">
        <v>1</v>
      </c>
      <c r="DH4" s="58">
        <v>1</v>
      </c>
      <c r="DI4" s="58">
        <v>1</v>
      </c>
      <c r="DJ4" s="58">
        <v>1</v>
      </c>
      <c r="DK4" s="58">
        <v>1</v>
      </c>
      <c r="DL4" s="58">
        <v>1</v>
      </c>
      <c r="DM4" s="58">
        <v>1</v>
      </c>
      <c r="DN4" s="58">
        <v>1</v>
      </c>
      <c r="DO4" s="58">
        <v>1</v>
      </c>
      <c r="DP4" s="58">
        <v>1</v>
      </c>
      <c r="DQ4" s="58">
        <v>1</v>
      </c>
      <c r="DR4" s="58">
        <v>1</v>
      </c>
      <c r="DS4" s="58">
        <v>1</v>
      </c>
      <c r="DT4" s="58">
        <v>1</v>
      </c>
      <c r="DU4" s="58">
        <v>1</v>
      </c>
      <c r="DV4" s="58">
        <v>1</v>
      </c>
      <c r="DW4" s="58">
        <v>1</v>
      </c>
      <c r="DX4" s="58">
        <v>1</v>
      </c>
      <c r="DY4" s="58">
        <v>1</v>
      </c>
      <c r="DZ4" s="58">
        <v>1</v>
      </c>
      <c r="EA4" s="58">
        <v>1</v>
      </c>
      <c r="EB4" s="58">
        <v>1</v>
      </c>
      <c r="EC4" s="58">
        <v>1</v>
      </c>
      <c r="ED4" s="58">
        <v>1</v>
      </c>
      <c r="EE4" s="58">
        <v>1</v>
      </c>
      <c r="EF4" s="58">
        <v>1</v>
      </c>
      <c r="EG4" s="58">
        <v>1</v>
      </c>
      <c r="EH4" s="58">
        <v>1</v>
      </c>
      <c r="EI4" s="58">
        <v>1</v>
      </c>
      <c r="EJ4" s="58">
        <v>1</v>
      </c>
      <c r="EK4" s="58">
        <v>1</v>
      </c>
      <c r="EL4" s="58">
        <v>1</v>
      </c>
      <c r="EM4" s="58">
        <v>1</v>
      </c>
      <c r="EN4" s="58">
        <v>1</v>
      </c>
      <c r="EO4" s="58">
        <v>1</v>
      </c>
      <c r="EP4" s="58">
        <v>1</v>
      </c>
      <c r="EQ4" s="58">
        <v>1</v>
      </c>
      <c r="ER4" s="58">
        <v>1</v>
      </c>
      <c r="ES4" s="58">
        <v>1</v>
      </c>
      <c r="ET4" s="58">
        <v>1</v>
      </c>
      <c r="EU4" s="58">
        <v>1</v>
      </c>
      <c r="EV4" s="58">
        <v>1</v>
      </c>
      <c r="EW4" s="58">
        <v>1</v>
      </c>
      <c r="EX4" s="58">
        <v>1</v>
      </c>
      <c r="EY4" s="58">
        <v>1</v>
      </c>
      <c r="EZ4" s="58">
        <v>1</v>
      </c>
      <c r="FA4" s="58">
        <v>1</v>
      </c>
      <c r="FB4" s="58">
        <v>1</v>
      </c>
      <c r="FC4" s="58">
        <v>1</v>
      </c>
      <c r="FD4" s="58">
        <v>1</v>
      </c>
      <c r="FE4" s="58">
        <v>1</v>
      </c>
      <c r="FF4" s="58">
        <v>1</v>
      </c>
      <c r="FG4" s="58">
        <v>1</v>
      </c>
      <c r="FH4" s="58">
        <v>1</v>
      </c>
      <c r="FI4" s="58">
        <v>1</v>
      </c>
      <c r="FJ4" s="58">
        <v>1</v>
      </c>
      <c r="FK4" s="58">
        <v>1</v>
      </c>
      <c r="FL4" s="58">
        <v>1</v>
      </c>
      <c r="FM4" s="58">
        <v>1</v>
      </c>
      <c r="FN4" s="58">
        <v>1</v>
      </c>
      <c r="FO4" s="58">
        <v>1</v>
      </c>
      <c r="FP4" s="58">
        <v>1</v>
      </c>
      <c r="FQ4" s="58">
        <v>1</v>
      </c>
      <c r="FR4" s="58">
        <v>1</v>
      </c>
      <c r="FS4" s="58">
        <v>1</v>
      </c>
      <c r="FT4" s="58">
        <v>1</v>
      </c>
      <c r="FU4" s="58">
        <v>1</v>
      </c>
      <c r="FV4" s="58">
        <v>1</v>
      </c>
      <c r="FW4" s="58">
        <v>1</v>
      </c>
      <c r="FX4" s="58">
        <v>1</v>
      </c>
      <c r="FY4" s="58">
        <v>1</v>
      </c>
      <c r="FZ4" s="58">
        <v>1</v>
      </c>
      <c r="GA4" s="58">
        <v>1</v>
      </c>
      <c r="GB4" s="58">
        <v>1</v>
      </c>
      <c r="GC4" s="58">
        <v>1</v>
      </c>
      <c r="GD4" s="58">
        <v>1</v>
      </c>
      <c r="GE4" s="58">
        <v>1</v>
      </c>
      <c r="GF4" s="58">
        <v>1</v>
      </c>
      <c r="GG4" s="58">
        <v>1</v>
      </c>
      <c r="GH4" s="58">
        <v>1</v>
      </c>
      <c r="GI4" s="58">
        <v>1</v>
      </c>
      <c r="GJ4" s="58">
        <v>1</v>
      </c>
      <c r="GK4" s="58">
        <v>1</v>
      </c>
      <c r="GL4" s="58">
        <v>1</v>
      </c>
    </row>
    <row r="5" spans="1:194" ht="15.75">
      <c r="A5" s="48" t="s">
        <v>755</v>
      </c>
      <c r="B5" s="59">
        <v>0.05</v>
      </c>
      <c r="C5" s="59">
        <v>0.05</v>
      </c>
      <c r="D5" s="59">
        <v>0.05</v>
      </c>
      <c r="E5" s="59">
        <v>0.05</v>
      </c>
      <c r="F5" s="59">
        <v>0.05</v>
      </c>
      <c r="G5" s="59">
        <v>0.05</v>
      </c>
      <c r="H5" s="59">
        <v>0.05</v>
      </c>
      <c r="I5" s="59">
        <v>0.05</v>
      </c>
      <c r="J5" s="59">
        <v>0.05</v>
      </c>
      <c r="K5" s="59">
        <v>0.05</v>
      </c>
      <c r="L5" s="59">
        <v>0.05</v>
      </c>
      <c r="M5" s="59">
        <v>0.05</v>
      </c>
      <c r="N5" s="59">
        <v>0.05</v>
      </c>
      <c r="O5" s="59">
        <v>0.05</v>
      </c>
      <c r="P5" s="59">
        <v>0.05</v>
      </c>
      <c r="Q5" s="59">
        <v>0.05</v>
      </c>
      <c r="R5" s="59">
        <v>0.05</v>
      </c>
      <c r="S5" s="59">
        <v>0.05</v>
      </c>
      <c r="T5" s="59">
        <v>0.05</v>
      </c>
      <c r="U5" s="59">
        <v>0.05</v>
      </c>
      <c r="V5" s="59">
        <v>0.05</v>
      </c>
      <c r="W5" s="59">
        <v>0.05</v>
      </c>
      <c r="X5" s="59">
        <v>0.05</v>
      </c>
      <c r="Y5" s="59">
        <v>0.05</v>
      </c>
      <c r="Z5" s="59">
        <v>0.05</v>
      </c>
      <c r="AA5" s="59">
        <v>0.05</v>
      </c>
      <c r="AB5" s="59">
        <v>0.05</v>
      </c>
      <c r="AC5" s="59">
        <v>0.05</v>
      </c>
      <c r="AD5" s="59">
        <v>0.05</v>
      </c>
      <c r="AE5" s="59">
        <v>0.05</v>
      </c>
      <c r="AF5" s="59">
        <v>0.05</v>
      </c>
      <c r="AG5" s="59">
        <v>0.05</v>
      </c>
      <c r="AH5" s="59">
        <v>0.05</v>
      </c>
      <c r="AI5" s="59">
        <v>0.05</v>
      </c>
      <c r="AJ5" s="59">
        <v>0.05</v>
      </c>
      <c r="AK5" s="59">
        <v>0.05</v>
      </c>
      <c r="AL5" s="59">
        <v>0.05</v>
      </c>
      <c r="AM5" s="59">
        <v>0.05</v>
      </c>
      <c r="AN5" s="59">
        <v>0.05</v>
      </c>
      <c r="AO5" s="59">
        <v>0.05</v>
      </c>
      <c r="AP5" s="59">
        <v>0.05</v>
      </c>
      <c r="AQ5" s="59">
        <v>0.05</v>
      </c>
      <c r="AR5" s="59">
        <v>0.05</v>
      </c>
      <c r="AS5" s="59">
        <v>0.05</v>
      </c>
      <c r="AT5" s="59">
        <v>0.05</v>
      </c>
      <c r="AU5" s="59">
        <v>0.05</v>
      </c>
      <c r="AV5" s="59">
        <v>0.05</v>
      </c>
      <c r="AW5" s="59">
        <v>0.05</v>
      </c>
      <c r="AX5" s="59">
        <v>0.05</v>
      </c>
      <c r="AY5" s="59">
        <v>0.05</v>
      </c>
      <c r="AZ5" s="59">
        <v>0.05</v>
      </c>
      <c r="BA5" s="59">
        <v>0.05</v>
      </c>
      <c r="BB5" s="59">
        <v>0.05</v>
      </c>
      <c r="BC5" s="59">
        <v>0.05</v>
      </c>
      <c r="BD5" s="59">
        <v>0.05</v>
      </c>
      <c r="BE5" s="59">
        <v>0.05</v>
      </c>
      <c r="BF5" s="59">
        <v>0.05</v>
      </c>
      <c r="BG5" s="59">
        <v>0.05</v>
      </c>
      <c r="BH5" s="59">
        <v>0.05</v>
      </c>
      <c r="BI5" s="59">
        <v>0.05</v>
      </c>
      <c r="BJ5" s="59">
        <v>0.05</v>
      </c>
      <c r="BK5" s="59">
        <v>0.05</v>
      </c>
      <c r="BL5" s="59">
        <v>0.05</v>
      </c>
      <c r="BM5" s="59">
        <v>0.05</v>
      </c>
      <c r="BN5" s="59">
        <v>0.05</v>
      </c>
      <c r="BO5" s="59">
        <v>0.05</v>
      </c>
      <c r="BP5" s="59">
        <v>0.05</v>
      </c>
      <c r="BQ5" s="59">
        <v>0.05</v>
      </c>
      <c r="BR5" s="59">
        <v>0.05</v>
      </c>
      <c r="BS5" s="59">
        <v>0.05</v>
      </c>
      <c r="BT5" s="59">
        <v>0.05</v>
      </c>
      <c r="BU5" s="59">
        <v>0.05</v>
      </c>
      <c r="BV5" s="59">
        <v>0.05</v>
      </c>
      <c r="BW5" s="59">
        <v>0.05</v>
      </c>
      <c r="BX5" s="59">
        <v>0.05</v>
      </c>
      <c r="BY5" s="59">
        <v>0.05</v>
      </c>
      <c r="BZ5" s="59">
        <v>0.05</v>
      </c>
      <c r="CA5" s="59">
        <v>0.05</v>
      </c>
      <c r="CB5" s="59">
        <v>0.05</v>
      </c>
      <c r="CC5" s="59">
        <v>0.05</v>
      </c>
      <c r="CD5" s="59">
        <v>0.05</v>
      </c>
      <c r="CE5" s="59">
        <v>0.05</v>
      </c>
      <c r="CF5" s="59">
        <v>0.05</v>
      </c>
      <c r="CG5" s="59">
        <v>0.05</v>
      </c>
      <c r="CH5" s="59">
        <v>0.05</v>
      </c>
      <c r="CI5" s="59">
        <v>0.05</v>
      </c>
      <c r="CJ5" s="59">
        <v>0.05</v>
      </c>
      <c r="CK5" s="59">
        <v>0.05</v>
      </c>
      <c r="CL5" s="59">
        <v>0.05</v>
      </c>
      <c r="CM5" s="59">
        <v>0.05</v>
      </c>
      <c r="CN5" s="59">
        <v>0.05</v>
      </c>
      <c r="CO5" s="59">
        <v>0.05</v>
      </c>
      <c r="CP5" s="59">
        <v>0.05</v>
      </c>
      <c r="CQ5" s="59">
        <v>0.05</v>
      </c>
      <c r="CR5" s="59">
        <v>0.05</v>
      </c>
      <c r="CS5" s="59">
        <v>0.05</v>
      </c>
      <c r="CT5" s="59">
        <v>0.05</v>
      </c>
      <c r="CU5" s="59">
        <v>0.05</v>
      </c>
      <c r="CV5" s="59">
        <v>0.05</v>
      </c>
      <c r="CW5" s="59">
        <v>0.05</v>
      </c>
      <c r="CX5" s="59">
        <v>0.05</v>
      </c>
      <c r="CY5" s="59">
        <v>0.05</v>
      </c>
      <c r="CZ5" s="59">
        <v>0.05</v>
      </c>
      <c r="DA5" s="59">
        <v>0.05</v>
      </c>
      <c r="DB5" s="59">
        <v>0.05</v>
      </c>
      <c r="DC5" s="59">
        <v>0.05</v>
      </c>
      <c r="DD5" s="59">
        <v>0.05</v>
      </c>
      <c r="DE5" s="59">
        <v>0.05</v>
      </c>
      <c r="DF5" s="59">
        <v>0.05</v>
      </c>
      <c r="DG5" s="59">
        <v>0.05</v>
      </c>
      <c r="DH5" s="59">
        <v>0.05</v>
      </c>
      <c r="DI5" s="59">
        <v>0.05</v>
      </c>
      <c r="DJ5" s="59">
        <v>0.05</v>
      </c>
      <c r="DK5" s="59">
        <v>0.05</v>
      </c>
      <c r="DL5" s="59">
        <v>0.05</v>
      </c>
      <c r="DM5" s="59">
        <v>0.05</v>
      </c>
      <c r="DN5" s="59">
        <v>0.05</v>
      </c>
      <c r="DO5" s="59">
        <v>0.05</v>
      </c>
      <c r="DP5" s="59">
        <v>0.05</v>
      </c>
      <c r="DQ5" s="59">
        <v>0.05</v>
      </c>
      <c r="DR5" s="59">
        <v>0.05</v>
      </c>
      <c r="DS5" s="59">
        <v>0.05</v>
      </c>
      <c r="DT5" s="59">
        <v>0.05</v>
      </c>
      <c r="DU5" s="59">
        <v>0.05</v>
      </c>
      <c r="DV5" s="59">
        <v>0.05</v>
      </c>
      <c r="DW5" s="59">
        <v>0.05</v>
      </c>
      <c r="DX5" s="59">
        <v>0.05</v>
      </c>
      <c r="DY5" s="59">
        <v>0.05</v>
      </c>
      <c r="DZ5" s="59">
        <v>0.05</v>
      </c>
      <c r="EA5" s="59">
        <v>0.05</v>
      </c>
      <c r="EB5" s="59">
        <v>0.05</v>
      </c>
      <c r="EC5" s="59">
        <v>0.05</v>
      </c>
      <c r="ED5" s="59">
        <v>0.05</v>
      </c>
      <c r="EE5" s="59">
        <v>0.05</v>
      </c>
      <c r="EF5" s="59">
        <v>0.05</v>
      </c>
      <c r="EG5" s="59">
        <v>0.05</v>
      </c>
      <c r="EH5" s="59">
        <v>0.05</v>
      </c>
      <c r="EI5" s="59">
        <v>0.05</v>
      </c>
      <c r="EJ5" s="59">
        <v>0.05</v>
      </c>
      <c r="EK5" s="59">
        <v>0.05</v>
      </c>
      <c r="EL5" s="59">
        <v>0.05</v>
      </c>
      <c r="EM5" s="59">
        <v>0.05</v>
      </c>
      <c r="EN5" s="59">
        <v>0.05</v>
      </c>
      <c r="EO5" s="59">
        <v>0.05</v>
      </c>
      <c r="EP5" s="59">
        <v>0.05</v>
      </c>
      <c r="EQ5" s="59">
        <v>0.05</v>
      </c>
      <c r="ER5" s="59">
        <v>0.05</v>
      </c>
      <c r="ES5" s="59">
        <v>0.05</v>
      </c>
      <c r="ET5" s="59">
        <v>0.05</v>
      </c>
      <c r="EU5" s="59">
        <v>0.05</v>
      </c>
      <c r="EV5" s="59">
        <v>0.05</v>
      </c>
      <c r="EW5" s="59">
        <v>0.05</v>
      </c>
      <c r="EX5" s="59">
        <v>0.05</v>
      </c>
      <c r="EY5" s="59">
        <v>0.05</v>
      </c>
      <c r="EZ5" s="59">
        <v>0.05</v>
      </c>
      <c r="FA5" s="59">
        <v>0.05</v>
      </c>
      <c r="FB5" s="59">
        <v>0.05</v>
      </c>
      <c r="FC5" s="59">
        <v>0.05</v>
      </c>
      <c r="FD5" s="59">
        <v>0.05</v>
      </c>
      <c r="FE5" s="59">
        <v>0.05</v>
      </c>
      <c r="FF5" s="59">
        <v>0.05</v>
      </c>
      <c r="FG5" s="59">
        <v>0.05</v>
      </c>
      <c r="FH5" s="59">
        <v>0.05</v>
      </c>
      <c r="FI5" s="59">
        <v>0.05</v>
      </c>
      <c r="FJ5" s="59">
        <v>0.05</v>
      </c>
      <c r="FK5" s="59">
        <v>0.05</v>
      </c>
      <c r="FL5" s="59">
        <v>0.05</v>
      </c>
      <c r="FM5" s="59">
        <v>0.05</v>
      </c>
      <c r="FN5" s="59">
        <v>0.05</v>
      </c>
      <c r="FO5" s="59">
        <v>0.05</v>
      </c>
      <c r="FP5" s="59">
        <v>0.05</v>
      </c>
      <c r="FQ5" s="59">
        <v>0.05</v>
      </c>
      <c r="FR5" s="59">
        <v>0.05</v>
      </c>
      <c r="FS5" s="59">
        <v>0.05</v>
      </c>
      <c r="FT5" s="59">
        <v>0.05</v>
      </c>
      <c r="FU5" s="59">
        <v>0.05</v>
      </c>
      <c r="FV5" s="59">
        <v>0.05</v>
      </c>
      <c r="FW5" s="59">
        <v>0.05</v>
      </c>
      <c r="FX5" s="59">
        <v>0.05</v>
      </c>
      <c r="FY5" s="59">
        <v>0.05</v>
      </c>
      <c r="FZ5" s="59">
        <v>0.05</v>
      </c>
      <c r="GA5" s="59">
        <v>0.05</v>
      </c>
      <c r="GB5" s="59">
        <v>0.05</v>
      </c>
      <c r="GC5" s="59">
        <v>0.05</v>
      </c>
      <c r="GD5" s="59">
        <v>0.05</v>
      </c>
      <c r="GE5" s="59">
        <v>0.05</v>
      </c>
      <c r="GF5" s="59">
        <v>0.05</v>
      </c>
      <c r="GG5" s="59">
        <v>0.05</v>
      </c>
      <c r="GH5" s="59">
        <v>0.05</v>
      </c>
      <c r="GI5" s="59">
        <v>0.05</v>
      </c>
      <c r="GJ5" s="59">
        <v>0.05</v>
      </c>
      <c r="GK5" s="59">
        <v>0.05</v>
      </c>
      <c r="GL5" s="59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"/>
  <sheetViews>
    <sheetView workbookViewId="0"/>
  </sheetViews>
  <sheetFormatPr defaultRowHeight="15"/>
  <sheetData>
    <row r="1" spans="1:31" ht="18.75">
      <c r="A1" s="40" t="s">
        <v>9</v>
      </c>
      <c r="B1" s="12" t="s">
        <v>646</v>
      </c>
      <c r="C1" s="12" t="s">
        <v>647</v>
      </c>
      <c r="D1" s="12" t="s">
        <v>648</v>
      </c>
      <c r="E1" s="12" t="s">
        <v>649</v>
      </c>
      <c r="F1" s="12" t="s">
        <v>650</v>
      </c>
      <c r="G1" s="12" t="s">
        <v>651</v>
      </c>
      <c r="H1" s="12" t="s">
        <v>652</v>
      </c>
      <c r="I1" s="12" t="s">
        <v>653</v>
      </c>
      <c r="J1" s="12" t="s">
        <v>654</v>
      </c>
      <c r="K1" s="12" t="s">
        <v>655</v>
      </c>
      <c r="L1" s="12" t="s">
        <v>656</v>
      </c>
      <c r="M1" s="12" t="s">
        <v>657</v>
      </c>
      <c r="N1" s="12" t="s">
        <v>658</v>
      </c>
      <c r="O1" s="12" t="s">
        <v>659</v>
      </c>
      <c r="P1" s="12" t="s">
        <v>660</v>
      </c>
      <c r="Q1" s="12" t="s">
        <v>661</v>
      </c>
      <c r="R1" s="12" t="s">
        <v>662</v>
      </c>
      <c r="S1" s="12" t="s">
        <v>663</v>
      </c>
      <c r="T1" s="12" t="s">
        <v>664</v>
      </c>
      <c r="U1" s="12" t="s">
        <v>665</v>
      </c>
      <c r="V1" s="12" t="s">
        <v>666</v>
      </c>
      <c r="W1" s="12" t="s">
        <v>667</v>
      </c>
      <c r="X1" s="12" t="s">
        <v>668</v>
      </c>
      <c r="Y1" s="12" t="s">
        <v>669</v>
      </c>
      <c r="Z1" s="12" t="s">
        <v>670</v>
      </c>
      <c r="AA1" s="12" t="s">
        <v>671</v>
      </c>
      <c r="AB1" s="12" t="s">
        <v>672</v>
      </c>
      <c r="AC1" s="12" t="s">
        <v>673</v>
      </c>
      <c r="AD1" s="12" t="s">
        <v>756</v>
      </c>
      <c r="AE1" s="13" t="s">
        <v>757</v>
      </c>
    </row>
    <row r="2" spans="1:31" ht="15.75">
      <c r="A2" s="9" t="s">
        <v>21</v>
      </c>
      <c r="B2" t="s">
        <v>758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2">
        <v>10528.318584070797</v>
      </c>
      <c r="X2" s="42">
        <v>8539.8230088495584</v>
      </c>
      <c r="Y2" s="42">
        <v>8469.0265486725675</v>
      </c>
      <c r="Z2" s="42">
        <v>10347.787610619471</v>
      </c>
      <c r="AA2" s="42">
        <v>9959.2920353982317</v>
      </c>
      <c r="AB2" s="42">
        <v>7807.9646017699124</v>
      </c>
      <c r="AC2" s="42">
        <v>8835.3982300884963</v>
      </c>
      <c r="AD2" s="42">
        <v>7469.9115044247792</v>
      </c>
      <c r="AE2" s="60">
        <v>8008.849557522125</v>
      </c>
    </row>
    <row r="3" spans="1:31" ht="15.75">
      <c r="A3" s="9" t="s">
        <v>30</v>
      </c>
      <c r="B3" t="s">
        <v>758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2">
        <v>10643.362831858409</v>
      </c>
      <c r="X3" s="42">
        <v>8654.8672566371697</v>
      </c>
      <c r="Y3" s="42">
        <v>8584.070796460177</v>
      </c>
      <c r="Z3" s="42">
        <v>10462.83185840708</v>
      </c>
      <c r="AA3" s="42">
        <v>10074.336283185841</v>
      </c>
      <c r="AB3" s="42">
        <v>7923.0088495575228</v>
      </c>
      <c r="AC3" s="42">
        <v>8950.4424778761077</v>
      </c>
      <c r="AD3" s="42">
        <v>7584.9557522123905</v>
      </c>
      <c r="AE3" s="60">
        <v>8318.5840707964617</v>
      </c>
    </row>
    <row r="4" spans="1:31" ht="15.75">
      <c r="A4" s="9" t="s">
        <v>36</v>
      </c>
      <c r="B4" t="s">
        <v>758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2">
        <v>10528.318584070797</v>
      </c>
      <c r="X4" s="42">
        <v>8539.8230088495584</v>
      </c>
      <c r="Y4" s="42">
        <v>8469.0265486725675</v>
      </c>
      <c r="Z4" s="42">
        <v>10347.787610619471</v>
      </c>
      <c r="AA4" s="42">
        <v>9959.2920353982317</v>
      </c>
      <c r="AB4" s="42">
        <v>7807.9646017699124</v>
      </c>
      <c r="AC4" s="42">
        <v>8835.3982300884963</v>
      </c>
      <c r="AD4" s="42">
        <v>7469.9115044247792</v>
      </c>
      <c r="AE4" s="60">
        <f>AD4*1.07</f>
        <v>7992.8053097345146</v>
      </c>
    </row>
    <row r="5" spans="1:31" ht="15.75">
      <c r="A5" s="9" t="s">
        <v>43</v>
      </c>
      <c r="B5" t="s">
        <v>758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2">
        <v>10537.168141592922</v>
      </c>
      <c r="X5" s="42">
        <v>8548.6725663716825</v>
      </c>
      <c r="Y5" s="42">
        <v>8477.8761061946916</v>
      </c>
      <c r="Z5" s="42">
        <v>10356.637168141593</v>
      </c>
      <c r="AA5" s="42">
        <v>9968.141592920354</v>
      </c>
      <c r="AB5" s="42">
        <v>7816.8141592920365</v>
      </c>
      <c r="AC5" s="42">
        <v>8844.2477876106204</v>
      </c>
      <c r="AD5" s="42">
        <v>7478.7610619469033</v>
      </c>
      <c r="AE5" s="60">
        <f t="shared" ref="AE5:AE6" si="0">AD5*1.07</f>
        <v>8002.274336283187</v>
      </c>
    </row>
    <row r="6" spans="1:31" ht="15.75">
      <c r="A6" s="9" t="s">
        <v>48</v>
      </c>
      <c r="B6" t="s">
        <v>758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2">
        <v>10599.115044247788</v>
      </c>
      <c r="X6" s="42">
        <v>8610.6194690265493</v>
      </c>
      <c r="Y6" s="42">
        <v>8539.8230088495584</v>
      </c>
      <c r="Z6" s="42">
        <v>10418.584070796462</v>
      </c>
      <c r="AA6" s="42">
        <v>10030.088495575223</v>
      </c>
      <c r="AB6" s="42">
        <v>7878.7610619469033</v>
      </c>
      <c r="AC6" s="42">
        <v>8906.1946902654872</v>
      </c>
      <c r="AD6" s="42">
        <v>7540.707964601771</v>
      </c>
      <c r="AE6" s="60">
        <f t="shared" si="0"/>
        <v>8068.5575221238951</v>
      </c>
    </row>
    <row r="7" spans="1:31" ht="15.75">
      <c r="A7" s="9" t="s">
        <v>51</v>
      </c>
      <c r="B7" t="s">
        <v>758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2">
        <v>10523.893805309735</v>
      </c>
      <c r="X7" s="42">
        <v>8535.3982300884963</v>
      </c>
      <c r="Y7" s="42">
        <v>8464.6017699115055</v>
      </c>
      <c r="Z7" s="42">
        <v>10343.362831858409</v>
      </c>
      <c r="AA7" s="42">
        <v>9954.8672566371697</v>
      </c>
      <c r="AB7" s="42">
        <v>7803.5398230088504</v>
      </c>
      <c r="AC7" s="42">
        <v>8830.9734513274343</v>
      </c>
      <c r="AD7" s="42">
        <v>7465.4867256637172</v>
      </c>
      <c r="AE7" s="60">
        <v>8274.3362831858412</v>
      </c>
    </row>
    <row r="8" spans="1:31" ht="15.75">
      <c r="A8" s="9" t="s">
        <v>55</v>
      </c>
      <c r="B8" t="s">
        <v>758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2">
        <v>10546.017699115046</v>
      </c>
      <c r="X8" s="42">
        <v>8557.5221238938066</v>
      </c>
      <c r="Y8" s="42">
        <v>8486.7256637168157</v>
      </c>
      <c r="Z8" s="42">
        <v>10365.486725663717</v>
      </c>
      <c r="AA8" s="42">
        <v>9976.9911504424781</v>
      </c>
      <c r="AB8" s="42">
        <v>7825.6637168141597</v>
      </c>
      <c r="AC8" s="42">
        <v>8853.0973451327445</v>
      </c>
      <c r="AD8" s="42">
        <v>7487.6106194690274</v>
      </c>
      <c r="AE8" s="60">
        <f>AD8*1.07</f>
        <v>8011.7433628318595</v>
      </c>
    </row>
    <row r="9" spans="1:31" ht="15.75">
      <c r="A9" s="9" t="s">
        <v>62</v>
      </c>
      <c r="B9" t="s">
        <v>758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2">
        <v>10652.212389380533</v>
      </c>
      <c r="X9" s="42">
        <v>8663.716814159292</v>
      </c>
      <c r="Y9" s="42">
        <v>8592.9203539823011</v>
      </c>
      <c r="Z9" s="42">
        <v>10471.681415929204</v>
      </c>
      <c r="AA9" s="42">
        <v>10083.185840707965</v>
      </c>
      <c r="AB9" s="42">
        <v>7931.8584070796469</v>
      </c>
      <c r="AC9" s="42">
        <v>8959.2920353982317</v>
      </c>
      <c r="AD9" s="42">
        <v>7593.8053097345137</v>
      </c>
      <c r="AE9" s="60">
        <f t="shared" ref="AE9:AE10" si="1">AD9*1.07</f>
        <v>8125.3716814159297</v>
      </c>
    </row>
    <row r="10" spans="1:31" ht="15.75">
      <c r="A10" s="9" t="s">
        <v>81</v>
      </c>
      <c r="B10" t="s">
        <v>758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2">
        <v>10528.318584070797</v>
      </c>
      <c r="X10" s="42">
        <v>8539.8230088495584</v>
      </c>
      <c r="Y10" s="42">
        <v>8469.0265486725675</v>
      </c>
      <c r="Z10" s="42">
        <v>10347.787610619471</v>
      </c>
      <c r="AA10" s="42">
        <v>9959.2920353982317</v>
      </c>
      <c r="AB10" s="42">
        <v>7807.9646017699124</v>
      </c>
      <c r="AC10" s="42">
        <v>8835.3982300884963</v>
      </c>
      <c r="AD10" s="42">
        <v>7469.9115044247792</v>
      </c>
      <c r="AE10" s="60">
        <f t="shared" si="1"/>
        <v>7992.8053097345146</v>
      </c>
    </row>
    <row r="11" spans="1:31" ht="15.75">
      <c r="A11" s="9" t="s">
        <v>92</v>
      </c>
      <c r="B11" t="s">
        <v>758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2">
        <v>10510.619469026549</v>
      </c>
      <c r="X11" s="42">
        <v>8522.1238938053102</v>
      </c>
      <c r="Y11" s="42">
        <v>8451.3274336283193</v>
      </c>
      <c r="Z11" s="42">
        <v>10330.088495575223</v>
      </c>
      <c r="AA11" s="42">
        <v>9941.5929203539836</v>
      </c>
      <c r="AB11" s="42">
        <v>7790.2654867256642</v>
      </c>
      <c r="AC11" s="42">
        <v>8817.6991150442482</v>
      </c>
      <c r="AD11" s="42">
        <v>7452.2123893805319</v>
      </c>
      <c r="AE11" s="60">
        <f>AD11*1.07</f>
        <v>7973.8672566371697</v>
      </c>
    </row>
    <row r="12" spans="1:31" ht="15.75">
      <c r="A12" s="9" t="s">
        <v>109</v>
      </c>
      <c r="B12" t="s">
        <v>758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2">
        <v>10537.168141592922</v>
      </c>
      <c r="X12" s="42">
        <v>8548.6725663716825</v>
      </c>
      <c r="Y12" s="42">
        <v>8477.8761061946916</v>
      </c>
      <c r="Z12" s="42">
        <v>10356.637168141593</v>
      </c>
      <c r="AA12" s="42">
        <v>9968.141592920354</v>
      </c>
      <c r="AB12" s="42">
        <v>7816.8141592920365</v>
      </c>
      <c r="AC12" s="42">
        <v>8844.2477876106204</v>
      </c>
      <c r="AD12" s="42">
        <v>7478.7610619469033</v>
      </c>
      <c r="AE12" s="60">
        <v>8407.0796460177007</v>
      </c>
    </row>
    <row r="13" spans="1:31" ht="15.75">
      <c r="A13" s="9" t="s">
        <v>116</v>
      </c>
      <c r="B13" t="s">
        <v>758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2">
        <v>10546.017699115046</v>
      </c>
      <c r="X13" s="42">
        <v>8557.5221238938066</v>
      </c>
      <c r="Y13" s="42">
        <v>8486.7256637168157</v>
      </c>
      <c r="Z13" s="42">
        <v>10365.486725663717</v>
      </c>
      <c r="AA13" s="42">
        <v>9976.9911504424781</v>
      </c>
      <c r="AB13" s="42">
        <v>7825.6637168141597</v>
      </c>
      <c r="AC13" s="42">
        <v>8853.0973451327445</v>
      </c>
      <c r="AD13" s="42">
        <v>7487.6106194690274</v>
      </c>
      <c r="AE13" s="60">
        <f t="shared" ref="AE13:AE15" si="2">AD13*1.07</f>
        <v>8011.7433628318595</v>
      </c>
    </row>
    <row r="14" spans="1:31" ht="15.75">
      <c r="A14" s="9" t="s">
        <v>136</v>
      </c>
      <c r="B14" t="s">
        <v>758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2">
        <v>10532.743362831859</v>
      </c>
      <c r="X14" s="42">
        <v>8544.2477876106204</v>
      </c>
      <c r="Y14" s="42">
        <v>8473.4513274336296</v>
      </c>
      <c r="Z14" s="42">
        <v>10352.212389380533</v>
      </c>
      <c r="AA14" s="42">
        <v>9963.7168141592938</v>
      </c>
      <c r="AB14" s="42">
        <v>7812.3893805309744</v>
      </c>
      <c r="AC14" s="42">
        <v>8839.8230088495584</v>
      </c>
      <c r="AD14" s="42">
        <v>7474.3362831858412</v>
      </c>
      <c r="AE14" s="60">
        <f t="shared" si="2"/>
        <v>7997.5398230088504</v>
      </c>
    </row>
    <row r="15" spans="1:31" ht="15.75">
      <c r="A15" s="9" t="s">
        <v>147</v>
      </c>
      <c r="B15" t="s">
        <v>758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2">
        <v>10541.592920353984</v>
      </c>
      <c r="X15" s="42">
        <v>8553.0973451327445</v>
      </c>
      <c r="Y15" s="42">
        <v>8482.3008849557536</v>
      </c>
      <c r="Z15" s="42">
        <v>10361.061946902655</v>
      </c>
      <c r="AA15" s="42">
        <v>9972.5663716814161</v>
      </c>
      <c r="AB15" s="42">
        <v>7821.2389380530985</v>
      </c>
      <c r="AC15" s="42">
        <v>8848.6725663716825</v>
      </c>
      <c r="AD15" s="42">
        <v>7483.1858407079653</v>
      </c>
      <c r="AE15" s="60">
        <f t="shared" si="2"/>
        <v>8007.0088495575237</v>
      </c>
    </row>
    <row r="16" spans="1:31" ht="15.75">
      <c r="A16" s="9" t="s">
        <v>191</v>
      </c>
      <c r="B16" t="s">
        <v>758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2">
        <v>10519.469026548673</v>
      </c>
      <c r="X16" s="42">
        <v>8530.9734513274343</v>
      </c>
      <c r="Y16" s="42">
        <v>8460.1769911504434</v>
      </c>
      <c r="Z16" s="42">
        <v>10338.938053097347</v>
      </c>
      <c r="AA16" s="42">
        <v>9950.4424778761077</v>
      </c>
      <c r="AB16" s="42">
        <v>7799.1150442477883</v>
      </c>
      <c r="AC16" s="42">
        <v>8826.5486725663723</v>
      </c>
      <c r="AD16" s="42">
        <v>7461.061946902656</v>
      </c>
      <c r="AE16" s="60">
        <v>8008.8495599999997</v>
      </c>
    </row>
    <row r="17" spans="1:31" ht="15.75">
      <c r="A17" s="9" t="s">
        <v>208</v>
      </c>
      <c r="B17" t="s">
        <v>758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2">
        <v>10510.619469026549</v>
      </c>
      <c r="X17" s="42">
        <v>8522.1238938053102</v>
      </c>
      <c r="Y17" s="42">
        <v>8451.3274336283193</v>
      </c>
      <c r="Z17" s="42">
        <v>10330.088495575223</v>
      </c>
      <c r="AA17" s="42">
        <v>9941.5929203539836</v>
      </c>
      <c r="AB17" s="42">
        <v>7790.2654867256642</v>
      </c>
      <c r="AC17" s="42">
        <v>8817.6991150442482</v>
      </c>
      <c r="AD17" s="42">
        <v>7452.2123893805319</v>
      </c>
      <c r="AE17" s="60">
        <f t="shared" ref="AE17:AE20" si="3">AD17*1.07</f>
        <v>7973.8672566371697</v>
      </c>
    </row>
    <row r="18" spans="1:31" ht="15.75">
      <c r="A18" s="9" t="s">
        <v>238</v>
      </c>
      <c r="B18" t="s">
        <v>758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2">
        <v>10634.513274336285</v>
      </c>
      <c r="X18" s="42">
        <v>8646.0176991150456</v>
      </c>
      <c r="Y18" s="42">
        <v>8575.2212389380547</v>
      </c>
      <c r="Z18" s="42">
        <v>10453.982300884956</v>
      </c>
      <c r="AA18" s="42">
        <v>10065.486725663717</v>
      </c>
      <c r="AB18" s="42">
        <v>7914.1592920353987</v>
      </c>
      <c r="AC18" s="42">
        <v>8941.5929203539836</v>
      </c>
      <c r="AD18" s="42">
        <v>7576.1061946902664</v>
      </c>
      <c r="AE18" s="60">
        <f t="shared" si="3"/>
        <v>8106.4336283185858</v>
      </c>
    </row>
    <row r="19" spans="1:31" ht="15.75">
      <c r="A19" s="9" t="s">
        <v>246</v>
      </c>
      <c r="B19" t="s">
        <v>758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2">
        <v>10550.442477876108</v>
      </c>
      <c r="X19" s="42">
        <v>8561.9469026548686</v>
      </c>
      <c r="Y19" s="42">
        <v>8491.1504424778777</v>
      </c>
      <c r="Z19" s="42">
        <v>10369.911504424779</v>
      </c>
      <c r="AA19" s="42">
        <v>9981.4159292035401</v>
      </c>
      <c r="AB19" s="42">
        <v>7830.0884955752217</v>
      </c>
      <c r="AC19" s="42">
        <v>8857.5221238938066</v>
      </c>
      <c r="AD19" s="42">
        <v>7492.0353982300894</v>
      </c>
      <c r="AE19" s="60">
        <f t="shared" si="3"/>
        <v>8016.4778761061962</v>
      </c>
    </row>
    <row r="20" spans="1:31" ht="15.75">
      <c r="A20" s="9" t="s">
        <v>380</v>
      </c>
      <c r="B20" t="s">
        <v>758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2">
        <v>10581.41592920354</v>
      </c>
      <c r="X20" s="42">
        <v>8592.9203539823011</v>
      </c>
      <c r="Y20" s="42">
        <v>8522.1238938053102</v>
      </c>
      <c r="Z20" s="42">
        <v>10400.884955752214</v>
      </c>
      <c r="AA20" s="42">
        <v>10012.389380530974</v>
      </c>
      <c r="AB20" s="42">
        <v>7861.061946902656</v>
      </c>
      <c r="AC20" s="42">
        <v>8888.4955752212391</v>
      </c>
      <c r="AD20" s="42">
        <v>7523.0088495575228</v>
      </c>
      <c r="AE20" s="60">
        <f t="shared" si="3"/>
        <v>8049.6194690265502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"/>
  <sheetViews>
    <sheetView workbookViewId="0">
      <selection activeCell="C9" sqref="C9"/>
    </sheetView>
  </sheetViews>
  <sheetFormatPr defaultColWidth="12.7109375" defaultRowHeight="15"/>
  <cols>
    <col min="1" max="16384" width="12.7109375" style="61"/>
  </cols>
  <sheetData>
    <row r="1" spans="1:38" ht="18.75">
      <c r="A1" s="40" t="s">
        <v>9</v>
      </c>
      <c r="B1" s="62" t="s">
        <v>646</v>
      </c>
      <c r="C1" s="62" t="s">
        <v>647</v>
      </c>
      <c r="D1" s="62" t="s">
        <v>648</v>
      </c>
      <c r="E1" s="62" t="s">
        <v>649</v>
      </c>
      <c r="F1" s="62" t="s">
        <v>650</v>
      </c>
      <c r="G1" s="62" t="s">
        <v>651</v>
      </c>
      <c r="H1" s="62" t="s">
        <v>652</v>
      </c>
      <c r="I1" s="62" t="s">
        <v>653</v>
      </c>
      <c r="J1" s="62" t="s">
        <v>654</v>
      </c>
      <c r="K1" s="62" t="s">
        <v>655</v>
      </c>
      <c r="L1" s="62" t="s">
        <v>656</v>
      </c>
      <c r="M1" s="62" t="s">
        <v>657</v>
      </c>
      <c r="N1" s="62" t="s">
        <v>658</v>
      </c>
      <c r="O1" s="62" t="s">
        <v>659</v>
      </c>
      <c r="P1" s="62" t="s">
        <v>660</v>
      </c>
      <c r="Q1" s="62" t="s">
        <v>661</v>
      </c>
      <c r="R1" s="62" t="s">
        <v>662</v>
      </c>
      <c r="S1" s="62" t="s">
        <v>663</v>
      </c>
      <c r="T1" s="62" t="s">
        <v>664</v>
      </c>
      <c r="U1" s="62" t="s">
        <v>665</v>
      </c>
      <c r="V1" s="62" t="s">
        <v>666</v>
      </c>
      <c r="W1" s="62" t="s">
        <v>667</v>
      </c>
      <c r="X1" s="62" t="s">
        <v>668</v>
      </c>
      <c r="Y1" s="62" t="s">
        <v>669</v>
      </c>
      <c r="Z1" s="62" t="s">
        <v>670</v>
      </c>
      <c r="AA1" s="62" t="s">
        <v>671</v>
      </c>
      <c r="AB1" s="62" t="s">
        <v>672</v>
      </c>
      <c r="AC1" s="62" t="s">
        <v>673</v>
      </c>
      <c r="AD1" s="62" t="s">
        <v>674</v>
      </c>
      <c r="AE1" s="13" t="s">
        <v>757</v>
      </c>
    </row>
    <row r="2" spans="1:38" ht="15.75">
      <c r="A2" s="9" t="s">
        <v>21</v>
      </c>
      <c r="B2" s="61" t="s">
        <v>758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4"/>
      <c r="X2" s="64"/>
      <c r="Y2" s="64"/>
      <c r="Z2" s="64"/>
      <c r="AA2" s="65">
        <v>3047.1976401179945</v>
      </c>
      <c r="AB2" s="65">
        <v>2898.2300884955753</v>
      </c>
      <c r="AC2" s="65">
        <v>2820.0589970501474</v>
      </c>
      <c r="AD2" s="65">
        <v>2712.3893805309735</v>
      </c>
      <c r="AE2" s="66">
        <f>AD2*0.95</f>
        <v>2576.7699115044247</v>
      </c>
      <c r="AF2" s="67"/>
      <c r="AG2" s="67"/>
      <c r="AH2" s="67"/>
      <c r="AI2" s="67"/>
      <c r="AJ2" s="67"/>
    </row>
    <row r="3" spans="1:38" ht="15.75">
      <c r="A3" s="9" t="s">
        <v>30</v>
      </c>
      <c r="B3" s="61" t="s">
        <v>758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4"/>
      <c r="X3" s="64"/>
      <c r="Y3" s="64"/>
      <c r="Z3" s="64"/>
      <c r="AA3" s="64">
        <v>3115.0442477876109</v>
      </c>
      <c r="AB3" s="64">
        <v>3036.8731563421829</v>
      </c>
      <c r="AC3" s="64">
        <v>2949.8525073746314</v>
      </c>
      <c r="AD3" s="64">
        <v>2786.1356932153394</v>
      </c>
      <c r="AE3" s="64">
        <v>2636.4306784660766</v>
      </c>
      <c r="AF3" s="68"/>
      <c r="AG3" s="69"/>
      <c r="AH3" s="69"/>
      <c r="AI3" s="69"/>
      <c r="AJ3" s="69"/>
      <c r="AK3" s="70"/>
      <c r="AL3" s="71"/>
    </row>
    <row r="4" spans="1:38" ht="15.75">
      <c r="A4" s="9" t="s">
        <v>36</v>
      </c>
      <c r="B4" s="61" t="s">
        <v>758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4"/>
      <c r="X4" s="64"/>
      <c r="Y4" s="64"/>
      <c r="Z4" s="64"/>
      <c r="AA4" s="65">
        <v>3056.0471976401182</v>
      </c>
      <c r="AB4" s="65">
        <v>2907.0796460176994</v>
      </c>
      <c r="AC4" s="65">
        <v>2828.9085545722714</v>
      </c>
      <c r="AD4" s="65">
        <v>2721.2389380530976</v>
      </c>
      <c r="AE4" s="66">
        <f t="shared" ref="AE4:AE5" si="0">AD4*0.95</f>
        <v>2585.1769911504425</v>
      </c>
      <c r="AF4" s="67"/>
      <c r="AG4" s="67"/>
      <c r="AH4" s="67"/>
      <c r="AI4" s="67"/>
      <c r="AJ4" s="67"/>
      <c r="AL4" s="71"/>
    </row>
    <row r="5" spans="1:38" ht="15.75">
      <c r="A5" s="9" t="s">
        <v>43</v>
      </c>
      <c r="B5" s="61" t="s">
        <v>758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4"/>
      <c r="X5" s="64"/>
      <c r="Y5" s="64"/>
      <c r="Z5" s="64"/>
      <c r="AA5" s="65">
        <v>3038.3480825958704</v>
      </c>
      <c r="AB5" s="65">
        <v>2889.3805309734516</v>
      </c>
      <c r="AC5" s="65">
        <v>2811.2094395280237</v>
      </c>
      <c r="AD5" s="65">
        <v>2703.5398230088499</v>
      </c>
      <c r="AE5" s="66">
        <f t="shared" si="0"/>
        <v>2568.3628318584074</v>
      </c>
      <c r="AF5" s="67"/>
      <c r="AG5" s="67"/>
      <c r="AH5" s="67"/>
      <c r="AI5" s="67"/>
      <c r="AJ5" s="67"/>
      <c r="AL5" s="71"/>
    </row>
    <row r="6" spans="1:38" ht="15.75">
      <c r="A6" s="9" t="s">
        <v>48</v>
      </c>
      <c r="B6" s="61" t="s">
        <v>758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4"/>
      <c r="X6" s="64"/>
      <c r="Y6" s="64"/>
      <c r="Z6" s="64"/>
      <c r="AA6" s="64">
        <v>3135.6932153392331</v>
      </c>
      <c r="AB6" s="64">
        <v>3042.7728613569325</v>
      </c>
      <c r="AC6" s="64">
        <v>2923.30383480826</v>
      </c>
      <c r="AD6" s="64">
        <v>2786.1356932153394</v>
      </c>
      <c r="AE6" s="64">
        <v>2660.0294985250739</v>
      </c>
      <c r="AF6" s="68"/>
      <c r="AG6" s="69"/>
      <c r="AH6" s="69"/>
      <c r="AI6" s="69"/>
      <c r="AJ6" s="69"/>
      <c r="AK6" s="70"/>
      <c r="AL6" s="71"/>
    </row>
    <row r="7" spans="1:38" ht="15.75">
      <c r="A7" s="9" t="s">
        <v>51</v>
      </c>
      <c r="B7" s="61" t="s">
        <v>758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4"/>
      <c r="X7" s="64"/>
      <c r="Y7" s="64"/>
      <c r="Z7" s="64"/>
      <c r="AA7" s="64">
        <v>2914.4542772861359</v>
      </c>
      <c r="AB7" s="64">
        <v>2765.4867256637172</v>
      </c>
      <c r="AC7" s="64">
        <v>2687.3156342182892</v>
      </c>
      <c r="AD7" s="64">
        <v>2579.646017699115</v>
      </c>
      <c r="AE7" s="64">
        <v>2514.0117994100297</v>
      </c>
      <c r="AF7" s="68"/>
      <c r="AG7" s="69"/>
      <c r="AH7" s="69"/>
      <c r="AI7" s="69"/>
      <c r="AJ7" s="69"/>
      <c r="AK7" s="70"/>
      <c r="AL7" s="71"/>
    </row>
    <row r="8" spans="1:38" ht="15.75">
      <c r="A8" s="9" t="s">
        <v>55</v>
      </c>
      <c r="B8" s="61" t="s">
        <v>758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4"/>
      <c r="X8" s="64"/>
      <c r="Y8" s="64"/>
      <c r="Z8" s="64"/>
      <c r="AA8" s="65">
        <v>3002.949852507375</v>
      </c>
      <c r="AB8" s="65">
        <v>2853.9823008849557</v>
      </c>
      <c r="AC8" s="65">
        <v>2775.8112094395278</v>
      </c>
      <c r="AD8" s="65">
        <v>2668.141592920354</v>
      </c>
      <c r="AE8" s="66">
        <f t="shared" ref="AE8:AE11" si="1">AD8*0.95</f>
        <v>2534.7345132743362</v>
      </c>
      <c r="AF8" s="67"/>
      <c r="AG8" s="67"/>
      <c r="AH8" s="67"/>
      <c r="AI8" s="67"/>
      <c r="AJ8" s="67"/>
      <c r="AL8" s="71"/>
    </row>
    <row r="9" spans="1:38" ht="15.75">
      <c r="A9" s="9" t="s">
        <v>62</v>
      </c>
      <c r="B9" s="61" t="s">
        <v>758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4"/>
      <c r="X9" s="64"/>
      <c r="Y9" s="64"/>
      <c r="Z9" s="64"/>
      <c r="AA9" s="65">
        <v>3038.3480825958704</v>
      </c>
      <c r="AB9" s="65">
        <v>2889.3805309734516</v>
      </c>
      <c r="AC9" s="65">
        <v>2811.2094395280237</v>
      </c>
      <c r="AD9" s="65">
        <v>2703.5398230088499</v>
      </c>
      <c r="AE9" s="66">
        <f t="shared" si="1"/>
        <v>2568.3628318584074</v>
      </c>
      <c r="AF9" s="67"/>
      <c r="AG9" s="67"/>
      <c r="AH9" s="67"/>
      <c r="AI9" s="67"/>
      <c r="AJ9" s="67"/>
      <c r="AL9" s="71"/>
    </row>
    <row r="10" spans="1:38" ht="15.75">
      <c r="A10" s="9" t="s">
        <v>81</v>
      </c>
      <c r="B10" s="61" t="s">
        <v>758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4"/>
      <c r="X10" s="64"/>
      <c r="Y10" s="64"/>
      <c r="Z10" s="64"/>
      <c r="AA10" s="65">
        <v>2914.4542772861359</v>
      </c>
      <c r="AB10" s="65">
        <v>2765.4867256637172</v>
      </c>
      <c r="AC10" s="65">
        <v>2687.3156342182892</v>
      </c>
      <c r="AD10" s="65">
        <v>2579.646017699115</v>
      </c>
      <c r="AE10" s="66">
        <f t="shared" si="1"/>
        <v>2450.6637168141592</v>
      </c>
      <c r="AF10" s="67"/>
      <c r="AG10" s="67"/>
      <c r="AH10" s="67"/>
      <c r="AI10" s="67"/>
      <c r="AJ10" s="67"/>
      <c r="AL10" s="71"/>
    </row>
    <row r="11" spans="1:38" ht="15.75">
      <c r="A11" s="9" t="s">
        <v>92</v>
      </c>
      <c r="B11" s="61" t="s">
        <v>758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4"/>
      <c r="X11" s="64"/>
      <c r="Y11" s="64"/>
      <c r="Z11" s="64"/>
      <c r="AA11" s="65">
        <v>2949.8525073746314</v>
      </c>
      <c r="AB11" s="65">
        <v>2800.8849557522126</v>
      </c>
      <c r="AC11" s="65">
        <v>2722.7138643067847</v>
      </c>
      <c r="AD11" s="65">
        <v>2615.0442477876109</v>
      </c>
      <c r="AE11" s="66">
        <f t="shared" si="1"/>
        <v>2484.2920353982304</v>
      </c>
      <c r="AF11" s="67"/>
      <c r="AG11" s="67"/>
      <c r="AH11" s="67"/>
      <c r="AI11" s="67"/>
      <c r="AJ11" s="67"/>
      <c r="AL11" s="71"/>
    </row>
    <row r="12" spans="1:38" ht="15.75">
      <c r="A12" s="9" t="s">
        <v>109</v>
      </c>
      <c r="B12" s="61" t="s">
        <v>758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4"/>
      <c r="X12" s="64"/>
      <c r="Y12" s="64"/>
      <c r="Z12" s="64"/>
      <c r="AA12" s="64">
        <v>3262.5368731563422</v>
      </c>
      <c r="AB12" s="64">
        <v>3125.368731563422</v>
      </c>
      <c r="AC12" s="64">
        <v>3038.3480825958704</v>
      </c>
      <c r="AD12" s="64">
        <v>2904.1297935103244</v>
      </c>
      <c r="AE12" s="64">
        <v>2846.6076696165192</v>
      </c>
      <c r="AF12" s="68"/>
      <c r="AG12" s="69"/>
      <c r="AH12" s="69"/>
      <c r="AI12" s="69"/>
      <c r="AJ12" s="69"/>
      <c r="AK12" s="70"/>
      <c r="AL12" s="71"/>
    </row>
    <row r="13" spans="1:38" ht="15.75">
      <c r="A13" s="9" t="s">
        <v>116</v>
      </c>
      <c r="B13" s="61" t="s">
        <v>758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4"/>
      <c r="X13" s="64"/>
      <c r="Y13" s="64"/>
      <c r="Z13" s="64"/>
      <c r="AA13" s="65">
        <v>3020.6489675516227</v>
      </c>
      <c r="AB13" s="65">
        <v>2871.6814159292035</v>
      </c>
      <c r="AC13" s="65">
        <v>2793.510324483776</v>
      </c>
      <c r="AD13" s="65">
        <v>2685.8407079646017</v>
      </c>
      <c r="AE13" s="66">
        <f t="shared" ref="AE13:AE15" si="2">AD13*0.95</f>
        <v>2551.5486725663714</v>
      </c>
      <c r="AF13" s="67"/>
      <c r="AG13" s="67"/>
      <c r="AH13" s="67"/>
      <c r="AI13" s="67"/>
      <c r="AJ13" s="67"/>
      <c r="AL13" s="71"/>
    </row>
    <row r="14" spans="1:38" ht="15.75">
      <c r="A14" s="9" t="s">
        <v>136</v>
      </c>
      <c r="B14" s="61" t="s">
        <v>758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4"/>
      <c r="X14" s="64"/>
      <c r="Y14" s="64"/>
      <c r="Z14" s="64"/>
      <c r="AA14" s="65">
        <v>3051.6224188790561</v>
      </c>
      <c r="AB14" s="65">
        <v>2902.6548672566373</v>
      </c>
      <c r="AC14" s="65">
        <v>2824.4837758112094</v>
      </c>
      <c r="AD14" s="65">
        <v>2716.8141592920356</v>
      </c>
      <c r="AE14" s="66">
        <f t="shared" si="2"/>
        <v>2580.9734513274338</v>
      </c>
      <c r="AF14" s="67"/>
      <c r="AG14" s="67"/>
      <c r="AH14" s="67"/>
      <c r="AI14" s="67"/>
      <c r="AJ14" s="67"/>
      <c r="AL14" s="71"/>
    </row>
    <row r="15" spans="1:38" ht="15.75">
      <c r="A15" s="9" t="s">
        <v>147</v>
      </c>
      <c r="B15" s="61" t="s">
        <v>758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4"/>
      <c r="X15" s="64"/>
      <c r="Y15" s="64"/>
      <c r="Z15" s="64"/>
      <c r="AA15" s="65">
        <v>2914.4542772861359</v>
      </c>
      <c r="AB15" s="65">
        <v>2765.4867256637172</v>
      </c>
      <c r="AC15" s="65">
        <v>2687.3156342182892</v>
      </c>
      <c r="AD15" s="65">
        <v>2579.646017699115</v>
      </c>
      <c r="AE15" s="66">
        <f t="shared" si="2"/>
        <v>2450.6637168141592</v>
      </c>
      <c r="AF15" s="67"/>
      <c r="AG15" s="67"/>
      <c r="AH15" s="67"/>
      <c r="AI15" s="67"/>
      <c r="AJ15" s="67"/>
      <c r="AL15" s="71"/>
    </row>
    <row r="16" spans="1:38" ht="15.75">
      <c r="A16" s="9" t="s">
        <v>191</v>
      </c>
      <c r="B16" s="61" t="s">
        <v>758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4"/>
      <c r="X16" s="64"/>
      <c r="Y16" s="64"/>
      <c r="Z16" s="64"/>
      <c r="AA16" s="64">
        <v>2941.0029498525078</v>
      </c>
      <c r="AB16" s="64">
        <v>2722.7138643067847</v>
      </c>
      <c r="AC16" s="64">
        <v>2678.4660766961651</v>
      </c>
      <c r="AD16" s="64">
        <v>2467.5516224188791</v>
      </c>
      <c r="AE16" s="64">
        <v>2376.8436578171095</v>
      </c>
      <c r="AF16" s="68"/>
      <c r="AG16" s="69"/>
      <c r="AH16" s="69"/>
      <c r="AI16" s="69"/>
      <c r="AJ16" s="69"/>
      <c r="AK16" s="70"/>
      <c r="AL16" s="71"/>
    </row>
    <row r="17" spans="1:36" ht="15.75">
      <c r="A17" s="9" t="s">
        <v>208</v>
      </c>
      <c r="B17" s="61" t="s">
        <v>758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4"/>
      <c r="X17" s="64"/>
      <c r="Y17" s="64"/>
      <c r="Z17" s="64"/>
      <c r="AA17" s="65">
        <v>2941.0029498525078</v>
      </c>
      <c r="AB17" s="65">
        <v>2722.7138643067847</v>
      </c>
      <c r="AC17" s="65">
        <v>2678.4660766961651</v>
      </c>
      <c r="AD17" s="65">
        <v>2467.5516224188791</v>
      </c>
      <c r="AE17" s="66">
        <f t="shared" ref="AE17:AE20" si="3">AD17*0.95</f>
        <v>2344.1740412979352</v>
      </c>
      <c r="AF17" s="67"/>
      <c r="AG17" s="67"/>
      <c r="AH17" s="67"/>
      <c r="AI17" s="67"/>
      <c r="AJ17" s="67"/>
    </row>
    <row r="18" spans="1:36" ht="15.75">
      <c r="A18" s="9" t="s">
        <v>238</v>
      </c>
      <c r="B18" s="61" t="s">
        <v>758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4"/>
      <c r="X18" s="64"/>
      <c r="Y18" s="64"/>
      <c r="Z18" s="64"/>
      <c r="AA18" s="65">
        <v>3056.0471976401182</v>
      </c>
      <c r="AB18" s="65">
        <v>2907.0796460176994</v>
      </c>
      <c r="AC18" s="65">
        <v>2828.9085545722714</v>
      </c>
      <c r="AD18" s="65">
        <v>2721.2389380530976</v>
      </c>
      <c r="AE18" s="66">
        <f t="shared" si="3"/>
        <v>2585.1769911504425</v>
      </c>
      <c r="AF18" s="67"/>
      <c r="AG18" s="67"/>
      <c r="AH18" s="67"/>
      <c r="AI18" s="67"/>
      <c r="AJ18" s="67"/>
    </row>
    <row r="19" spans="1:36" ht="15.75">
      <c r="A19" s="9" t="s">
        <v>246</v>
      </c>
      <c r="B19" s="61" t="s">
        <v>758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4"/>
      <c r="X19" s="64"/>
      <c r="Y19" s="64"/>
      <c r="Z19" s="64"/>
      <c r="AA19" s="65">
        <v>2985.2507374631273</v>
      </c>
      <c r="AB19" s="65">
        <v>2836.283185840708</v>
      </c>
      <c r="AC19" s="65">
        <v>2758.1120943952801</v>
      </c>
      <c r="AD19" s="65">
        <v>2650.4424778761063</v>
      </c>
      <c r="AE19" s="66">
        <f t="shared" si="3"/>
        <v>2517.9203539823006</v>
      </c>
      <c r="AF19" s="67"/>
      <c r="AG19" s="67"/>
      <c r="AH19" s="67"/>
      <c r="AI19" s="67"/>
      <c r="AJ19" s="67"/>
    </row>
    <row r="20" spans="1:36" ht="15.75">
      <c r="A20" s="9" t="s">
        <v>380</v>
      </c>
      <c r="B20" s="61" t="s">
        <v>758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4"/>
      <c r="X20" s="64"/>
      <c r="Y20" s="64"/>
      <c r="Z20" s="64"/>
      <c r="AA20" s="65">
        <v>3029.4985250737468</v>
      </c>
      <c r="AB20" s="65">
        <v>2880.5309734513276</v>
      </c>
      <c r="AC20" s="65">
        <v>2802.3598820058996</v>
      </c>
      <c r="AD20" s="65">
        <v>2694.6902654867258</v>
      </c>
      <c r="AE20" s="66">
        <f t="shared" si="3"/>
        <v>2559.9557522123896</v>
      </c>
      <c r="AF20" s="67"/>
      <c r="AG20" s="67"/>
      <c r="AH20" s="67"/>
      <c r="AI20" s="67"/>
      <c r="AJ20" s="67"/>
    </row>
    <row r="21" spans="1:36">
      <c r="AF21" s="67"/>
      <c r="AG21" s="67"/>
      <c r="AH21" s="67"/>
      <c r="AI21" s="67"/>
      <c r="AJ21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1"/>
  <sheetViews>
    <sheetView workbookViewId="0">
      <selection activeCell="E11" sqref="E11"/>
    </sheetView>
  </sheetViews>
  <sheetFormatPr defaultRowHeight="15"/>
  <sheetData>
    <row r="1" spans="1:33" ht="18.75">
      <c r="A1" s="12" t="s">
        <v>1</v>
      </c>
      <c r="B1" s="12" t="s">
        <v>2</v>
      </c>
      <c r="C1" s="12" t="s">
        <v>7</v>
      </c>
      <c r="D1" s="12" t="s">
        <v>646</v>
      </c>
      <c r="E1" s="12" t="s">
        <v>647</v>
      </c>
      <c r="F1" s="12" t="s">
        <v>648</v>
      </c>
      <c r="G1" s="12" t="s">
        <v>649</v>
      </c>
      <c r="H1" s="12" t="s">
        <v>650</v>
      </c>
      <c r="I1" s="12" t="s">
        <v>651</v>
      </c>
      <c r="J1" s="12" t="s">
        <v>652</v>
      </c>
      <c r="K1" s="12" t="s">
        <v>653</v>
      </c>
      <c r="L1" s="12" t="s">
        <v>654</v>
      </c>
      <c r="M1" s="12" t="s">
        <v>655</v>
      </c>
      <c r="N1" s="12" t="s">
        <v>656</v>
      </c>
      <c r="O1" s="12" t="s">
        <v>657</v>
      </c>
      <c r="P1" s="12" t="s">
        <v>658</v>
      </c>
      <c r="Q1" s="12" t="s">
        <v>659</v>
      </c>
      <c r="R1" s="12" t="s">
        <v>660</v>
      </c>
      <c r="S1" s="12" t="s">
        <v>661</v>
      </c>
      <c r="T1" s="12" t="s">
        <v>662</v>
      </c>
      <c r="U1" s="12" t="s">
        <v>663</v>
      </c>
      <c r="V1" s="12" t="s">
        <v>664</v>
      </c>
      <c r="W1" s="12" t="s">
        <v>665</v>
      </c>
      <c r="X1" s="12" t="s">
        <v>666</v>
      </c>
      <c r="Y1" s="12" t="s">
        <v>667</v>
      </c>
      <c r="Z1" s="12" t="s">
        <v>668</v>
      </c>
      <c r="AA1" s="12" t="s">
        <v>669</v>
      </c>
      <c r="AB1" s="12" t="s">
        <v>670</v>
      </c>
      <c r="AC1" s="12" t="s">
        <v>671</v>
      </c>
      <c r="AD1" s="12" t="s">
        <v>672</v>
      </c>
      <c r="AE1" s="12" t="s">
        <v>673</v>
      </c>
      <c r="AF1" s="12" t="s">
        <v>674</v>
      </c>
      <c r="AG1" s="13" t="s">
        <v>757</v>
      </c>
    </row>
    <row r="2" spans="1:33" ht="15.75">
      <c r="A2">
        <v>1</v>
      </c>
      <c r="B2" t="s">
        <v>16</v>
      </c>
      <c r="C2" t="s">
        <v>19</v>
      </c>
      <c r="D2" t="s">
        <v>709</v>
      </c>
      <c r="E2" s="72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72">
        <v>0</v>
      </c>
      <c r="AD2" s="72">
        <v>0</v>
      </c>
      <c r="AE2" s="72">
        <v>0</v>
      </c>
      <c r="AF2" s="73">
        <f>AE2</f>
        <v>0</v>
      </c>
      <c r="AG2" s="73">
        <f>AF2</f>
        <v>0</v>
      </c>
    </row>
    <row r="3" spans="1:33" ht="15.75">
      <c r="A3">
        <v>2</v>
      </c>
      <c r="B3" t="s">
        <v>23</v>
      </c>
      <c r="C3" t="s">
        <v>19</v>
      </c>
      <c r="D3" t="s">
        <v>709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72">
        <v>0</v>
      </c>
      <c r="AD3" s="72">
        <v>0</v>
      </c>
      <c r="AE3" s="72">
        <v>0</v>
      </c>
      <c r="AF3" s="73">
        <f t="shared" ref="AF3:AG66" si="0">AE3</f>
        <v>0</v>
      </c>
      <c r="AG3" s="73">
        <f t="shared" si="0"/>
        <v>0</v>
      </c>
    </row>
    <row r="4" spans="1:33" ht="15.75">
      <c r="A4">
        <v>3</v>
      </c>
      <c r="B4" t="s">
        <v>26</v>
      </c>
      <c r="C4" t="s">
        <v>19</v>
      </c>
      <c r="D4" t="s">
        <v>709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72">
        <v>0.28000000000000003</v>
      </c>
      <c r="AD4" s="72">
        <v>0.28000000000000003</v>
      </c>
      <c r="AE4" s="72">
        <v>0.28000000000000003</v>
      </c>
      <c r="AF4" s="73">
        <f t="shared" si="0"/>
        <v>0.28000000000000003</v>
      </c>
      <c r="AG4" s="73">
        <f t="shared" si="0"/>
        <v>0.28000000000000003</v>
      </c>
    </row>
    <row r="5" spans="1:33" ht="15.75">
      <c r="A5">
        <v>4</v>
      </c>
      <c r="B5" t="s">
        <v>32</v>
      </c>
      <c r="C5" t="s">
        <v>19</v>
      </c>
      <c r="D5" t="s">
        <v>709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72">
        <v>1</v>
      </c>
      <c r="AD5" s="72">
        <v>1</v>
      </c>
      <c r="AE5" s="72">
        <v>1</v>
      </c>
      <c r="AF5" s="73">
        <f t="shared" si="0"/>
        <v>1</v>
      </c>
      <c r="AG5" s="73">
        <f t="shared" si="0"/>
        <v>1</v>
      </c>
    </row>
    <row r="6" spans="1:33" ht="15.75">
      <c r="A6">
        <v>5</v>
      </c>
      <c r="B6" t="s">
        <v>38</v>
      </c>
      <c r="C6" t="s">
        <v>19</v>
      </c>
      <c r="D6" t="s">
        <v>709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72">
        <v>0</v>
      </c>
      <c r="AD6" s="72">
        <v>0</v>
      </c>
      <c r="AE6" s="72">
        <v>0</v>
      </c>
      <c r="AF6" s="73">
        <f t="shared" si="0"/>
        <v>0</v>
      </c>
      <c r="AG6" s="73">
        <f t="shared" si="0"/>
        <v>0</v>
      </c>
    </row>
    <row r="7" spans="1:33" ht="15.75">
      <c r="A7">
        <v>6</v>
      </c>
      <c r="B7" t="s">
        <v>41</v>
      </c>
      <c r="C7" t="s">
        <v>19</v>
      </c>
      <c r="D7" t="s">
        <v>709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72">
        <v>1</v>
      </c>
      <c r="AD7" s="72">
        <v>1</v>
      </c>
      <c r="AE7" s="72">
        <v>1</v>
      </c>
      <c r="AF7" s="73">
        <f t="shared" si="0"/>
        <v>1</v>
      </c>
      <c r="AG7" s="73">
        <f t="shared" si="0"/>
        <v>1</v>
      </c>
    </row>
    <row r="8" spans="1:33" ht="15.75">
      <c r="A8">
        <v>7</v>
      </c>
      <c r="B8" t="s">
        <v>44</v>
      </c>
      <c r="C8" t="s">
        <v>19</v>
      </c>
      <c r="D8" t="s">
        <v>709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72">
        <v>0</v>
      </c>
      <c r="AD8" s="72">
        <v>0</v>
      </c>
      <c r="AE8" s="72">
        <v>0</v>
      </c>
      <c r="AF8" s="73">
        <f t="shared" si="0"/>
        <v>0</v>
      </c>
      <c r="AG8" s="73">
        <f t="shared" si="0"/>
        <v>0</v>
      </c>
    </row>
    <row r="9" spans="1:33" ht="15.75">
      <c r="A9">
        <v>8</v>
      </c>
      <c r="B9" t="s">
        <v>46</v>
      </c>
      <c r="C9" t="s">
        <v>19</v>
      </c>
      <c r="D9" t="s">
        <v>709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72">
        <v>1</v>
      </c>
      <c r="AD9" s="72">
        <v>1</v>
      </c>
      <c r="AE9" s="72">
        <v>1</v>
      </c>
      <c r="AF9" s="73">
        <f t="shared" si="0"/>
        <v>1</v>
      </c>
      <c r="AG9" s="73">
        <f t="shared" si="0"/>
        <v>1</v>
      </c>
    </row>
    <row r="10" spans="1:33" ht="15.75">
      <c r="A10">
        <v>9</v>
      </c>
      <c r="B10" t="s">
        <v>49</v>
      </c>
      <c r="C10" t="s">
        <v>19</v>
      </c>
      <c r="D10" t="s">
        <v>709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72">
        <v>0</v>
      </c>
      <c r="AD10" s="72">
        <v>0</v>
      </c>
      <c r="AE10" s="72">
        <v>0</v>
      </c>
      <c r="AF10" s="73">
        <f t="shared" si="0"/>
        <v>0</v>
      </c>
      <c r="AG10" s="73">
        <f t="shared" si="0"/>
        <v>0</v>
      </c>
    </row>
    <row r="11" spans="1:33" ht="15.75">
      <c r="A11">
        <v>10</v>
      </c>
      <c r="B11" t="s">
        <v>52</v>
      </c>
      <c r="C11" t="s">
        <v>19</v>
      </c>
      <c r="D11" t="s">
        <v>709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72">
        <v>1</v>
      </c>
      <c r="AD11" s="72">
        <v>1</v>
      </c>
      <c r="AE11" s="72">
        <v>1</v>
      </c>
      <c r="AF11" s="73">
        <f t="shared" si="0"/>
        <v>1</v>
      </c>
      <c r="AG11" s="73">
        <f t="shared" si="0"/>
        <v>1</v>
      </c>
    </row>
    <row r="12" spans="1:33" ht="15.75">
      <c r="A12">
        <v>11</v>
      </c>
      <c r="B12" t="s">
        <v>56</v>
      </c>
      <c r="C12" t="s">
        <v>19</v>
      </c>
      <c r="D12" t="s">
        <v>709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72">
        <v>1</v>
      </c>
      <c r="AD12" s="72">
        <v>1</v>
      </c>
      <c r="AE12" s="72">
        <v>1</v>
      </c>
      <c r="AF12" s="73">
        <f t="shared" si="0"/>
        <v>1</v>
      </c>
      <c r="AG12" s="73">
        <f t="shared" si="0"/>
        <v>1</v>
      </c>
    </row>
    <row r="13" spans="1:33" ht="15.75">
      <c r="A13">
        <v>12</v>
      </c>
      <c r="B13" t="s">
        <v>59</v>
      </c>
      <c r="C13" t="s">
        <v>19</v>
      </c>
      <c r="D13" t="s">
        <v>709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72">
        <v>1</v>
      </c>
      <c r="AD13" s="72">
        <v>1</v>
      </c>
      <c r="AE13" s="72">
        <v>1</v>
      </c>
      <c r="AF13" s="73">
        <f t="shared" si="0"/>
        <v>1</v>
      </c>
      <c r="AG13" s="73">
        <f t="shared" si="0"/>
        <v>1</v>
      </c>
    </row>
    <row r="14" spans="1:33" ht="15.75">
      <c r="A14">
        <v>13</v>
      </c>
      <c r="B14" t="s">
        <v>63</v>
      </c>
      <c r="C14" t="s">
        <v>19</v>
      </c>
      <c r="D14" t="s">
        <v>709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72">
        <v>1</v>
      </c>
      <c r="AD14" s="72">
        <v>1</v>
      </c>
      <c r="AE14" s="72">
        <v>1</v>
      </c>
      <c r="AF14" s="73">
        <f t="shared" si="0"/>
        <v>1</v>
      </c>
      <c r="AG14" s="73">
        <f t="shared" si="0"/>
        <v>1</v>
      </c>
    </row>
    <row r="15" spans="1:33" ht="15.75">
      <c r="A15">
        <v>14</v>
      </c>
      <c r="B15" t="s">
        <v>66</v>
      </c>
      <c r="C15" t="s">
        <v>19</v>
      </c>
      <c r="D15" t="s">
        <v>709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72">
        <v>1</v>
      </c>
      <c r="AD15" s="72">
        <v>1</v>
      </c>
      <c r="AE15" s="72">
        <v>1</v>
      </c>
      <c r="AF15" s="73">
        <f t="shared" si="0"/>
        <v>1</v>
      </c>
      <c r="AG15" s="73">
        <f t="shared" si="0"/>
        <v>1</v>
      </c>
    </row>
    <row r="16" spans="1:33" ht="15.75">
      <c r="A16">
        <v>15</v>
      </c>
      <c r="B16" t="s">
        <v>69</v>
      </c>
      <c r="C16" t="s">
        <v>19</v>
      </c>
      <c r="D16" t="s">
        <v>709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72">
        <v>1</v>
      </c>
      <c r="AD16" s="72">
        <v>1</v>
      </c>
      <c r="AE16" s="72">
        <v>1</v>
      </c>
      <c r="AF16" s="73">
        <f t="shared" si="0"/>
        <v>1</v>
      </c>
      <c r="AG16" s="73">
        <f t="shared" si="0"/>
        <v>1</v>
      </c>
    </row>
    <row r="17" spans="1:33" ht="15.75">
      <c r="A17">
        <v>16</v>
      </c>
      <c r="B17" t="s">
        <v>71</v>
      </c>
      <c r="C17" t="s">
        <v>19</v>
      </c>
      <c r="D17" t="s">
        <v>709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72">
        <v>0</v>
      </c>
      <c r="AD17" s="72">
        <v>0</v>
      </c>
      <c r="AE17" s="72">
        <v>0</v>
      </c>
      <c r="AF17" s="73">
        <f t="shared" si="0"/>
        <v>0</v>
      </c>
      <c r="AG17" s="73">
        <f t="shared" si="0"/>
        <v>0</v>
      </c>
    </row>
    <row r="18" spans="1:33" ht="15.75">
      <c r="A18">
        <v>17</v>
      </c>
      <c r="B18" t="s">
        <v>74</v>
      </c>
      <c r="C18" t="s">
        <v>19</v>
      </c>
      <c r="D18" t="s">
        <v>709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72">
        <v>0</v>
      </c>
      <c r="AD18" s="72">
        <v>0</v>
      </c>
      <c r="AE18" s="72">
        <v>0</v>
      </c>
      <c r="AF18" s="73">
        <f t="shared" si="0"/>
        <v>0</v>
      </c>
      <c r="AG18" s="73">
        <f t="shared" si="0"/>
        <v>0</v>
      </c>
    </row>
    <row r="19" spans="1:33" ht="15.75">
      <c r="A19">
        <v>18</v>
      </c>
      <c r="B19" t="s">
        <v>77</v>
      </c>
      <c r="C19" t="s">
        <v>19</v>
      </c>
      <c r="D19" t="s">
        <v>709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72">
        <v>1</v>
      </c>
      <c r="AD19" s="72">
        <v>1</v>
      </c>
      <c r="AE19" s="72">
        <v>1</v>
      </c>
      <c r="AF19" s="73">
        <f t="shared" si="0"/>
        <v>1</v>
      </c>
      <c r="AG19" s="73">
        <f t="shared" si="0"/>
        <v>1</v>
      </c>
    </row>
    <row r="20" spans="1:33" ht="15.75">
      <c r="A20">
        <v>19</v>
      </c>
      <c r="B20" t="s">
        <v>82</v>
      </c>
      <c r="C20" t="s">
        <v>19</v>
      </c>
      <c r="D20" t="s">
        <v>709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72">
        <v>1</v>
      </c>
      <c r="AD20" s="72">
        <v>1</v>
      </c>
      <c r="AE20" s="72">
        <v>1</v>
      </c>
      <c r="AF20" s="73">
        <f t="shared" si="0"/>
        <v>1</v>
      </c>
      <c r="AG20" s="73">
        <f t="shared" si="0"/>
        <v>1</v>
      </c>
    </row>
    <row r="21" spans="1:33" ht="15.75">
      <c r="A21">
        <v>20</v>
      </c>
      <c r="B21" t="s">
        <v>86</v>
      </c>
      <c r="C21" t="s">
        <v>19</v>
      </c>
      <c r="D21" t="s">
        <v>709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72">
        <v>1</v>
      </c>
      <c r="AD21" s="72">
        <v>1</v>
      </c>
      <c r="AE21" s="72">
        <v>1</v>
      </c>
      <c r="AF21" s="73">
        <f t="shared" si="0"/>
        <v>1</v>
      </c>
      <c r="AG21" s="73">
        <f t="shared" si="0"/>
        <v>1</v>
      </c>
    </row>
    <row r="22" spans="1:33" ht="15.75">
      <c r="A22">
        <v>21</v>
      </c>
      <c r="B22" t="s">
        <v>89</v>
      </c>
      <c r="C22" t="s">
        <v>19</v>
      </c>
      <c r="D22" t="s">
        <v>709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72">
        <v>1</v>
      </c>
      <c r="AD22" s="72">
        <v>1</v>
      </c>
      <c r="AE22" s="72">
        <v>1</v>
      </c>
      <c r="AF22" s="73">
        <f t="shared" si="0"/>
        <v>1</v>
      </c>
      <c r="AG22" s="73">
        <f t="shared" si="0"/>
        <v>1</v>
      </c>
    </row>
    <row r="23" spans="1:33" ht="15.75">
      <c r="A23">
        <v>22</v>
      </c>
      <c r="B23" t="s">
        <v>93</v>
      </c>
      <c r="C23" t="s">
        <v>19</v>
      </c>
      <c r="D23" t="s">
        <v>709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72">
        <v>0</v>
      </c>
      <c r="AD23" s="72">
        <v>0</v>
      </c>
      <c r="AE23" s="72">
        <v>0</v>
      </c>
      <c r="AF23" s="73">
        <f t="shared" si="0"/>
        <v>0</v>
      </c>
      <c r="AG23" s="73">
        <f t="shared" si="0"/>
        <v>0</v>
      </c>
    </row>
    <row r="24" spans="1:33" ht="15.75">
      <c r="A24">
        <v>23</v>
      </c>
      <c r="B24" t="s">
        <v>97</v>
      </c>
      <c r="C24" t="s">
        <v>19</v>
      </c>
      <c r="D24" t="s">
        <v>709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72">
        <v>0</v>
      </c>
      <c r="AD24" s="72">
        <v>0</v>
      </c>
      <c r="AE24" s="72">
        <v>0</v>
      </c>
      <c r="AF24" s="73">
        <f t="shared" si="0"/>
        <v>0</v>
      </c>
      <c r="AG24" s="73">
        <f t="shared" si="0"/>
        <v>0</v>
      </c>
    </row>
    <row r="25" spans="1:33" ht="15.75">
      <c r="A25">
        <v>24</v>
      </c>
      <c r="B25" t="s">
        <v>100</v>
      </c>
      <c r="C25" t="s">
        <v>19</v>
      </c>
      <c r="D25" t="s">
        <v>709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72">
        <v>0</v>
      </c>
      <c r="AD25" s="72">
        <v>0</v>
      </c>
      <c r="AE25" s="72">
        <v>0</v>
      </c>
      <c r="AF25" s="73">
        <f t="shared" si="0"/>
        <v>0</v>
      </c>
      <c r="AG25" s="73">
        <f t="shared" si="0"/>
        <v>0</v>
      </c>
    </row>
    <row r="26" spans="1:33" ht="15.75">
      <c r="A26">
        <v>25</v>
      </c>
      <c r="B26" t="s">
        <v>103</v>
      </c>
      <c r="C26" t="s">
        <v>19</v>
      </c>
      <c r="D26" t="s">
        <v>709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72">
        <v>0</v>
      </c>
      <c r="AD26" s="72">
        <v>0</v>
      </c>
      <c r="AE26" s="72">
        <v>0</v>
      </c>
      <c r="AF26" s="73">
        <f t="shared" si="0"/>
        <v>0</v>
      </c>
      <c r="AG26" s="73">
        <f t="shared" si="0"/>
        <v>0</v>
      </c>
    </row>
    <row r="27" spans="1:33" ht="15.75">
      <c r="A27">
        <v>26</v>
      </c>
      <c r="B27" t="s">
        <v>107</v>
      </c>
      <c r="C27" t="s">
        <v>19</v>
      </c>
      <c r="D27" t="s">
        <v>709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72">
        <v>0</v>
      </c>
      <c r="AD27" s="72">
        <v>0</v>
      </c>
      <c r="AE27" s="72">
        <v>0</v>
      </c>
      <c r="AF27" s="73">
        <f t="shared" si="0"/>
        <v>0</v>
      </c>
      <c r="AG27" s="73">
        <f t="shared" si="0"/>
        <v>0</v>
      </c>
    </row>
    <row r="28" spans="1:33" ht="15.75">
      <c r="A28">
        <v>27</v>
      </c>
      <c r="B28" t="s">
        <v>110</v>
      </c>
      <c r="C28" t="s">
        <v>19</v>
      </c>
      <c r="D28" t="s">
        <v>709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72">
        <v>0</v>
      </c>
      <c r="AD28" s="72">
        <v>0</v>
      </c>
      <c r="AE28" s="72">
        <v>0</v>
      </c>
      <c r="AF28" s="73">
        <f t="shared" si="0"/>
        <v>0</v>
      </c>
      <c r="AG28" s="73">
        <f t="shared" si="0"/>
        <v>0</v>
      </c>
    </row>
    <row r="29" spans="1:33" ht="15.75">
      <c r="A29">
        <v>28</v>
      </c>
      <c r="B29" t="s">
        <v>113</v>
      </c>
      <c r="C29" t="s">
        <v>19</v>
      </c>
      <c r="D29" t="s">
        <v>709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72">
        <v>0.54</v>
      </c>
      <c r="AD29" s="72">
        <v>0.54</v>
      </c>
      <c r="AE29" s="72">
        <v>0.54</v>
      </c>
      <c r="AF29" s="73">
        <f t="shared" si="0"/>
        <v>0.54</v>
      </c>
      <c r="AG29" s="73">
        <f t="shared" si="0"/>
        <v>0.54</v>
      </c>
    </row>
    <row r="30" spans="1:33" ht="15.75">
      <c r="A30">
        <v>29</v>
      </c>
      <c r="B30" t="s">
        <v>117</v>
      </c>
      <c r="C30" t="s">
        <v>19</v>
      </c>
      <c r="D30" t="s">
        <v>709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72">
        <v>0</v>
      </c>
      <c r="AD30" s="72">
        <v>0</v>
      </c>
      <c r="AE30" s="72">
        <v>0</v>
      </c>
      <c r="AF30" s="73">
        <f t="shared" si="0"/>
        <v>0</v>
      </c>
      <c r="AG30" s="73">
        <f t="shared" si="0"/>
        <v>0</v>
      </c>
    </row>
    <row r="31" spans="1:33" ht="15.75">
      <c r="A31">
        <v>30</v>
      </c>
      <c r="B31" t="s">
        <v>121</v>
      </c>
      <c r="C31" t="s">
        <v>19</v>
      </c>
      <c r="D31" t="s">
        <v>709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72">
        <v>0</v>
      </c>
      <c r="AD31" s="72">
        <v>0</v>
      </c>
      <c r="AE31" s="72">
        <v>0</v>
      </c>
      <c r="AF31" s="73">
        <f t="shared" si="0"/>
        <v>0</v>
      </c>
      <c r="AG31" s="73">
        <f t="shared" si="0"/>
        <v>0</v>
      </c>
    </row>
    <row r="32" spans="1:33" ht="15.75">
      <c r="A32">
        <v>31</v>
      </c>
      <c r="B32" t="s">
        <v>124</v>
      </c>
      <c r="C32" t="s">
        <v>19</v>
      </c>
      <c r="D32" t="s">
        <v>709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72">
        <v>1</v>
      </c>
      <c r="AD32" s="72">
        <v>1</v>
      </c>
      <c r="AE32" s="72">
        <v>1</v>
      </c>
      <c r="AF32" s="73">
        <f t="shared" si="0"/>
        <v>1</v>
      </c>
      <c r="AG32" s="73">
        <f t="shared" si="0"/>
        <v>1</v>
      </c>
    </row>
    <row r="33" spans="1:33" ht="15.75">
      <c r="A33">
        <v>32</v>
      </c>
      <c r="B33" t="s">
        <v>127</v>
      </c>
      <c r="C33" t="s">
        <v>19</v>
      </c>
      <c r="D33" t="s">
        <v>709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72">
        <v>0</v>
      </c>
      <c r="AD33" s="72">
        <v>0</v>
      </c>
      <c r="AE33" s="72">
        <v>0</v>
      </c>
      <c r="AF33" s="73">
        <f t="shared" si="0"/>
        <v>0</v>
      </c>
      <c r="AG33" s="73">
        <f t="shared" si="0"/>
        <v>0</v>
      </c>
    </row>
    <row r="34" spans="1:33" ht="15.75">
      <c r="A34">
        <v>33</v>
      </c>
      <c r="B34" t="s">
        <v>130</v>
      </c>
      <c r="C34" t="s">
        <v>19</v>
      </c>
      <c r="D34" t="s">
        <v>709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72">
        <v>1</v>
      </c>
      <c r="AD34" s="72">
        <v>1</v>
      </c>
      <c r="AE34" s="72">
        <v>1</v>
      </c>
      <c r="AF34" s="73">
        <f t="shared" si="0"/>
        <v>1</v>
      </c>
      <c r="AG34" s="73">
        <f t="shared" si="0"/>
        <v>1</v>
      </c>
    </row>
    <row r="35" spans="1:33" ht="15.75">
      <c r="A35">
        <v>34</v>
      </c>
      <c r="B35" t="s">
        <v>133</v>
      </c>
      <c r="C35" t="s">
        <v>19</v>
      </c>
      <c r="D35" t="s">
        <v>709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72">
        <v>0</v>
      </c>
      <c r="AD35" s="72">
        <v>0</v>
      </c>
      <c r="AE35" s="72">
        <v>0</v>
      </c>
      <c r="AF35" s="73">
        <f t="shared" si="0"/>
        <v>0</v>
      </c>
      <c r="AG35" s="73">
        <f t="shared" si="0"/>
        <v>0</v>
      </c>
    </row>
    <row r="36" spans="1:33" ht="15.75">
      <c r="A36">
        <v>35</v>
      </c>
      <c r="B36" t="s">
        <v>137</v>
      </c>
      <c r="C36" t="s">
        <v>19</v>
      </c>
      <c r="D36" t="s">
        <v>709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72">
        <v>1</v>
      </c>
      <c r="AD36" s="72">
        <v>1</v>
      </c>
      <c r="AE36" s="72">
        <v>1</v>
      </c>
      <c r="AF36" s="73">
        <f t="shared" si="0"/>
        <v>1</v>
      </c>
      <c r="AG36" s="73">
        <f t="shared" si="0"/>
        <v>1</v>
      </c>
    </row>
    <row r="37" spans="1:33" ht="15.75">
      <c r="A37">
        <v>36</v>
      </c>
      <c r="B37" t="s">
        <v>140</v>
      </c>
      <c r="C37" t="s">
        <v>19</v>
      </c>
      <c r="D37" t="s">
        <v>709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72">
        <v>0</v>
      </c>
      <c r="AD37" s="72">
        <v>0</v>
      </c>
      <c r="AE37" s="72">
        <v>0</v>
      </c>
      <c r="AF37" s="73">
        <f t="shared" si="0"/>
        <v>0</v>
      </c>
      <c r="AG37" s="73">
        <f t="shared" si="0"/>
        <v>0</v>
      </c>
    </row>
    <row r="38" spans="1:33" ht="15.75">
      <c r="A38">
        <v>37</v>
      </c>
      <c r="B38" t="s">
        <v>143</v>
      </c>
      <c r="C38" t="s">
        <v>19</v>
      </c>
      <c r="D38" t="s">
        <v>709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72">
        <v>1</v>
      </c>
      <c r="AD38" s="72">
        <v>1</v>
      </c>
      <c r="AE38" s="72">
        <v>1</v>
      </c>
      <c r="AF38" s="73">
        <f t="shared" si="0"/>
        <v>1</v>
      </c>
      <c r="AG38" s="73">
        <f t="shared" si="0"/>
        <v>1</v>
      </c>
    </row>
    <row r="39" spans="1:33" ht="15.75">
      <c r="A39">
        <v>38</v>
      </c>
      <c r="B39" t="s">
        <v>148</v>
      </c>
      <c r="C39" t="s">
        <v>19</v>
      </c>
      <c r="D39" t="s">
        <v>709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72">
        <v>1</v>
      </c>
      <c r="AD39" s="72">
        <v>1</v>
      </c>
      <c r="AE39" s="72">
        <v>1</v>
      </c>
      <c r="AF39" s="73">
        <f t="shared" si="0"/>
        <v>1</v>
      </c>
      <c r="AG39" s="73">
        <f t="shared" si="0"/>
        <v>1</v>
      </c>
    </row>
    <row r="40" spans="1:33" ht="15.75">
      <c r="A40">
        <v>39</v>
      </c>
      <c r="B40" t="s">
        <v>151</v>
      </c>
      <c r="C40" t="s">
        <v>19</v>
      </c>
      <c r="D40" t="s">
        <v>709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72">
        <v>1</v>
      </c>
      <c r="AD40" s="72">
        <v>1</v>
      </c>
      <c r="AE40" s="72">
        <v>1</v>
      </c>
      <c r="AF40" s="73">
        <f t="shared" si="0"/>
        <v>1</v>
      </c>
      <c r="AG40" s="73">
        <f t="shared" si="0"/>
        <v>1</v>
      </c>
    </row>
    <row r="41" spans="1:33" ht="15.75">
      <c r="A41">
        <v>40</v>
      </c>
      <c r="B41" t="s">
        <v>153</v>
      </c>
      <c r="C41" t="s">
        <v>19</v>
      </c>
      <c r="D41" t="s">
        <v>709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72">
        <v>1</v>
      </c>
      <c r="AD41" s="72">
        <v>1</v>
      </c>
      <c r="AE41" s="72">
        <v>1</v>
      </c>
      <c r="AF41" s="73">
        <f t="shared" si="0"/>
        <v>1</v>
      </c>
      <c r="AG41" s="73">
        <f t="shared" si="0"/>
        <v>1</v>
      </c>
    </row>
    <row r="42" spans="1:33" ht="15.75">
      <c r="A42">
        <v>41</v>
      </c>
      <c r="B42" t="s">
        <v>157</v>
      </c>
      <c r="C42" t="s">
        <v>19</v>
      </c>
      <c r="D42" t="s">
        <v>709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72">
        <v>1</v>
      </c>
      <c r="AD42" s="72">
        <v>1</v>
      </c>
      <c r="AE42" s="72">
        <v>1</v>
      </c>
      <c r="AF42" s="73">
        <f t="shared" si="0"/>
        <v>1</v>
      </c>
      <c r="AG42" s="73">
        <f t="shared" si="0"/>
        <v>1</v>
      </c>
    </row>
    <row r="43" spans="1:33" ht="15.75">
      <c r="A43">
        <v>42</v>
      </c>
      <c r="B43" t="s">
        <v>161</v>
      </c>
      <c r="C43" t="s">
        <v>19</v>
      </c>
      <c r="D43" t="s">
        <v>709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72">
        <v>1</v>
      </c>
      <c r="AD43" s="72">
        <v>1</v>
      </c>
      <c r="AE43" s="72">
        <v>1</v>
      </c>
      <c r="AF43" s="73">
        <f t="shared" si="0"/>
        <v>1</v>
      </c>
      <c r="AG43" s="73">
        <f t="shared" si="0"/>
        <v>1</v>
      </c>
    </row>
    <row r="44" spans="1:33" ht="15.75">
      <c r="A44">
        <v>43</v>
      </c>
      <c r="B44" t="s">
        <v>164</v>
      </c>
      <c r="C44" t="s">
        <v>19</v>
      </c>
      <c r="D44" t="s">
        <v>709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72">
        <v>1</v>
      </c>
      <c r="AD44" s="72">
        <v>1</v>
      </c>
      <c r="AE44" s="72">
        <v>1</v>
      </c>
      <c r="AF44" s="73">
        <f t="shared" si="0"/>
        <v>1</v>
      </c>
      <c r="AG44" s="73">
        <f t="shared" si="0"/>
        <v>1</v>
      </c>
    </row>
    <row r="45" spans="1:33" ht="15.75">
      <c r="A45">
        <v>44</v>
      </c>
      <c r="B45" t="s">
        <v>168</v>
      </c>
      <c r="C45" t="s">
        <v>19</v>
      </c>
      <c r="D45" t="s">
        <v>709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72">
        <v>1</v>
      </c>
      <c r="AD45" s="72">
        <v>1</v>
      </c>
      <c r="AE45" s="72">
        <v>1</v>
      </c>
      <c r="AF45" s="73">
        <f t="shared" si="0"/>
        <v>1</v>
      </c>
      <c r="AG45" s="73">
        <f t="shared" si="0"/>
        <v>1</v>
      </c>
    </row>
    <row r="46" spans="1:33" ht="15.75">
      <c r="A46">
        <v>45</v>
      </c>
      <c r="B46" t="s">
        <v>171</v>
      </c>
      <c r="C46" t="s">
        <v>19</v>
      </c>
      <c r="D46" t="s">
        <v>709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72">
        <v>0.3</v>
      </c>
      <c r="AD46" s="72">
        <v>0.3</v>
      </c>
      <c r="AE46" s="72">
        <v>0.3</v>
      </c>
      <c r="AF46" s="73">
        <f t="shared" si="0"/>
        <v>0.3</v>
      </c>
      <c r="AG46" s="73">
        <f t="shared" si="0"/>
        <v>0.3</v>
      </c>
    </row>
    <row r="47" spans="1:33" ht="15.75">
      <c r="A47">
        <v>46</v>
      </c>
      <c r="B47" t="s">
        <v>174</v>
      </c>
      <c r="C47" t="s">
        <v>19</v>
      </c>
      <c r="D47" t="s">
        <v>709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72">
        <v>0</v>
      </c>
      <c r="AD47" s="72">
        <v>0</v>
      </c>
      <c r="AE47" s="72">
        <v>0</v>
      </c>
      <c r="AF47" s="73">
        <f t="shared" si="0"/>
        <v>0</v>
      </c>
      <c r="AG47" s="73">
        <f t="shared" si="0"/>
        <v>0</v>
      </c>
    </row>
    <row r="48" spans="1:33" ht="15.75">
      <c r="A48">
        <v>47</v>
      </c>
      <c r="B48" t="s">
        <v>178</v>
      </c>
      <c r="C48" t="s">
        <v>19</v>
      </c>
      <c r="D48" t="s">
        <v>709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72">
        <v>0</v>
      </c>
      <c r="AD48" s="72">
        <v>0</v>
      </c>
      <c r="AE48" s="72">
        <v>0</v>
      </c>
      <c r="AF48" s="73">
        <f t="shared" si="0"/>
        <v>0</v>
      </c>
      <c r="AG48" s="73">
        <f t="shared" si="0"/>
        <v>0</v>
      </c>
    </row>
    <row r="49" spans="1:33" ht="15.75">
      <c r="A49">
        <v>48</v>
      </c>
      <c r="B49" t="s">
        <v>181</v>
      </c>
      <c r="C49" t="s">
        <v>19</v>
      </c>
      <c r="D49" t="s">
        <v>709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72">
        <v>1</v>
      </c>
      <c r="AD49" s="72">
        <v>1</v>
      </c>
      <c r="AE49" s="72">
        <v>1</v>
      </c>
      <c r="AF49" s="73">
        <f t="shared" si="0"/>
        <v>1</v>
      </c>
      <c r="AG49" s="73">
        <f t="shared" si="0"/>
        <v>1</v>
      </c>
    </row>
    <row r="50" spans="1:33" ht="15.75">
      <c r="A50">
        <v>49</v>
      </c>
      <c r="B50" t="s">
        <v>185</v>
      </c>
      <c r="C50" t="s">
        <v>19</v>
      </c>
      <c r="D50" t="s">
        <v>709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72">
        <v>0</v>
      </c>
      <c r="AD50" s="72">
        <v>0</v>
      </c>
      <c r="AE50" s="72">
        <v>0</v>
      </c>
      <c r="AF50" s="73">
        <f t="shared" si="0"/>
        <v>0</v>
      </c>
      <c r="AG50" s="73">
        <f t="shared" si="0"/>
        <v>0</v>
      </c>
    </row>
    <row r="51" spans="1:33" ht="15.75">
      <c r="A51">
        <v>50</v>
      </c>
      <c r="B51" t="s">
        <v>188</v>
      </c>
      <c r="C51" t="s">
        <v>19</v>
      </c>
      <c r="D51" t="s">
        <v>709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72">
        <v>0</v>
      </c>
      <c r="AD51" s="72">
        <v>0</v>
      </c>
      <c r="AE51" s="72">
        <v>0</v>
      </c>
      <c r="AF51" s="73">
        <f t="shared" si="0"/>
        <v>0</v>
      </c>
      <c r="AG51" s="73">
        <f t="shared" si="0"/>
        <v>0</v>
      </c>
    </row>
    <row r="52" spans="1:33" ht="15.75">
      <c r="A52">
        <v>51</v>
      </c>
      <c r="B52" t="s">
        <v>192</v>
      </c>
      <c r="C52" t="s">
        <v>19</v>
      </c>
      <c r="D52" t="s">
        <v>709</v>
      </c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72">
        <v>0</v>
      </c>
      <c r="AD52" s="72">
        <v>0</v>
      </c>
      <c r="AE52" s="72">
        <v>0</v>
      </c>
      <c r="AF52" s="73">
        <f t="shared" si="0"/>
        <v>0</v>
      </c>
      <c r="AG52" s="73">
        <f t="shared" si="0"/>
        <v>0</v>
      </c>
    </row>
    <row r="53" spans="1:33" ht="15.75">
      <c r="A53">
        <v>52</v>
      </c>
      <c r="B53" t="s">
        <v>194</v>
      </c>
      <c r="C53" t="s">
        <v>19</v>
      </c>
      <c r="D53" t="s">
        <v>709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72">
        <v>1</v>
      </c>
      <c r="AD53" s="72">
        <v>1</v>
      </c>
      <c r="AE53" s="72">
        <v>1</v>
      </c>
      <c r="AF53" s="73">
        <f t="shared" si="0"/>
        <v>1</v>
      </c>
      <c r="AG53" s="73">
        <f t="shared" si="0"/>
        <v>1</v>
      </c>
    </row>
    <row r="54" spans="1:33" ht="15.75">
      <c r="A54">
        <v>53</v>
      </c>
      <c r="B54" t="s">
        <v>197</v>
      </c>
      <c r="C54" t="s">
        <v>19</v>
      </c>
      <c r="D54" t="s">
        <v>709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72">
        <v>0</v>
      </c>
      <c r="AD54" s="72">
        <v>0</v>
      </c>
      <c r="AE54" s="72">
        <v>0</v>
      </c>
      <c r="AF54" s="73">
        <f t="shared" si="0"/>
        <v>0</v>
      </c>
      <c r="AG54" s="73">
        <f t="shared" si="0"/>
        <v>0</v>
      </c>
    </row>
    <row r="55" spans="1:33" ht="15.75">
      <c r="A55">
        <v>54</v>
      </c>
      <c r="B55" t="s">
        <v>200</v>
      </c>
      <c r="C55" t="s">
        <v>19</v>
      </c>
      <c r="D55" t="s">
        <v>709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72">
        <v>0</v>
      </c>
      <c r="AD55" s="72">
        <v>0</v>
      </c>
      <c r="AE55" s="72">
        <v>0</v>
      </c>
      <c r="AF55" s="73">
        <f t="shared" si="0"/>
        <v>0</v>
      </c>
      <c r="AG55" s="73">
        <f t="shared" si="0"/>
        <v>0</v>
      </c>
    </row>
    <row r="56" spans="1:33" ht="15.75">
      <c r="A56">
        <v>55</v>
      </c>
      <c r="B56" t="s">
        <v>203</v>
      </c>
      <c r="C56" t="s">
        <v>19</v>
      </c>
      <c r="D56" t="s">
        <v>709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72">
        <v>1</v>
      </c>
      <c r="AD56" s="72">
        <v>1</v>
      </c>
      <c r="AE56" s="72">
        <v>1</v>
      </c>
      <c r="AF56" s="73">
        <f t="shared" si="0"/>
        <v>1</v>
      </c>
      <c r="AG56" s="73">
        <f t="shared" si="0"/>
        <v>1</v>
      </c>
    </row>
    <row r="57" spans="1:33" ht="15.75">
      <c r="A57">
        <v>56</v>
      </c>
      <c r="B57" t="s">
        <v>205</v>
      </c>
      <c r="C57" t="s">
        <v>19</v>
      </c>
      <c r="D57" t="s">
        <v>709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72">
        <v>0</v>
      </c>
      <c r="AD57" s="72">
        <v>0</v>
      </c>
      <c r="AE57" s="72">
        <v>0</v>
      </c>
      <c r="AF57" s="73">
        <f t="shared" si="0"/>
        <v>0</v>
      </c>
      <c r="AG57" s="73">
        <f t="shared" si="0"/>
        <v>0</v>
      </c>
    </row>
    <row r="58" spans="1:33" ht="15.75">
      <c r="A58">
        <v>57</v>
      </c>
      <c r="B58" t="s">
        <v>209</v>
      </c>
      <c r="C58" t="s">
        <v>19</v>
      </c>
      <c r="D58" t="s">
        <v>709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72">
        <v>0</v>
      </c>
      <c r="AD58" s="72">
        <v>0</v>
      </c>
      <c r="AE58" s="72">
        <v>0</v>
      </c>
      <c r="AF58" s="73">
        <f t="shared" si="0"/>
        <v>0</v>
      </c>
      <c r="AG58" s="73">
        <f t="shared" si="0"/>
        <v>0</v>
      </c>
    </row>
    <row r="59" spans="1:33" ht="15.75">
      <c r="A59">
        <v>58</v>
      </c>
      <c r="B59" t="s">
        <v>213</v>
      </c>
      <c r="C59" t="s">
        <v>19</v>
      </c>
      <c r="D59" t="s">
        <v>709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72">
        <v>1</v>
      </c>
      <c r="AD59" s="72">
        <v>1</v>
      </c>
      <c r="AE59" s="72">
        <v>1</v>
      </c>
      <c r="AF59" s="73">
        <f t="shared" si="0"/>
        <v>1</v>
      </c>
      <c r="AG59" s="73">
        <f t="shared" si="0"/>
        <v>1</v>
      </c>
    </row>
    <row r="60" spans="1:33" ht="15.75">
      <c r="A60">
        <v>59</v>
      </c>
      <c r="B60" t="s">
        <v>217</v>
      </c>
      <c r="C60" t="s">
        <v>19</v>
      </c>
      <c r="D60" t="s">
        <v>709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72">
        <v>1</v>
      </c>
      <c r="AD60" s="72">
        <v>1</v>
      </c>
      <c r="AE60" s="72">
        <v>1</v>
      </c>
      <c r="AF60" s="73">
        <f t="shared" si="0"/>
        <v>1</v>
      </c>
      <c r="AG60" s="73">
        <f t="shared" si="0"/>
        <v>1</v>
      </c>
    </row>
    <row r="61" spans="1:33" ht="15.75">
      <c r="A61">
        <v>60</v>
      </c>
      <c r="B61" t="s">
        <v>220</v>
      </c>
      <c r="C61" t="s">
        <v>19</v>
      </c>
      <c r="D61" t="s">
        <v>709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72">
        <v>0</v>
      </c>
      <c r="AD61" s="72">
        <v>0</v>
      </c>
      <c r="AE61" s="72">
        <v>0</v>
      </c>
      <c r="AF61" s="73">
        <f t="shared" si="0"/>
        <v>0</v>
      </c>
      <c r="AG61" s="73">
        <f t="shared" si="0"/>
        <v>0</v>
      </c>
    </row>
    <row r="62" spans="1:33" ht="15.75">
      <c r="A62">
        <v>61</v>
      </c>
      <c r="B62" t="s">
        <v>224</v>
      </c>
      <c r="C62" t="s">
        <v>19</v>
      </c>
      <c r="D62" t="s">
        <v>709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72">
        <v>0</v>
      </c>
      <c r="AD62" s="72">
        <v>0</v>
      </c>
      <c r="AE62" s="72">
        <v>0</v>
      </c>
      <c r="AF62" s="73">
        <f t="shared" si="0"/>
        <v>0</v>
      </c>
      <c r="AG62" s="73">
        <f t="shared" si="0"/>
        <v>0</v>
      </c>
    </row>
    <row r="63" spans="1:33" ht="15.75">
      <c r="A63">
        <v>62</v>
      </c>
      <c r="B63" t="s">
        <v>227</v>
      </c>
      <c r="C63" t="s">
        <v>19</v>
      </c>
      <c r="D63" t="s">
        <v>709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72">
        <v>0</v>
      </c>
      <c r="AD63" s="72">
        <v>0</v>
      </c>
      <c r="AE63" s="72">
        <v>0</v>
      </c>
      <c r="AF63" s="73">
        <f t="shared" si="0"/>
        <v>0</v>
      </c>
      <c r="AG63" s="73">
        <f t="shared" si="0"/>
        <v>0</v>
      </c>
    </row>
    <row r="64" spans="1:33" ht="15.75">
      <c r="A64">
        <v>63</v>
      </c>
      <c r="B64" t="s">
        <v>230</v>
      </c>
      <c r="C64" t="s">
        <v>19</v>
      </c>
      <c r="D64" t="s">
        <v>709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72">
        <v>1</v>
      </c>
      <c r="AD64" s="72">
        <v>1</v>
      </c>
      <c r="AE64" s="72">
        <v>1</v>
      </c>
      <c r="AF64" s="73">
        <f t="shared" si="0"/>
        <v>1</v>
      </c>
      <c r="AG64" s="73">
        <f t="shared" si="0"/>
        <v>1</v>
      </c>
    </row>
    <row r="65" spans="1:33" ht="15.75">
      <c r="A65">
        <v>64</v>
      </c>
      <c r="B65" t="s">
        <v>232</v>
      </c>
      <c r="C65" t="s">
        <v>19</v>
      </c>
      <c r="D65" t="s">
        <v>709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72">
        <v>0</v>
      </c>
      <c r="AD65" s="72">
        <v>0</v>
      </c>
      <c r="AE65" s="72">
        <v>0</v>
      </c>
      <c r="AF65" s="73">
        <f t="shared" si="0"/>
        <v>0</v>
      </c>
      <c r="AG65" s="73">
        <f t="shared" si="0"/>
        <v>0</v>
      </c>
    </row>
    <row r="66" spans="1:33" ht="15.75">
      <c r="A66">
        <v>65</v>
      </c>
      <c r="B66" t="s">
        <v>235</v>
      </c>
      <c r="C66" t="s">
        <v>19</v>
      </c>
      <c r="D66" t="s">
        <v>709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72">
        <v>0.14000000000000001</v>
      </c>
      <c r="AD66" s="72">
        <v>0.14000000000000001</v>
      </c>
      <c r="AE66" s="72">
        <v>0.14000000000000001</v>
      </c>
      <c r="AF66" s="73">
        <f t="shared" si="0"/>
        <v>0.14000000000000001</v>
      </c>
      <c r="AG66" s="73">
        <f t="shared" si="0"/>
        <v>0.14000000000000001</v>
      </c>
    </row>
    <row r="67" spans="1:33" ht="15.75">
      <c r="A67">
        <v>66</v>
      </c>
      <c r="B67" t="s">
        <v>239</v>
      </c>
      <c r="C67" t="s">
        <v>19</v>
      </c>
      <c r="D67" t="s">
        <v>709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72">
        <v>1</v>
      </c>
      <c r="AD67" s="72">
        <v>1</v>
      </c>
      <c r="AE67" s="72">
        <v>1</v>
      </c>
      <c r="AF67" s="73">
        <f t="shared" ref="AF67:AG122" si="1">AE67</f>
        <v>1</v>
      </c>
      <c r="AG67" s="73">
        <f t="shared" si="1"/>
        <v>1</v>
      </c>
    </row>
    <row r="68" spans="1:33" ht="15.75">
      <c r="A68">
        <v>67</v>
      </c>
      <c r="B68" t="s">
        <v>242</v>
      </c>
      <c r="C68" t="s">
        <v>19</v>
      </c>
      <c r="D68" t="s">
        <v>709</v>
      </c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72">
        <v>0</v>
      </c>
      <c r="AD68" s="72">
        <v>0</v>
      </c>
      <c r="AE68" s="72">
        <v>0</v>
      </c>
      <c r="AF68" s="73">
        <f t="shared" si="1"/>
        <v>0</v>
      </c>
      <c r="AG68" s="73">
        <f t="shared" si="1"/>
        <v>0</v>
      </c>
    </row>
    <row r="69" spans="1:33" ht="15.75">
      <c r="A69">
        <v>68</v>
      </c>
      <c r="B69" t="s">
        <v>247</v>
      </c>
      <c r="C69" t="s">
        <v>19</v>
      </c>
      <c r="D69" t="s">
        <v>709</v>
      </c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72">
        <v>0</v>
      </c>
      <c r="AD69" s="72">
        <v>0</v>
      </c>
      <c r="AE69" s="72">
        <v>0</v>
      </c>
      <c r="AF69" s="73">
        <f t="shared" si="1"/>
        <v>0</v>
      </c>
      <c r="AG69" s="73">
        <f t="shared" si="1"/>
        <v>0</v>
      </c>
    </row>
    <row r="70" spans="1:33" ht="15.75">
      <c r="A70">
        <v>69</v>
      </c>
      <c r="B70" t="s">
        <v>250</v>
      </c>
      <c r="C70" t="s">
        <v>19</v>
      </c>
      <c r="D70" t="s">
        <v>709</v>
      </c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72">
        <v>0.6</v>
      </c>
      <c r="AD70" s="72">
        <v>0.6</v>
      </c>
      <c r="AE70" s="72">
        <v>0.6</v>
      </c>
      <c r="AF70" s="73">
        <f t="shared" si="1"/>
        <v>0.6</v>
      </c>
      <c r="AG70" s="73">
        <f t="shared" si="1"/>
        <v>0.6</v>
      </c>
    </row>
    <row r="71" spans="1:33" ht="15.75">
      <c r="A71">
        <v>70</v>
      </c>
      <c r="B71" t="s">
        <v>253</v>
      </c>
      <c r="C71" t="s">
        <v>19</v>
      </c>
      <c r="D71" t="s">
        <v>709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72">
        <v>1</v>
      </c>
      <c r="AD71" s="72">
        <v>1</v>
      </c>
      <c r="AE71" s="72">
        <v>1</v>
      </c>
      <c r="AF71" s="73">
        <f t="shared" si="1"/>
        <v>1</v>
      </c>
      <c r="AG71" s="73">
        <f t="shared" si="1"/>
        <v>1</v>
      </c>
    </row>
    <row r="72" spans="1:33" ht="15.75">
      <c r="A72">
        <v>71</v>
      </c>
      <c r="B72" t="s">
        <v>256</v>
      </c>
      <c r="C72" t="s">
        <v>19</v>
      </c>
      <c r="D72" t="s">
        <v>709</v>
      </c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72">
        <v>1</v>
      </c>
      <c r="AD72" s="72">
        <v>1</v>
      </c>
      <c r="AE72" s="72">
        <v>1</v>
      </c>
      <c r="AF72" s="73">
        <f t="shared" si="1"/>
        <v>1</v>
      </c>
      <c r="AG72" s="73">
        <f t="shared" si="1"/>
        <v>1</v>
      </c>
    </row>
    <row r="73" spans="1:33" ht="15.75">
      <c r="A73">
        <v>72</v>
      </c>
      <c r="B73" t="s">
        <v>258</v>
      </c>
      <c r="C73" t="s">
        <v>19</v>
      </c>
      <c r="D73" t="s">
        <v>709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72">
        <v>0</v>
      </c>
      <c r="AD73" s="72">
        <v>0</v>
      </c>
      <c r="AE73" s="72">
        <v>0</v>
      </c>
      <c r="AF73" s="73">
        <f t="shared" si="1"/>
        <v>0</v>
      </c>
      <c r="AG73" s="73">
        <f t="shared" si="1"/>
        <v>0</v>
      </c>
    </row>
    <row r="74" spans="1:33" ht="15.75">
      <c r="A74">
        <v>73</v>
      </c>
      <c r="B74" t="s">
        <v>261</v>
      </c>
      <c r="C74" t="s">
        <v>19</v>
      </c>
      <c r="D74" t="s">
        <v>709</v>
      </c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72">
        <v>1</v>
      </c>
      <c r="AD74" s="72">
        <v>1</v>
      </c>
      <c r="AE74" s="72">
        <v>1</v>
      </c>
      <c r="AF74" s="73">
        <f t="shared" si="1"/>
        <v>1</v>
      </c>
      <c r="AG74" s="73">
        <f t="shared" si="1"/>
        <v>1</v>
      </c>
    </row>
    <row r="75" spans="1:33" ht="15.75">
      <c r="A75">
        <v>74</v>
      </c>
      <c r="B75" t="s">
        <v>265</v>
      </c>
      <c r="C75" t="s">
        <v>19</v>
      </c>
      <c r="D75" t="s">
        <v>709</v>
      </c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72">
        <v>1</v>
      </c>
      <c r="AD75" s="72">
        <v>1</v>
      </c>
      <c r="AE75" s="72">
        <v>1</v>
      </c>
      <c r="AF75" s="73">
        <f t="shared" si="1"/>
        <v>1</v>
      </c>
      <c r="AG75" s="73">
        <f t="shared" si="1"/>
        <v>1</v>
      </c>
    </row>
    <row r="76" spans="1:33" ht="15.75">
      <c r="A76">
        <v>75</v>
      </c>
      <c r="B76" t="s">
        <v>269</v>
      </c>
      <c r="C76" t="s">
        <v>19</v>
      </c>
      <c r="D76" t="s">
        <v>709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72">
        <v>0.46</v>
      </c>
      <c r="AD76" s="72">
        <v>0.46</v>
      </c>
      <c r="AE76" s="72">
        <v>0.46</v>
      </c>
      <c r="AF76" s="73">
        <f t="shared" si="1"/>
        <v>0.46</v>
      </c>
      <c r="AG76" s="73">
        <f t="shared" si="1"/>
        <v>0.46</v>
      </c>
    </row>
    <row r="77" spans="1:33" ht="15.75">
      <c r="A77">
        <v>76</v>
      </c>
      <c r="B77" t="s">
        <v>273</v>
      </c>
      <c r="C77" t="s">
        <v>19</v>
      </c>
      <c r="D77" t="s">
        <v>709</v>
      </c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72">
        <v>1</v>
      </c>
      <c r="AD77" s="72">
        <v>1</v>
      </c>
      <c r="AE77" s="72">
        <v>1</v>
      </c>
      <c r="AF77" s="73">
        <f t="shared" si="1"/>
        <v>1</v>
      </c>
      <c r="AG77" s="73">
        <f t="shared" si="1"/>
        <v>1</v>
      </c>
    </row>
    <row r="78" spans="1:33" ht="15.75">
      <c r="A78">
        <v>77</v>
      </c>
      <c r="B78" t="s">
        <v>276</v>
      </c>
      <c r="C78" t="s">
        <v>19</v>
      </c>
      <c r="D78" t="s">
        <v>709</v>
      </c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72">
        <v>1</v>
      </c>
      <c r="AD78" s="72">
        <v>1</v>
      </c>
      <c r="AE78" s="72">
        <v>1</v>
      </c>
      <c r="AF78" s="73">
        <f t="shared" si="1"/>
        <v>1</v>
      </c>
      <c r="AG78" s="73">
        <f t="shared" si="1"/>
        <v>1</v>
      </c>
    </row>
    <row r="79" spans="1:33" ht="15.75">
      <c r="A79">
        <v>78</v>
      </c>
      <c r="B79" t="s">
        <v>278</v>
      </c>
      <c r="C79" t="s">
        <v>19</v>
      </c>
      <c r="D79" t="s">
        <v>709</v>
      </c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72">
        <v>0</v>
      </c>
      <c r="AD79" s="72">
        <v>0</v>
      </c>
      <c r="AE79" s="72">
        <v>0</v>
      </c>
      <c r="AF79" s="73">
        <f t="shared" si="1"/>
        <v>0</v>
      </c>
      <c r="AG79" s="73">
        <f t="shared" si="1"/>
        <v>0</v>
      </c>
    </row>
    <row r="80" spans="1:33" ht="15.75">
      <c r="A80">
        <v>79</v>
      </c>
      <c r="B80" t="s">
        <v>280</v>
      </c>
      <c r="C80" t="s">
        <v>19</v>
      </c>
      <c r="D80" t="s">
        <v>709</v>
      </c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72">
        <v>0</v>
      </c>
      <c r="AD80" s="72">
        <v>0</v>
      </c>
      <c r="AE80" s="72">
        <v>0</v>
      </c>
      <c r="AF80" s="73">
        <f t="shared" si="1"/>
        <v>0</v>
      </c>
      <c r="AG80" s="73">
        <f t="shared" si="1"/>
        <v>0</v>
      </c>
    </row>
    <row r="81" spans="1:33" ht="15.75">
      <c r="A81">
        <v>80</v>
      </c>
      <c r="B81" t="s">
        <v>282</v>
      </c>
      <c r="C81" t="s">
        <v>19</v>
      </c>
      <c r="D81" t="s">
        <v>709</v>
      </c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72">
        <v>0</v>
      </c>
      <c r="AD81" s="72">
        <v>0</v>
      </c>
      <c r="AE81" s="72">
        <v>0</v>
      </c>
      <c r="AF81" s="73">
        <f t="shared" si="1"/>
        <v>0</v>
      </c>
      <c r="AG81" s="73">
        <f t="shared" si="1"/>
        <v>0</v>
      </c>
    </row>
    <row r="82" spans="1:33" ht="15.75">
      <c r="A82">
        <v>81</v>
      </c>
      <c r="B82" t="s">
        <v>285</v>
      </c>
      <c r="C82" t="s">
        <v>19</v>
      </c>
      <c r="D82" t="s">
        <v>709</v>
      </c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72">
        <v>0</v>
      </c>
      <c r="AD82" s="72">
        <v>0</v>
      </c>
      <c r="AE82" s="72">
        <v>0</v>
      </c>
      <c r="AF82" s="73">
        <f t="shared" si="1"/>
        <v>0</v>
      </c>
      <c r="AG82" s="73">
        <f t="shared" si="1"/>
        <v>0</v>
      </c>
    </row>
    <row r="83" spans="1:33" ht="15.75">
      <c r="A83">
        <v>82</v>
      </c>
      <c r="B83" t="s">
        <v>287</v>
      </c>
      <c r="C83" t="s">
        <v>19</v>
      </c>
      <c r="D83" t="s">
        <v>709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72">
        <v>0</v>
      </c>
      <c r="AD83" s="72">
        <v>0</v>
      </c>
      <c r="AE83" s="72">
        <v>0</v>
      </c>
      <c r="AF83" s="73">
        <f t="shared" si="1"/>
        <v>0</v>
      </c>
      <c r="AG83" s="73">
        <f t="shared" si="1"/>
        <v>0</v>
      </c>
    </row>
    <row r="84" spans="1:33" ht="15.75">
      <c r="A84">
        <v>83</v>
      </c>
      <c r="B84" t="s">
        <v>290</v>
      </c>
      <c r="C84" t="s">
        <v>19</v>
      </c>
      <c r="D84" t="s">
        <v>709</v>
      </c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72">
        <v>1</v>
      </c>
      <c r="AD84" s="72">
        <v>1</v>
      </c>
      <c r="AE84" s="72">
        <v>1</v>
      </c>
      <c r="AF84" s="73">
        <f t="shared" si="1"/>
        <v>1</v>
      </c>
      <c r="AG84" s="73">
        <f t="shared" si="1"/>
        <v>1</v>
      </c>
    </row>
    <row r="85" spans="1:33" ht="15.75">
      <c r="A85">
        <v>84</v>
      </c>
      <c r="B85" t="s">
        <v>292</v>
      </c>
      <c r="C85" t="s">
        <v>19</v>
      </c>
      <c r="D85" t="s">
        <v>709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72">
        <v>0</v>
      </c>
      <c r="AD85" s="72">
        <v>0</v>
      </c>
      <c r="AE85" s="72">
        <v>0</v>
      </c>
      <c r="AF85" s="73">
        <f t="shared" si="1"/>
        <v>0</v>
      </c>
      <c r="AG85" s="73">
        <f t="shared" si="1"/>
        <v>0</v>
      </c>
    </row>
    <row r="86" spans="1:33" ht="15.75">
      <c r="A86">
        <v>85</v>
      </c>
      <c r="B86" t="s">
        <v>295</v>
      </c>
      <c r="C86" t="s">
        <v>19</v>
      </c>
      <c r="D86" t="s">
        <v>709</v>
      </c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72">
        <v>1</v>
      </c>
      <c r="AD86" s="72">
        <v>1</v>
      </c>
      <c r="AE86" s="72">
        <v>1</v>
      </c>
      <c r="AF86" s="73">
        <f t="shared" si="1"/>
        <v>1</v>
      </c>
      <c r="AG86" s="73">
        <f t="shared" si="1"/>
        <v>1</v>
      </c>
    </row>
    <row r="87" spans="1:33" ht="15.75">
      <c r="A87">
        <v>86</v>
      </c>
      <c r="B87" t="s">
        <v>298</v>
      </c>
      <c r="C87" t="s">
        <v>19</v>
      </c>
      <c r="D87" t="s">
        <v>709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72">
        <v>0</v>
      </c>
      <c r="AD87" s="72">
        <v>0</v>
      </c>
      <c r="AE87" s="72">
        <v>0</v>
      </c>
      <c r="AF87" s="73">
        <f t="shared" si="1"/>
        <v>0</v>
      </c>
      <c r="AG87" s="73">
        <f t="shared" si="1"/>
        <v>0</v>
      </c>
    </row>
    <row r="88" spans="1:33" ht="15.75">
      <c r="A88">
        <v>87</v>
      </c>
      <c r="B88" t="s">
        <v>302</v>
      </c>
      <c r="C88" t="s">
        <v>19</v>
      </c>
      <c r="D88" t="s">
        <v>709</v>
      </c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72">
        <v>0</v>
      </c>
      <c r="AD88" s="72">
        <v>0</v>
      </c>
      <c r="AE88" s="72">
        <v>0</v>
      </c>
      <c r="AF88" s="73">
        <f t="shared" si="1"/>
        <v>0</v>
      </c>
      <c r="AG88" s="73">
        <f t="shared" si="1"/>
        <v>0</v>
      </c>
    </row>
    <row r="89" spans="1:33" ht="15.75">
      <c r="A89">
        <v>88</v>
      </c>
      <c r="B89" t="s">
        <v>305</v>
      </c>
      <c r="C89" t="s">
        <v>19</v>
      </c>
      <c r="D89" t="s">
        <v>709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72">
        <v>0</v>
      </c>
      <c r="AD89" s="72">
        <v>0</v>
      </c>
      <c r="AE89" s="72">
        <v>0</v>
      </c>
      <c r="AF89" s="73">
        <f t="shared" si="1"/>
        <v>0</v>
      </c>
      <c r="AG89" s="73">
        <f t="shared" si="1"/>
        <v>0</v>
      </c>
    </row>
    <row r="90" spans="1:33" ht="15.75">
      <c r="A90">
        <v>89</v>
      </c>
      <c r="B90" t="s">
        <v>308</v>
      </c>
      <c r="C90" t="s">
        <v>19</v>
      </c>
      <c r="D90" t="s">
        <v>709</v>
      </c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72">
        <v>0</v>
      </c>
      <c r="AD90" s="72">
        <v>0</v>
      </c>
      <c r="AE90" s="72">
        <v>0</v>
      </c>
      <c r="AF90" s="73">
        <f t="shared" si="1"/>
        <v>0</v>
      </c>
      <c r="AG90" s="73">
        <f t="shared" si="1"/>
        <v>0</v>
      </c>
    </row>
    <row r="91" spans="1:33" ht="15.75">
      <c r="A91">
        <v>90</v>
      </c>
      <c r="B91" t="s">
        <v>311</v>
      </c>
      <c r="C91" t="s">
        <v>19</v>
      </c>
      <c r="D91" t="s">
        <v>709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72">
        <v>0</v>
      </c>
      <c r="AD91" s="72">
        <v>0</v>
      </c>
      <c r="AE91" s="72">
        <v>0</v>
      </c>
      <c r="AF91" s="73">
        <f t="shared" si="1"/>
        <v>0</v>
      </c>
      <c r="AG91" s="73">
        <f t="shared" si="1"/>
        <v>0</v>
      </c>
    </row>
    <row r="92" spans="1:33" ht="15.75">
      <c r="A92">
        <v>91</v>
      </c>
      <c r="B92" t="s">
        <v>314</v>
      </c>
      <c r="C92" t="s">
        <v>19</v>
      </c>
      <c r="D92" t="s">
        <v>709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72">
        <v>0</v>
      </c>
      <c r="AD92" s="72">
        <v>0</v>
      </c>
      <c r="AE92" s="72">
        <v>0</v>
      </c>
      <c r="AF92" s="73">
        <f t="shared" si="1"/>
        <v>0</v>
      </c>
      <c r="AG92" s="73">
        <f t="shared" si="1"/>
        <v>0</v>
      </c>
    </row>
    <row r="93" spans="1:33" ht="15.75">
      <c r="A93">
        <v>92</v>
      </c>
      <c r="B93" t="s">
        <v>317</v>
      </c>
      <c r="C93" t="s">
        <v>19</v>
      </c>
      <c r="D93" t="s">
        <v>709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72">
        <v>0</v>
      </c>
      <c r="AD93" s="72">
        <v>0</v>
      </c>
      <c r="AE93" s="72">
        <v>0</v>
      </c>
      <c r="AF93" s="73">
        <f t="shared" si="1"/>
        <v>0</v>
      </c>
      <c r="AG93" s="73">
        <f t="shared" si="1"/>
        <v>0</v>
      </c>
    </row>
    <row r="94" spans="1:33" ht="15.75">
      <c r="A94">
        <v>93</v>
      </c>
      <c r="B94" t="s">
        <v>320</v>
      </c>
      <c r="C94" t="s">
        <v>19</v>
      </c>
      <c r="D94" t="s">
        <v>709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72">
        <v>0</v>
      </c>
      <c r="AD94" s="72">
        <v>0</v>
      </c>
      <c r="AE94" s="72">
        <v>0</v>
      </c>
      <c r="AF94" s="73">
        <f t="shared" si="1"/>
        <v>0</v>
      </c>
      <c r="AG94" s="73">
        <f t="shared" si="1"/>
        <v>0</v>
      </c>
    </row>
    <row r="95" spans="1:33" ht="15.75">
      <c r="A95">
        <v>94</v>
      </c>
      <c r="B95" t="s">
        <v>323</v>
      </c>
      <c r="C95" t="s">
        <v>19</v>
      </c>
      <c r="D95" t="s">
        <v>709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72">
        <v>0</v>
      </c>
      <c r="AD95" s="72">
        <v>0</v>
      </c>
      <c r="AE95" s="72">
        <v>0</v>
      </c>
      <c r="AF95" s="73">
        <f t="shared" si="1"/>
        <v>0</v>
      </c>
      <c r="AG95" s="73">
        <f t="shared" si="1"/>
        <v>0</v>
      </c>
    </row>
    <row r="96" spans="1:33" ht="15.75">
      <c r="A96">
        <v>95</v>
      </c>
      <c r="B96" t="s">
        <v>326</v>
      </c>
      <c r="C96" t="s">
        <v>19</v>
      </c>
      <c r="D96" t="s">
        <v>709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72">
        <v>0</v>
      </c>
      <c r="AD96" s="72">
        <v>0</v>
      </c>
      <c r="AE96" s="72">
        <v>0</v>
      </c>
      <c r="AF96" s="73">
        <f t="shared" si="1"/>
        <v>0</v>
      </c>
      <c r="AG96" s="73">
        <f t="shared" si="1"/>
        <v>0</v>
      </c>
    </row>
    <row r="97" spans="1:33" ht="15.75">
      <c r="A97">
        <v>96</v>
      </c>
      <c r="B97" t="s">
        <v>329</v>
      </c>
      <c r="C97" t="s">
        <v>19</v>
      </c>
      <c r="D97" t="s">
        <v>709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72">
        <v>0</v>
      </c>
      <c r="AD97" s="72">
        <v>0</v>
      </c>
      <c r="AE97" s="72">
        <v>0</v>
      </c>
      <c r="AF97" s="73">
        <f t="shared" si="1"/>
        <v>0</v>
      </c>
      <c r="AG97" s="73">
        <f t="shared" si="1"/>
        <v>0</v>
      </c>
    </row>
    <row r="98" spans="1:33" ht="15.75">
      <c r="A98">
        <v>97</v>
      </c>
      <c r="B98" t="s">
        <v>332</v>
      </c>
      <c r="C98" t="s">
        <v>19</v>
      </c>
      <c r="D98" t="s">
        <v>709</v>
      </c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72">
        <v>0</v>
      </c>
      <c r="AD98" s="72">
        <v>0</v>
      </c>
      <c r="AE98" s="72">
        <v>0</v>
      </c>
      <c r="AF98" s="73">
        <f t="shared" si="1"/>
        <v>0</v>
      </c>
      <c r="AG98" s="73">
        <f t="shared" si="1"/>
        <v>0</v>
      </c>
    </row>
    <row r="99" spans="1:33" ht="15.75">
      <c r="A99">
        <v>98</v>
      </c>
      <c r="B99" t="s">
        <v>336</v>
      </c>
      <c r="C99" t="s">
        <v>19</v>
      </c>
      <c r="D99" t="s">
        <v>709</v>
      </c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72">
        <v>1</v>
      </c>
      <c r="AD99" s="72">
        <v>1</v>
      </c>
      <c r="AE99" s="72">
        <v>1</v>
      </c>
      <c r="AF99" s="73">
        <f t="shared" si="1"/>
        <v>1</v>
      </c>
      <c r="AG99" s="73">
        <f t="shared" si="1"/>
        <v>1</v>
      </c>
    </row>
    <row r="100" spans="1:33" ht="15.75">
      <c r="A100">
        <v>99</v>
      </c>
      <c r="B100" t="s">
        <v>338</v>
      </c>
      <c r="C100" t="s">
        <v>19</v>
      </c>
      <c r="D100" t="s">
        <v>709</v>
      </c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72">
        <v>1</v>
      </c>
      <c r="AD100" s="72">
        <v>1</v>
      </c>
      <c r="AE100" s="72">
        <v>1</v>
      </c>
      <c r="AF100" s="73">
        <f t="shared" si="1"/>
        <v>1</v>
      </c>
      <c r="AG100" s="73">
        <f t="shared" si="1"/>
        <v>1</v>
      </c>
    </row>
    <row r="101" spans="1:33" ht="15.75">
      <c r="A101">
        <v>100</v>
      </c>
      <c r="B101" t="s">
        <v>340</v>
      </c>
      <c r="C101" t="s">
        <v>19</v>
      </c>
      <c r="D101" t="s">
        <v>709</v>
      </c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72">
        <v>1</v>
      </c>
      <c r="AD101" s="72">
        <v>1</v>
      </c>
      <c r="AE101" s="72">
        <v>1</v>
      </c>
      <c r="AF101" s="73">
        <f t="shared" si="1"/>
        <v>1</v>
      </c>
      <c r="AG101" s="73">
        <f t="shared" si="1"/>
        <v>1</v>
      </c>
    </row>
    <row r="102" spans="1:33" ht="15.75">
      <c r="A102">
        <v>101</v>
      </c>
      <c r="B102" t="s">
        <v>343</v>
      </c>
      <c r="C102" t="s">
        <v>19</v>
      </c>
      <c r="D102" t="s">
        <v>709</v>
      </c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72">
        <v>1</v>
      </c>
      <c r="AD102" s="72">
        <v>1</v>
      </c>
      <c r="AE102" s="72">
        <v>1</v>
      </c>
      <c r="AF102" s="73">
        <f t="shared" si="1"/>
        <v>1</v>
      </c>
      <c r="AG102" s="73">
        <f t="shared" si="1"/>
        <v>1</v>
      </c>
    </row>
    <row r="103" spans="1:33" ht="15.75">
      <c r="A103">
        <v>102</v>
      </c>
      <c r="B103" t="s">
        <v>345</v>
      </c>
      <c r="C103" t="s">
        <v>19</v>
      </c>
      <c r="D103" t="s">
        <v>709</v>
      </c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72">
        <v>0</v>
      </c>
      <c r="AD103" s="72">
        <v>0</v>
      </c>
      <c r="AE103" s="72">
        <v>0</v>
      </c>
      <c r="AF103" s="73">
        <f t="shared" si="1"/>
        <v>0</v>
      </c>
      <c r="AG103" s="73">
        <f t="shared" si="1"/>
        <v>0</v>
      </c>
    </row>
    <row r="104" spans="1:33" ht="15.75">
      <c r="A104">
        <v>103</v>
      </c>
      <c r="B104" t="s">
        <v>349</v>
      </c>
      <c r="C104" t="s">
        <v>19</v>
      </c>
      <c r="D104" t="s">
        <v>709</v>
      </c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72">
        <v>1</v>
      </c>
      <c r="AD104" s="72">
        <v>1</v>
      </c>
      <c r="AE104" s="72">
        <v>1</v>
      </c>
      <c r="AF104" s="73">
        <f t="shared" si="1"/>
        <v>1</v>
      </c>
      <c r="AG104" s="73">
        <f t="shared" si="1"/>
        <v>1</v>
      </c>
    </row>
    <row r="105" spans="1:33" ht="15.75">
      <c r="A105">
        <v>104</v>
      </c>
      <c r="B105" t="s">
        <v>352</v>
      </c>
      <c r="C105" t="s">
        <v>19</v>
      </c>
      <c r="D105" t="s">
        <v>709</v>
      </c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72">
        <v>0</v>
      </c>
      <c r="AD105" s="72">
        <v>0</v>
      </c>
      <c r="AE105" s="72">
        <v>0</v>
      </c>
      <c r="AF105" s="73">
        <f t="shared" si="1"/>
        <v>0</v>
      </c>
      <c r="AG105" s="73">
        <f t="shared" si="1"/>
        <v>0</v>
      </c>
    </row>
    <row r="106" spans="1:33" ht="15.75">
      <c r="A106">
        <v>105</v>
      </c>
      <c r="B106" t="s">
        <v>356</v>
      </c>
      <c r="C106" t="s">
        <v>19</v>
      </c>
      <c r="D106" t="s">
        <v>709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72">
        <v>0.5</v>
      </c>
      <c r="AD106" s="72">
        <v>0.5</v>
      </c>
      <c r="AE106" s="72">
        <v>0.5</v>
      </c>
      <c r="AF106" s="73">
        <f t="shared" si="1"/>
        <v>0.5</v>
      </c>
      <c r="AG106" s="73">
        <f t="shared" si="1"/>
        <v>0.5</v>
      </c>
    </row>
    <row r="107" spans="1:33" ht="15.75">
      <c r="A107">
        <v>106</v>
      </c>
      <c r="B107" t="s">
        <v>359</v>
      </c>
      <c r="C107" t="s">
        <v>19</v>
      </c>
      <c r="D107" t="s">
        <v>709</v>
      </c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72">
        <v>1</v>
      </c>
      <c r="AD107" s="72">
        <v>1</v>
      </c>
      <c r="AE107" s="72">
        <v>1</v>
      </c>
      <c r="AF107" s="73">
        <f t="shared" si="1"/>
        <v>1</v>
      </c>
      <c r="AG107" s="73">
        <f t="shared" si="1"/>
        <v>1</v>
      </c>
    </row>
    <row r="108" spans="1:33" ht="15.75">
      <c r="A108">
        <v>107</v>
      </c>
      <c r="B108" t="s">
        <v>362</v>
      </c>
      <c r="C108" t="s">
        <v>19</v>
      </c>
      <c r="D108" t="s">
        <v>709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72">
        <v>1</v>
      </c>
      <c r="AD108" s="72">
        <v>1</v>
      </c>
      <c r="AE108" s="72">
        <v>1</v>
      </c>
      <c r="AF108" s="73">
        <f t="shared" si="1"/>
        <v>1</v>
      </c>
      <c r="AG108" s="73">
        <f t="shared" si="1"/>
        <v>1</v>
      </c>
    </row>
    <row r="109" spans="1:33" ht="15.75">
      <c r="A109">
        <v>108</v>
      </c>
      <c r="B109" t="s">
        <v>365</v>
      </c>
      <c r="C109" t="s">
        <v>19</v>
      </c>
      <c r="D109" t="s">
        <v>709</v>
      </c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72">
        <v>1</v>
      </c>
      <c r="AD109" s="72">
        <v>1</v>
      </c>
      <c r="AE109" s="72">
        <v>1</v>
      </c>
      <c r="AF109" s="73">
        <f t="shared" si="1"/>
        <v>1</v>
      </c>
      <c r="AG109" s="73">
        <f t="shared" si="1"/>
        <v>1</v>
      </c>
    </row>
    <row r="110" spans="1:33" ht="15.75">
      <c r="A110">
        <v>109</v>
      </c>
      <c r="B110" t="s">
        <v>369</v>
      </c>
      <c r="C110" t="s">
        <v>19</v>
      </c>
      <c r="D110" t="s">
        <v>709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72">
        <v>0</v>
      </c>
      <c r="AD110" s="72">
        <v>0</v>
      </c>
      <c r="AE110" s="72">
        <v>0</v>
      </c>
      <c r="AF110" s="73">
        <f t="shared" si="1"/>
        <v>0</v>
      </c>
      <c r="AG110" s="73">
        <f t="shared" si="1"/>
        <v>0</v>
      </c>
    </row>
    <row r="111" spans="1:33" ht="15.75">
      <c r="A111">
        <v>110</v>
      </c>
      <c r="B111" t="s">
        <v>372</v>
      </c>
      <c r="C111" t="s">
        <v>19</v>
      </c>
      <c r="D111" t="s">
        <v>709</v>
      </c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72">
        <v>1</v>
      </c>
      <c r="AD111" s="72">
        <v>1</v>
      </c>
      <c r="AE111" s="72">
        <v>1</v>
      </c>
      <c r="AF111" s="73">
        <f t="shared" si="1"/>
        <v>1</v>
      </c>
      <c r="AG111" s="73">
        <f t="shared" si="1"/>
        <v>1</v>
      </c>
    </row>
    <row r="112" spans="1:33" ht="15.75">
      <c r="A112">
        <v>111</v>
      </c>
      <c r="B112" t="s">
        <v>374</v>
      </c>
      <c r="C112" t="s">
        <v>19</v>
      </c>
      <c r="D112" t="s">
        <v>709</v>
      </c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72">
        <v>0</v>
      </c>
      <c r="AD112" s="72">
        <v>0</v>
      </c>
      <c r="AE112" s="72">
        <v>0</v>
      </c>
      <c r="AF112" s="73">
        <f t="shared" si="1"/>
        <v>0</v>
      </c>
      <c r="AG112" s="73">
        <f t="shared" si="1"/>
        <v>0</v>
      </c>
    </row>
    <row r="113" spans="1:33" ht="15.75">
      <c r="A113">
        <v>112</v>
      </c>
      <c r="B113" t="s">
        <v>377</v>
      </c>
      <c r="C113" t="s">
        <v>19</v>
      </c>
      <c r="D113" t="s">
        <v>709</v>
      </c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72">
        <v>1</v>
      </c>
      <c r="AD113" s="72">
        <v>1</v>
      </c>
      <c r="AE113" s="72">
        <v>1</v>
      </c>
      <c r="AF113" s="73">
        <f t="shared" si="1"/>
        <v>1</v>
      </c>
      <c r="AG113" s="73">
        <f t="shared" si="1"/>
        <v>1</v>
      </c>
    </row>
    <row r="114" spans="1:33" ht="15.75">
      <c r="A114">
        <v>113</v>
      </c>
      <c r="B114" t="s">
        <v>381</v>
      </c>
      <c r="C114" t="s">
        <v>19</v>
      </c>
      <c r="D114" t="s">
        <v>709</v>
      </c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72">
        <v>1</v>
      </c>
      <c r="AD114" s="72">
        <v>1</v>
      </c>
      <c r="AE114" s="72">
        <v>1</v>
      </c>
      <c r="AF114" s="73">
        <f t="shared" si="1"/>
        <v>1</v>
      </c>
      <c r="AG114" s="73">
        <f t="shared" si="1"/>
        <v>1</v>
      </c>
    </row>
    <row r="115" spans="1:33" ht="15.75">
      <c r="A115">
        <v>114</v>
      </c>
      <c r="B115" t="s">
        <v>385</v>
      </c>
      <c r="C115" t="s">
        <v>19</v>
      </c>
      <c r="D115" t="s">
        <v>709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72">
        <v>0</v>
      </c>
      <c r="AD115" s="72">
        <v>0</v>
      </c>
      <c r="AE115" s="72">
        <v>0</v>
      </c>
      <c r="AF115" s="73">
        <f t="shared" si="1"/>
        <v>0</v>
      </c>
      <c r="AG115" s="73">
        <f t="shared" si="1"/>
        <v>0</v>
      </c>
    </row>
    <row r="116" spans="1:33" ht="15.75">
      <c r="A116">
        <v>115</v>
      </c>
      <c r="B116" t="s">
        <v>387</v>
      </c>
      <c r="C116" t="s">
        <v>19</v>
      </c>
      <c r="D116" t="s">
        <v>709</v>
      </c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72">
        <v>0</v>
      </c>
      <c r="AD116" s="72">
        <v>0</v>
      </c>
      <c r="AE116" s="72">
        <v>0</v>
      </c>
      <c r="AF116" s="73">
        <f t="shared" si="1"/>
        <v>0</v>
      </c>
      <c r="AG116" s="73">
        <f t="shared" si="1"/>
        <v>0</v>
      </c>
    </row>
    <row r="117" spans="1:33" ht="15.75">
      <c r="A117">
        <v>116</v>
      </c>
      <c r="B117" t="s">
        <v>389</v>
      </c>
      <c r="C117" t="s">
        <v>19</v>
      </c>
      <c r="D117" t="s">
        <v>709</v>
      </c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72">
        <v>1</v>
      </c>
      <c r="AD117" s="72">
        <v>1</v>
      </c>
      <c r="AE117" s="72">
        <v>1</v>
      </c>
      <c r="AF117" s="73">
        <f t="shared" si="1"/>
        <v>1</v>
      </c>
      <c r="AG117" s="73">
        <f t="shared" si="1"/>
        <v>1</v>
      </c>
    </row>
    <row r="118" spans="1:33" ht="15.75">
      <c r="A118">
        <v>117</v>
      </c>
      <c r="B118" t="s">
        <v>392</v>
      </c>
      <c r="C118" t="s">
        <v>19</v>
      </c>
      <c r="D118" t="s">
        <v>709</v>
      </c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72">
        <v>0</v>
      </c>
      <c r="AD118" s="72">
        <v>0</v>
      </c>
      <c r="AE118" s="72">
        <v>0</v>
      </c>
      <c r="AF118" s="73">
        <f t="shared" si="1"/>
        <v>0</v>
      </c>
      <c r="AG118" s="73">
        <f t="shared" si="1"/>
        <v>0</v>
      </c>
    </row>
    <row r="119" spans="1:33" ht="15.75">
      <c r="A119">
        <v>118</v>
      </c>
      <c r="B119" t="s">
        <v>395</v>
      </c>
      <c r="C119" t="s">
        <v>19</v>
      </c>
      <c r="D119" t="s">
        <v>709</v>
      </c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72">
        <v>0</v>
      </c>
      <c r="AD119" s="72">
        <v>0</v>
      </c>
      <c r="AE119" s="72">
        <v>0</v>
      </c>
      <c r="AF119" s="73">
        <f t="shared" si="1"/>
        <v>0</v>
      </c>
      <c r="AG119" s="73">
        <f t="shared" si="1"/>
        <v>0</v>
      </c>
    </row>
    <row r="120" spans="1:33" ht="15.75">
      <c r="A120">
        <v>119</v>
      </c>
      <c r="B120" t="s">
        <v>398</v>
      </c>
      <c r="C120" t="s">
        <v>19</v>
      </c>
      <c r="D120" t="s">
        <v>709</v>
      </c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72">
        <v>0</v>
      </c>
      <c r="AD120" s="72">
        <v>0</v>
      </c>
      <c r="AE120" s="72">
        <v>0</v>
      </c>
      <c r="AF120" s="73">
        <f t="shared" si="1"/>
        <v>0</v>
      </c>
      <c r="AG120" s="73">
        <f t="shared" si="1"/>
        <v>0</v>
      </c>
    </row>
    <row r="121" spans="1:33" ht="15.75">
      <c r="A121">
        <v>120</v>
      </c>
      <c r="B121" t="s">
        <v>402</v>
      </c>
      <c r="C121" t="s">
        <v>19</v>
      </c>
      <c r="D121" t="s">
        <v>709</v>
      </c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72">
        <v>0</v>
      </c>
      <c r="AD121" s="72">
        <v>0</v>
      </c>
      <c r="AE121" s="72">
        <v>0</v>
      </c>
      <c r="AF121" s="73">
        <f t="shared" si="1"/>
        <v>0</v>
      </c>
      <c r="AG121" s="73">
        <f t="shared" si="1"/>
        <v>0</v>
      </c>
    </row>
    <row r="122" spans="1:33" ht="15.75">
      <c r="A122">
        <v>121</v>
      </c>
      <c r="B122" t="s">
        <v>405</v>
      </c>
      <c r="C122" t="s">
        <v>19</v>
      </c>
      <c r="D122" t="s">
        <v>709</v>
      </c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72">
        <v>0</v>
      </c>
      <c r="AD122" s="72">
        <v>0</v>
      </c>
      <c r="AE122" s="72">
        <v>0</v>
      </c>
      <c r="AF122" s="73">
        <f t="shared" si="1"/>
        <v>0</v>
      </c>
      <c r="AG122" s="73">
        <f t="shared" si="1"/>
        <v>0</v>
      </c>
    </row>
    <row r="123" spans="1:33">
      <c r="A123">
        <v>122</v>
      </c>
      <c r="B123" s="14" t="s">
        <v>408</v>
      </c>
      <c r="C123" s="14" t="s">
        <v>410</v>
      </c>
      <c r="D123" t="s">
        <v>709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3">
      <c r="A124">
        <v>123</v>
      </c>
      <c r="B124" s="14" t="s">
        <v>412</v>
      </c>
      <c r="C124" s="14" t="s">
        <v>414</v>
      </c>
      <c r="D124" t="s">
        <v>709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3">
      <c r="A125">
        <v>124</v>
      </c>
      <c r="B125" s="14" t="s">
        <v>416</v>
      </c>
      <c r="C125" s="14" t="s">
        <v>418</v>
      </c>
      <c r="D125" t="s">
        <v>709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3">
      <c r="A126">
        <v>125</v>
      </c>
      <c r="B126" s="14" t="s">
        <v>420</v>
      </c>
      <c r="C126" s="14" t="s">
        <v>421</v>
      </c>
      <c r="D126" t="s">
        <v>709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1:33">
      <c r="A127">
        <v>126</v>
      </c>
      <c r="B127" s="14" t="s">
        <v>423</v>
      </c>
      <c r="C127" s="14" t="s">
        <v>425</v>
      </c>
      <c r="D127" t="s">
        <v>709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3">
      <c r="A128">
        <v>127</v>
      </c>
      <c r="B128" s="14" t="s">
        <v>427</v>
      </c>
      <c r="C128" s="14" t="s">
        <v>428</v>
      </c>
      <c r="D128" t="s">
        <v>709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1:32">
      <c r="A129">
        <v>128</v>
      </c>
      <c r="B129" s="14" t="s">
        <v>430</v>
      </c>
      <c r="C129" s="14" t="s">
        <v>410</v>
      </c>
      <c r="D129" t="s">
        <v>709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1:32">
      <c r="A130">
        <v>129</v>
      </c>
      <c r="B130" s="14" t="s">
        <v>431</v>
      </c>
      <c r="C130" s="14" t="s">
        <v>433</v>
      </c>
      <c r="D130" t="s">
        <v>709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1:32">
      <c r="A131">
        <v>130</v>
      </c>
      <c r="B131" s="14" t="s">
        <v>435</v>
      </c>
      <c r="C131" s="14" t="s">
        <v>410</v>
      </c>
      <c r="D131" t="s">
        <v>709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>
      <c r="A132">
        <v>131</v>
      </c>
      <c r="B132" s="14" t="s">
        <v>437</v>
      </c>
      <c r="C132" s="14" t="s">
        <v>438</v>
      </c>
      <c r="D132" t="s">
        <v>709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32">
      <c r="A133">
        <v>132</v>
      </c>
      <c r="B133" s="14" t="s">
        <v>440</v>
      </c>
      <c r="C133" s="14" t="s">
        <v>441</v>
      </c>
      <c r="D133" t="s">
        <v>709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32">
      <c r="A134">
        <v>133</v>
      </c>
      <c r="B134" s="14" t="s">
        <v>443</v>
      </c>
      <c r="C134" s="14" t="s">
        <v>445</v>
      </c>
      <c r="D134" t="s">
        <v>709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1:32">
      <c r="A135">
        <v>134</v>
      </c>
      <c r="B135" s="14" t="s">
        <v>447</v>
      </c>
      <c r="C135" s="14" t="s">
        <v>410</v>
      </c>
      <c r="D135" t="s">
        <v>709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spans="1:32">
      <c r="A136">
        <v>135</v>
      </c>
      <c r="B136" s="14" t="s">
        <v>449</v>
      </c>
      <c r="C136" s="14" t="s">
        <v>450</v>
      </c>
      <c r="D136" t="s">
        <v>709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>
      <c r="A137">
        <v>136</v>
      </c>
      <c r="B137" s="14" t="s">
        <v>452</v>
      </c>
      <c r="C137" s="14" t="s">
        <v>453</v>
      </c>
      <c r="D137" t="s">
        <v>709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pans="1:32">
      <c r="A138">
        <v>137</v>
      </c>
      <c r="B138" s="14" t="s">
        <v>455</v>
      </c>
      <c r="C138" s="14" t="s">
        <v>456</v>
      </c>
      <c r="D138" t="s">
        <v>709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1:32">
      <c r="A139">
        <v>138</v>
      </c>
      <c r="B139" s="14" t="s">
        <v>458</v>
      </c>
      <c r="C139" s="14" t="s">
        <v>425</v>
      </c>
      <c r="D139" t="s">
        <v>709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1:32">
      <c r="A140">
        <v>139</v>
      </c>
      <c r="B140" s="14" t="s">
        <v>459</v>
      </c>
      <c r="C140" s="14" t="s">
        <v>461</v>
      </c>
      <c r="D140" t="s">
        <v>709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32">
      <c r="A141">
        <v>140</v>
      </c>
      <c r="B141" s="14" t="s">
        <v>463</v>
      </c>
      <c r="C141" s="14" t="s">
        <v>410</v>
      </c>
      <c r="D141" t="s">
        <v>709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1:32">
      <c r="A142">
        <v>141</v>
      </c>
      <c r="B142" s="14" t="s">
        <v>464</v>
      </c>
      <c r="C142" s="14" t="s">
        <v>466</v>
      </c>
      <c r="D142" t="s">
        <v>709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1:32">
      <c r="A143">
        <v>142</v>
      </c>
      <c r="B143" s="14" t="s">
        <v>467</v>
      </c>
      <c r="C143" s="14" t="s">
        <v>468</v>
      </c>
      <c r="D143" t="s">
        <v>709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1:32">
      <c r="A144">
        <v>143</v>
      </c>
      <c r="B144" s="14" t="s">
        <v>470</v>
      </c>
      <c r="C144" s="14" t="s">
        <v>466</v>
      </c>
      <c r="D144" t="s">
        <v>709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spans="1:32">
      <c r="A145">
        <v>144</v>
      </c>
      <c r="B145" s="14" t="s">
        <v>472</v>
      </c>
      <c r="C145" s="14" t="s">
        <v>468</v>
      </c>
      <c r="D145" t="s">
        <v>709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spans="1:32">
      <c r="A146">
        <v>145</v>
      </c>
      <c r="B146" s="14" t="s">
        <v>474</v>
      </c>
      <c r="C146" s="14" t="s">
        <v>418</v>
      </c>
      <c r="D146" t="s">
        <v>709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1:32">
      <c r="A147">
        <v>146</v>
      </c>
      <c r="B147" s="14" t="s">
        <v>476</v>
      </c>
      <c r="C147" s="14" t="s">
        <v>477</v>
      </c>
      <c r="D147" t="s">
        <v>709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1:32">
      <c r="A148">
        <v>147</v>
      </c>
      <c r="B148" s="14" t="s">
        <v>476</v>
      </c>
      <c r="C148" s="14" t="s">
        <v>477</v>
      </c>
      <c r="D148" t="s">
        <v>709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1:32">
      <c r="A149">
        <v>148</v>
      </c>
      <c r="B149" s="14" t="s">
        <v>476</v>
      </c>
      <c r="C149" s="14" t="s">
        <v>477</v>
      </c>
      <c r="D149" t="s">
        <v>709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1:32">
      <c r="A150">
        <v>149</v>
      </c>
      <c r="B150" s="14" t="s">
        <v>481</v>
      </c>
      <c r="C150" s="14" t="s">
        <v>461</v>
      </c>
      <c r="D150" t="s">
        <v>709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1:32">
      <c r="A151">
        <v>150</v>
      </c>
      <c r="B151" s="14" t="s">
        <v>483</v>
      </c>
      <c r="C151" s="14" t="s">
        <v>484</v>
      </c>
      <c r="D151" t="s">
        <v>709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1:32">
      <c r="A152">
        <v>151</v>
      </c>
      <c r="B152" s="14" t="s">
        <v>486</v>
      </c>
      <c r="C152" s="14" t="s">
        <v>487</v>
      </c>
      <c r="D152" t="s">
        <v>709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1:32">
      <c r="A153">
        <v>152</v>
      </c>
      <c r="B153" s="14" t="s">
        <v>489</v>
      </c>
      <c r="C153" s="14" t="s">
        <v>490</v>
      </c>
      <c r="D153" t="s">
        <v>709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1:32">
      <c r="A154">
        <v>153</v>
      </c>
      <c r="B154" s="14" t="s">
        <v>489</v>
      </c>
      <c r="C154" s="14" t="s">
        <v>490</v>
      </c>
      <c r="D154" t="s">
        <v>709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1:32">
      <c r="A155">
        <v>154</v>
      </c>
      <c r="B155" s="14" t="s">
        <v>493</v>
      </c>
      <c r="C155" s="14" t="s">
        <v>484</v>
      </c>
      <c r="D155" t="s">
        <v>709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1:32">
      <c r="A156">
        <v>155</v>
      </c>
      <c r="B156" s="14" t="s">
        <v>495</v>
      </c>
      <c r="C156" s="14" t="s">
        <v>496</v>
      </c>
      <c r="D156" t="s">
        <v>709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spans="1:32">
      <c r="A157">
        <v>156</v>
      </c>
      <c r="B157" s="14" t="s">
        <v>498</v>
      </c>
      <c r="C157" s="14" t="s">
        <v>410</v>
      </c>
      <c r="D157" t="s">
        <v>709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1:32">
      <c r="A158">
        <v>157</v>
      </c>
      <c r="B158" s="14" t="s">
        <v>499</v>
      </c>
      <c r="C158" s="14" t="s">
        <v>500</v>
      </c>
      <c r="D158" t="s">
        <v>709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1:32">
      <c r="A159">
        <v>158</v>
      </c>
      <c r="B159" s="14" t="s">
        <v>499</v>
      </c>
      <c r="C159" s="14" t="s">
        <v>500</v>
      </c>
      <c r="D159" t="s">
        <v>709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spans="1:32">
      <c r="A160">
        <v>159</v>
      </c>
      <c r="B160" s="14" t="s">
        <v>499</v>
      </c>
      <c r="C160" s="14" t="s">
        <v>500</v>
      </c>
      <c r="D160" t="s">
        <v>709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1:32">
      <c r="A161">
        <v>160</v>
      </c>
      <c r="B161" s="14" t="s">
        <v>504</v>
      </c>
      <c r="C161" s="14" t="s">
        <v>490</v>
      </c>
      <c r="D161" t="s">
        <v>709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spans="1:32">
      <c r="A162">
        <v>161</v>
      </c>
      <c r="B162" s="14" t="s">
        <v>504</v>
      </c>
      <c r="C162" s="14" t="s">
        <v>490</v>
      </c>
      <c r="D162" t="s">
        <v>709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1:32">
      <c r="A163">
        <v>162</v>
      </c>
      <c r="B163" s="14" t="s">
        <v>504</v>
      </c>
      <c r="C163" s="14" t="s">
        <v>490</v>
      </c>
      <c r="D163" t="s">
        <v>709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>
      <c r="A164">
        <v>163</v>
      </c>
      <c r="B164" s="14" t="s">
        <v>504</v>
      </c>
      <c r="C164" s="14" t="s">
        <v>490</v>
      </c>
      <c r="D164" t="s">
        <v>709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1:32">
      <c r="A165">
        <v>164</v>
      </c>
      <c r="B165" s="14" t="s">
        <v>509</v>
      </c>
      <c r="C165" s="14" t="s">
        <v>510</v>
      </c>
      <c r="D165" t="s">
        <v>709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1:32">
      <c r="A166">
        <v>165</v>
      </c>
      <c r="B166" s="14" t="s">
        <v>512</v>
      </c>
      <c r="C166" s="14" t="s">
        <v>513</v>
      </c>
      <c r="D166" t="s">
        <v>709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spans="1:32">
      <c r="A167">
        <v>166</v>
      </c>
      <c r="B167" s="14" t="s">
        <v>515</v>
      </c>
      <c r="C167" s="14" t="s">
        <v>500</v>
      </c>
      <c r="D167" t="s">
        <v>709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spans="1:32">
      <c r="A168">
        <v>167</v>
      </c>
      <c r="B168" s="14" t="s">
        <v>517</v>
      </c>
      <c r="C168" s="14" t="s">
        <v>477</v>
      </c>
      <c r="D168" t="s">
        <v>709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spans="1:32">
      <c r="A169">
        <v>168</v>
      </c>
      <c r="B169" s="14" t="s">
        <v>519</v>
      </c>
      <c r="C169" s="14" t="s">
        <v>433</v>
      </c>
      <c r="D169" t="s">
        <v>709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spans="1:32">
      <c r="A170">
        <v>169</v>
      </c>
      <c r="B170" s="14" t="s">
        <v>521</v>
      </c>
      <c r="C170" s="14" t="s">
        <v>468</v>
      </c>
      <c r="D170" t="s">
        <v>709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1:32">
      <c r="A171">
        <v>170</v>
      </c>
      <c r="B171" s="14" t="s">
        <v>523</v>
      </c>
      <c r="C171" s="14" t="s">
        <v>524</v>
      </c>
      <c r="D171" t="s">
        <v>709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1:32">
      <c r="A172">
        <v>171</v>
      </c>
      <c r="B172" s="14" t="s">
        <v>526</v>
      </c>
      <c r="C172" s="14" t="s">
        <v>527</v>
      </c>
      <c r="D172" t="s">
        <v>709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>
      <c r="A173">
        <v>172</v>
      </c>
      <c r="B173" s="14" t="s">
        <v>529</v>
      </c>
      <c r="C173" s="14" t="s">
        <v>468</v>
      </c>
      <c r="D173" t="s">
        <v>709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1:32">
      <c r="A174">
        <v>173</v>
      </c>
      <c r="B174" s="14" t="s">
        <v>531</v>
      </c>
      <c r="C174" s="14" t="s">
        <v>468</v>
      </c>
      <c r="D174" t="s">
        <v>709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1:32">
      <c r="A175">
        <v>174</v>
      </c>
      <c r="B175" s="14" t="s">
        <v>533</v>
      </c>
      <c r="C175" s="14" t="s">
        <v>410</v>
      </c>
      <c r="D175" t="s">
        <v>709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1:32">
      <c r="A176">
        <v>175</v>
      </c>
      <c r="B176" s="14" t="s">
        <v>534</v>
      </c>
      <c r="C176" s="14" t="s">
        <v>468</v>
      </c>
      <c r="D176" t="s">
        <v>709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1:32">
      <c r="A177">
        <v>176</v>
      </c>
      <c r="B177" s="14" t="s">
        <v>535</v>
      </c>
      <c r="C177" s="14" t="s">
        <v>536</v>
      </c>
      <c r="D177" t="s">
        <v>709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1:32">
      <c r="A178">
        <v>177</v>
      </c>
      <c r="B178" s="14" t="s">
        <v>538</v>
      </c>
      <c r="C178" s="14" t="s">
        <v>425</v>
      </c>
      <c r="D178" t="s">
        <v>709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spans="1:32">
      <c r="A179">
        <v>178</v>
      </c>
      <c r="B179" s="14" t="s">
        <v>539</v>
      </c>
      <c r="C179" s="14" t="s">
        <v>410</v>
      </c>
      <c r="D179" t="s">
        <v>709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spans="1:32">
      <c r="A180">
        <v>179</v>
      </c>
      <c r="B180" s="14" t="s">
        <v>540</v>
      </c>
      <c r="C180" s="14" t="s">
        <v>541</v>
      </c>
      <c r="D180" t="s">
        <v>709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1:32">
      <c r="A181">
        <v>180</v>
      </c>
      <c r="B181" s="14" t="s">
        <v>540</v>
      </c>
      <c r="C181" s="14" t="s">
        <v>543</v>
      </c>
      <c r="D181" t="s">
        <v>709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1:32">
      <c r="A182">
        <v>181</v>
      </c>
      <c r="B182" s="14" t="s">
        <v>545</v>
      </c>
      <c r="C182" s="14" t="s">
        <v>546</v>
      </c>
      <c r="D182" t="s">
        <v>709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1:32">
      <c r="A183">
        <v>182</v>
      </c>
      <c r="B183" s="14" t="s">
        <v>548</v>
      </c>
      <c r="C183" s="14" t="s">
        <v>477</v>
      </c>
      <c r="D183" t="s">
        <v>709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1:32">
      <c r="A184">
        <v>183</v>
      </c>
      <c r="B184" s="14" t="s">
        <v>550</v>
      </c>
      <c r="C184" s="14" t="s">
        <v>477</v>
      </c>
      <c r="D184" t="s">
        <v>709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1:32">
      <c r="A185">
        <v>184</v>
      </c>
      <c r="B185" s="14" t="s">
        <v>551</v>
      </c>
      <c r="C185" s="14" t="s">
        <v>552</v>
      </c>
      <c r="D185" t="s">
        <v>709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1:32">
      <c r="A186">
        <v>185</v>
      </c>
      <c r="B186" s="14" t="s">
        <v>554</v>
      </c>
      <c r="C186" s="14" t="s">
        <v>500</v>
      </c>
      <c r="D186" t="s">
        <v>709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1:32">
      <c r="A187">
        <v>186</v>
      </c>
      <c r="B187" s="14" t="s">
        <v>556</v>
      </c>
      <c r="C187" s="14" t="s">
        <v>468</v>
      </c>
      <c r="D187" t="s">
        <v>709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1:32">
      <c r="A188">
        <v>187</v>
      </c>
      <c r="B188" s="14" t="s">
        <v>558</v>
      </c>
      <c r="C188" s="14" t="s">
        <v>524</v>
      </c>
      <c r="D188" t="s">
        <v>709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1:32">
      <c r="A189">
        <v>188</v>
      </c>
      <c r="B189" s="14" t="s">
        <v>560</v>
      </c>
      <c r="C189" s="14" t="s">
        <v>561</v>
      </c>
      <c r="D189" t="s">
        <v>709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1:32">
      <c r="A190">
        <v>189</v>
      </c>
      <c r="B190" s="14" t="s">
        <v>563</v>
      </c>
      <c r="C190" s="14" t="s">
        <v>564</v>
      </c>
      <c r="D190" t="s">
        <v>709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>
      <c r="A191">
        <v>190</v>
      </c>
      <c r="B191" s="14" t="s">
        <v>566</v>
      </c>
      <c r="C191" s="14" t="s">
        <v>466</v>
      </c>
      <c r="D191" t="s">
        <v>709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1:32">
      <c r="A192">
        <v>191</v>
      </c>
      <c r="B192" s="14" t="s">
        <v>567</v>
      </c>
      <c r="C192" s="14" t="s">
        <v>568</v>
      </c>
      <c r="D192" t="s">
        <v>709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spans="1:32">
      <c r="A193">
        <v>192</v>
      </c>
      <c r="B193" s="14" t="s">
        <v>570</v>
      </c>
      <c r="C193" s="14" t="s">
        <v>571</v>
      </c>
      <c r="D193" t="s">
        <v>709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1:32">
      <c r="A194">
        <v>193</v>
      </c>
      <c r="B194" s="14" t="s">
        <v>573</v>
      </c>
      <c r="C194" s="14" t="s">
        <v>524</v>
      </c>
      <c r="D194" t="s">
        <v>709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1:32">
      <c r="A195">
        <v>194</v>
      </c>
      <c r="B195" s="14" t="s">
        <v>575</v>
      </c>
      <c r="C195" s="14" t="s">
        <v>468</v>
      </c>
      <c r="D195" t="s">
        <v>709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1:32">
      <c r="A196">
        <v>195</v>
      </c>
      <c r="B196" s="14" t="s">
        <v>577</v>
      </c>
      <c r="C196" s="14" t="s">
        <v>410</v>
      </c>
      <c r="D196" t="s">
        <v>709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1:32">
      <c r="A197">
        <v>196</v>
      </c>
      <c r="B197" s="14" t="s">
        <v>577</v>
      </c>
      <c r="C197" s="14" t="s">
        <v>410</v>
      </c>
      <c r="D197" t="s">
        <v>709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1:32">
      <c r="A198">
        <v>197</v>
      </c>
      <c r="B198" s="14" t="s">
        <v>579</v>
      </c>
      <c r="C198" s="14" t="s">
        <v>580</v>
      </c>
      <c r="D198" t="s">
        <v>709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1:32">
      <c r="A199">
        <v>198</v>
      </c>
      <c r="B199" s="14" t="s">
        <v>582</v>
      </c>
      <c r="C199" s="14" t="s">
        <v>583</v>
      </c>
      <c r="D199" t="s">
        <v>709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1:32">
      <c r="A200">
        <v>199</v>
      </c>
      <c r="B200" s="14" t="s">
        <v>584</v>
      </c>
      <c r="C200" s="14" t="s">
        <v>490</v>
      </c>
      <c r="D200" t="s">
        <v>709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1:32">
      <c r="A201">
        <v>200</v>
      </c>
      <c r="B201" s="14" t="s">
        <v>586</v>
      </c>
      <c r="C201" s="14" t="s">
        <v>587</v>
      </c>
      <c r="D201" t="s">
        <v>709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1:32">
      <c r="A202">
        <v>201</v>
      </c>
      <c r="B202" s="14" t="s">
        <v>589</v>
      </c>
      <c r="C202" s="14" t="s">
        <v>590</v>
      </c>
      <c r="D202" t="s">
        <v>709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1:32">
      <c r="A203">
        <v>202</v>
      </c>
      <c r="B203" s="14" t="s">
        <v>592</v>
      </c>
      <c r="C203" s="14" t="s">
        <v>466</v>
      </c>
      <c r="D203" t="s">
        <v>709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spans="1:32">
      <c r="A204">
        <v>203</v>
      </c>
      <c r="B204" s="14" t="s">
        <v>593</v>
      </c>
      <c r="C204" s="14" t="s">
        <v>510</v>
      </c>
      <c r="D204" t="s">
        <v>709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spans="1:32">
      <c r="A205">
        <v>204</v>
      </c>
      <c r="B205" s="14" t="s">
        <v>593</v>
      </c>
      <c r="C205" s="14" t="s">
        <v>510</v>
      </c>
      <c r="D205" t="s">
        <v>709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spans="1:32">
      <c r="A206">
        <v>205</v>
      </c>
      <c r="B206" s="14" t="s">
        <v>593</v>
      </c>
      <c r="C206" s="14" t="s">
        <v>541</v>
      </c>
      <c r="D206" t="s">
        <v>709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spans="1:32">
      <c r="A207">
        <v>206</v>
      </c>
      <c r="B207" s="14" t="s">
        <v>597</v>
      </c>
      <c r="C207" s="14" t="s">
        <v>598</v>
      </c>
      <c r="D207" t="s">
        <v>709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spans="1:32">
      <c r="A208">
        <v>207</v>
      </c>
      <c r="B208" s="14" t="s">
        <v>600</v>
      </c>
      <c r="C208" s="14" t="s">
        <v>500</v>
      </c>
      <c r="D208" t="s">
        <v>709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spans="1:32">
      <c r="A209">
        <v>208</v>
      </c>
      <c r="B209" s="14" t="s">
        <v>602</v>
      </c>
      <c r="C209" s="14" t="s">
        <v>500</v>
      </c>
      <c r="D209" t="s">
        <v>709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spans="1:32">
      <c r="A210">
        <v>209</v>
      </c>
      <c r="B210" s="14" t="s">
        <v>604</v>
      </c>
      <c r="C210" s="14" t="s">
        <v>421</v>
      </c>
      <c r="D210" t="s">
        <v>709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1:32">
      <c r="A211">
        <v>210</v>
      </c>
      <c r="B211" s="14" t="s">
        <v>605</v>
      </c>
      <c r="C211" s="14" t="s">
        <v>468</v>
      </c>
      <c r="D211" t="s">
        <v>709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1:32">
      <c r="A212">
        <v>211</v>
      </c>
      <c r="B212" s="14" t="s">
        <v>607</v>
      </c>
      <c r="C212" s="14" t="s">
        <v>510</v>
      </c>
      <c r="D212" t="s">
        <v>709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1:32">
      <c r="A213">
        <v>212</v>
      </c>
      <c r="B213" s="14" t="s">
        <v>609</v>
      </c>
      <c r="C213" s="14" t="s">
        <v>477</v>
      </c>
      <c r="D213" t="s">
        <v>709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1:32">
      <c r="A214">
        <v>213</v>
      </c>
      <c r="B214" s="14" t="s">
        <v>610</v>
      </c>
      <c r="C214" s="14" t="s">
        <v>477</v>
      </c>
      <c r="D214" t="s">
        <v>709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spans="1:32">
      <c r="A215">
        <v>214</v>
      </c>
      <c r="B215" s="14" t="s">
        <v>611</v>
      </c>
      <c r="C215" s="14" t="s">
        <v>418</v>
      </c>
      <c r="D215" t="s">
        <v>709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1:32">
      <c r="A216">
        <v>215</v>
      </c>
    </row>
    <row r="217" spans="1:32">
      <c r="A217">
        <v>216</v>
      </c>
    </row>
    <row r="218" spans="1:32">
      <c r="A218">
        <v>217</v>
      </c>
    </row>
    <row r="219" spans="1:32">
      <c r="A219">
        <v>218</v>
      </c>
    </row>
    <row r="220" spans="1:32">
      <c r="A220">
        <v>219</v>
      </c>
    </row>
    <row r="221" spans="1:32">
      <c r="A221">
        <v>220</v>
      </c>
    </row>
    <row r="222" spans="1:32">
      <c r="A222">
        <v>221</v>
      </c>
    </row>
    <row r="223" spans="1:32">
      <c r="A223">
        <v>222</v>
      </c>
    </row>
    <row r="224" spans="1:32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/>
  <cols>
    <col min="1" max="1" width="26.28515625" customWidth="1"/>
  </cols>
  <sheetData>
    <row r="1" spans="1:2" ht="15.75">
      <c r="A1" s="57" t="s">
        <v>9</v>
      </c>
      <c r="B1" t="s">
        <v>750</v>
      </c>
    </row>
    <row r="2" spans="1:2">
      <c r="A2" s="51" t="s">
        <v>21</v>
      </c>
      <c r="B2" s="52">
        <v>13765.17745302714</v>
      </c>
    </row>
    <row r="3" spans="1:2">
      <c r="A3" s="53" t="s">
        <v>30</v>
      </c>
      <c r="B3" s="54">
        <v>15610.882352941177</v>
      </c>
    </row>
    <row r="4" spans="1:2">
      <c r="A4" s="53" t="s">
        <v>36</v>
      </c>
      <c r="B4" s="54">
        <v>9600</v>
      </c>
    </row>
    <row r="5" spans="1:2">
      <c r="A5" s="53" t="s">
        <v>43</v>
      </c>
      <c r="B5" s="54">
        <v>8691.0112359550567</v>
      </c>
    </row>
    <row r="6" spans="1:2">
      <c r="A6" s="53" t="s">
        <v>48</v>
      </c>
      <c r="B6" s="54">
        <v>14451.282051282051</v>
      </c>
    </row>
    <row r="7" spans="1:2">
      <c r="A7" s="53" t="s">
        <v>51</v>
      </c>
      <c r="B7" s="54">
        <v>10781.6091954023</v>
      </c>
    </row>
    <row r="8" spans="1:2">
      <c r="A8" s="53" t="s">
        <v>55</v>
      </c>
      <c r="B8" s="54">
        <v>10973.791304347826</v>
      </c>
    </row>
    <row r="9" spans="1:2">
      <c r="A9" s="53" t="s">
        <v>62</v>
      </c>
      <c r="B9" s="54">
        <v>9380.4306220095696</v>
      </c>
    </row>
    <row r="10" spans="1:2">
      <c r="A10" s="53" t="s">
        <v>81</v>
      </c>
      <c r="B10" s="54">
        <v>20357.142857142859</v>
      </c>
    </row>
    <row r="11" spans="1:2">
      <c r="A11" s="53" t="s">
        <v>92</v>
      </c>
      <c r="B11" s="54">
        <v>21300</v>
      </c>
    </row>
    <row r="12" spans="1:2">
      <c r="A12" s="53" t="s">
        <v>109</v>
      </c>
      <c r="B12" s="54">
        <v>18549.330447330449</v>
      </c>
    </row>
    <row r="13" spans="1:2">
      <c r="A13" s="53" t="s">
        <v>116</v>
      </c>
      <c r="B13" s="54">
        <v>7573</v>
      </c>
    </row>
    <row r="14" spans="1:2">
      <c r="A14" s="53" t="s">
        <v>136</v>
      </c>
      <c r="B14" s="54">
        <v>10793.571428571429</v>
      </c>
    </row>
    <row r="15" spans="1:2">
      <c r="A15" s="53" t="s">
        <v>147</v>
      </c>
      <c r="B15" s="54">
        <v>14900</v>
      </c>
    </row>
    <row r="16" spans="1:2">
      <c r="A16" s="53" t="s">
        <v>191</v>
      </c>
      <c r="B16" s="54">
        <v>12000</v>
      </c>
    </row>
    <row r="17" spans="1:2">
      <c r="A17" s="53" t="s">
        <v>208</v>
      </c>
      <c r="B17" s="54"/>
    </row>
    <row r="18" spans="1:2">
      <c r="A18" s="53" t="s">
        <v>238</v>
      </c>
      <c r="B18" s="54">
        <v>14000</v>
      </c>
    </row>
    <row r="19" spans="1:2">
      <c r="A19" s="53" t="s">
        <v>246</v>
      </c>
      <c r="B19" s="54">
        <v>10000</v>
      </c>
    </row>
    <row r="20" spans="1:2">
      <c r="A20" s="55" t="s">
        <v>380</v>
      </c>
      <c r="B20" s="56">
        <v>8200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5"/>
  <sheetViews>
    <sheetView workbookViewId="0">
      <selection activeCell="E1" sqref="E1"/>
    </sheetView>
  </sheetViews>
  <sheetFormatPr defaultRowHeight="15"/>
  <sheetData>
    <row r="1" spans="1:35">
      <c r="A1" t="s">
        <v>1</v>
      </c>
      <c r="B1" t="s">
        <v>2</v>
      </c>
      <c r="C1" t="s">
        <v>725</v>
      </c>
      <c r="D1" t="s">
        <v>726</v>
      </c>
      <c r="E1" t="s">
        <v>727</v>
      </c>
      <c r="F1" t="s">
        <v>646</v>
      </c>
      <c r="G1" t="s">
        <v>647</v>
      </c>
      <c r="H1" t="s">
        <v>648</v>
      </c>
      <c r="I1" t="s">
        <v>649</v>
      </c>
      <c r="J1" t="s">
        <v>650</v>
      </c>
      <c r="K1" t="s">
        <v>651</v>
      </c>
      <c r="L1" t="s">
        <v>652</v>
      </c>
      <c r="M1" t="s">
        <v>653</v>
      </c>
      <c r="N1" t="s">
        <v>654</v>
      </c>
      <c r="O1" t="s">
        <v>655</v>
      </c>
      <c r="P1" t="s">
        <v>656</v>
      </c>
      <c r="Q1" t="s">
        <v>657</v>
      </c>
      <c r="R1" t="s">
        <v>658</v>
      </c>
      <c r="S1" t="s">
        <v>659</v>
      </c>
      <c r="T1" t="s">
        <v>660</v>
      </c>
      <c r="U1" t="s">
        <v>661</v>
      </c>
      <c r="V1" t="s">
        <v>662</v>
      </c>
      <c r="W1" t="s">
        <v>663</v>
      </c>
      <c r="X1" t="s">
        <v>664</v>
      </c>
      <c r="Y1" t="s">
        <v>665</v>
      </c>
      <c r="Z1" t="s">
        <v>666</v>
      </c>
      <c r="AA1" t="s">
        <v>667</v>
      </c>
      <c r="AB1" t="s">
        <v>668</v>
      </c>
      <c r="AC1" t="s">
        <v>669</v>
      </c>
      <c r="AD1" t="s">
        <v>670</v>
      </c>
      <c r="AE1" t="s">
        <v>671</v>
      </c>
      <c r="AF1" t="s">
        <v>672</v>
      </c>
      <c r="AG1" t="s">
        <v>673</v>
      </c>
      <c r="AH1" t="s">
        <v>674</v>
      </c>
      <c r="AI1" t="s">
        <v>724</v>
      </c>
    </row>
    <row r="2" spans="1:35">
      <c r="A2">
        <v>1</v>
      </c>
      <c r="B2" t="s">
        <v>16</v>
      </c>
      <c r="C2" t="s">
        <v>728</v>
      </c>
      <c r="D2" t="s">
        <v>21</v>
      </c>
      <c r="E2">
        <v>0.35263441827009534</v>
      </c>
      <c r="F2" t="s">
        <v>729</v>
      </c>
      <c r="AE2">
        <v>0.26548672566371684</v>
      </c>
      <c r="AF2">
        <v>0.26548672566371684</v>
      </c>
      <c r="AG2">
        <v>0.26548672566371684</v>
      </c>
      <c r="AH2">
        <v>0.26548672566371684</v>
      </c>
      <c r="AI2">
        <v>0.26548672566371684</v>
      </c>
    </row>
    <row r="3" spans="1:35">
      <c r="A3">
        <v>2</v>
      </c>
      <c r="B3" t="s">
        <v>23</v>
      </c>
      <c r="C3" t="s">
        <v>728</v>
      </c>
      <c r="D3" t="s">
        <v>21</v>
      </c>
      <c r="E3">
        <v>0.37061679554037052</v>
      </c>
      <c r="F3" t="s">
        <v>729</v>
      </c>
      <c r="AE3">
        <v>0.26548672566371684</v>
      </c>
      <c r="AF3">
        <v>0.26548672566371684</v>
      </c>
      <c r="AG3">
        <v>0.26548672566371684</v>
      </c>
      <c r="AH3">
        <v>0.26548672566371684</v>
      </c>
      <c r="AI3">
        <v>0.26548672566371684</v>
      </c>
    </row>
    <row r="4" spans="1:35">
      <c r="A4">
        <v>3</v>
      </c>
      <c r="B4" t="s">
        <v>26</v>
      </c>
      <c r="C4" t="s">
        <v>728</v>
      </c>
      <c r="D4" t="s">
        <v>30</v>
      </c>
      <c r="E4">
        <v>0.39584340260995654</v>
      </c>
      <c r="F4" t="s">
        <v>729</v>
      </c>
      <c r="AE4">
        <v>0.2</v>
      </c>
      <c r="AF4">
        <v>0.2</v>
      </c>
      <c r="AG4">
        <v>0.2</v>
      </c>
      <c r="AH4">
        <v>0.2</v>
      </c>
      <c r="AI4">
        <v>0.2</v>
      </c>
    </row>
    <row r="5" spans="1:35">
      <c r="A5">
        <v>4</v>
      </c>
      <c r="B5" t="s">
        <v>32</v>
      </c>
      <c r="C5" t="s">
        <v>728</v>
      </c>
      <c r="D5" t="s">
        <v>36</v>
      </c>
      <c r="E5">
        <v>0.40085040587553145</v>
      </c>
      <c r="F5" t="s">
        <v>729</v>
      </c>
      <c r="AE5">
        <v>0.26548672566371684</v>
      </c>
      <c r="AF5">
        <v>0.26548672566371684</v>
      </c>
      <c r="AG5">
        <v>0.26548672566371684</v>
      </c>
      <c r="AH5">
        <v>0.26548672566371684</v>
      </c>
      <c r="AI5">
        <v>0.26548672566371684</v>
      </c>
    </row>
    <row r="6" spans="1:35">
      <c r="A6">
        <v>5</v>
      </c>
      <c r="B6" t="s">
        <v>38</v>
      </c>
      <c r="C6" t="s">
        <v>728</v>
      </c>
      <c r="D6" t="s">
        <v>36</v>
      </c>
      <c r="E6">
        <v>0.40085040587553145</v>
      </c>
      <c r="F6" t="s">
        <v>729</v>
      </c>
      <c r="AE6">
        <v>0.26548672566371684</v>
      </c>
      <c r="AF6">
        <v>0.26548672566371684</v>
      </c>
      <c r="AG6">
        <v>0.26548672566371684</v>
      </c>
      <c r="AH6">
        <v>0.26548672566371684</v>
      </c>
      <c r="AI6">
        <v>0.26548672566371684</v>
      </c>
    </row>
    <row r="7" spans="1:35">
      <c r="A7">
        <v>6</v>
      </c>
      <c r="B7" t="s">
        <v>41</v>
      </c>
      <c r="C7" t="s">
        <v>728</v>
      </c>
      <c r="D7" t="s">
        <v>43</v>
      </c>
      <c r="E7">
        <v>0.26301243666513119</v>
      </c>
      <c r="F7" t="s">
        <v>729</v>
      </c>
      <c r="AE7">
        <v>0.26548672566371684</v>
      </c>
      <c r="AF7">
        <v>0.26548672566371684</v>
      </c>
      <c r="AG7">
        <v>0.26548672566371684</v>
      </c>
      <c r="AH7">
        <v>0.26548672566371684</v>
      </c>
      <c r="AI7">
        <v>0.26548672566371684</v>
      </c>
    </row>
    <row r="8" spans="1:35">
      <c r="A8">
        <v>7</v>
      </c>
      <c r="B8" t="s">
        <v>44</v>
      </c>
      <c r="C8" t="s">
        <v>728</v>
      </c>
      <c r="D8" t="s">
        <v>43</v>
      </c>
      <c r="E8">
        <v>0.26301243666513119</v>
      </c>
      <c r="F8" t="s">
        <v>729</v>
      </c>
      <c r="AE8">
        <v>0.26548672566371684</v>
      </c>
      <c r="AF8">
        <v>0.26548672566371684</v>
      </c>
      <c r="AG8">
        <v>0.26548672566371684</v>
      </c>
      <c r="AH8">
        <v>0.26548672566371684</v>
      </c>
      <c r="AI8">
        <v>0.26548672566371684</v>
      </c>
    </row>
    <row r="9" spans="1:35">
      <c r="A9">
        <v>8</v>
      </c>
      <c r="B9" t="s">
        <v>46</v>
      </c>
      <c r="C9" t="s">
        <v>728</v>
      </c>
      <c r="D9" t="s">
        <v>48</v>
      </c>
      <c r="E9">
        <v>7.8341013824884786E-2</v>
      </c>
      <c r="F9" t="s">
        <v>729</v>
      </c>
      <c r="AE9">
        <v>0.26548672566371684</v>
      </c>
      <c r="AF9">
        <v>0.26548672566371684</v>
      </c>
      <c r="AG9">
        <v>0.26548672566371684</v>
      </c>
      <c r="AH9">
        <v>0.26548672566371684</v>
      </c>
      <c r="AI9">
        <v>0.26548672566371684</v>
      </c>
    </row>
    <row r="10" spans="1:35">
      <c r="A10">
        <v>9</v>
      </c>
      <c r="B10" t="s">
        <v>49</v>
      </c>
      <c r="C10" t="s">
        <v>728</v>
      </c>
      <c r="D10" t="s">
        <v>51</v>
      </c>
      <c r="E10">
        <v>0.35619233753916024</v>
      </c>
      <c r="F10" t="s">
        <v>729</v>
      </c>
      <c r="AE10">
        <v>0.26548672566371684</v>
      </c>
      <c r="AF10">
        <v>0.26548672566371684</v>
      </c>
      <c r="AG10">
        <v>0.26548672566371684</v>
      </c>
      <c r="AH10">
        <v>0.26548672566371684</v>
      </c>
      <c r="AI10">
        <v>0.26548672566371684</v>
      </c>
    </row>
    <row r="11" spans="1:35">
      <c r="A11">
        <v>10</v>
      </c>
      <c r="B11" t="s">
        <v>52</v>
      </c>
      <c r="C11" t="s">
        <v>728</v>
      </c>
      <c r="D11" t="s">
        <v>55</v>
      </c>
      <c r="E11">
        <v>0.21909861668897812</v>
      </c>
      <c r="F11" t="s">
        <v>729</v>
      </c>
      <c r="AE11">
        <v>0.26548672566371684</v>
      </c>
      <c r="AF11">
        <v>0.26548672566371684</v>
      </c>
      <c r="AG11">
        <v>0.26548672566371684</v>
      </c>
      <c r="AH11">
        <v>0.26548672566371684</v>
      </c>
      <c r="AI11">
        <v>0.26548672566371684</v>
      </c>
    </row>
    <row r="12" spans="1:35">
      <c r="A12">
        <v>11</v>
      </c>
      <c r="B12" t="s">
        <v>56</v>
      </c>
      <c r="C12" t="s">
        <v>728</v>
      </c>
      <c r="D12" t="s">
        <v>55</v>
      </c>
      <c r="E12">
        <v>0.34627398482820171</v>
      </c>
      <c r="F12" t="s">
        <v>729</v>
      </c>
      <c r="AE12">
        <v>0.23</v>
      </c>
      <c r="AF12">
        <v>0.23</v>
      </c>
      <c r="AG12">
        <v>0.23</v>
      </c>
      <c r="AH12">
        <v>0.23</v>
      </c>
      <c r="AI12">
        <v>0.23</v>
      </c>
    </row>
    <row r="13" spans="1:35">
      <c r="A13">
        <v>12</v>
      </c>
      <c r="B13" t="s">
        <v>59</v>
      </c>
      <c r="C13" t="s">
        <v>728</v>
      </c>
      <c r="D13" t="s">
        <v>62</v>
      </c>
      <c r="E13">
        <v>2.7529495888451883E-2</v>
      </c>
      <c r="F13" t="s">
        <v>729</v>
      </c>
      <c r="W13">
        <v>0.35</v>
      </c>
      <c r="X13">
        <v>0.35</v>
      </c>
      <c r="Y13">
        <v>0.35</v>
      </c>
      <c r="Z13">
        <v>0.35</v>
      </c>
      <c r="AE13">
        <v>0.26548672566371684</v>
      </c>
      <c r="AF13">
        <v>0.26548672566371684</v>
      </c>
      <c r="AG13">
        <v>0.26548672566371684</v>
      </c>
      <c r="AH13">
        <v>0.26548672566371684</v>
      </c>
      <c r="AI13">
        <v>0.26548672566371684</v>
      </c>
    </row>
    <row r="14" spans="1:35">
      <c r="A14">
        <v>13</v>
      </c>
      <c r="B14" t="s">
        <v>63</v>
      </c>
      <c r="C14" t="s">
        <v>728</v>
      </c>
      <c r="D14" t="s">
        <v>62</v>
      </c>
      <c r="E14">
        <v>2.7529495888451883E-2</v>
      </c>
      <c r="F14" t="s">
        <v>729</v>
      </c>
      <c r="W14">
        <v>0.35</v>
      </c>
      <c r="X14">
        <v>0.35</v>
      </c>
      <c r="Y14">
        <v>0.35</v>
      </c>
      <c r="Z14">
        <v>0.35</v>
      </c>
      <c r="AE14">
        <v>0.26548672566371684</v>
      </c>
      <c r="AF14">
        <v>0.26548672566371684</v>
      </c>
      <c r="AG14">
        <v>0.26548672566371684</v>
      </c>
      <c r="AH14">
        <v>0.26548672566371684</v>
      </c>
      <c r="AI14">
        <v>0.26548672566371684</v>
      </c>
    </row>
    <row r="15" spans="1:35">
      <c r="A15">
        <v>14</v>
      </c>
      <c r="B15" t="s">
        <v>66</v>
      </c>
      <c r="C15" t="s">
        <v>728</v>
      </c>
      <c r="D15" t="s">
        <v>62</v>
      </c>
      <c r="E15">
        <v>2.7529495888451883E-2</v>
      </c>
      <c r="F15" t="s">
        <v>729</v>
      </c>
      <c r="W15">
        <v>0.35</v>
      </c>
      <c r="X15">
        <v>0.35</v>
      </c>
      <c r="Y15">
        <v>0.35</v>
      </c>
      <c r="Z15">
        <v>0.35</v>
      </c>
      <c r="AE15">
        <v>0.26548672566371684</v>
      </c>
      <c r="AF15">
        <v>0.26548672566371684</v>
      </c>
      <c r="AG15">
        <v>0.26548672566371684</v>
      </c>
      <c r="AH15">
        <v>0.26548672566371684</v>
      </c>
      <c r="AI15">
        <v>0.26548672566371684</v>
      </c>
    </row>
    <row r="16" spans="1:35">
      <c r="A16">
        <v>15</v>
      </c>
      <c r="B16" t="s">
        <v>69</v>
      </c>
      <c r="C16" t="s">
        <v>728</v>
      </c>
      <c r="D16" t="s">
        <v>62</v>
      </c>
      <c r="E16">
        <v>2.7529495888451883E-2</v>
      </c>
      <c r="F16" t="s">
        <v>729</v>
      </c>
      <c r="W16">
        <v>0.35</v>
      </c>
      <c r="X16">
        <v>0.35</v>
      </c>
      <c r="Y16">
        <v>0.35</v>
      </c>
      <c r="Z16">
        <v>0.35</v>
      </c>
      <c r="AE16">
        <v>0.26548672566371684</v>
      </c>
      <c r="AF16">
        <v>0.26548672566371684</v>
      </c>
      <c r="AG16">
        <v>0.26548672566371684</v>
      </c>
      <c r="AH16">
        <v>0.26548672566371684</v>
      </c>
      <c r="AI16">
        <v>0.26548672566371684</v>
      </c>
    </row>
    <row r="17" spans="1:35">
      <c r="A17">
        <v>16</v>
      </c>
      <c r="B17" t="s">
        <v>71</v>
      </c>
      <c r="C17" t="s">
        <v>728</v>
      </c>
      <c r="D17" t="s">
        <v>62</v>
      </c>
      <c r="E17">
        <v>2.7529495888451883E-2</v>
      </c>
      <c r="F17" t="s">
        <v>729</v>
      </c>
      <c r="W17">
        <v>0.35</v>
      </c>
      <c r="X17">
        <v>0.35</v>
      </c>
      <c r="Y17">
        <v>0.35</v>
      </c>
      <c r="Z17">
        <v>0.35</v>
      </c>
      <c r="AE17">
        <v>0.26548672566371684</v>
      </c>
      <c r="AF17">
        <v>0.26548672566371684</v>
      </c>
      <c r="AG17">
        <v>0.26548672566371684</v>
      </c>
      <c r="AH17">
        <v>0.26548672566371684</v>
      </c>
      <c r="AI17">
        <v>0.26548672566371684</v>
      </c>
    </row>
    <row r="18" spans="1:35">
      <c r="A18">
        <v>17</v>
      </c>
      <c r="B18" t="s">
        <v>74</v>
      </c>
      <c r="C18" t="s">
        <v>728</v>
      </c>
      <c r="D18" t="s">
        <v>62</v>
      </c>
      <c r="E18">
        <v>2.7529495888451883E-2</v>
      </c>
      <c r="F18" t="s">
        <v>729</v>
      </c>
      <c r="W18">
        <v>0.35</v>
      </c>
      <c r="X18">
        <v>0.35</v>
      </c>
      <c r="Y18">
        <v>0.35</v>
      </c>
      <c r="Z18">
        <v>0.35</v>
      </c>
      <c r="AE18">
        <v>0.26548672566371684</v>
      </c>
      <c r="AF18">
        <v>0.26548672566371684</v>
      </c>
      <c r="AG18">
        <v>0.26548672566371684</v>
      </c>
      <c r="AH18">
        <v>0.26548672566371684</v>
      </c>
      <c r="AI18">
        <v>0.26548672566371684</v>
      </c>
    </row>
    <row r="19" spans="1:35">
      <c r="A19">
        <v>18</v>
      </c>
      <c r="B19" t="s">
        <v>77</v>
      </c>
      <c r="C19" t="s">
        <v>728</v>
      </c>
      <c r="D19" t="s">
        <v>81</v>
      </c>
      <c r="E19">
        <v>0.28018715134065131</v>
      </c>
      <c r="F19" t="s">
        <v>729</v>
      </c>
      <c r="W19">
        <v>0.41</v>
      </c>
      <c r="X19">
        <v>0.41</v>
      </c>
      <c r="Y19">
        <v>0.41</v>
      </c>
      <c r="Z19">
        <v>0.41</v>
      </c>
      <c r="AE19">
        <v>0.26548672566371684</v>
      </c>
      <c r="AF19">
        <v>0.26548672566371684</v>
      </c>
      <c r="AG19">
        <v>0.26548672566371684</v>
      </c>
      <c r="AH19">
        <v>0.26548672566371684</v>
      </c>
      <c r="AI19">
        <v>0.26548672566371684</v>
      </c>
    </row>
    <row r="20" spans="1:35">
      <c r="A20">
        <v>19</v>
      </c>
      <c r="B20" t="s">
        <v>82</v>
      </c>
      <c r="C20" t="s">
        <v>728</v>
      </c>
      <c r="D20" t="s">
        <v>81</v>
      </c>
      <c r="E20">
        <v>0.28018715134065131</v>
      </c>
      <c r="F20" t="s">
        <v>729</v>
      </c>
      <c r="W20">
        <v>0.41</v>
      </c>
      <c r="X20">
        <v>0.41</v>
      </c>
      <c r="Y20">
        <v>0.41</v>
      </c>
      <c r="Z20">
        <v>0.41</v>
      </c>
      <c r="AE20">
        <v>0.26548672566371684</v>
      </c>
      <c r="AF20">
        <v>0.26548672566371684</v>
      </c>
      <c r="AG20">
        <v>0.26548672566371684</v>
      </c>
      <c r="AH20">
        <v>0.26548672566371684</v>
      </c>
      <c r="AI20">
        <v>0.26548672566371684</v>
      </c>
    </row>
    <row r="21" spans="1:35">
      <c r="A21">
        <v>20</v>
      </c>
      <c r="B21" t="s">
        <v>86</v>
      </c>
      <c r="C21" t="s">
        <v>728</v>
      </c>
      <c r="D21" t="s">
        <v>81</v>
      </c>
      <c r="E21">
        <v>0.37016375742307006</v>
      </c>
      <c r="F21" t="s">
        <v>729</v>
      </c>
      <c r="AE21">
        <v>0.26548672566371684</v>
      </c>
      <c r="AF21">
        <v>0.26548672566371684</v>
      </c>
      <c r="AG21">
        <v>0.26548672566371684</v>
      </c>
      <c r="AH21">
        <v>0.26548672566371684</v>
      </c>
      <c r="AI21">
        <v>0.26548672566371684</v>
      </c>
    </row>
    <row r="22" spans="1:35">
      <c r="A22">
        <v>21</v>
      </c>
      <c r="B22" t="s">
        <v>89</v>
      </c>
      <c r="C22" t="s">
        <v>728</v>
      </c>
      <c r="D22" t="s">
        <v>92</v>
      </c>
      <c r="E22">
        <v>0.59215381627500485</v>
      </c>
      <c r="F22" t="s">
        <v>729</v>
      </c>
      <c r="W22">
        <v>0.21</v>
      </c>
      <c r="X22">
        <v>0.21</v>
      </c>
      <c r="Y22">
        <v>0.21</v>
      </c>
      <c r="Z22">
        <v>0.21</v>
      </c>
      <c r="AE22">
        <v>0.26548672566371684</v>
      </c>
      <c r="AF22">
        <v>0.26548672566371684</v>
      </c>
      <c r="AG22">
        <v>0.26548672566371684</v>
      </c>
      <c r="AH22">
        <v>0.26548672566371684</v>
      </c>
      <c r="AI22">
        <v>0.26548672566371684</v>
      </c>
    </row>
    <row r="23" spans="1:35">
      <c r="A23">
        <v>22</v>
      </c>
      <c r="B23" t="s">
        <v>93</v>
      </c>
      <c r="C23" t="s">
        <v>728</v>
      </c>
      <c r="D23" t="s">
        <v>30</v>
      </c>
      <c r="E23">
        <v>0</v>
      </c>
      <c r="F23" t="s">
        <v>729</v>
      </c>
      <c r="W23">
        <v>0.21</v>
      </c>
      <c r="X23">
        <v>0.21</v>
      </c>
      <c r="Y23">
        <v>0.21</v>
      </c>
      <c r="Z23">
        <v>0.21</v>
      </c>
      <c r="AE23">
        <v>0.18584070796460178</v>
      </c>
      <c r="AF23">
        <v>0.18584070796460178</v>
      </c>
      <c r="AG23">
        <v>0.18584070796460178</v>
      </c>
      <c r="AH23">
        <v>0.18584070796460178</v>
      </c>
      <c r="AI23">
        <v>0.18584070796460178</v>
      </c>
    </row>
    <row r="24" spans="1:35">
      <c r="A24">
        <v>23</v>
      </c>
      <c r="B24" t="s">
        <v>97</v>
      </c>
      <c r="C24" t="s">
        <v>728</v>
      </c>
      <c r="D24" t="s">
        <v>21</v>
      </c>
      <c r="E24">
        <v>0.35263441827009534</v>
      </c>
      <c r="F24" t="s">
        <v>729</v>
      </c>
      <c r="W24">
        <v>0.37</v>
      </c>
      <c r="X24">
        <v>0.37</v>
      </c>
      <c r="Y24">
        <v>0.37</v>
      </c>
      <c r="Z24">
        <v>0.37</v>
      </c>
      <c r="AE24">
        <v>0.26548672566371684</v>
      </c>
      <c r="AF24">
        <v>0.26548672566371684</v>
      </c>
      <c r="AG24">
        <v>0.26548672566371684</v>
      </c>
      <c r="AH24">
        <v>0.26548672566371684</v>
      </c>
      <c r="AI24">
        <v>0.26548672566371684</v>
      </c>
    </row>
    <row r="25" spans="1:35">
      <c r="A25">
        <v>24</v>
      </c>
      <c r="B25" t="s">
        <v>100</v>
      </c>
      <c r="C25" t="s">
        <v>728</v>
      </c>
      <c r="D25" t="s">
        <v>81</v>
      </c>
      <c r="E25">
        <v>0.37016375742307006</v>
      </c>
      <c r="F25" t="s">
        <v>729</v>
      </c>
      <c r="AE25">
        <v>0.26548672566371684</v>
      </c>
      <c r="AF25">
        <v>0.26548672566371684</v>
      </c>
      <c r="AG25">
        <v>0.26548672566371684</v>
      </c>
      <c r="AH25">
        <v>0.26548672566371684</v>
      </c>
      <c r="AI25">
        <v>0.26548672566371684</v>
      </c>
    </row>
    <row r="26" spans="1:35">
      <c r="A26">
        <v>25</v>
      </c>
      <c r="B26" t="s">
        <v>103</v>
      </c>
      <c r="C26" t="s">
        <v>728</v>
      </c>
      <c r="D26" t="s">
        <v>30</v>
      </c>
      <c r="E26">
        <v>0.69792170130497833</v>
      </c>
      <c r="F26" t="s">
        <v>729</v>
      </c>
      <c r="AE26">
        <v>0.2</v>
      </c>
      <c r="AF26">
        <v>0.2</v>
      </c>
      <c r="AG26">
        <v>0.2</v>
      </c>
      <c r="AH26">
        <v>0.2</v>
      </c>
      <c r="AI26">
        <v>0.2</v>
      </c>
    </row>
    <row r="27" spans="1:35">
      <c r="A27">
        <v>26</v>
      </c>
      <c r="B27" t="s">
        <v>107</v>
      </c>
      <c r="C27" t="s">
        <v>728</v>
      </c>
      <c r="D27" t="s">
        <v>109</v>
      </c>
      <c r="E27">
        <v>0</v>
      </c>
      <c r="F27" t="s">
        <v>729</v>
      </c>
      <c r="AE27">
        <v>0.13274336283185842</v>
      </c>
      <c r="AF27">
        <v>0.13274336283185842</v>
      </c>
      <c r="AG27">
        <v>0.13274336283185842</v>
      </c>
      <c r="AH27">
        <v>0.13274336283185842</v>
      </c>
      <c r="AI27">
        <v>0.13274336283185842</v>
      </c>
    </row>
    <row r="28" spans="1:35">
      <c r="A28">
        <v>27</v>
      </c>
      <c r="B28" t="s">
        <v>110</v>
      </c>
      <c r="C28" t="s">
        <v>728</v>
      </c>
      <c r="D28" t="s">
        <v>51</v>
      </c>
      <c r="E28">
        <v>0.65050441180697272</v>
      </c>
      <c r="F28" t="s">
        <v>729</v>
      </c>
      <c r="AE28">
        <v>0.26548672566371684</v>
      </c>
      <c r="AF28">
        <v>0.26548672566371684</v>
      </c>
      <c r="AG28">
        <v>0.26548672566371684</v>
      </c>
      <c r="AH28">
        <v>0.26548672566371684</v>
      </c>
      <c r="AI28">
        <v>0.26548672566371684</v>
      </c>
    </row>
    <row r="29" spans="1:35">
      <c r="A29">
        <v>28</v>
      </c>
      <c r="B29" t="s">
        <v>113</v>
      </c>
      <c r="C29" t="s">
        <v>728</v>
      </c>
      <c r="D29" t="s">
        <v>116</v>
      </c>
      <c r="E29">
        <v>0.25028835063437138</v>
      </c>
      <c r="F29" t="s">
        <v>729</v>
      </c>
      <c r="AE29">
        <v>0.26548672566371684</v>
      </c>
      <c r="AF29">
        <v>0.26548672566371684</v>
      </c>
      <c r="AG29">
        <v>0.26548672566371684</v>
      </c>
      <c r="AH29">
        <v>0.26548672566371684</v>
      </c>
      <c r="AI29">
        <v>0.26548672566371684</v>
      </c>
    </row>
    <row r="30" spans="1:35">
      <c r="A30">
        <v>29</v>
      </c>
      <c r="B30" t="s">
        <v>117</v>
      </c>
      <c r="C30" t="s">
        <v>728</v>
      </c>
      <c r="D30" t="s">
        <v>43</v>
      </c>
      <c r="E30">
        <v>0.33210502072777526</v>
      </c>
      <c r="F30" t="s">
        <v>729</v>
      </c>
      <c r="AE30">
        <v>0.26548672566371684</v>
      </c>
      <c r="AF30">
        <v>0.26548672566371684</v>
      </c>
      <c r="AG30">
        <v>0.26548672566371684</v>
      </c>
      <c r="AH30">
        <v>0.26548672566371684</v>
      </c>
      <c r="AI30">
        <v>0.26548672566371684</v>
      </c>
    </row>
    <row r="31" spans="1:35">
      <c r="A31">
        <v>30</v>
      </c>
      <c r="B31" t="s">
        <v>121</v>
      </c>
      <c r="C31" t="s">
        <v>728</v>
      </c>
      <c r="D31" t="s">
        <v>21</v>
      </c>
      <c r="E31">
        <v>0.37061679554037052</v>
      </c>
      <c r="F31" t="s">
        <v>729</v>
      </c>
      <c r="AE31">
        <v>0.26548672566371684</v>
      </c>
      <c r="AF31">
        <v>0.26548672566371684</v>
      </c>
      <c r="AG31">
        <v>0.26548672566371684</v>
      </c>
      <c r="AH31">
        <v>0.26548672566371684</v>
      </c>
      <c r="AI31">
        <v>0.26548672566371684</v>
      </c>
    </row>
    <row r="32" spans="1:35">
      <c r="A32">
        <v>31</v>
      </c>
      <c r="B32" t="s">
        <v>124</v>
      </c>
      <c r="C32" t="s">
        <v>728</v>
      </c>
      <c r="D32" t="s">
        <v>21</v>
      </c>
      <c r="E32">
        <v>0.35263441827009534</v>
      </c>
      <c r="F32" t="s">
        <v>729</v>
      </c>
      <c r="AE32">
        <v>0.26548672566371684</v>
      </c>
      <c r="AF32">
        <v>0.26548672566371684</v>
      </c>
      <c r="AG32">
        <v>0.26548672566371684</v>
      </c>
      <c r="AH32">
        <v>0.26548672566371684</v>
      </c>
      <c r="AI32">
        <v>0.26548672566371684</v>
      </c>
    </row>
    <row r="33" spans="1:35">
      <c r="A33">
        <v>32</v>
      </c>
      <c r="B33" t="s">
        <v>127</v>
      </c>
      <c r="C33" t="s">
        <v>728</v>
      </c>
      <c r="D33" t="s">
        <v>21</v>
      </c>
      <c r="E33">
        <v>0.35263441827009534</v>
      </c>
      <c r="F33" t="s">
        <v>729</v>
      </c>
      <c r="AE33">
        <v>0.26548672566371684</v>
      </c>
      <c r="AF33">
        <v>0.26548672566371684</v>
      </c>
      <c r="AG33">
        <v>0.26548672566371684</v>
      </c>
      <c r="AH33">
        <v>0.26548672566371684</v>
      </c>
      <c r="AI33">
        <v>0.26548672566371684</v>
      </c>
    </row>
    <row r="34" spans="1:35">
      <c r="A34">
        <v>33</v>
      </c>
      <c r="B34" t="s">
        <v>130</v>
      </c>
      <c r="C34" t="s">
        <v>728</v>
      </c>
      <c r="D34" t="s">
        <v>36</v>
      </c>
      <c r="E34">
        <v>0.40085040587553145</v>
      </c>
      <c r="F34" t="s">
        <v>729</v>
      </c>
      <c r="AE34">
        <v>0.26548672566371684</v>
      </c>
      <c r="AF34">
        <v>0.26548672566371684</v>
      </c>
      <c r="AG34">
        <v>0.26548672566371684</v>
      </c>
      <c r="AH34">
        <v>0.26548672566371684</v>
      </c>
      <c r="AI34">
        <v>0.26548672566371684</v>
      </c>
    </row>
    <row r="35" spans="1:35">
      <c r="A35">
        <v>34</v>
      </c>
      <c r="B35" t="s">
        <v>133</v>
      </c>
      <c r="C35" t="s">
        <v>728</v>
      </c>
      <c r="D35" t="s">
        <v>136</v>
      </c>
      <c r="E35">
        <v>8.8271860754247755E-2</v>
      </c>
      <c r="F35" t="s">
        <v>729</v>
      </c>
      <c r="AE35">
        <v>0.26548672566371684</v>
      </c>
      <c r="AF35">
        <v>0.26548672566371684</v>
      </c>
      <c r="AG35">
        <v>0.26548672566371684</v>
      </c>
      <c r="AH35">
        <v>0.26548672566371684</v>
      </c>
      <c r="AI35">
        <v>0.26548672566371684</v>
      </c>
    </row>
    <row r="36" spans="1:35">
      <c r="A36">
        <v>35</v>
      </c>
      <c r="B36" t="s">
        <v>137</v>
      </c>
      <c r="C36" t="s">
        <v>728</v>
      </c>
      <c r="D36" t="s">
        <v>136</v>
      </c>
      <c r="E36">
        <v>0.21259842519685035</v>
      </c>
      <c r="F36" t="s">
        <v>729</v>
      </c>
      <c r="AE36">
        <v>0.26548672566371684</v>
      </c>
      <c r="AF36">
        <v>0.26548672566371684</v>
      </c>
      <c r="AG36">
        <v>0.26548672566371684</v>
      </c>
      <c r="AH36">
        <v>0.26548672566371684</v>
      </c>
      <c r="AI36">
        <v>0.26548672566371684</v>
      </c>
    </row>
    <row r="37" spans="1:35">
      <c r="A37">
        <v>36</v>
      </c>
      <c r="B37" t="s">
        <v>140</v>
      </c>
      <c r="C37" t="s">
        <v>728</v>
      </c>
      <c r="D37" t="s">
        <v>136</v>
      </c>
      <c r="E37">
        <v>0.17115623704931615</v>
      </c>
      <c r="F37" t="s">
        <v>729</v>
      </c>
      <c r="AE37">
        <v>0.26548672566371684</v>
      </c>
      <c r="AF37">
        <v>0.26548672566371684</v>
      </c>
      <c r="AG37">
        <v>0.26548672566371684</v>
      </c>
      <c r="AH37">
        <v>0.26548672566371684</v>
      </c>
      <c r="AI37">
        <v>0.26548672566371684</v>
      </c>
    </row>
    <row r="38" spans="1:35">
      <c r="A38">
        <v>37</v>
      </c>
      <c r="B38" t="s">
        <v>143</v>
      </c>
      <c r="C38" t="s">
        <v>728</v>
      </c>
      <c r="D38" t="s">
        <v>147</v>
      </c>
      <c r="E38">
        <v>0.53136265320836329</v>
      </c>
      <c r="F38" t="s">
        <v>729</v>
      </c>
      <c r="AE38">
        <v>0.26548672566371684</v>
      </c>
      <c r="AF38">
        <v>0.26548672566371684</v>
      </c>
      <c r="AG38">
        <v>0.26548672566371684</v>
      </c>
      <c r="AH38">
        <v>0.26548672566371684</v>
      </c>
      <c r="AI38">
        <v>0.26548672566371684</v>
      </c>
    </row>
    <row r="39" spans="1:35">
      <c r="A39">
        <v>38</v>
      </c>
      <c r="B39" t="s">
        <v>148</v>
      </c>
      <c r="C39" t="s">
        <v>728</v>
      </c>
      <c r="D39" t="s">
        <v>51</v>
      </c>
      <c r="E39">
        <v>0.35619233753916024</v>
      </c>
      <c r="F39" t="s">
        <v>729</v>
      </c>
      <c r="AE39">
        <v>0.26548672566371684</v>
      </c>
      <c r="AF39">
        <v>0.26548672566371684</v>
      </c>
      <c r="AG39">
        <v>0.26548672566371684</v>
      </c>
      <c r="AH39">
        <v>0.26548672566371684</v>
      </c>
      <c r="AI39">
        <v>0.26548672566371684</v>
      </c>
    </row>
    <row r="40" spans="1:35">
      <c r="A40">
        <v>39</v>
      </c>
      <c r="B40" t="s">
        <v>151</v>
      </c>
      <c r="C40" t="s">
        <v>728</v>
      </c>
      <c r="D40" t="s">
        <v>51</v>
      </c>
      <c r="E40">
        <v>0.35619233753916024</v>
      </c>
      <c r="F40" t="s">
        <v>729</v>
      </c>
      <c r="AE40">
        <v>0.26548672566371684</v>
      </c>
      <c r="AF40">
        <v>0.26548672566371684</v>
      </c>
      <c r="AG40">
        <v>0.26548672566371684</v>
      </c>
      <c r="AH40">
        <v>0.26548672566371684</v>
      </c>
      <c r="AI40">
        <v>0.26548672566371684</v>
      </c>
    </row>
    <row r="41" spans="1:35">
      <c r="A41">
        <v>40</v>
      </c>
      <c r="B41" t="s">
        <v>153</v>
      </c>
      <c r="C41" t="s">
        <v>728</v>
      </c>
      <c r="D41" t="s">
        <v>51</v>
      </c>
      <c r="E41">
        <v>0.35619233753916024</v>
      </c>
      <c r="F41" t="s">
        <v>729</v>
      </c>
      <c r="AE41">
        <v>0.26548672566371684</v>
      </c>
      <c r="AF41">
        <v>0.26548672566371684</v>
      </c>
      <c r="AG41">
        <v>0.26548672566371684</v>
      </c>
      <c r="AH41">
        <v>0.26548672566371684</v>
      </c>
      <c r="AI41">
        <v>0.26548672566371684</v>
      </c>
    </row>
    <row r="42" spans="1:35">
      <c r="A42">
        <v>41</v>
      </c>
      <c r="B42" t="s">
        <v>157</v>
      </c>
      <c r="C42" t="s">
        <v>728</v>
      </c>
      <c r="D42" t="s">
        <v>51</v>
      </c>
      <c r="E42">
        <v>0.35619233753916024</v>
      </c>
      <c r="F42" t="s">
        <v>729</v>
      </c>
      <c r="AE42">
        <v>0.26548672566371684</v>
      </c>
      <c r="AF42">
        <v>0.26548672566371684</v>
      </c>
      <c r="AG42">
        <v>0.26548672566371684</v>
      </c>
      <c r="AH42">
        <v>0.26548672566371684</v>
      </c>
      <c r="AI42">
        <v>0.26548672566371684</v>
      </c>
    </row>
    <row r="43" spans="1:35">
      <c r="A43">
        <v>42</v>
      </c>
      <c r="B43" t="s">
        <v>161</v>
      </c>
      <c r="C43" t="s">
        <v>728</v>
      </c>
      <c r="D43" t="s">
        <v>62</v>
      </c>
      <c r="E43">
        <v>0.22774401144082945</v>
      </c>
      <c r="F43" t="s">
        <v>729</v>
      </c>
      <c r="AE43">
        <v>0.26548672566371684</v>
      </c>
      <c r="AF43">
        <v>0.26548672566371684</v>
      </c>
      <c r="AG43">
        <v>0.26548672566371684</v>
      </c>
      <c r="AH43">
        <v>0.26548672566371684</v>
      </c>
      <c r="AI43">
        <v>0.26548672566371684</v>
      </c>
    </row>
    <row r="44" spans="1:35">
      <c r="A44">
        <v>43</v>
      </c>
      <c r="B44" t="s">
        <v>164</v>
      </c>
      <c r="C44" t="s">
        <v>728</v>
      </c>
      <c r="D44" t="s">
        <v>48</v>
      </c>
      <c r="E44">
        <v>0.13594470046082952</v>
      </c>
      <c r="F44" t="s">
        <v>729</v>
      </c>
      <c r="AE44">
        <v>0.26548672566371684</v>
      </c>
      <c r="AF44">
        <v>0.26548672566371684</v>
      </c>
      <c r="AG44">
        <v>0.26548672566371684</v>
      </c>
      <c r="AH44">
        <v>0.26548672566371684</v>
      </c>
      <c r="AI44">
        <v>0.26548672566371684</v>
      </c>
    </row>
    <row r="45" spans="1:35">
      <c r="A45">
        <v>44</v>
      </c>
      <c r="B45" t="s">
        <v>168</v>
      </c>
      <c r="C45" t="s">
        <v>728</v>
      </c>
      <c r="D45" t="s">
        <v>30</v>
      </c>
      <c r="E45">
        <v>0.61333977767037218</v>
      </c>
      <c r="F45" t="s">
        <v>729</v>
      </c>
      <c r="AE45">
        <v>0.2</v>
      </c>
      <c r="AF45">
        <v>0.2</v>
      </c>
      <c r="AG45">
        <v>0.2</v>
      </c>
      <c r="AH45">
        <v>0.2</v>
      </c>
      <c r="AI45">
        <v>0.2</v>
      </c>
    </row>
    <row r="46" spans="1:35">
      <c r="A46">
        <v>45</v>
      </c>
      <c r="B46" t="s">
        <v>171</v>
      </c>
      <c r="C46" t="s">
        <v>728</v>
      </c>
      <c r="D46" t="s">
        <v>30</v>
      </c>
      <c r="E46">
        <v>0</v>
      </c>
      <c r="F46" t="s">
        <v>729</v>
      </c>
      <c r="AE46">
        <v>0.18584070796460178</v>
      </c>
      <c r="AF46">
        <v>0.18584070796460178</v>
      </c>
      <c r="AG46">
        <v>0.18584070796460178</v>
      </c>
      <c r="AH46">
        <v>0.18584070796460178</v>
      </c>
      <c r="AI46">
        <v>0.18584070796460178</v>
      </c>
    </row>
    <row r="47" spans="1:35">
      <c r="A47">
        <v>46</v>
      </c>
      <c r="B47" t="s">
        <v>174</v>
      </c>
      <c r="C47" t="s">
        <v>728</v>
      </c>
      <c r="D47" t="s">
        <v>30</v>
      </c>
      <c r="E47">
        <v>0.72208796520058005</v>
      </c>
      <c r="F47" t="s">
        <v>729</v>
      </c>
      <c r="AE47">
        <v>0.2</v>
      </c>
      <c r="AF47">
        <v>0.2</v>
      </c>
      <c r="AG47">
        <v>0.2</v>
      </c>
      <c r="AH47">
        <v>0.2</v>
      </c>
      <c r="AI47">
        <v>0.2</v>
      </c>
    </row>
    <row r="48" spans="1:35">
      <c r="A48">
        <v>47</v>
      </c>
      <c r="B48" t="s">
        <v>178</v>
      </c>
      <c r="C48" t="s">
        <v>728</v>
      </c>
      <c r="D48" t="s">
        <v>51</v>
      </c>
      <c r="E48">
        <v>0.30100882361394532</v>
      </c>
      <c r="F48" t="s">
        <v>729</v>
      </c>
      <c r="AE48">
        <v>0.22</v>
      </c>
      <c r="AF48">
        <v>0.22</v>
      </c>
      <c r="AG48">
        <v>0.22</v>
      </c>
      <c r="AH48">
        <v>0.22</v>
      </c>
      <c r="AI48">
        <v>0.22</v>
      </c>
    </row>
    <row r="49" spans="1:35">
      <c r="A49">
        <v>48</v>
      </c>
      <c r="B49" t="s">
        <v>181</v>
      </c>
      <c r="C49" t="s">
        <v>728</v>
      </c>
      <c r="D49" t="s">
        <v>43</v>
      </c>
      <c r="E49">
        <v>0.2630124366651313</v>
      </c>
      <c r="F49" t="s">
        <v>729</v>
      </c>
      <c r="AE49">
        <v>0.28999999999999998</v>
      </c>
      <c r="AF49">
        <v>0.28999999999999998</v>
      </c>
      <c r="AG49">
        <v>0.28999999999999998</v>
      </c>
      <c r="AH49">
        <v>0.28999999999999998</v>
      </c>
      <c r="AI49">
        <v>0.28999999999999998</v>
      </c>
    </row>
    <row r="50" spans="1:35">
      <c r="A50">
        <v>49</v>
      </c>
      <c r="B50" t="s">
        <v>185</v>
      </c>
      <c r="C50" t="s">
        <v>728</v>
      </c>
      <c r="D50" t="s">
        <v>48</v>
      </c>
      <c r="E50">
        <v>-8.0645161290322509E-3</v>
      </c>
      <c r="F50" t="s">
        <v>729</v>
      </c>
      <c r="AE50">
        <v>0.26548672566371684</v>
      </c>
      <c r="AF50">
        <v>0.26548672566371684</v>
      </c>
      <c r="AG50">
        <v>0.26548672566371684</v>
      </c>
      <c r="AH50">
        <v>0.26548672566371684</v>
      </c>
      <c r="AI50">
        <v>0.26548672566371684</v>
      </c>
    </row>
    <row r="51" spans="1:35">
      <c r="A51">
        <v>50</v>
      </c>
      <c r="B51" t="s">
        <v>188</v>
      </c>
      <c r="C51" t="s">
        <v>728</v>
      </c>
      <c r="D51" t="s">
        <v>191</v>
      </c>
      <c r="E51">
        <v>0.38832576022369814</v>
      </c>
      <c r="F51" t="s">
        <v>729</v>
      </c>
      <c r="AE51">
        <v>0.26548672566371684</v>
      </c>
      <c r="AF51">
        <v>0.26548672566371684</v>
      </c>
      <c r="AG51">
        <v>0.26548672566371684</v>
      </c>
      <c r="AH51">
        <v>0.26548672566371684</v>
      </c>
      <c r="AI51">
        <v>0.26548672566371684</v>
      </c>
    </row>
    <row r="52" spans="1:35">
      <c r="A52">
        <v>51</v>
      </c>
      <c r="B52" t="s">
        <v>192</v>
      </c>
      <c r="C52" t="s">
        <v>728</v>
      </c>
      <c r="D52" t="s">
        <v>21</v>
      </c>
      <c r="E52">
        <v>0.35263441827009534</v>
      </c>
      <c r="F52" t="s">
        <v>729</v>
      </c>
      <c r="AE52">
        <v>0.26548672566371684</v>
      </c>
      <c r="AF52">
        <v>0.26548672566371684</v>
      </c>
      <c r="AG52">
        <v>0.26548672566371684</v>
      </c>
      <c r="AH52">
        <v>0.26548672566371684</v>
      </c>
      <c r="AI52">
        <v>0.26548672566371684</v>
      </c>
    </row>
    <row r="53" spans="1:35">
      <c r="A53">
        <v>52</v>
      </c>
      <c r="B53" t="s">
        <v>194</v>
      </c>
      <c r="C53" t="s">
        <v>728</v>
      </c>
      <c r="D53" t="s">
        <v>191</v>
      </c>
      <c r="E53">
        <v>0.38832576022369814</v>
      </c>
      <c r="F53" t="s">
        <v>729</v>
      </c>
      <c r="AE53">
        <v>0.26548672566371684</v>
      </c>
      <c r="AF53">
        <v>0.26548672566371684</v>
      </c>
      <c r="AG53">
        <v>0.26548672566371684</v>
      </c>
      <c r="AH53">
        <v>0.26548672566371684</v>
      </c>
      <c r="AI53">
        <v>0.26548672566371684</v>
      </c>
    </row>
    <row r="54" spans="1:35">
      <c r="A54">
        <v>53</v>
      </c>
      <c r="B54" t="s">
        <v>197</v>
      </c>
      <c r="C54" t="s">
        <v>728</v>
      </c>
      <c r="D54" t="s">
        <v>51</v>
      </c>
      <c r="E54">
        <v>0.35619233753916024</v>
      </c>
      <c r="F54" t="s">
        <v>729</v>
      </c>
      <c r="AE54">
        <v>0.26548672566371684</v>
      </c>
      <c r="AF54">
        <v>0.26548672566371684</v>
      </c>
      <c r="AG54">
        <v>0.26548672566371684</v>
      </c>
      <c r="AH54">
        <v>0.26548672566371684</v>
      </c>
      <c r="AI54">
        <v>0.26548672566371684</v>
      </c>
    </row>
    <row r="55" spans="1:35">
      <c r="A55">
        <v>54</v>
      </c>
      <c r="B55" t="s">
        <v>200</v>
      </c>
      <c r="C55" t="s">
        <v>728</v>
      </c>
      <c r="D55" t="s">
        <v>43</v>
      </c>
      <c r="E55">
        <v>0.2630124366651313</v>
      </c>
      <c r="F55" t="s">
        <v>729</v>
      </c>
      <c r="AE55">
        <v>0.28000000000000003</v>
      </c>
      <c r="AF55">
        <v>0.28000000000000003</v>
      </c>
      <c r="AG55">
        <v>0.28000000000000003</v>
      </c>
      <c r="AH55">
        <v>0.28000000000000003</v>
      </c>
      <c r="AI55">
        <v>0.28000000000000003</v>
      </c>
    </row>
    <row r="56" spans="1:35">
      <c r="A56">
        <v>55</v>
      </c>
      <c r="B56" t="s">
        <v>203</v>
      </c>
      <c r="C56" t="s">
        <v>728</v>
      </c>
      <c r="D56" t="s">
        <v>51</v>
      </c>
      <c r="E56">
        <v>0.26421981433046871</v>
      </c>
      <c r="F56" t="s">
        <v>729</v>
      </c>
      <c r="AE56">
        <v>0.26548672566371684</v>
      </c>
      <c r="AF56">
        <v>0.26548672566371684</v>
      </c>
      <c r="AG56">
        <v>0.26548672566371684</v>
      </c>
      <c r="AH56">
        <v>0.26548672566371684</v>
      </c>
      <c r="AI56">
        <v>0.26548672566371684</v>
      </c>
    </row>
    <row r="57" spans="1:35">
      <c r="A57">
        <v>56</v>
      </c>
      <c r="B57" t="s">
        <v>205</v>
      </c>
      <c r="C57" t="s">
        <v>728</v>
      </c>
      <c r="D57" t="s">
        <v>208</v>
      </c>
      <c r="E57">
        <v>0.33699564311422625</v>
      </c>
      <c r="F57" t="s">
        <v>729</v>
      </c>
      <c r="AE57">
        <v>0.26548672566371684</v>
      </c>
      <c r="AF57">
        <v>0.26548672566371684</v>
      </c>
      <c r="AG57">
        <v>0.26548672566371684</v>
      </c>
      <c r="AH57">
        <v>0.26548672566371684</v>
      </c>
      <c r="AI57">
        <v>0.26548672566371684</v>
      </c>
    </row>
    <row r="58" spans="1:35">
      <c r="A58">
        <v>57</v>
      </c>
      <c r="B58" t="s">
        <v>209</v>
      </c>
      <c r="C58" t="s">
        <v>728</v>
      </c>
      <c r="D58" t="s">
        <v>30</v>
      </c>
      <c r="E58">
        <v>0.32334461092315125</v>
      </c>
      <c r="F58" t="s">
        <v>729</v>
      </c>
      <c r="AE58">
        <v>0.26548672566371684</v>
      </c>
      <c r="AF58">
        <v>0.26548672566371684</v>
      </c>
      <c r="AG58">
        <v>0.26548672566371684</v>
      </c>
      <c r="AH58">
        <v>0.26548672566371684</v>
      </c>
      <c r="AI58">
        <v>0.26548672566371684</v>
      </c>
    </row>
    <row r="59" spans="1:35">
      <c r="A59">
        <v>58</v>
      </c>
      <c r="B59" t="s">
        <v>213</v>
      </c>
      <c r="C59" t="s">
        <v>728</v>
      </c>
      <c r="D59" t="s">
        <v>48</v>
      </c>
      <c r="E59">
        <v>0.13594470046082952</v>
      </c>
      <c r="F59" t="s">
        <v>729</v>
      </c>
      <c r="AE59">
        <v>0.26548672566371684</v>
      </c>
      <c r="AF59">
        <v>0.26548672566371684</v>
      </c>
      <c r="AG59">
        <v>0.26548672566371684</v>
      </c>
      <c r="AH59">
        <v>0.26548672566371684</v>
      </c>
      <c r="AI59">
        <v>0.26548672566371684</v>
      </c>
    </row>
    <row r="60" spans="1:35">
      <c r="A60">
        <v>59</v>
      </c>
      <c r="B60" t="s">
        <v>217</v>
      </c>
      <c r="C60" t="s">
        <v>728</v>
      </c>
      <c r="D60" t="s">
        <v>48</v>
      </c>
      <c r="E60">
        <v>0.13594470046082952</v>
      </c>
      <c r="F60" t="s">
        <v>729</v>
      </c>
      <c r="AE60">
        <v>0.26548672566371684</v>
      </c>
      <c r="AF60">
        <v>0.26548672566371684</v>
      </c>
      <c r="AG60">
        <v>0.26548672566371684</v>
      </c>
      <c r="AH60">
        <v>0.26548672566371684</v>
      </c>
      <c r="AI60">
        <v>0.26548672566371684</v>
      </c>
    </row>
    <row r="61" spans="1:35">
      <c r="A61">
        <v>60</v>
      </c>
      <c r="B61" t="s">
        <v>220</v>
      </c>
      <c r="C61" t="s">
        <v>728</v>
      </c>
      <c r="D61" t="s">
        <v>48</v>
      </c>
      <c r="E61">
        <v>0.13594470046082952</v>
      </c>
      <c r="F61" t="s">
        <v>729</v>
      </c>
      <c r="AE61">
        <v>0.26548672566371684</v>
      </c>
      <c r="AF61">
        <v>0.26548672566371684</v>
      </c>
      <c r="AG61">
        <v>0.26548672566371684</v>
      </c>
      <c r="AH61">
        <v>0.26548672566371684</v>
      </c>
      <c r="AI61">
        <v>0.26548672566371684</v>
      </c>
    </row>
    <row r="62" spans="1:35">
      <c r="A62">
        <v>61</v>
      </c>
      <c r="B62" t="s">
        <v>224</v>
      </c>
      <c r="C62" t="s">
        <v>728</v>
      </c>
      <c r="D62" t="s">
        <v>48</v>
      </c>
      <c r="E62">
        <v>0.13594470046082952</v>
      </c>
      <c r="F62" t="s">
        <v>729</v>
      </c>
      <c r="AE62">
        <v>0.26548672566371684</v>
      </c>
      <c r="AF62">
        <v>0.26548672566371684</v>
      </c>
      <c r="AG62">
        <v>0.26548672566371684</v>
      </c>
      <c r="AH62">
        <v>0.26548672566371684</v>
      </c>
      <c r="AI62">
        <v>0.26548672566371684</v>
      </c>
    </row>
    <row r="63" spans="1:35">
      <c r="A63">
        <v>62</v>
      </c>
      <c r="B63" t="s">
        <v>227</v>
      </c>
      <c r="C63" t="s">
        <v>728</v>
      </c>
      <c r="D63" t="s">
        <v>48</v>
      </c>
      <c r="E63">
        <v>0.13594470046082952</v>
      </c>
      <c r="F63" t="s">
        <v>729</v>
      </c>
      <c r="AE63">
        <v>0.26548672566371684</v>
      </c>
      <c r="AF63">
        <v>0.26548672566371684</v>
      </c>
      <c r="AG63">
        <v>0.26548672566371684</v>
      </c>
      <c r="AH63">
        <v>0.26548672566371684</v>
      </c>
      <c r="AI63">
        <v>0.26548672566371684</v>
      </c>
    </row>
    <row r="64" spans="1:35">
      <c r="A64">
        <v>63</v>
      </c>
      <c r="B64" t="s">
        <v>230</v>
      </c>
      <c r="C64" t="s">
        <v>728</v>
      </c>
      <c r="D64" t="s">
        <v>48</v>
      </c>
      <c r="E64">
        <v>0.13594470046082952</v>
      </c>
      <c r="F64" t="s">
        <v>729</v>
      </c>
      <c r="AE64">
        <v>0.26548672566371684</v>
      </c>
      <c r="AF64">
        <v>0.26548672566371684</v>
      </c>
      <c r="AG64">
        <v>0.26548672566371684</v>
      </c>
      <c r="AH64">
        <v>0.26548672566371684</v>
      </c>
      <c r="AI64">
        <v>0.26548672566371684</v>
      </c>
    </row>
    <row r="65" spans="1:35">
      <c r="A65">
        <v>64</v>
      </c>
      <c r="B65" t="s">
        <v>232</v>
      </c>
      <c r="C65" t="s">
        <v>728</v>
      </c>
      <c r="D65" t="s">
        <v>48</v>
      </c>
      <c r="E65">
        <v>0.13594470046082952</v>
      </c>
      <c r="F65" t="s">
        <v>729</v>
      </c>
      <c r="AE65">
        <v>0.26548672566371684</v>
      </c>
      <c r="AF65">
        <v>0.26548672566371684</v>
      </c>
      <c r="AG65">
        <v>0.26548672566371684</v>
      </c>
      <c r="AH65">
        <v>0.26548672566371684</v>
      </c>
      <c r="AI65">
        <v>0.26548672566371684</v>
      </c>
    </row>
    <row r="66" spans="1:35">
      <c r="A66">
        <v>65</v>
      </c>
      <c r="B66" t="s">
        <v>235</v>
      </c>
      <c r="C66" t="s">
        <v>728</v>
      </c>
      <c r="D66" t="s">
        <v>238</v>
      </c>
      <c r="E66">
        <v>0.35393258426966301</v>
      </c>
      <c r="F66" t="s">
        <v>729</v>
      </c>
      <c r="AE66">
        <v>0.28000000000000003</v>
      </c>
      <c r="AF66">
        <v>0.28000000000000003</v>
      </c>
      <c r="AG66">
        <v>0.28000000000000003</v>
      </c>
      <c r="AH66">
        <v>0.28000000000000003</v>
      </c>
      <c r="AI66">
        <v>0.28000000000000003</v>
      </c>
    </row>
    <row r="67" spans="1:35">
      <c r="A67">
        <v>66</v>
      </c>
      <c r="B67" t="s">
        <v>239</v>
      </c>
      <c r="C67" t="s">
        <v>728</v>
      </c>
      <c r="D67" t="s">
        <v>238</v>
      </c>
      <c r="E67">
        <v>0.35393258426966301</v>
      </c>
      <c r="F67" t="s">
        <v>729</v>
      </c>
      <c r="AE67">
        <v>0.28000000000000003</v>
      </c>
      <c r="AF67">
        <v>0.28000000000000003</v>
      </c>
      <c r="AG67">
        <v>0.28000000000000003</v>
      </c>
      <c r="AH67">
        <v>0.28000000000000003</v>
      </c>
      <c r="AI67">
        <v>0.28000000000000003</v>
      </c>
    </row>
    <row r="68" spans="1:35">
      <c r="A68">
        <v>67</v>
      </c>
      <c r="B68" t="s">
        <v>242</v>
      </c>
      <c r="C68" t="s">
        <v>728</v>
      </c>
      <c r="D68" t="s">
        <v>246</v>
      </c>
      <c r="E68">
        <v>0</v>
      </c>
      <c r="F68" t="s">
        <v>729</v>
      </c>
      <c r="AE68">
        <v>0.22123893805309736</v>
      </c>
      <c r="AF68">
        <v>0.22123893805309736</v>
      </c>
      <c r="AG68">
        <v>0.22123893805309736</v>
      </c>
      <c r="AH68">
        <v>0.22123893805309736</v>
      </c>
      <c r="AI68">
        <v>0.22123893805309736</v>
      </c>
    </row>
    <row r="69" spans="1:35">
      <c r="A69">
        <v>68</v>
      </c>
      <c r="B69" t="s">
        <v>247</v>
      </c>
      <c r="C69" t="s">
        <v>728</v>
      </c>
      <c r="D69" t="s">
        <v>246</v>
      </c>
      <c r="E69">
        <v>0</v>
      </c>
      <c r="F69" t="s">
        <v>729</v>
      </c>
      <c r="AE69">
        <v>0.22123893805309736</v>
      </c>
      <c r="AF69">
        <v>0.22123893805309736</v>
      </c>
      <c r="AG69">
        <v>0.22123893805309736</v>
      </c>
      <c r="AH69">
        <v>0.22123893805309736</v>
      </c>
      <c r="AI69">
        <v>0.22123893805309736</v>
      </c>
    </row>
    <row r="70" spans="1:35">
      <c r="A70">
        <v>69</v>
      </c>
      <c r="B70" t="s">
        <v>250</v>
      </c>
      <c r="C70" t="s">
        <v>728</v>
      </c>
      <c r="D70" t="s">
        <v>191</v>
      </c>
      <c r="E70">
        <v>0.38832576022369814</v>
      </c>
      <c r="F70" t="s">
        <v>729</v>
      </c>
      <c r="AE70">
        <v>0.26548672566371684</v>
      </c>
      <c r="AF70">
        <v>0.26548672566371684</v>
      </c>
      <c r="AG70">
        <v>0.26548672566371684</v>
      </c>
      <c r="AH70">
        <v>0.26548672566371684</v>
      </c>
      <c r="AI70">
        <v>0.26548672566371684</v>
      </c>
    </row>
    <row r="71" spans="1:35">
      <c r="A71">
        <v>70</v>
      </c>
      <c r="B71" t="s">
        <v>253</v>
      </c>
      <c r="C71" t="s">
        <v>728</v>
      </c>
      <c r="D71" t="s">
        <v>191</v>
      </c>
      <c r="E71">
        <v>0</v>
      </c>
      <c r="F71" t="s">
        <v>729</v>
      </c>
      <c r="AE71">
        <v>0.26548672566371684</v>
      </c>
      <c r="AF71">
        <v>0.26548672566371684</v>
      </c>
      <c r="AG71">
        <v>0.26548672566371684</v>
      </c>
      <c r="AH71">
        <v>0.26548672566371684</v>
      </c>
      <c r="AI71">
        <v>0.26548672566371684</v>
      </c>
    </row>
    <row r="72" spans="1:35">
      <c r="A72">
        <v>71</v>
      </c>
      <c r="B72" t="s">
        <v>256</v>
      </c>
      <c r="C72" t="s">
        <v>728</v>
      </c>
      <c r="D72" t="s">
        <v>191</v>
      </c>
      <c r="E72">
        <v>0</v>
      </c>
      <c r="F72" t="s">
        <v>729</v>
      </c>
      <c r="AE72">
        <v>0.26548672566371684</v>
      </c>
      <c r="AF72">
        <v>0.26548672566371684</v>
      </c>
      <c r="AG72">
        <v>0.26548672566371684</v>
      </c>
      <c r="AH72">
        <v>0.26548672566371684</v>
      </c>
      <c r="AI72">
        <v>0.26548672566371684</v>
      </c>
    </row>
    <row r="73" spans="1:35">
      <c r="A73">
        <v>72</v>
      </c>
      <c r="B73" t="s">
        <v>258</v>
      </c>
      <c r="C73" t="s">
        <v>728</v>
      </c>
      <c r="D73" t="s">
        <v>55</v>
      </c>
      <c r="E73">
        <v>0.21909861668897812</v>
      </c>
      <c r="F73" t="s">
        <v>729</v>
      </c>
      <c r="AE73">
        <v>0.26548672566371684</v>
      </c>
      <c r="AF73">
        <v>0.26548672566371684</v>
      </c>
      <c r="AG73">
        <v>0.26548672566371684</v>
      </c>
      <c r="AH73">
        <v>0.26548672566371684</v>
      </c>
      <c r="AI73">
        <v>0.26548672566371684</v>
      </c>
    </row>
    <row r="74" spans="1:35">
      <c r="A74">
        <v>73</v>
      </c>
      <c r="B74" t="s">
        <v>261</v>
      </c>
      <c r="C74" t="s">
        <v>728</v>
      </c>
      <c r="D74" t="s">
        <v>55</v>
      </c>
      <c r="E74">
        <v>0.15216421240517619</v>
      </c>
      <c r="F74" t="s">
        <v>729</v>
      </c>
      <c r="AE74">
        <v>0.26548672566371684</v>
      </c>
      <c r="AF74">
        <v>0.26548672566371684</v>
      </c>
      <c r="AG74">
        <v>0.26548672566371684</v>
      </c>
      <c r="AH74">
        <v>0.26548672566371684</v>
      </c>
      <c r="AI74">
        <v>0.26548672566371684</v>
      </c>
    </row>
    <row r="75" spans="1:35">
      <c r="A75">
        <v>74</v>
      </c>
      <c r="B75" t="s">
        <v>265</v>
      </c>
      <c r="C75" t="s">
        <v>728</v>
      </c>
      <c r="D75" t="s">
        <v>51</v>
      </c>
      <c r="E75">
        <v>0.35619233753916024</v>
      </c>
      <c r="F75" t="s">
        <v>729</v>
      </c>
      <c r="AE75">
        <v>0.26548672566371684</v>
      </c>
      <c r="AF75">
        <v>0.26548672566371684</v>
      </c>
      <c r="AG75">
        <v>0.26548672566371684</v>
      </c>
      <c r="AH75">
        <v>0.26548672566371684</v>
      </c>
      <c r="AI75">
        <v>0.26548672566371684</v>
      </c>
    </row>
    <row r="76" spans="1:35">
      <c r="A76">
        <v>75</v>
      </c>
      <c r="B76" t="s">
        <v>269</v>
      </c>
      <c r="C76" t="s">
        <v>728</v>
      </c>
      <c r="D76" t="s">
        <v>51</v>
      </c>
      <c r="E76">
        <v>0.35619233753916024</v>
      </c>
      <c r="F76" t="s">
        <v>729</v>
      </c>
      <c r="AE76">
        <v>0.26548672566371684</v>
      </c>
      <c r="AF76">
        <v>0.26548672566371684</v>
      </c>
      <c r="AG76">
        <v>0.26548672566371684</v>
      </c>
      <c r="AH76">
        <v>0.26548672566371684</v>
      </c>
      <c r="AI76">
        <v>0.26548672566371684</v>
      </c>
    </row>
    <row r="77" spans="1:35">
      <c r="A77">
        <v>76</v>
      </c>
      <c r="B77" t="s">
        <v>273</v>
      </c>
      <c r="C77" t="s">
        <v>728</v>
      </c>
      <c r="D77" t="s">
        <v>55</v>
      </c>
      <c r="E77">
        <v>0.21909861668897812</v>
      </c>
      <c r="F77" t="s">
        <v>729</v>
      </c>
      <c r="AE77">
        <v>0.26548672566371684</v>
      </c>
      <c r="AF77">
        <v>0.26548672566371684</v>
      </c>
      <c r="AG77">
        <v>0.26548672566371684</v>
      </c>
      <c r="AH77">
        <v>0.26548672566371684</v>
      </c>
      <c r="AI77">
        <v>0.26548672566371684</v>
      </c>
    </row>
    <row r="78" spans="1:35">
      <c r="A78">
        <v>77</v>
      </c>
      <c r="B78" t="s">
        <v>276</v>
      </c>
      <c r="C78" t="s">
        <v>728</v>
      </c>
      <c r="D78" t="s">
        <v>36</v>
      </c>
      <c r="E78">
        <v>0.40085040587553145</v>
      </c>
      <c r="F78" t="s">
        <v>729</v>
      </c>
      <c r="AE78">
        <v>0.26548672566371684</v>
      </c>
      <c r="AF78">
        <v>0.26548672566371684</v>
      </c>
      <c r="AG78">
        <v>0.26548672566371684</v>
      </c>
      <c r="AH78">
        <v>0.26548672566371684</v>
      </c>
      <c r="AI78">
        <v>0.26548672566371684</v>
      </c>
    </row>
    <row r="79" spans="1:35">
      <c r="A79">
        <v>78</v>
      </c>
      <c r="B79" t="s">
        <v>278</v>
      </c>
      <c r="C79" t="s">
        <v>728</v>
      </c>
      <c r="D79" t="s">
        <v>36</v>
      </c>
      <c r="E79">
        <v>0.45883262466177033</v>
      </c>
      <c r="F79" t="s">
        <v>729</v>
      </c>
      <c r="AE79">
        <v>0.26548672566371684</v>
      </c>
      <c r="AF79">
        <v>0.26548672566371684</v>
      </c>
      <c r="AG79">
        <v>0.26548672566371684</v>
      </c>
      <c r="AH79">
        <v>0.26548672566371684</v>
      </c>
      <c r="AI79">
        <v>0.26548672566371684</v>
      </c>
    </row>
    <row r="80" spans="1:35">
      <c r="A80">
        <v>79</v>
      </c>
      <c r="B80" t="s">
        <v>280</v>
      </c>
      <c r="C80" t="s">
        <v>728</v>
      </c>
      <c r="D80" t="s">
        <v>30</v>
      </c>
      <c r="E80">
        <v>0.15418076365393918</v>
      </c>
      <c r="F80" t="s">
        <v>729</v>
      </c>
      <c r="AE80">
        <v>0.26548672566371684</v>
      </c>
      <c r="AF80">
        <v>0.26548672566371684</v>
      </c>
      <c r="AG80">
        <v>0.26548672566371684</v>
      </c>
      <c r="AH80">
        <v>0.26548672566371684</v>
      </c>
      <c r="AI80">
        <v>0.26548672566371684</v>
      </c>
    </row>
    <row r="81" spans="1:35">
      <c r="A81">
        <v>80</v>
      </c>
      <c r="B81" t="s">
        <v>282</v>
      </c>
      <c r="C81" t="s">
        <v>728</v>
      </c>
      <c r="D81" t="s">
        <v>30</v>
      </c>
      <c r="E81">
        <v>0</v>
      </c>
      <c r="F81" t="s">
        <v>729</v>
      </c>
      <c r="AE81">
        <v>0.30973451327433627</v>
      </c>
      <c r="AF81">
        <v>0.30973451327433627</v>
      </c>
      <c r="AG81">
        <v>0.30973451327433627</v>
      </c>
      <c r="AH81">
        <v>0.30973451327433627</v>
      </c>
      <c r="AI81">
        <v>0.30973451327433627</v>
      </c>
    </row>
    <row r="82" spans="1:35">
      <c r="A82">
        <v>81</v>
      </c>
      <c r="B82" t="s">
        <v>285</v>
      </c>
      <c r="C82" t="s">
        <v>728</v>
      </c>
      <c r="D82" t="s">
        <v>30</v>
      </c>
      <c r="E82">
        <v>0</v>
      </c>
      <c r="F82" t="s">
        <v>729</v>
      </c>
      <c r="AE82">
        <v>0.22123893805309736</v>
      </c>
      <c r="AF82">
        <v>0.22123893805309736</v>
      </c>
      <c r="AG82">
        <v>0.22123893805309736</v>
      </c>
      <c r="AH82">
        <v>0.22123893805309736</v>
      </c>
      <c r="AI82">
        <v>0.22123893805309736</v>
      </c>
    </row>
    <row r="83" spans="1:35">
      <c r="A83">
        <v>82</v>
      </c>
      <c r="B83" t="s">
        <v>287</v>
      </c>
      <c r="C83" t="s">
        <v>728</v>
      </c>
      <c r="D83" t="s">
        <v>30</v>
      </c>
      <c r="E83">
        <v>0</v>
      </c>
      <c r="F83" t="s">
        <v>729</v>
      </c>
      <c r="AE83">
        <v>0.22123893805309736</v>
      </c>
      <c r="AF83">
        <v>0.22123893805309736</v>
      </c>
      <c r="AG83">
        <v>0.22123893805309736</v>
      </c>
      <c r="AH83">
        <v>0.22123893805309736</v>
      </c>
      <c r="AI83">
        <v>0.22123893805309736</v>
      </c>
    </row>
    <row r="84" spans="1:35">
      <c r="A84">
        <v>83</v>
      </c>
      <c r="B84" t="s">
        <v>290</v>
      </c>
      <c r="C84" t="s">
        <v>728</v>
      </c>
      <c r="D84" t="s">
        <v>30</v>
      </c>
      <c r="E84">
        <v>0.15418076365393918</v>
      </c>
      <c r="F84" t="s">
        <v>729</v>
      </c>
      <c r="AE84">
        <v>0.26548672566371684</v>
      </c>
      <c r="AF84">
        <v>0.26548672566371684</v>
      </c>
      <c r="AG84">
        <v>0.26548672566371684</v>
      </c>
      <c r="AH84">
        <v>0.26548672566371684</v>
      </c>
      <c r="AI84">
        <v>0.26548672566371684</v>
      </c>
    </row>
    <row r="85" spans="1:35">
      <c r="A85">
        <v>84</v>
      </c>
      <c r="B85" t="s">
        <v>292</v>
      </c>
      <c r="C85" t="s">
        <v>728</v>
      </c>
      <c r="D85" t="s">
        <v>55</v>
      </c>
      <c r="E85">
        <v>0.21909861668897812</v>
      </c>
      <c r="F85" t="s">
        <v>729</v>
      </c>
      <c r="AE85">
        <v>0.26548672566371684</v>
      </c>
      <c r="AF85">
        <v>0.26548672566371684</v>
      </c>
      <c r="AG85">
        <v>0.26548672566371684</v>
      </c>
      <c r="AH85">
        <v>0.26548672566371684</v>
      </c>
      <c r="AI85">
        <v>0.26548672566371684</v>
      </c>
    </row>
    <row r="86" spans="1:35">
      <c r="A86">
        <v>85</v>
      </c>
      <c r="B86" t="s">
        <v>295</v>
      </c>
      <c r="C86" t="s">
        <v>728</v>
      </c>
      <c r="D86" t="s">
        <v>246</v>
      </c>
      <c r="E86">
        <v>0.30720506730007924</v>
      </c>
      <c r="F86" t="s">
        <v>729</v>
      </c>
      <c r="AE86">
        <v>0.26548672566371684</v>
      </c>
      <c r="AF86">
        <v>0.26548672566371684</v>
      </c>
      <c r="AG86">
        <v>0.26548672566371684</v>
      </c>
      <c r="AH86">
        <v>0.26548672566371684</v>
      </c>
      <c r="AI86">
        <v>0.26548672566371684</v>
      </c>
    </row>
    <row r="87" spans="1:35">
      <c r="A87">
        <v>86</v>
      </c>
      <c r="B87" t="s">
        <v>298</v>
      </c>
      <c r="C87" t="s">
        <v>728</v>
      </c>
      <c r="D87" t="s">
        <v>191</v>
      </c>
      <c r="E87">
        <v>0</v>
      </c>
      <c r="F87" t="s">
        <v>729</v>
      </c>
      <c r="AE87">
        <v>0.23</v>
      </c>
      <c r="AF87">
        <v>0.23</v>
      </c>
      <c r="AG87">
        <v>0.23</v>
      </c>
      <c r="AH87">
        <v>0.23</v>
      </c>
      <c r="AI87">
        <v>0.23</v>
      </c>
    </row>
    <row r="88" spans="1:35">
      <c r="A88">
        <v>87</v>
      </c>
      <c r="B88" t="s">
        <v>302</v>
      </c>
      <c r="C88" t="s">
        <v>728</v>
      </c>
      <c r="D88" t="s">
        <v>191</v>
      </c>
      <c r="E88">
        <v>0</v>
      </c>
      <c r="F88" t="s">
        <v>729</v>
      </c>
      <c r="AE88">
        <v>0.23</v>
      </c>
      <c r="AF88">
        <v>0.23</v>
      </c>
      <c r="AG88">
        <v>0.23</v>
      </c>
      <c r="AH88">
        <v>0.23</v>
      </c>
      <c r="AI88">
        <v>0.23</v>
      </c>
    </row>
    <row r="89" spans="1:35">
      <c r="A89">
        <v>88</v>
      </c>
      <c r="B89" t="s">
        <v>305</v>
      </c>
      <c r="C89" t="s">
        <v>728</v>
      </c>
      <c r="D89" t="s">
        <v>191</v>
      </c>
      <c r="E89">
        <v>0</v>
      </c>
      <c r="F89" t="s">
        <v>729</v>
      </c>
      <c r="AE89">
        <v>0.23</v>
      </c>
      <c r="AF89">
        <v>0.23</v>
      </c>
      <c r="AG89">
        <v>0.23</v>
      </c>
      <c r="AH89">
        <v>0.23</v>
      </c>
      <c r="AI89">
        <v>0.23</v>
      </c>
    </row>
    <row r="90" spans="1:35">
      <c r="A90">
        <v>89</v>
      </c>
      <c r="B90" t="s">
        <v>308</v>
      </c>
      <c r="C90" t="s">
        <v>728</v>
      </c>
      <c r="D90" t="s">
        <v>191</v>
      </c>
      <c r="E90">
        <v>0</v>
      </c>
      <c r="F90" t="s">
        <v>729</v>
      </c>
      <c r="AE90">
        <v>0.23</v>
      </c>
      <c r="AF90">
        <v>0.23</v>
      </c>
      <c r="AG90">
        <v>0.23</v>
      </c>
      <c r="AH90">
        <v>0.23</v>
      </c>
      <c r="AI90">
        <v>0.23</v>
      </c>
    </row>
    <row r="91" spans="1:35">
      <c r="A91">
        <v>90</v>
      </c>
      <c r="B91" t="s">
        <v>311</v>
      </c>
      <c r="C91" t="s">
        <v>728</v>
      </c>
      <c r="D91" t="s">
        <v>191</v>
      </c>
      <c r="E91">
        <v>0</v>
      </c>
      <c r="F91" t="s">
        <v>729</v>
      </c>
      <c r="AE91">
        <v>0.23</v>
      </c>
      <c r="AF91">
        <v>0.23</v>
      </c>
      <c r="AG91">
        <v>0.23</v>
      </c>
      <c r="AH91">
        <v>0.23</v>
      </c>
      <c r="AI91">
        <v>0.23</v>
      </c>
    </row>
    <row r="92" spans="1:35">
      <c r="A92">
        <v>91</v>
      </c>
      <c r="B92" t="s">
        <v>314</v>
      </c>
      <c r="C92" t="s">
        <v>728</v>
      </c>
      <c r="D92" t="s">
        <v>191</v>
      </c>
      <c r="E92">
        <v>0</v>
      </c>
      <c r="F92" t="s">
        <v>729</v>
      </c>
      <c r="AE92">
        <v>0.23</v>
      </c>
      <c r="AF92">
        <v>0.23</v>
      </c>
      <c r="AG92">
        <v>0.23</v>
      </c>
      <c r="AH92">
        <v>0.23</v>
      </c>
      <c r="AI92">
        <v>0.23</v>
      </c>
    </row>
    <row r="93" spans="1:35">
      <c r="A93">
        <v>92</v>
      </c>
      <c r="B93" t="s">
        <v>317</v>
      </c>
      <c r="C93" t="s">
        <v>728</v>
      </c>
      <c r="D93" t="s">
        <v>191</v>
      </c>
      <c r="E93">
        <v>0</v>
      </c>
      <c r="F93" t="s">
        <v>729</v>
      </c>
      <c r="AE93">
        <v>0.23</v>
      </c>
      <c r="AF93">
        <v>0.23</v>
      </c>
      <c r="AG93">
        <v>0.23</v>
      </c>
      <c r="AH93">
        <v>0.23</v>
      </c>
      <c r="AI93">
        <v>0.23</v>
      </c>
    </row>
    <row r="94" spans="1:35">
      <c r="A94">
        <v>93</v>
      </c>
      <c r="B94" t="s">
        <v>320</v>
      </c>
      <c r="C94" t="s">
        <v>728</v>
      </c>
      <c r="D94" t="s">
        <v>191</v>
      </c>
      <c r="E94">
        <v>0</v>
      </c>
      <c r="F94" t="s">
        <v>729</v>
      </c>
      <c r="AE94">
        <v>0.23</v>
      </c>
      <c r="AF94">
        <v>0.23</v>
      </c>
      <c r="AG94">
        <v>0.23</v>
      </c>
      <c r="AH94">
        <v>0.23</v>
      </c>
      <c r="AI94">
        <v>0.23</v>
      </c>
    </row>
    <row r="95" spans="1:35">
      <c r="A95">
        <v>94</v>
      </c>
      <c r="B95" t="s">
        <v>323</v>
      </c>
      <c r="C95" t="s">
        <v>728</v>
      </c>
      <c r="D95" t="s">
        <v>191</v>
      </c>
      <c r="E95">
        <v>0</v>
      </c>
      <c r="F95" t="s">
        <v>729</v>
      </c>
      <c r="AE95">
        <v>0.23</v>
      </c>
      <c r="AF95">
        <v>0.23</v>
      </c>
      <c r="AG95">
        <v>0.23</v>
      </c>
      <c r="AH95">
        <v>0.23</v>
      </c>
      <c r="AI95">
        <v>0.23</v>
      </c>
    </row>
    <row r="96" spans="1:35">
      <c r="A96">
        <v>95</v>
      </c>
      <c r="B96" t="s">
        <v>326</v>
      </c>
      <c r="C96" t="s">
        <v>728</v>
      </c>
      <c r="D96" t="s">
        <v>191</v>
      </c>
      <c r="E96">
        <v>0</v>
      </c>
      <c r="F96" t="s">
        <v>729</v>
      </c>
      <c r="AE96">
        <v>0.23</v>
      </c>
      <c r="AF96">
        <v>0.23</v>
      </c>
      <c r="AG96">
        <v>0.23</v>
      </c>
      <c r="AH96">
        <v>0.23</v>
      </c>
      <c r="AI96">
        <v>0.23</v>
      </c>
    </row>
    <row r="97" spans="1:35">
      <c r="A97">
        <v>96</v>
      </c>
      <c r="B97" t="s">
        <v>329</v>
      </c>
      <c r="C97" t="s">
        <v>728</v>
      </c>
      <c r="D97" t="s">
        <v>191</v>
      </c>
      <c r="E97">
        <v>0</v>
      </c>
      <c r="F97" t="s">
        <v>729</v>
      </c>
      <c r="AE97">
        <v>0.23</v>
      </c>
      <c r="AF97">
        <v>0.23</v>
      </c>
      <c r="AG97">
        <v>0.23</v>
      </c>
      <c r="AH97">
        <v>0.23</v>
      </c>
      <c r="AI97">
        <v>0.23</v>
      </c>
    </row>
    <row r="98" spans="1:35">
      <c r="A98">
        <v>97</v>
      </c>
      <c r="B98" t="s">
        <v>332</v>
      </c>
      <c r="C98" t="s">
        <v>728</v>
      </c>
      <c r="D98" t="s">
        <v>21</v>
      </c>
      <c r="E98">
        <v>0.37061679554037052</v>
      </c>
      <c r="F98" t="s">
        <v>729</v>
      </c>
      <c r="AE98">
        <v>0.26548672566371684</v>
      </c>
      <c r="AF98">
        <v>0.26548672566371684</v>
      </c>
      <c r="AG98">
        <v>0.26548672566371684</v>
      </c>
      <c r="AH98">
        <v>0.26548672566371684</v>
      </c>
      <c r="AI98">
        <v>0.26548672566371684</v>
      </c>
    </row>
    <row r="99" spans="1:35">
      <c r="A99">
        <v>98</v>
      </c>
      <c r="B99" t="s">
        <v>336</v>
      </c>
      <c r="C99" t="s">
        <v>728</v>
      </c>
      <c r="D99" t="s">
        <v>191</v>
      </c>
      <c r="E99">
        <v>0</v>
      </c>
      <c r="F99" t="s">
        <v>729</v>
      </c>
      <c r="AE99">
        <v>0.2831858407079646</v>
      </c>
      <c r="AF99">
        <v>0.2831858407079646</v>
      </c>
      <c r="AG99">
        <v>0.2831858407079646</v>
      </c>
      <c r="AH99">
        <v>0.28318584070796499</v>
      </c>
      <c r="AI99">
        <v>0.28318584070796499</v>
      </c>
    </row>
    <row r="100" spans="1:35">
      <c r="A100">
        <v>99</v>
      </c>
      <c r="B100" t="s">
        <v>338</v>
      </c>
      <c r="C100" t="s">
        <v>728</v>
      </c>
      <c r="D100" t="s">
        <v>191</v>
      </c>
      <c r="E100">
        <v>0</v>
      </c>
      <c r="F100" t="s">
        <v>729</v>
      </c>
      <c r="AE100">
        <v>0.2831858407079646</v>
      </c>
      <c r="AF100">
        <v>0.2831858407079646</v>
      </c>
      <c r="AG100">
        <v>0.2831858407079646</v>
      </c>
      <c r="AH100">
        <v>0.2831858407079646</v>
      </c>
      <c r="AI100">
        <v>0.2831858407079646</v>
      </c>
    </row>
    <row r="101" spans="1:35">
      <c r="A101">
        <v>100</v>
      </c>
      <c r="B101" t="s">
        <v>340</v>
      </c>
      <c r="C101" t="s">
        <v>728</v>
      </c>
      <c r="D101" t="s">
        <v>21</v>
      </c>
      <c r="E101">
        <v>0</v>
      </c>
      <c r="F101" t="s">
        <v>729</v>
      </c>
      <c r="AE101">
        <v>0.2831858407079646</v>
      </c>
      <c r="AF101">
        <v>0.2831858407079646</v>
      </c>
      <c r="AG101">
        <v>0.2831858407079646</v>
      </c>
      <c r="AH101">
        <v>0.2831858407079646</v>
      </c>
      <c r="AI101">
        <v>0.2831858407079646</v>
      </c>
    </row>
    <row r="102" spans="1:35">
      <c r="A102">
        <v>101</v>
      </c>
      <c r="B102" t="s">
        <v>343</v>
      </c>
      <c r="C102" t="s">
        <v>728</v>
      </c>
      <c r="D102" t="s">
        <v>191</v>
      </c>
      <c r="E102">
        <v>0</v>
      </c>
      <c r="F102" t="s">
        <v>729</v>
      </c>
      <c r="AE102">
        <v>0.2831858407079646</v>
      </c>
      <c r="AF102">
        <v>0.2831858407079646</v>
      </c>
      <c r="AG102">
        <v>0.2831858407079646</v>
      </c>
      <c r="AH102">
        <v>0.2831858407079646</v>
      </c>
      <c r="AI102">
        <v>0.2831858407079646</v>
      </c>
    </row>
    <row r="103" spans="1:35">
      <c r="A103">
        <v>102</v>
      </c>
      <c r="B103" t="s">
        <v>345</v>
      </c>
      <c r="C103" t="s">
        <v>728</v>
      </c>
      <c r="D103" t="s">
        <v>109</v>
      </c>
      <c r="E103">
        <v>0</v>
      </c>
      <c r="F103" t="s">
        <v>729</v>
      </c>
      <c r="AE103">
        <v>0.19469026548672566</v>
      </c>
      <c r="AF103">
        <v>0.19469026548672566</v>
      </c>
      <c r="AG103">
        <v>0.19469026548672566</v>
      </c>
      <c r="AH103">
        <v>0.19469026548672566</v>
      </c>
      <c r="AI103">
        <v>0.19469026548672566</v>
      </c>
    </row>
    <row r="104" spans="1:35">
      <c r="A104">
        <v>103</v>
      </c>
      <c r="B104" t="s">
        <v>349</v>
      </c>
      <c r="C104" t="s">
        <v>728</v>
      </c>
      <c r="D104" t="s">
        <v>109</v>
      </c>
      <c r="E104">
        <v>0</v>
      </c>
      <c r="F104" t="s">
        <v>729</v>
      </c>
      <c r="AE104">
        <v>0.13274336283185842</v>
      </c>
      <c r="AF104">
        <v>0.13274336283185842</v>
      </c>
      <c r="AG104">
        <v>0.13274336283185842</v>
      </c>
      <c r="AH104">
        <v>0.13274336283185842</v>
      </c>
      <c r="AI104">
        <v>0.13274336283185842</v>
      </c>
    </row>
    <row r="105" spans="1:35">
      <c r="A105">
        <v>104</v>
      </c>
      <c r="B105" t="s">
        <v>352</v>
      </c>
      <c r="C105" t="s">
        <v>728</v>
      </c>
      <c r="D105" t="s">
        <v>109</v>
      </c>
      <c r="E105">
        <v>0</v>
      </c>
      <c r="F105" t="s">
        <v>729</v>
      </c>
      <c r="AE105">
        <v>0.13274336283185842</v>
      </c>
      <c r="AF105">
        <v>0.13274336283185842</v>
      </c>
      <c r="AG105">
        <v>0.13274336283185842</v>
      </c>
      <c r="AH105">
        <v>0.13274336283185842</v>
      </c>
      <c r="AI105">
        <v>0.13274336283185842</v>
      </c>
    </row>
    <row r="106" spans="1:35">
      <c r="A106">
        <v>105</v>
      </c>
      <c r="B106" t="s">
        <v>356</v>
      </c>
      <c r="C106" t="s">
        <v>728</v>
      </c>
      <c r="D106" t="s">
        <v>109</v>
      </c>
      <c r="E106">
        <v>0</v>
      </c>
      <c r="F106" t="s">
        <v>729</v>
      </c>
      <c r="AE106">
        <v>0.13274336283185842</v>
      </c>
      <c r="AF106">
        <v>0.13274336283185842</v>
      </c>
      <c r="AG106">
        <v>0.13274336283185842</v>
      </c>
      <c r="AH106">
        <v>0.13274336283185842</v>
      </c>
      <c r="AI106">
        <v>0.13274336283185842</v>
      </c>
    </row>
    <row r="107" spans="1:35">
      <c r="A107">
        <v>106</v>
      </c>
      <c r="B107" t="s">
        <v>359</v>
      </c>
      <c r="C107" t="s">
        <v>728</v>
      </c>
      <c r="D107" t="s">
        <v>109</v>
      </c>
      <c r="E107">
        <v>0</v>
      </c>
      <c r="F107" t="s">
        <v>729</v>
      </c>
      <c r="AE107">
        <v>0.1769911504424779</v>
      </c>
      <c r="AF107">
        <v>0.1769911504424779</v>
      </c>
      <c r="AG107">
        <v>0.1769911504424779</v>
      </c>
      <c r="AH107">
        <v>0.1769911504424779</v>
      </c>
      <c r="AI107">
        <v>0.1769911504424779</v>
      </c>
    </row>
    <row r="108" spans="1:35">
      <c r="A108">
        <v>107</v>
      </c>
      <c r="B108" t="s">
        <v>362</v>
      </c>
      <c r="C108" t="s">
        <v>728</v>
      </c>
      <c r="D108" t="s">
        <v>109</v>
      </c>
      <c r="E108">
        <v>0.79768786127167635</v>
      </c>
      <c r="F108" t="s">
        <v>729</v>
      </c>
      <c r="AE108">
        <v>0.13</v>
      </c>
      <c r="AF108">
        <v>0.13</v>
      </c>
      <c r="AG108">
        <v>0.13</v>
      </c>
      <c r="AH108">
        <v>0.13</v>
      </c>
      <c r="AI108">
        <v>0.13</v>
      </c>
    </row>
    <row r="109" spans="1:35">
      <c r="A109">
        <v>108</v>
      </c>
      <c r="B109" t="s">
        <v>365</v>
      </c>
      <c r="C109" t="s">
        <v>728</v>
      </c>
      <c r="D109" t="s">
        <v>109</v>
      </c>
      <c r="E109">
        <v>0</v>
      </c>
      <c r="F109" t="s">
        <v>729</v>
      </c>
      <c r="AE109">
        <v>0.18584070796460178</v>
      </c>
      <c r="AF109">
        <v>0.18584070796460178</v>
      </c>
      <c r="AG109">
        <v>0.18584070796460178</v>
      </c>
      <c r="AH109">
        <v>0.18584070796460178</v>
      </c>
      <c r="AI109">
        <v>0.18584070796460178</v>
      </c>
    </row>
    <row r="110" spans="1:35">
      <c r="A110">
        <v>109</v>
      </c>
      <c r="B110" t="s">
        <v>369</v>
      </c>
      <c r="C110" t="s">
        <v>728</v>
      </c>
      <c r="D110" t="s">
        <v>136</v>
      </c>
      <c r="E110">
        <v>0.17115623704931615</v>
      </c>
      <c r="F110" t="s">
        <v>729</v>
      </c>
      <c r="AE110">
        <v>0.26548672566371684</v>
      </c>
      <c r="AF110">
        <v>0.26548672566371684</v>
      </c>
      <c r="AG110">
        <v>0.26548672566371684</v>
      </c>
      <c r="AH110">
        <v>0.26548672566371684</v>
      </c>
      <c r="AI110">
        <v>0.26548672566371684</v>
      </c>
    </row>
    <row r="111" spans="1:35">
      <c r="A111">
        <v>110</v>
      </c>
      <c r="B111" t="s">
        <v>372</v>
      </c>
      <c r="C111" t="s">
        <v>728</v>
      </c>
      <c r="D111" t="s">
        <v>51</v>
      </c>
      <c r="E111">
        <v>0.26421981433046871</v>
      </c>
      <c r="F111" t="s">
        <v>729</v>
      </c>
      <c r="AE111">
        <v>0.26548672566371684</v>
      </c>
      <c r="AF111">
        <v>0.26548672566371684</v>
      </c>
      <c r="AG111">
        <v>0.26548672566371684</v>
      </c>
      <c r="AH111">
        <v>0.26548672566371684</v>
      </c>
      <c r="AI111">
        <v>0.26548672566371684</v>
      </c>
    </row>
    <row r="112" spans="1:35">
      <c r="A112">
        <v>111</v>
      </c>
      <c r="B112" t="s">
        <v>374</v>
      </c>
      <c r="C112" t="s">
        <v>728</v>
      </c>
      <c r="D112" t="s">
        <v>62</v>
      </c>
      <c r="E112">
        <v>-1.0725777618876275E-3</v>
      </c>
      <c r="F112" t="s">
        <v>729</v>
      </c>
      <c r="AE112">
        <v>0.26548672566371684</v>
      </c>
      <c r="AF112">
        <v>0.26548672566371684</v>
      </c>
      <c r="AG112">
        <v>0.26548672566371684</v>
      </c>
      <c r="AH112">
        <v>0.26548672566371684</v>
      </c>
      <c r="AI112">
        <v>0.26548672566371684</v>
      </c>
    </row>
    <row r="113" spans="1:35">
      <c r="A113">
        <v>112</v>
      </c>
      <c r="B113" t="s">
        <v>377</v>
      </c>
      <c r="C113" t="s">
        <v>728</v>
      </c>
      <c r="D113" t="s">
        <v>380</v>
      </c>
      <c r="E113">
        <v>8.6479902557856203E-2</v>
      </c>
      <c r="F113" t="s">
        <v>729</v>
      </c>
      <c r="AE113">
        <v>0.26548672566371684</v>
      </c>
      <c r="AF113">
        <v>0.26548672566371684</v>
      </c>
      <c r="AG113">
        <v>0.26548672566371684</v>
      </c>
      <c r="AH113">
        <v>0.26548672566371684</v>
      </c>
      <c r="AI113">
        <v>0.26548672566371684</v>
      </c>
    </row>
    <row r="114" spans="1:35">
      <c r="A114">
        <v>113</v>
      </c>
      <c r="B114" t="s">
        <v>381</v>
      </c>
      <c r="C114" t="s">
        <v>728</v>
      </c>
      <c r="D114" t="s">
        <v>51</v>
      </c>
      <c r="E114">
        <v>0.35619233753916024</v>
      </c>
      <c r="F114" t="s">
        <v>729</v>
      </c>
      <c r="AE114">
        <v>0.26548672566371684</v>
      </c>
      <c r="AF114">
        <v>0.26548672566371684</v>
      </c>
      <c r="AG114">
        <v>0.26548672566371684</v>
      </c>
      <c r="AH114">
        <v>0.26548672566371684</v>
      </c>
      <c r="AI114">
        <v>0.26548672566371684</v>
      </c>
    </row>
    <row r="115" spans="1:35">
      <c r="A115">
        <v>114</v>
      </c>
      <c r="B115" t="s">
        <v>385</v>
      </c>
      <c r="C115" t="s">
        <v>728</v>
      </c>
      <c r="D115" t="s">
        <v>62</v>
      </c>
      <c r="E115">
        <v>-1.0725777618876275E-3</v>
      </c>
      <c r="F115" t="s">
        <v>729</v>
      </c>
      <c r="AE115">
        <v>0.26548672566371684</v>
      </c>
      <c r="AF115">
        <v>0.26548672566371684</v>
      </c>
      <c r="AG115">
        <v>0.26548672566371684</v>
      </c>
      <c r="AH115">
        <v>0.26548672566371684</v>
      </c>
      <c r="AI115">
        <v>0.26548672566371684</v>
      </c>
    </row>
    <row r="116" spans="1:35">
      <c r="A116">
        <v>115</v>
      </c>
      <c r="B116" t="s">
        <v>387</v>
      </c>
      <c r="C116" t="s">
        <v>728</v>
      </c>
      <c r="D116" t="s">
        <v>62</v>
      </c>
      <c r="E116">
        <v>0.28494815874150881</v>
      </c>
      <c r="F116" t="s">
        <v>729</v>
      </c>
      <c r="AE116">
        <v>0.26548672566371684</v>
      </c>
      <c r="AF116">
        <v>0.26548672566371684</v>
      </c>
      <c r="AG116">
        <v>0.26548672566371684</v>
      </c>
      <c r="AH116">
        <v>0.26548672566371684</v>
      </c>
      <c r="AI116">
        <v>0.26548672566371684</v>
      </c>
    </row>
    <row r="117" spans="1:35">
      <c r="A117">
        <v>116</v>
      </c>
      <c r="B117" t="s">
        <v>389</v>
      </c>
      <c r="C117" t="s">
        <v>728</v>
      </c>
      <c r="D117" t="s">
        <v>147</v>
      </c>
      <c r="E117">
        <v>0.36914203316510452</v>
      </c>
      <c r="F117" t="s">
        <v>729</v>
      </c>
      <c r="AE117">
        <v>0.26548672566371684</v>
      </c>
      <c r="AF117">
        <v>0.26548672566371684</v>
      </c>
      <c r="AG117">
        <v>0.26548672566371684</v>
      </c>
      <c r="AH117">
        <v>0.26548672566371684</v>
      </c>
      <c r="AI117">
        <v>0.26548672566371684</v>
      </c>
    </row>
    <row r="118" spans="1:35">
      <c r="A118">
        <v>117</v>
      </c>
      <c r="B118" t="s">
        <v>392</v>
      </c>
      <c r="C118" t="s">
        <v>728</v>
      </c>
      <c r="D118" t="s">
        <v>136</v>
      </c>
      <c r="E118">
        <v>0.27476170741815165</v>
      </c>
      <c r="F118" t="s">
        <v>729</v>
      </c>
      <c r="AE118">
        <v>0.26548672566371684</v>
      </c>
      <c r="AF118">
        <v>0.26548672566371684</v>
      </c>
      <c r="AG118">
        <v>0.26548672566371684</v>
      </c>
      <c r="AH118">
        <v>0.26548672566371684</v>
      </c>
      <c r="AI118">
        <v>0.26548672566371684</v>
      </c>
    </row>
    <row r="119" spans="1:35">
      <c r="A119">
        <v>118</v>
      </c>
      <c r="B119" t="s">
        <v>395</v>
      </c>
      <c r="C119" t="s">
        <v>728</v>
      </c>
      <c r="D119" t="s">
        <v>238</v>
      </c>
      <c r="E119">
        <v>7.3033707865168607E-2</v>
      </c>
      <c r="F119" t="s">
        <v>729</v>
      </c>
      <c r="AE119">
        <v>0.26548672566371684</v>
      </c>
      <c r="AF119">
        <v>0.26548672566371684</v>
      </c>
      <c r="AG119">
        <v>0.26548672566371684</v>
      </c>
      <c r="AH119">
        <v>0.26548672566371684</v>
      </c>
      <c r="AI119">
        <v>0.26548672566371684</v>
      </c>
    </row>
    <row r="120" spans="1:35">
      <c r="A120">
        <v>119</v>
      </c>
      <c r="B120" t="s">
        <v>398</v>
      </c>
      <c r="C120" t="s">
        <v>728</v>
      </c>
      <c r="D120" t="s">
        <v>191</v>
      </c>
      <c r="E120">
        <v>0.38832576022369814</v>
      </c>
      <c r="F120" t="s">
        <v>729</v>
      </c>
      <c r="AE120">
        <v>0.26548672566371684</v>
      </c>
      <c r="AF120">
        <v>0.26548672566371684</v>
      </c>
      <c r="AG120">
        <v>0.26548672566371684</v>
      </c>
      <c r="AH120">
        <v>0.26548672566371684</v>
      </c>
      <c r="AI120">
        <v>0.26548672566371684</v>
      </c>
    </row>
    <row r="121" spans="1:35">
      <c r="A121">
        <v>120</v>
      </c>
      <c r="B121" t="s">
        <v>402</v>
      </c>
      <c r="C121" t="s">
        <v>728</v>
      </c>
      <c r="D121" t="s">
        <v>136</v>
      </c>
      <c r="E121">
        <v>0.23331951927061745</v>
      </c>
      <c r="F121" t="s">
        <v>729</v>
      </c>
      <c r="AE121">
        <v>0.26548672566371684</v>
      </c>
      <c r="AF121">
        <v>0.26548672566371684</v>
      </c>
      <c r="AG121">
        <v>0.26548672566371684</v>
      </c>
      <c r="AH121">
        <v>0.26548672566371684</v>
      </c>
      <c r="AI121">
        <v>0.26548672566371684</v>
      </c>
    </row>
    <row r="122" spans="1:35">
      <c r="A122">
        <v>121</v>
      </c>
      <c r="B122" t="s">
        <v>405</v>
      </c>
      <c r="C122" t="s">
        <v>728</v>
      </c>
      <c r="D122" t="s">
        <v>136</v>
      </c>
      <c r="E122">
        <v>0.17115623704931615</v>
      </c>
      <c r="F122" t="s">
        <v>729</v>
      </c>
      <c r="AE122">
        <v>0.26548672566371684</v>
      </c>
      <c r="AF122">
        <v>0.26548672566371684</v>
      </c>
      <c r="AG122">
        <v>0.26548672566371684</v>
      </c>
      <c r="AH122">
        <v>0.26548672566371684</v>
      </c>
      <c r="AI122">
        <v>0.26548672566371684</v>
      </c>
    </row>
    <row r="123" spans="1:35">
      <c r="A123">
        <v>122</v>
      </c>
      <c r="B123" t="s">
        <v>408</v>
      </c>
      <c r="C123" t="s">
        <v>728</v>
      </c>
      <c r="F123" t="s">
        <v>729</v>
      </c>
    </row>
    <row r="124" spans="1:35">
      <c r="A124">
        <v>123</v>
      </c>
      <c r="B124" t="s">
        <v>412</v>
      </c>
      <c r="C124" t="s">
        <v>728</v>
      </c>
      <c r="F124" t="s">
        <v>729</v>
      </c>
    </row>
    <row r="125" spans="1:35">
      <c r="A125">
        <v>124</v>
      </c>
      <c r="B125" t="s">
        <v>416</v>
      </c>
      <c r="C125" t="s">
        <v>728</v>
      </c>
      <c r="F125" t="s">
        <v>729</v>
      </c>
    </row>
    <row r="126" spans="1:35">
      <c r="A126">
        <v>125</v>
      </c>
      <c r="B126" t="s">
        <v>420</v>
      </c>
      <c r="C126" t="s">
        <v>728</v>
      </c>
      <c r="F126" t="s">
        <v>729</v>
      </c>
    </row>
    <row r="127" spans="1:35">
      <c r="A127">
        <v>126</v>
      </c>
      <c r="B127" t="s">
        <v>423</v>
      </c>
      <c r="C127" t="s">
        <v>728</v>
      </c>
      <c r="F127" t="s">
        <v>729</v>
      </c>
    </row>
    <row r="128" spans="1:35">
      <c r="A128">
        <v>127</v>
      </c>
      <c r="B128" t="s">
        <v>427</v>
      </c>
      <c r="C128" t="s">
        <v>728</v>
      </c>
      <c r="F128" t="s">
        <v>729</v>
      </c>
    </row>
    <row r="129" spans="1:6">
      <c r="A129">
        <v>128</v>
      </c>
      <c r="B129" t="s">
        <v>430</v>
      </c>
      <c r="C129" t="s">
        <v>728</v>
      </c>
      <c r="F129" t="s">
        <v>729</v>
      </c>
    </row>
    <row r="130" spans="1:6">
      <c r="A130">
        <v>129</v>
      </c>
      <c r="B130" t="s">
        <v>431</v>
      </c>
      <c r="C130" t="s">
        <v>728</v>
      </c>
      <c r="F130" t="s">
        <v>729</v>
      </c>
    </row>
    <row r="131" spans="1:6">
      <c r="A131">
        <v>130</v>
      </c>
      <c r="B131" t="s">
        <v>435</v>
      </c>
      <c r="C131" t="s">
        <v>728</v>
      </c>
      <c r="F131" t="s">
        <v>729</v>
      </c>
    </row>
    <row r="132" spans="1:6">
      <c r="A132">
        <v>131</v>
      </c>
      <c r="B132" t="s">
        <v>437</v>
      </c>
      <c r="C132" t="s">
        <v>728</v>
      </c>
      <c r="F132" t="s">
        <v>729</v>
      </c>
    </row>
    <row r="133" spans="1:6">
      <c r="A133">
        <v>132</v>
      </c>
      <c r="B133" t="s">
        <v>440</v>
      </c>
      <c r="C133" t="s">
        <v>728</v>
      </c>
      <c r="F133" t="s">
        <v>729</v>
      </c>
    </row>
    <row r="134" spans="1:6">
      <c r="A134">
        <v>133</v>
      </c>
      <c r="B134" t="s">
        <v>443</v>
      </c>
      <c r="C134" t="s">
        <v>728</v>
      </c>
      <c r="F134" t="s">
        <v>729</v>
      </c>
    </row>
    <row r="135" spans="1:6">
      <c r="A135">
        <v>134</v>
      </c>
      <c r="B135" t="s">
        <v>447</v>
      </c>
      <c r="C135" t="s">
        <v>728</v>
      </c>
      <c r="F135" t="s">
        <v>729</v>
      </c>
    </row>
    <row r="136" spans="1:6">
      <c r="A136">
        <v>135</v>
      </c>
      <c r="B136" t="s">
        <v>449</v>
      </c>
      <c r="C136" t="s">
        <v>728</v>
      </c>
      <c r="F136" t="s">
        <v>729</v>
      </c>
    </row>
    <row r="137" spans="1:6">
      <c r="A137">
        <v>136</v>
      </c>
      <c r="B137" t="s">
        <v>452</v>
      </c>
      <c r="C137" t="s">
        <v>728</v>
      </c>
      <c r="F137" t="s">
        <v>729</v>
      </c>
    </row>
    <row r="138" spans="1:6">
      <c r="A138">
        <v>137</v>
      </c>
      <c r="B138" t="s">
        <v>455</v>
      </c>
      <c r="C138" t="s">
        <v>728</v>
      </c>
      <c r="F138" t="s">
        <v>729</v>
      </c>
    </row>
    <row r="139" spans="1:6">
      <c r="A139">
        <v>138</v>
      </c>
      <c r="B139" t="s">
        <v>458</v>
      </c>
      <c r="C139" t="s">
        <v>728</v>
      </c>
      <c r="F139" t="s">
        <v>729</v>
      </c>
    </row>
    <row r="140" spans="1:6">
      <c r="A140">
        <v>139</v>
      </c>
      <c r="B140" t="s">
        <v>459</v>
      </c>
      <c r="C140" t="s">
        <v>728</v>
      </c>
      <c r="F140" t="s">
        <v>729</v>
      </c>
    </row>
    <row r="141" spans="1:6">
      <c r="A141">
        <v>140</v>
      </c>
      <c r="B141" t="s">
        <v>463</v>
      </c>
      <c r="C141" t="s">
        <v>728</v>
      </c>
      <c r="F141" t="s">
        <v>729</v>
      </c>
    </row>
    <row r="142" spans="1:6">
      <c r="A142">
        <v>141</v>
      </c>
      <c r="B142" t="s">
        <v>464</v>
      </c>
      <c r="C142" t="s">
        <v>728</v>
      </c>
      <c r="F142" t="s">
        <v>729</v>
      </c>
    </row>
    <row r="143" spans="1:6">
      <c r="A143">
        <v>142</v>
      </c>
      <c r="B143" t="s">
        <v>467</v>
      </c>
      <c r="C143" t="s">
        <v>728</v>
      </c>
      <c r="F143" t="s">
        <v>729</v>
      </c>
    </row>
    <row r="144" spans="1:6">
      <c r="A144">
        <v>143</v>
      </c>
      <c r="B144" t="s">
        <v>470</v>
      </c>
      <c r="C144" t="s">
        <v>728</v>
      </c>
      <c r="F144" t="s">
        <v>729</v>
      </c>
    </row>
    <row r="145" spans="1:6">
      <c r="A145">
        <v>144</v>
      </c>
      <c r="B145" t="s">
        <v>472</v>
      </c>
      <c r="C145" t="s">
        <v>728</v>
      </c>
      <c r="F145" t="s">
        <v>729</v>
      </c>
    </row>
    <row r="146" spans="1:6">
      <c r="A146">
        <v>145</v>
      </c>
      <c r="B146" t="s">
        <v>474</v>
      </c>
      <c r="C146" t="s">
        <v>728</v>
      </c>
      <c r="F146" t="s">
        <v>729</v>
      </c>
    </row>
    <row r="147" spans="1:6">
      <c r="A147">
        <v>146</v>
      </c>
      <c r="B147" t="s">
        <v>476</v>
      </c>
      <c r="C147" t="s">
        <v>728</v>
      </c>
      <c r="F147" t="s">
        <v>729</v>
      </c>
    </row>
    <row r="148" spans="1:6">
      <c r="A148">
        <v>147</v>
      </c>
      <c r="B148" t="s">
        <v>476</v>
      </c>
      <c r="C148" t="s">
        <v>728</v>
      </c>
      <c r="F148" t="s">
        <v>729</v>
      </c>
    </row>
    <row r="149" spans="1:6">
      <c r="A149">
        <v>148</v>
      </c>
      <c r="B149" t="s">
        <v>476</v>
      </c>
      <c r="C149" t="s">
        <v>728</v>
      </c>
      <c r="F149" t="s">
        <v>729</v>
      </c>
    </row>
    <row r="150" spans="1:6">
      <c r="A150">
        <v>149</v>
      </c>
      <c r="B150" t="s">
        <v>481</v>
      </c>
      <c r="C150" t="s">
        <v>728</v>
      </c>
      <c r="F150" t="s">
        <v>729</v>
      </c>
    </row>
    <row r="151" spans="1:6">
      <c r="A151">
        <v>150</v>
      </c>
      <c r="B151" t="s">
        <v>483</v>
      </c>
      <c r="C151" t="s">
        <v>728</v>
      </c>
      <c r="F151" t="s">
        <v>729</v>
      </c>
    </row>
    <row r="152" spans="1:6">
      <c r="A152">
        <v>151</v>
      </c>
      <c r="B152" t="s">
        <v>486</v>
      </c>
      <c r="C152" t="s">
        <v>728</v>
      </c>
      <c r="F152" t="s">
        <v>729</v>
      </c>
    </row>
    <row r="153" spans="1:6">
      <c r="A153">
        <v>152</v>
      </c>
      <c r="B153" t="s">
        <v>489</v>
      </c>
      <c r="C153" t="s">
        <v>728</v>
      </c>
      <c r="F153" t="s">
        <v>729</v>
      </c>
    </row>
    <row r="154" spans="1:6">
      <c r="A154">
        <v>153</v>
      </c>
      <c r="B154" t="s">
        <v>489</v>
      </c>
      <c r="C154" t="s">
        <v>728</v>
      </c>
      <c r="F154" t="s">
        <v>729</v>
      </c>
    </row>
    <row r="155" spans="1:6">
      <c r="A155">
        <v>154</v>
      </c>
      <c r="B155" t="s">
        <v>493</v>
      </c>
      <c r="C155" t="s">
        <v>728</v>
      </c>
      <c r="F155" t="s">
        <v>729</v>
      </c>
    </row>
    <row r="156" spans="1:6">
      <c r="A156">
        <v>155</v>
      </c>
      <c r="B156" t="s">
        <v>495</v>
      </c>
      <c r="C156" t="s">
        <v>728</v>
      </c>
      <c r="F156" t="s">
        <v>729</v>
      </c>
    </row>
    <row r="157" spans="1:6">
      <c r="A157">
        <v>156</v>
      </c>
      <c r="B157" t="s">
        <v>498</v>
      </c>
      <c r="C157" t="s">
        <v>728</v>
      </c>
      <c r="F157" t="s">
        <v>729</v>
      </c>
    </row>
    <row r="158" spans="1:6">
      <c r="A158">
        <v>157</v>
      </c>
      <c r="B158" t="s">
        <v>499</v>
      </c>
      <c r="C158" t="s">
        <v>728</v>
      </c>
      <c r="F158" t="s">
        <v>729</v>
      </c>
    </row>
    <row r="159" spans="1:6">
      <c r="A159">
        <v>158</v>
      </c>
      <c r="B159" t="s">
        <v>499</v>
      </c>
      <c r="C159" t="s">
        <v>728</v>
      </c>
      <c r="F159" t="s">
        <v>729</v>
      </c>
    </row>
    <row r="160" spans="1:6">
      <c r="A160">
        <v>159</v>
      </c>
      <c r="B160" t="s">
        <v>499</v>
      </c>
      <c r="C160" t="s">
        <v>728</v>
      </c>
      <c r="F160" t="s">
        <v>729</v>
      </c>
    </row>
    <row r="161" spans="1:6">
      <c r="A161">
        <v>160</v>
      </c>
      <c r="B161" t="s">
        <v>504</v>
      </c>
      <c r="C161" t="s">
        <v>728</v>
      </c>
      <c r="F161" t="s">
        <v>729</v>
      </c>
    </row>
    <row r="162" spans="1:6">
      <c r="A162">
        <v>161</v>
      </c>
      <c r="B162" t="s">
        <v>504</v>
      </c>
      <c r="C162" t="s">
        <v>728</v>
      </c>
      <c r="F162" t="s">
        <v>729</v>
      </c>
    </row>
    <row r="163" spans="1:6">
      <c r="A163">
        <v>162</v>
      </c>
      <c r="B163" t="s">
        <v>504</v>
      </c>
      <c r="C163" t="s">
        <v>728</v>
      </c>
      <c r="F163" t="s">
        <v>729</v>
      </c>
    </row>
    <row r="164" spans="1:6">
      <c r="A164">
        <v>163</v>
      </c>
      <c r="B164" t="s">
        <v>504</v>
      </c>
      <c r="C164" t="s">
        <v>728</v>
      </c>
      <c r="F164" t="s">
        <v>729</v>
      </c>
    </row>
    <row r="165" spans="1:6">
      <c r="A165">
        <v>164</v>
      </c>
      <c r="B165" t="s">
        <v>509</v>
      </c>
      <c r="C165" t="s">
        <v>728</v>
      </c>
      <c r="F165" t="s">
        <v>729</v>
      </c>
    </row>
    <row r="166" spans="1:6">
      <c r="A166">
        <v>165</v>
      </c>
      <c r="B166" t="s">
        <v>512</v>
      </c>
      <c r="C166" t="s">
        <v>728</v>
      </c>
      <c r="F166" t="s">
        <v>729</v>
      </c>
    </row>
    <row r="167" spans="1:6">
      <c r="A167">
        <v>166</v>
      </c>
      <c r="B167" t="s">
        <v>515</v>
      </c>
      <c r="C167" t="s">
        <v>728</v>
      </c>
      <c r="F167" t="s">
        <v>729</v>
      </c>
    </row>
    <row r="168" spans="1:6">
      <c r="A168">
        <v>167</v>
      </c>
      <c r="B168" t="s">
        <v>517</v>
      </c>
      <c r="C168" t="s">
        <v>728</v>
      </c>
      <c r="F168" t="s">
        <v>729</v>
      </c>
    </row>
    <row r="169" spans="1:6">
      <c r="A169">
        <v>168</v>
      </c>
      <c r="B169" t="s">
        <v>519</v>
      </c>
      <c r="C169" t="s">
        <v>728</v>
      </c>
      <c r="F169" t="s">
        <v>729</v>
      </c>
    </row>
    <row r="170" spans="1:6">
      <c r="A170">
        <v>169</v>
      </c>
      <c r="B170" t="s">
        <v>521</v>
      </c>
      <c r="C170" t="s">
        <v>728</v>
      </c>
      <c r="F170" t="s">
        <v>729</v>
      </c>
    </row>
    <row r="171" spans="1:6">
      <c r="A171">
        <v>170</v>
      </c>
      <c r="B171" t="s">
        <v>523</v>
      </c>
      <c r="C171" t="s">
        <v>728</v>
      </c>
      <c r="F171" t="s">
        <v>729</v>
      </c>
    </row>
    <row r="172" spans="1:6">
      <c r="A172">
        <v>171</v>
      </c>
      <c r="B172" t="s">
        <v>526</v>
      </c>
      <c r="C172" t="s">
        <v>728</v>
      </c>
      <c r="F172" t="s">
        <v>729</v>
      </c>
    </row>
    <row r="173" spans="1:6">
      <c r="A173">
        <v>172</v>
      </c>
      <c r="B173" t="s">
        <v>529</v>
      </c>
      <c r="C173" t="s">
        <v>728</v>
      </c>
      <c r="F173" t="s">
        <v>729</v>
      </c>
    </row>
    <row r="174" spans="1:6">
      <c r="A174">
        <v>173</v>
      </c>
      <c r="B174" t="s">
        <v>531</v>
      </c>
      <c r="C174" t="s">
        <v>728</v>
      </c>
      <c r="F174" t="s">
        <v>729</v>
      </c>
    </row>
    <row r="175" spans="1:6">
      <c r="A175">
        <v>174</v>
      </c>
      <c r="B175" t="s">
        <v>533</v>
      </c>
      <c r="C175" t="s">
        <v>728</v>
      </c>
      <c r="F175" t="s">
        <v>729</v>
      </c>
    </row>
    <row r="176" spans="1:6">
      <c r="A176">
        <v>175</v>
      </c>
      <c r="B176" t="s">
        <v>534</v>
      </c>
      <c r="C176" t="s">
        <v>728</v>
      </c>
      <c r="F176" t="s">
        <v>729</v>
      </c>
    </row>
    <row r="177" spans="1:6">
      <c r="A177">
        <v>176</v>
      </c>
      <c r="B177" t="s">
        <v>535</v>
      </c>
      <c r="C177" t="s">
        <v>728</v>
      </c>
      <c r="F177" t="s">
        <v>729</v>
      </c>
    </row>
    <row r="178" spans="1:6">
      <c r="A178">
        <v>177</v>
      </c>
      <c r="B178" t="s">
        <v>538</v>
      </c>
      <c r="C178" t="s">
        <v>728</v>
      </c>
      <c r="F178" t="s">
        <v>729</v>
      </c>
    </row>
    <row r="179" spans="1:6">
      <c r="A179">
        <v>178</v>
      </c>
      <c r="B179" t="s">
        <v>539</v>
      </c>
      <c r="C179" t="s">
        <v>728</v>
      </c>
      <c r="F179" t="s">
        <v>729</v>
      </c>
    </row>
    <row r="180" spans="1:6">
      <c r="A180">
        <v>179</v>
      </c>
      <c r="B180" t="s">
        <v>540</v>
      </c>
      <c r="C180" t="s">
        <v>728</v>
      </c>
      <c r="F180" t="s">
        <v>729</v>
      </c>
    </row>
    <row r="181" spans="1:6">
      <c r="A181">
        <v>180</v>
      </c>
      <c r="B181" t="s">
        <v>540</v>
      </c>
      <c r="C181" t="s">
        <v>728</v>
      </c>
      <c r="F181" t="s">
        <v>729</v>
      </c>
    </row>
    <row r="182" spans="1:6">
      <c r="A182">
        <v>181</v>
      </c>
      <c r="B182" t="s">
        <v>545</v>
      </c>
      <c r="C182" t="s">
        <v>728</v>
      </c>
      <c r="F182" t="s">
        <v>729</v>
      </c>
    </row>
    <row r="183" spans="1:6">
      <c r="A183">
        <v>182</v>
      </c>
      <c r="B183" t="s">
        <v>548</v>
      </c>
      <c r="C183" t="s">
        <v>728</v>
      </c>
      <c r="F183" t="s">
        <v>729</v>
      </c>
    </row>
    <row r="184" spans="1:6">
      <c r="A184">
        <v>183</v>
      </c>
      <c r="B184" t="s">
        <v>550</v>
      </c>
      <c r="C184" t="s">
        <v>728</v>
      </c>
      <c r="F184" t="s">
        <v>729</v>
      </c>
    </row>
    <row r="185" spans="1:6">
      <c r="A185">
        <v>184</v>
      </c>
      <c r="B185" t="s">
        <v>551</v>
      </c>
      <c r="C185" t="s">
        <v>728</v>
      </c>
      <c r="F185" t="s">
        <v>729</v>
      </c>
    </row>
    <row r="186" spans="1:6">
      <c r="A186">
        <v>185</v>
      </c>
      <c r="B186" t="s">
        <v>554</v>
      </c>
      <c r="C186" t="s">
        <v>728</v>
      </c>
      <c r="F186" t="s">
        <v>729</v>
      </c>
    </row>
    <row r="187" spans="1:6">
      <c r="A187">
        <v>186</v>
      </c>
      <c r="B187" t="s">
        <v>556</v>
      </c>
      <c r="C187" t="s">
        <v>728</v>
      </c>
      <c r="F187" t="s">
        <v>729</v>
      </c>
    </row>
    <row r="188" spans="1:6">
      <c r="A188">
        <v>187</v>
      </c>
      <c r="B188" t="s">
        <v>558</v>
      </c>
      <c r="C188" t="s">
        <v>728</v>
      </c>
      <c r="F188" t="s">
        <v>729</v>
      </c>
    </row>
    <row r="189" spans="1:6">
      <c r="A189">
        <v>188</v>
      </c>
      <c r="B189" t="s">
        <v>560</v>
      </c>
      <c r="C189" t="s">
        <v>728</v>
      </c>
      <c r="F189" t="s">
        <v>729</v>
      </c>
    </row>
    <row r="190" spans="1:6">
      <c r="A190">
        <v>189</v>
      </c>
      <c r="B190" t="s">
        <v>563</v>
      </c>
      <c r="C190" t="s">
        <v>728</v>
      </c>
      <c r="F190" t="s">
        <v>729</v>
      </c>
    </row>
    <row r="191" spans="1:6">
      <c r="A191">
        <v>190</v>
      </c>
      <c r="B191" t="s">
        <v>566</v>
      </c>
      <c r="C191" t="s">
        <v>728</v>
      </c>
      <c r="F191" t="s">
        <v>729</v>
      </c>
    </row>
    <row r="192" spans="1:6">
      <c r="A192">
        <v>191</v>
      </c>
      <c r="B192" t="s">
        <v>567</v>
      </c>
      <c r="C192" t="s">
        <v>728</v>
      </c>
      <c r="F192" t="s">
        <v>729</v>
      </c>
    </row>
    <row r="193" spans="1:6">
      <c r="A193">
        <v>192</v>
      </c>
      <c r="B193" t="s">
        <v>570</v>
      </c>
      <c r="C193" t="s">
        <v>728</v>
      </c>
      <c r="F193" t="s">
        <v>729</v>
      </c>
    </row>
    <row r="194" spans="1:6">
      <c r="A194">
        <v>193</v>
      </c>
      <c r="B194" t="s">
        <v>573</v>
      </c>
      <c r="C194" t="s">
        <v>728</v>
      </c>
      <c r="F194" t="s">
        <v>729</v>
      </c>
    </row>
    <row r="195" spans="1:6">
      <c r="A195">
        <v>194</v>
      </c>
      <c r="B195" t="s">
        <v>575</v>
      </c>
      <c r="C195" t="s">
        <v>728</v>
      </c>
      <c r="F195" t="s">
        <v>729</v>
      </c>
    </row>
    <row r="196" spans="1:6">
      <c r="A196">
        <v>195</v>
      </c>
      <c r="B196" t="s">
        <v>577</v>
      </c>
      <c r="C196" t="s">
        <v>728</v>
      </c>
      <c r="F196" t="s">
        <v>729</v>
      </c>
    </row>
    <row r="197" spans="1:6">
      <c r="A197">
        <v>196</v>
      </c>
      <c r="B197" t="s">
        <v>577</v>
      </c>
      <c r="C197" t="s">
        <v>728</v>
      </c>
      <c r="F197" t="s">
        <v>729</v>
      </c>
    </row>
    <row r="198" spans="1:6">
      <c r="A198">
        <v>197</v>
      </c>
      <c r="B198" t="s">
        <v>579</v>
      </c>
      <c r="C198" t="s">
        <v>728</v>
      </c>
      <c r="F198" t="s">
        <v>729</v>
      </c>
    </row>
    <row r="199" spans="1:6">
      <c r="A199">
        <v>198</v>
      </c>
      <c r="B199" t="s">
        <v>582</v>
      </c>
      <c r="C199" t="s">
        <v>728</v>
      </c>
      <c r="F199" t="s">
        <v>729</v>
      </c>
    </row>
    <row r="200" spans="1:6">
      <c r="A200">
        <v>199</v>
      </c>
      <c r="B200" t="s">
        <v>584</v>
      </c>
      <c r="C200" t="s">
        <v>728</v>
      </c>
      <c r="F200" t="s">
        <v>729</v>
      </c>
    </row>
    <row r="201" spans="1:6">
      <c r="A201">
        <v>200</v>
      </c>
      <c r="B201" t="s">
        <v>586</v>
      </c>
      <c r="C201" t="s">
        <v>728</v>
      </c>
      <c r="F201" t="s">
        <v>729</v>
      </c>
    </row>
    <row r="202" spans="1:6">
      <c r="A202">
        <v>201</v>
      </c>
      <c r="B202" t="s">
        <v>589</v>
      </c>
      <c r="C202" t="s">
        <v>728</v>
      </c>
      <c r="F202" t="s">
        <v>729</v>
      </c>
    </row>
    <row r="203" spans="1:6">
      <c r="A203">
        <v>202</v>
      </c>
      <c r="B203" t="s">
        <v>592</v>
      </c>
      <c r="C203" t="s">
        <v>728</v>
      </c>
      <c r="F203" t="s">
        <v>729</v>
      </c>
    </row>
    <row r="204" spans="1:6">
      <c r="A204">
        <v>203</v>
      </c>
      <c r="B204" t="s">
        <v>593</v>
      </c>
      <c r="C204" t="s">
        <v>728</v>
      </c>
      <c r="F204" t="s">
        <v>729</v>
      </c>
    </row>
    <row r="205" spans="1:6">
      <c r="A205">
        <v>204</v>
      </c>
      <c r="B205" t="s">
        <v>593</v>
      </c>
      <c r="C205" t="s">
        <v>728</v>
      </c>
      <c r="F205" t="s">
        <v>729</v>
      </c>
    </row>
    <row r="206" spans="1:6">
      <c r="A206">
        <v>205</v>
      </c>
      <c r="B206" t="s">
        <v>593</v>
      </c>
      <c r="C206" t="s">
        <v>728</v>
      </c>
      <c r="F206" t="s">
        <v>729</v>
      </c>
    </row>
    <row r="207" spans="1:6">
      <c r="A207">
        <v>206</v>
      </c>
      <c r="B207" t="s">
        <v>597</v>
      </c>
      <c r="C207" t="s">
        <v>728</v>
      </c>
      <c r="F207" t="s">
        <v>729</v>
      </c>
    </row>
    <row r="208" spans="1:6">
      <c r="A208">
        <v>207</v>
      </c>
      <c r="B208" t="s">
        <v>600</v>
      </c>
      <c r="C208" t="s">
        <v>728</v>
      </c>
      <c r="F208" t="s">
        <v>729</v>
      </c>
    </row>
    <row r="209" spans="1:6">
      <c r="A209">
        <v>208</v>
      </c>
      <c r="B209" t="s">
        <v>602</v>
      </c>
      <c r="C209" t="s">
        <v>728</v>
      </c>
      <c r="F209" t="s">
        <v>729</v>
      </c>
    </row>
    <row r="210" spans="1:6">
      <c r="A210">
        <v>209</v>
      </c>
      <c r="B210" t="s">
        <v>604</v>
      </c>
      <c r="C210" t="s">
        <v>728</v>
      </c>
      <c r="F210" t="s">
        <v>729</v>
      </c>
    </row>
    <row r="211" spans="1:6">
      <c r="A211">
        <v>210</v>
      </c>
      <c r="B211" t="s">
        <v>605</v>
      </c>
      <c r="C211" t="s">
        <v>728</v>
      </c>
      <c r="F211" t="s">
        <v>729</v>
      </c>
    </row>
    <row r="212" spans="1:6">
      <c r="A212">
        <v>211</v>
      </c>
      <c r="B212" t="s">
        <v>607</v>
      </c>
      <c r="C212" t="s">
        <v>728</v>
      </c>
      <c r="F212" t="s">
        <v>729</v>
      </c>
    </row>
    <row r="213" spans="1:6">
      <c r="A213">
        <v>212</v>
      </c>
      <c r="B213" t="s">
        <v>609</v>
      </c>
      <c r="C213" t="s">
        <v>728</v>
      </c>
      <c r="F213" t="s">
        <v>729</v>
      </c>
    </row>
    <row r="214" spans="1:6">
      <c r="A214">
        <v>213</v>
      </c>
      <c r="B214" t="s">
        <v>610</v>
      </c>
      <c r="C214" t="s">
        <v>728</v>
      </c>
      <c r="F214" t="s">
        <v>729</v>
      </c>
    </row>
    <row r="215" spans="1:6">
      <c r="A215">
        <v>214</v>
      </c>
      <c r="B215" t="s">
        <v>611</v>
      </c>
      <c r="C215" t="s">
        <v>728</v>
      </c>
      <c r="F215" t="s">
        <v>729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1"/>
  <sheetViews>
    <sheetView workbookViewId="0">
      <selection activeCell="E7" sqref="E7"/>
    </sheetView>
  </sheetViews>
  <sheetFormatPr defaultRowHeight="15"/>
  <sheetData>
    <row r="1" spans="1:33">
      <c r="A1" t="s">
        <v>1</v>
      </c>
      <c r="B1" t="s">
        <v>2</v>
      </c>
      <c r="C1" t="s">
        <v>7</v>
      </c>
      <c r="D1" t="s">
        <v>646</v>
      </c>
      <c r="E1" t="s">
        <v>647</v>
      </c>
      <c r="F1" t="s">
        <v>648</v>
      </c>
      <c r="G1" t="s">
        <v>649</v>
      </c>
      <c r="H1" t="s">
        <v>650</v>
      </c>
      <c r="I1" t="s">
        <v>651</v>
      </c>
      <c r="J1" t="s">
        <v>652</v>
      </c>
      <c r="K1" t="s">
        <v>653</v>
      </c>
      <c r="L1" t="s">
        <v>654</v>
      </c>
      <c r="M1" t="s">
        <v>655</v>
      </c>
      <c r="N1" t="s">
        <v>656</v>
      </c>
      <c r="O1" t="s">
        <v>657</v>
      </c>
      <c r="P1" t="s">
        <v>658</v>
      </c>
      <c r="Q1" t="s">
        <v>659</v>
      </c>
      <c r="R1" t="s">
        <v>660</v>
      </c>
      <c r="S1" t="s">
        <v>661</v>
      </c>
      <c r="T1" t="s">
        <v>662</v>
      </c>
      <c r="U1" t="s">
        <v>663</v>
      </c>
      <c r="V1" t="s">
        <v>664</v>
      </c>
      <c r="W1" t="s">
        <v>665</v>
      </c>
      <c r="X1" t="s">
        <v>666</v>
      </c>
      <c r="Y1" t="s">
        <v>667</v>
      </c>
      <c r="Z1" t="s">
        <v>668</v>
      </c>
      <c r="AA1" t="s">
        <v>669</v>
      </c>
      <c r="AB1" t="s">
        <v>670</v>
      </c>
      <c r="AC1" t="s">
        <v>671</v>
      </c>
      <c r="AD1" t="s">
        <v>672</v>
      </c>
      <c r="AE1" t="s">
        <v>673</v>
      </c>
      <c r="AF1" t="s">
        <v>674</v>
      </c>
      <c r="AG1" t="s">
        <v>724</v>
      </c>
    </row>
    <row r="2" spans="1:33">
      <c r="A2">
        <v>1</v>
      </c>
      <c r="B2" t="s">
        <v>16</v>
      </c>
      <c r="C2" t="s">
        <v>19</v>
      </c>
      <c r="D2" t="s">
        <v>739</v>
      </c>
      <c r="M2">
        <v>13000</v>
      </c>
      <c r="N2">
        <v>13000</v>
      </c>
      <c r="O2">
        <v>13000</v>
      </c>
      <c r="P2">
        <v>13000</v>
      </c>
      <c r="Q2">
        <v>13000</v>
      </c>
      <c r="R2">
        <v>13000</v>
      </c>
      <c r="S2">
        <v>13000</v>
      </c>
      <c r="T2">
        <v>13000</v>
      </c>
      <c r="U2">
        <v>13000</v>
      </c>
      <c r="V2">
        <v>13000</v>
      </c>
      <c r="W2">
        <v>13000</v>
      </c>
      <c r="X2">
        <v>13000</v>
      </c>
      <c r="Y2">
        <v>13000</v>
      </c>
      <c r="Z2">
        <v>13000</v>
      </c>
      <c r="AA2">
        <v>13000</v>
      </c>
      <c r="AB2">
        <v>13000</v>
      </c>
      <c r="AC2">
        <v>13000</v>
      </c>
      <c r="AD2">
        <v>13000</v>
      </c>
      <c r="AE2">
        <v>13000</v>
      </c>
      <c r="AF2">
        <v>13000</v>
      </c>
      <c r="AG2">
        <v>13000</v>
      </c>
    </row>
    <row r="3" spans="1:33">
      <c r="A3">
        <v>2</v>
      </c>
      <c r="B3" t="s">
        <v>23</v>
      </c>
      <c r="C3" t="s">
        <v>19</v>
      </c>
      <c r="D3" t="s">
        <v>739</v>
      </c>
      <c r="E3">
        <v>12592</v>
      </c>
      <c r="F3">
        <v>12592</v>
      </c>
      <c r="G3">
        <v>12592</v>
      </c>
      <c r="H3">
        <v>12592</v>
      </c>
      <c r="I3">
        <v>12592</v>
      </c>
      <c r="J3">
        <v>12592</v>
      </c>
      <c r="K3">
        <v>12592</v>
      </c>
      <c r="L3">
        <v>12592</v>
      </c>
      <c r="M3">
        <v>12592</v>
      </c>
      <c r="N3">
        <v>12592</v>
      </c>
      <c r="O3">
        <v>12592</v>
      </c>
      <c r="P3">
        <v>12592</v>
      </c>
      <c r="Q3">
        <v>12592</v>
      </c>
      <c r="R3">
        <v>12592</v>
      </c>
      <c r="S3">
        <v>12592</v>
      </c>
      <c r="T3">
        <v>12592</v>
      </c>
      <c r="U3">
        <v>12592</v>
      </c>
      <c r="V3">
        <v>12592</v>
      </c>
      <c r="W3">
        <v>12592</v>
      </c>
      <c r="X3">
        <v>12592</v>
      </c>
      <c r="Y3">
        <v>12592</v>
      </c>
      <c r="Z3">
        <v>12592</v>
      </c>
      <c r="AA3">
        <v>12592</v>
      </c>
      <c r="AB3">
        <v>12592</v>
      </c>
      <c r="AC3">
        <v>12592</v>
      </c>
      <c r="AD3">
        <v>12592</v>
      </c>
      <c r="AE3">
        <v>12592</v>
      </c>
      <c r="AF3">
        <v>12592</v>
      </c>
      <c r="AG3">
        <v>12592</v>
      </c>
    </row>
    <row r="4" spans="1:33">
      <c r="A4">
        <v>3</v>
      </c>
      <c r="B4" t="s">
        <v>26</v>
      </c>
      <c r="C4" t="s">
        <v>19</v>
      </c>
      <c r="D4" t="s">
        <v>739</v>
      </c>
      <c r="E4">
        <v>13589</v>
      </c>
      <c r="F4">
        <v>13589</v>
      </c>
      <c r="G4">
        <v>13589</v>
      </c>
      <c r="H4">
        <v>13589</v>
      </c>
      <c r="I4">
        <v>13459</v>
      </c>
      <c r="J4">
        <v>13459</v>
      </c>
      <c r="K4">
        <v>13459</v>
      </c>
      <c r="L4">
        <v>13459</v>
      </c>
      <c r="M4">
        <v>13128.73</v>
      </c>
      <c r="N4">
        <v>13128.73</v>
      </c>
      <c r="O4">
        <v>13128.73</v>
      </c>
      <c r="P4">
        <v>13128.73</v>
      </c>
      <c r="Q4">
        <v>13128.73</v>
      </c>
      <c r="R4">
        <v>13128.73</v>
      </c>
      <c r="S4">
        <v>13128.73</v>
      </c>
      <c r="T4">
        <v>13128.73</v>
      </c>
      <c r="U4">
        <v>13150</v>
      </c>
      <c r="V4">
        <v>13150</v>
      </c>
      <c r="W4">
        <v>13150</v>
      </c>
      <c r="X4">
        <v>13150</v>
      </c>
      <c r="Y4">
        <v>13150</v>
      </c>
      <c r="Z4">
        <v>13150</v>
      </c>
      <c r="AA4">
        <v>13150</v>
      </c>
      <c r="AB4">
        <v>13150</v>
      </c>
      <c r="AC4">
        <v>13150</v>
      </c>
      <c r="AD4">
        <v>13150</v>
      </c>
      <c r="AE4">
        <v>13150</v>
      </c>
      <c r="AF4">
        <v>13150</v>
      </c>
      <c r="AG4">
        <v>13150</v>
      </c>
    </row>
    <row r="5" spans="1:33">
      <c r="A5">
        <v>4</v>
      </c>
      <c r="B5" t="s">
        <v>32</v>
      </c>
      <c r="C5" t="s">
        <v>19</v>
      </c>
      <c r="D5" t="s">
        <v>739</v>
      </c>
      <c r="E5">
        <v>13128.73</v>
      </c>
      <c r="F5">
        <v>13128.73</v>
      </c>
      <c r="G5">
        <v>13128.73</v>
      </c>
      <c r="H5">
        <v>13128.73</v>
      </c>
      <c r="I5">
        <v>13128.73</v>
      </c>
      <c r="J5">
        <v>13128.73</v>
      </c>
      <c r="K5">
        <v>13128.73</v>
      </c>
      <c r="L5">
        <v>13128.73</v>
      </c>
      <c r="M5">
        <v>13128.73</v>
      </c>
      <c r="N5">
        <v>13128.73</v>
      </c>
      <c r="O5">
        <v>13128.73</v>
      </c>
      <c r="P5">
        <v>13128.73</v>
      </c>
      <c r="Q5">
        <v>13128.73</v>
      </c>
      <c r="R5">
        <v>13128.73</v>
      </c>
      <c r="S5">
        <v>13128.73</v>
      </c>
      <c r="T5">
        <v>13128.73</v>
      </c>
      <c r="U5">
        <v>13128.73</v>
      </c>
      <c r="V5">
        <v>13128.73</v>
      </c>
      <c r="W5">
        <v>13128.73</v>
      </c>
      <c r="X5">
        <v>13128.73</v>
      </c>
      <c r="Y5">
        <v>13128.73</v>
      </c>
      <c r="Z5">
        <v>13128.73</v>
      </c>
      <c r="AA5">
        <v>13128.73</v>
      </c>
      <c r="AB5">
        <v>13128.73</v>
      </c>
      <c r="AC5">
        <v>13128.73</v>
      </c>
      <c r="AD5">
        <v>13128.73</v>
      </c>
      <c r="AE5">
        <v>13128.73</v>
      </c>
      <c r="AF5">
        <v>13128.73</v>
      </c>
      <c r="AG5">
        <v>13128.73</v>
      </c>
    </row>
    <row r="6" spans="1:33">
      <c r="A6">
        <v>5</v>
      </c>
      <c r="B6" t="s">
        <v>38</v>
      </c>
      <c r="C6" t="s">
        <v>19</v>
      </c>
      <c r="D6" t="s">
        <v>739</v>
      </c>
      <c r="E6">
        <v>13500</v>
      </c>
      <c r="F6">
        <v>13500</v>
      </c>
      <c r="G6">
        <v>13500</v>
      </c>
      <c r="H6">
        <v>13500</v>
      </c>
      <c r="I6">
        <v>13500</v>
      </c>
      <c r="J6">
        <v>13500</v>
      </c>
      <c r="K6">
        <v>13500</v>
      </c>
      <c r="L6">
        <v>13500</v>
      </c>
      <c r="M6">
        <v>13500</v>
      </c>
      <c r="N6">
        <v>13500</v>
      </c>
      <c r="O6">
        <v>13500</v>
      </c>
      <c r="P6">
        <v>13500</v>
      </c>
      <c r="Q6">
        <v>13500</v>
      </c>
      <c r="R6">
        <v>13500</v>
      </c>
      <c r="S6">
        <v>13500</v>
      </c>
      <c r="T6">
        <v>13500</v>
      </c>
      <c r="U6">
        <v>13500</v>
      </c>
      <c r="V6">
        <v>13500</v>
      </c>
      <c r="W6">
        <v>13500</v>
      </c>
      <c r="X6">
        <v>13500</v>
      </c>
      <c r="Y6">
        <v>13500</v>
      </c>
      <c r="Z6">
        <v>13500</v>
      </c>
      <c r="AA6">
        <v>13500</v>
      </c>
      <c r="AB6">
        <v>13500</v>
      </c>
      <c r="AC6">
        <v>13500</v>
      </c>
      <c r="AD6">
        <v>13500</v>
      </c>
      <c r="AE6">
        <v>13500</v>
      </c>
      <c r="AF6">
        <v>13500</v>
      </c>
      <c r="AG6">
        <v>13500</v>
      </c>
    </row>
    <row r="7" spans="1:33">
      <c r="A7">
        <v>6</v>
      </c>
      <c r="B7" t="s">
        <v>41</v>
      </c>
      <c r="C7" t="s">
        <v>19</v>
      </c>
      <c r="D7" t="s">
        <v>739</v>
      </c>
      <c r="E7">
        <v>13606.94</v>
      </c>
      <c r="F7">
        <v>13606.94</v>
      </c>
      <c r="G7">
        <v>13606.94</v>
      </c>
      <c r="H7">
        <v>13606.94</v>
      </c>
      <c r="I7">
        <v>13606.94</v>
      </c>
      <c r="J7">
        <v>13606.94</v>
      </c>
      <c r="K7">
        <v>13606.94</v>
      </c>
      <c r="L7">
        <v>13606.94</v>
      </c>
      <c r="M7">
        <v>13606.94</v>
      </c>
      <c r="N7">
        <v>13606.94</v>
      </c>
      <c r="O7">
        <v>13606.94</v>
      </c>
      <c r="P7">
        <v>13606.94</v>
      </c>
      <c r="Q7">
        <v>13606.94</v>
      </c>
      <c r="R7">
        <v>13606.94</v>
      </c>
      <c r="S7">
        <v>13606.94</v>
      </c>
      <c r="T7">
        <v>13606.94</v>
      </c>
      <c r="U7">
        <v>13300</v>
      </c>
      <c r="V7">
        <v>13300</v>
      </c>
      <c r="W7">
        <v>13300</v>
      </c>
      <c r="X7">
        <v>13300</v>
      </c>
      <c r="Y7">
        <v>13300</v>
      </c>
      <c r="Z7">
        <v>13300</v>
      </c>
      <c r="AA7">
        <v>13300</v>
      </c>
      <c r="AB7">
        <v>13300</v>
      </c>
      <c r="AC7">
        <v>13300</v>
      </c>
      <c r="AD7">
        <v>13300</v>
      </c>
      <c r="AE7">
        <v>13300</v>
      </c>
      <c r="AF7">
        <v>13300</v>
      </c>
      <c r="AG7">
        <v>13300</v>
      </c>
    </row>
    <row r="8" spans="1:33">
      <c r="A8">
        <v>7</v>
      </c>
      <c r="B8" t="s">
        <v>44</v>
      </c>
      <c r="C8" t="s">
        <v>19</v>
      </c>
      <c r="D8" t="s">
        <v>739</v>
      </c>
      <c r="E8">
        <v>13568.59</v>
      </c>
      <c r="F8">
        <v>13568.59</v>
      </c>
      <c r="G8">
        <v>13568.59</v>
      </c>
      <c r="H8">
        <v>13568.59</v>
      </c>
      <c r="I8">
        <v>13568.59</v>
      </c>
      <c r="J8">
        <v>13568.59</v>
      </c>
      <c r="K8">
        <v>13568.59</v>
      </c>
      <c r="L8">
        <v>13568.59</v>
      </c>
      <c r="M8">
        <v>13568.59</v>
      </c>
      <c r="N8">
        <v>13568.59</v>
      </c>
      <c r="O8">
        <v>13568.59</v>
      </c>
      <c r="P8">
        <v>13568.59</v>
      </c>
      <c r="Q8">
        <v>13568.59</v>
      </c>
      <c r="R8">
        <v>13568.59</v>
      </c>
      <c r="S8">
        <v>13568.59</v>
      </c>
      <c r="T8">
        <v>13568.59</v>
      </c>
      <c r="U8">
        <v>13606.94</v>
      </c>
      <c r="V8">
        <v>13606.94</v>
      </c>
      <c r="W8">
        <v>13606.94</v>
      </c>
      <c r="X8">
        <v>13606.94</v>
      </c>
      <c r="Y8">
        <v>13606.94</v>
      </c>
      <c r="Z8">
        <v>13606.94</v>
      </c>
      <c r="AA8">
        <v>13606.94</v>
      </c>
      <c r="AB8">
        <v>13606.94</v>
      </c>
      <c r="AC8">
        <v>13606.94</v>
      </c>
      <c r="AD8">
        <v>13606.94</v>
      </c>
      <c r="AE8">
        <v>13606.94</v>
      </c>
      <c r="AF8">
        <v>13606.94</v>
      </c>
      <c r="AG8">
        <v>13606.94</v>
      </c>
    </row>
    <row r="9" spans="1:33">
      <c r="A9">
        <v>8</v>
      </c>
      <c r="B9" t="s">
        <v>46</v>
      </c>
      <c r="C9" t="s">
        <v>19</v>
      </c>
      <c r="D9" t="s">
        <v>739</v>
      </c>
      <c r="E9">
        <v>13568.59</v>
      </c>
      <c r="F9">
        <v>13568.59</v>
      </c>
      <c r="G9">
        <v>13568.59</v>
      </c>
      <c r="H9">
        <v>13568.59</v>
      </c>
      <c r="I9">
        <v>13568.59</v>
      </c>
      <c r="J9">
        <v>13568.59</v>
      </c>
      <c r="K9">
        <v>13568.59</v>
      </c>
      <c r="L9">
        <v>13568.59</v>
      </c>
      <c r="M9">
        <v>13568.59</v>
      </c>
      <c r="N9">
        <v>13568.59</v>
      </c>
      <c r="O9">
        <v>13568.59</v>
      </c>
      <c r="P9">
        <v>13568.59</v>
      </c>
      <c r="Q9">
        <v>13568.59</v>
      </c>
      <c r="R9">
        <v>13568.59</v>
      </c>
      <c r="S9">
        <v>13568.59</v>
      </c>
      <c r="T9">
        <v>13568.59</v>
      </c>
      <c r="U9">
        <v>13568.59</v>
      </c>
      <c r="V9">
        <v>13568.59</v>
      </c>
      <c r="W9">
        <v>13568.59</v>
      </c>
      <c r="X9">
        <v>13568.59</v>
      </c>
      <c r="Y9">
        <v>13568.59</v>
      </c>
      <c r="Z9">
        <v>13568.59</v>
      </c>
      <c r="AA9">
        <v>13568.59</v>
      </c>
      <c r="AB9">
        <v>13568.59</v>
      </c>
      <c r="AC9">
        <v>13568.59</v>
      </c>
      <c r="AD9">
        <v>13568.59</v>
      </c>
      <c r="AE9">
        <v>13568.59</v>
      </c>
      <c r="AF9">
        <v>13568.59</v>
      </c>
      <c r="AG9">
        <v>13568.59</v>
      </c>
    </row>
    <row r="10" spans="1:33">
      <c r="A10">
        <v>9</v>
      </c>
      <c r="B10" t="s">
        <v>49</v>
      </c>
      <c r="C10" t="s">
        <v>19</v>
      </c>
      <c r="D10" t="s">
        <v>739</v>
      </c>
      <c r="E10">
        <v>13400</v>
      </c>
      <c r="F10">
        <v>13400</v>
      </c>
      <c r="G10">
        <v>13400</v>
      </c>
      <c r="H10">
        <v>13400</v>
      </c>
      <c r="I10">
        <v>13400</v>
      </c>
      <c r="J10">
        <v>13400</v>
      </c>
      <c r="K10">
        <v>13400</v>
      </c>
      <c r="L10">
        <v>13400</v>
      </c>
      <c r="M10">
        <v>13400</v>
      </c>
      <c r="N10">
        <v>13400</v>
      </c>
      <c r="O10">
        <v>13400</v>
      </c>
      <c r="P10">
        <v>13400</v>
      </c>
      <c r="Q10">
        <v>13400</v>
      </c>
      <c r="R10">
        <v>13400</v>
      </c>
      <c r="S10">
        <v>13400</v>
      </c>
      <c r="T10">
        <v>13400</v>
      </c>
      <c r="U10">
        <v>13400</v>
      </c>
      <c r="V10">
        <v>13400</v>
      </c>
      <c r="W10">
        <v>13400</v>
      </c>
      <c r="X10">
        <v>13400</v>
      </c>
      <c r="Y10">
        <v>13400</v>
      </c>
      <c r="Z10">
        <v>13400</v>
      </c>
      <c r="AA10">
        <v>13400</v>
      </c>
      <c r="AB10">
        <v>13400</v>
      </c>
      <c r="AC10">
        <v>13400</v>
      </c>
      <c r="AD10">
        <v>13400</v>
      </c>
      <c r="AE10">
        <v>13400</v>
      </c>
      <c r="AF10">
        <v>13400</v>
      </c>
      <c r="AG10">
        <v>13400</v>
      </c>
    </row>
    <row r="11" spans="1:33">
      <c r="A11">
        <v>10</v>
      </c>
      <c r="B11" t="s">
        <v>52</v>
      </c>
      <c r="C11" t="s">
        <v>19</v>
      </c>
      <c r="D11" t="s">
        <v>739</v>
      </c>
      <c r="U11">
        <v>13500</v>
      </c>
      <c r="V11">
        <v>13500</v>
      </c>
      <c r="W11">
        <v>13500</v>
      </c>
      <c r="X11">
        <v>13500</v>
      </c>
      <c r="Y11">
        <v>13500</v>
      </c>
      <c r="Z11">
        <v>13500</v>
      </c>
      <c r="AA11">
        <v>13500</v>
      </c>
      <c r="AB11">
        <v>13500</v>
      </c>
      <c r="AC11">
        <v>13500</v>
      </c>
      <c r="AD11">
        <v>13500</v>
      </c>
      <c r="AE11">
        <v>13500</v>
      </c>
      <c r="AF11">
        <v>13500</v>
      </c>
      <c r="AG11">
        <v>13500</v>
      </c>
    </row>
    <row r="12" spans="1:33">
      <c r="A12">
        <v>11</v>
      </c>
      <c r="B12" t="s">
        <v>56</v>
      </c>
      <c r="C12" t="s">
        <v>19</v>
      </c>
      <c r="D12" t="s">
        <v>739</v>
      </c>
      <c r="E12">
        <v>13343.59</v>
      </c>
      <c r="F12">
        <v>13343.59</v>
      </c>
      <c r="G12">
        <v>13343.59</v>
      </c>
      <c r="H12">
        <v>13343.59</v>
      </c>
      <c r="I12">
        <v>13343.59</v>
      </c>
      <c r="J12">
        <v>13343.59</v>
      </c>
      <c r="K12">
        <v>13343.59</v>
      </c>
      <c r="L12">
        <v>13343.59</v>
      </c>
      <c r="M12">
        <v>13158.04</v>
      </c>
      <c r="N12">
        <v>13158.04</v>
      </c>
      <c r="O12">
        <v>13158.04</v>
      </c>
      <c r="P12">
        <v>13158.04</v>
      </c>
      <c r="Q12">
        <v>13022</v>
      </c>
      <c r="R12">
        <v>13022</v>
      </c>
      <c r="S12">
        <v>13022</v>
      </c>
      <c r="T12">
        <v>13022</v>
      </c>
      <c r="U12">
        <v>13250</v>
      </c>
      <c r="V12">
        <v>13250</v>
      </c>
      <c r="W12">
        <v>13250</v>
      </c>
      <c r="X12">
        <v>13250</v>
      </c>
      <c r="Y12">
        <v>13250</v>
      </c>
      <c r="Z12">
        <v>13250</v>
      </c>
      <c r="AA12">
        <v>13250</v>
      </c>
      <c r="AB12">
        <v>13250</v>
      </c>
      <c r="AC12">
        <v>13250</v>
      </c>
      <c r="AD12">
        <v>13250</v>
      </c>
      <c r="AE12">
        <v>13250</v>
      </c>
      <c r="AF12">
        <v>13250</v>
      </c>
      <c r="AG12">
        <v>13250</v>
      </c>
    </row>
    <row r="13" spans="1:33">
      <c r="A13">
        <v>12</v>
      </c>
      <c r="B13" t="s">
        <v>59</v>
      </c>
      <c r="C13" t="s">
        <v>19</v>
      </c>
      <c r="D13" t="s">
        <v>739</v>
      </c>
      <c r="E13">
        <v>13012</v>
      </c>
      <c r="F13">
        <v>13012</v>
      </c>
      <c r="G13">
        <v>13012</v>
      </c>
      <c r="H13">
        <v>13012</v>
      </c>
      <c r="I13">
        <v>13012</v>
      </c>
      <c r="J13">
        <v>13012</v>
      </c>
      <c r="K13">
        <v>13012</v>
      </c>
      <c r="L13">
        <v>13012</v>
      </c>
      <c r="M13">
        <v>12982</v>
      </c>
      <c r="N13">
        <v>12982</v>
      </c>
      <c r="O13">
        <v>12982</v>
      </c>
      <c r="P13">
        <v>12982</v>
      </c>
      <c r="Q13">
        <v>13090</v>
      </c>
      <c r="R13">
        <v>13090</v>
      </c>
      <c r="S13">
        <v>13090</v>
      </c>
      <c r="T13">
        <v>13090</v>
      </c>
      <c r="U13">
        <v>13031.41</v>
      </c>
      <c r="V13">
        <v>13031.41</v>
      </c>
      <c r="W13">
        <v>13031.41</v>
      </c>
      <c r="X13">
        <v>13031.41</v>
      </c>
      <c r="Y13">
        <v>13031.41</v>
      </c>
      <c r="Z13">
        <v>13031.41</v>
      </c>
      <c r="AA13">
        <v>13031.41</v>
      </c>
      <c r="AB13">
        <v>13031.41</v>
      </c>
      <c r="AC13">
        <v>13031.41</v>
      </c>
      <c r="AD13">
        <v>13031.41</v>
      </c>
      <c r="AE13">
        <v>13031.41</v>
      </c>
      <c r="AF13">
        <v>13031.41</v>
      </c>
      <c r="AG13">
        <v>13031.41</v>
      </c>
    </row>
    <row r="14" spans="1:33">
      <c r="A14">
        <v>13</v>
      </c>
      <c r="B14" t="s">
        <v>63</v>
      </c>
      <c r="C14" t="s">
        <v>19</v>
      </c>
      <c r="D14" t="s">
        <v>739</v>
      </c>
      <c r="E14">
        <v>13122</v>
      </c>
      <c r="F14">
        <v>13122</v>
      </c>
      <c r="G14">
        <v>13122</v>
      </c>
      <c r="H14">
        <v>13122</v>
      </c>
      <c r="I14">
        <v>13122</v>
      </c>
      <c r="J14">
        <v>13122</v>
      </c>
      <c r="K14">
        <v>13122</v>
      </c>
      <c r="L14">
        <v>13122</v>
      </c>
      <c r="M14">
        <v>13001</v>
      </c>
      <c r="N14">
        <v>13001</v>
      </c>
      <c r="O14">
        <v>13001</v>
      </c>
      <c r="P14">
        <v>13001</v>
      </c>
      <c r="Q14">
        <v>13187</v>
      </c>
      <c r="R14">
        <v>13187</v>
      </c>
      <c r="S14">
        <v>13187</v>
      </c>
      <c r="T14">
        <v>13187</v>
      </c>
      <c r="U14">
        <v>12895</v>
      </c>
      <c r="V14">
        <v>12895</v>
      </c>
      <c r="W14">
        <v>12895</v>
      </c>
      <c r="X14">
        <v>12895</v>
      </c>
      <c r="Y14">
        <v>12895</v>
      </c>
      <c r="Z14">
        <v>12895</v>
      </c>
      <c r="AA14">
        <v>12895</v>
      </c>
      <c r="AB14">
        <v>12895</v>
      </c>
      <c r="AC14">
        <v>12895</v>
      </c>
      <c r="AD14">
        <v>12895</v>
      </c>
      <c r="AE14">
        <v>12895</v>
      </c>
      <c r="AF14">
        <v>12895</v>
      </c>
      <c r="AG14">
        <v>12895</v>
      </c>
    </row>
    <row r="15" spans="1:33">
      <c r="A15">
        <v>14</v>
      </c>
      <c r="B15" t="s">
        <v>66</v>
      </c>
      <c r="C15" t="s">
        <v>19</v>
      </c>
      <c r="D15" t="s">
        <v>739</v>
      </c>
      <c r="E15">
        <v>13040</v>
      </c>
      <c r="F15">
        <v>13040</v>
      </c>
      <c r="G15">
        <v>13040</v>
      </c>
      <c r="H15">
        <v>13040</v>
      </c>
      <c r="I15">
        <v>13040</v>
      </c>
      <c r="J15">
        <v>13040</v>
      </c>
      <c r="K15">
        <v>13040</v>
      </c>
      <c r="L15">
        <v>13040</v>
      </c>
      <c r="M15">
        <v>13019</v>
      </c>
      <c r="N15">
        <v>13019</v>
      </c>
      <c r="O15">
        <v>13019</v>
      </c>
      <c r="P15">
        <v>13019</v>
      </c>
      <c r="Q15">
        <v>12892</v>
      </c>
      <c r="R15">
        <v>12892</v>
      </c>
      <c r="S15">
        <v>12892</v>
      </c>
      <c r="T15">
        <v>12892</v>
      </c>
      <c r="U15">
        <v>12895</v>
      </c>
      <c r="V15">
        <v>12895</v>
      </c>
      <c r="W15">
        <v>12895</v>
      </c>
      <c r="X15">
        <v>12895</v>
      </c>
      <c r="Y15">
        <v>12895</v>
      </c>
      <c r="Z15">
        <v>12895</v>
      </c>
      <c r="AA15">
        <v>12895</v>
      </c>
      <c r="AB15">
        <v>12895</v>
      </c>
      <c r="AC15">
        <v>12895</v>
      </c>
      <c r="AD15">
        <v>12895</v>
      </c>
      <c r="AE15">
        <v>12895</v>
      </c>
      <c r="AF15">
        <v>12895</v>
      </c>
      <c r="AG15">
        <v>12895</v>
      </c>
    </row>
    <row r="16" spans="1:33">
      <c r="A16">
        <v>15</v>
      </c>
      <c r="B16" t="s">
        <v>69</v>
      </c>
      <c r="C16" t="s">
        <v>19</v>
      </c>
      <c r="D16" t="s">
        <v>739</v>
      </c>
      <c r="E16">
        <v>12982</v>
      </c>
      <c r="F16">
        <v>12982</v>
      </c>
      <c r="G16">
        <v>12982</v>
      </c>
      <c r="H16">
        <v>12982</v>
      </c>
      <c r="I16">
        <v>12982</v>
      </c>
      <c r="J16">
        <v>12982</v>
      </c>
      <c r="K16">
        <v>12982</v>
      </c>
      <c r="L16">
        <v>12982</v>
      </c>
      <c r="M16">
        <v>12955</v>
      </c>
      <c r="N16">
        <v>12955</v>
      </c>
      <c r="O16">
        <v>12955</v>
      </c>
      <c r="P16">
        <v>12955</v>
      </c>
      <c r="Q16">
        <v>12915</v>
      </c>
      <c r="R16">
        <v>12915</v>
      </c>
      <c r="S16">
        <v>12915</v>
      </c>
      <c r="T16">
        <v>12915</v>
      </c>
      <c r="U16">
        <v>12895</v>
      </c>
      <c r="V16">
        <v>12895</v>
      </c>
      <c r="W16">
        <v>12895</v>
      </c>
      <c r="X16">
        <v>12895</v>
      </c>
      <c r="Y16">
        <v>12895</v>
      </c>
      <c r="Z16">
        <v>12895</v>
      </c>
      <c r="AA16">
        <v>12895</v>
      </c>
      <c r="AB16">
        <v>12895</v>
      </c>
      <c r="AC16">
        <v>12895</v>
      </c>
      <c r="AD16">
        <v>12895</v>
      </c>
      <c r="AE16">
        <v>12895</v>
      </c>
      <c r="AF16">
        <v>12895</v>
      </c>
      <c r="AG16">
        <v>12895</v>
      </c>
    </row>
    <row r="17" spans="1:33">
      <c r="A17">
        <v>16</v>
      </c>
      <c r="B17" t="s">
        <v>71</v>
      </c>
      <c r="C17" t="s">
        <v>19</v>
      </c>
      <c r="D17" t="s">
        <v>739</v>
      </c>
      <c r="E17">
        <v>13241</v>
      </c>
      <c r="F17">
        <v>13241</v>
      </c>
      <c r="G17">
        <v>13241</v>
      </c>
      <c r="H17">
        <v>13241</v>
      </c>
      <c r="I17">
        <v>13099</v>
      </c>
      <c r="J17">
        <v>13099</v>
      </c>
      <c r="K17">
        <v>13099</v>
      </c>
      <c r="L17">
        <v>13099</v>
      </c>
      <c r="M17">
        <v>13159</v>
      </c>
      <c r="N17">
        <v>13159</v>
      </c>
      <c r="O17">
        <v>13159</v>
      </c>
      <c r="P17">
        <v>13159</v>
      </c>
      <c r="Q17">
        <v>12398</v>
      </c>
      <c r="R17">
        <v>12398</v>
      </c>
      <c r="S17">
        <v>12398</v>
      </c>
      <c r="T17">
        <v>12398</v>
      </c>
      <c r="U17">
        <v>12895</v>
      </c>
      <c r="V17">
        <v>12895</v>
      </c>
      <c r="W17">
        <v>12895</v>
      </c>
      <c r="X17">
        <v>12895</v>
      </c>
      <c r="Y17">
        <v>12895</v>
      </c>
      <c r="Z17">
        <v>12895</v>
      </c>
      <c r="AA17">
        <v>12895</v>
      </c>
      <c r="AB17">
        <v>12895</v>
      </c>
      <c r="AC17">
        <v>12895</v>
      </c>
      <c r="AD17">
        <v>12895</v>
      </c>
      <c r="AE17">
        <v>12895</v>
      </c>
      <c r="AF17">
        <v>12895</v>
      </c>
      <c r="AG17">
        <v>12895</v>
      </c>
    </row>
    <row r="18" spans="1:33">
      <c r="A18">
        <v>17</v>
      </c>
      <c r="B18" t="s">
        <v>74</v>
      </c>
      <c r="C18" t="s">
        <v>19</v>
      </c>
      <c r="D18" t="s">
        <v>739</v>
      </c>
      <c r="U18">
        <v>12895</v>
      </c>
      <c r="V18">
        <v>12895</v>
      </c>
      <c r="W18">
        <v>12895</v>
      </c>
      <c r="X18">
        <v>12895</v>
      </c>
      <c r="Y18">
        <v>12895</v>
      </c>
      <c r="Z18">
        <v>12895</v>
      </c>
      <c r="AA18">
        <v>12895</v>
      </c>
      <c r="AB18">
        <v>12895</v>
      </c>
      <c r="AC18">
        <v>12895</v>
      </c>
      <c r="AD18">
        <v>12895</v>
      </c>
      <c r="AE18">
        <v>12895</v>
      </c>
      <c r="AF18">
        <v>12895</v>
      </c>
      <c r="AG18">
        <v>12895</v>
      </c>
    </row>
    <row r="19" spans="1:33">
      <c r="A19">
        <v>18</v>
      </c>
      <c r="B19" t="s">
        <v>77</v>
      </c>
      <c r="C19" t="s">
        <v>19</v>
      </c>
      <c r="D19" t="s">
        <v>739</v>
      </c>
      <c r="E19">
        <v>13145</v>
      </c>
      <c r="F19">
        <v>13145</v>
      </c>
      <c r="G19">
        <v>13145</v>
      </c>
      <c r="H19">
        <v>13145</v>
      </c>
      <c r="I19">
        <v>13145</v>
      </c>
      <c r="J19">
        <v>13145</v>
      </c>
      <c r="K19">
        <v>13145</v>
      </c>
      <c r="L19">
        <v>13145</v>
      </c>
      <c r="M19">
        <v>13145</v>
      </c>
      <c r="N19">
        <v>13145</v>
      </c>
      <c r="O19">
        <v>13145</v>
      </c>
      <c r="P19">
        <v>13145</v>
      </c>
      <c r="Q19">
        <v>13145</v>
      </c>
      <c r="R19">
        <v>13145</v>
      </c>
      <c r="S19">
        <v>13145</v>
      </c>
      <c r="T19">
        <v>13145</v>
      </c>
      <c r="U19">
        <v>13087</v>
      </c>
      <c r="V19">
        <v>13087</v>
      </c>
      <c r="W19">
        <v>13087</v>
      </c>
      <c r="X19">
        <v>13087</v>
      </c>
      <c r="Y19">
        <v>13087</v>
      </c>
      <c r="Z19">
        <v>13087</v>
      </c>
      <c r="AA19">
        <v>13087</v>
      </c>
      <c r="AB19">
        <v>13087</v>
      </c>
      <c r="AC19">
        <v>13087</v>
      </c>
      <c r="AD19">
        <v>13087</v>
      </c>
      <c r="AE19">
        <v>13087</v>
      </c>
      <c r="AF19">
        <v>13087</v>
      </c>
      <c r="AG19">
        <v>13087</v>
      </c>
    </row>
    <row r="20" spans="1:33">
      <c r="A20">
        <v>19</v>
      </c>
      <c r="B20" t="s">
        <v>82</v>
      </c>
      <c r="C20" t="s">
        <v>19</v>
      </c>
      <c r="D20" t="s">
        <v>739</v>
      </c>
      <c r="E20">
        <v>13352</v>
      </c>
      <c r="F20">
        <v>13352</v>
      </c>
      <c r="G20">
        <v>13352</v>
      </c>
      <c r="H20">
        <v>13352</v>
      </c>
      <c r="I20">
        <v>13352</v>
      </c>
      <c r="J20">
        <v>13352</v>
      </c>
      <c r="K20">
        <v>13352</v>
      </c>
      <c r="L20">
        <v>13352</v>
      </c>
      <c r="M20">
        <v>13352</v>
      </c>
      <c r="N20">
        <v>13352</v>
      </c>
      <c r="O20">
        <v>13352</v>
      </c>
      <c r="P20">
        <v>13352</v>
      </c>
      <c r="Q20">
        <v>13352</v>
      </c>
      <c r="R20">
        <v>13352</v>
      </c>
      <c r="S20">
        <v>13352</v>
      </c>
      <c r="T20">
        <v>13352</v>
      </c>
      <c r="U20">
        <v>13315</v>
      </c>
      <c r="V20">
        <v>13315</v>
      </c>
      <c r="W20">
        <v>13315</v>
      </c>
      <c r="X20">
        <v>13315</v>
      </c>
      <c r="Y20">
        <v>13315</v>
      </c>
      <c r="Z20">
        <v>13315</v>
      </c>
      <c r="AA20">
        <v>13315</v>
      </c>
      <c r="AB20">
        <v>13315</v>
      </c>
      <c r="AC20">
        <v>13315</v>
      </c>
      <c r="AD20">
        <v>13315</v>
      </c>
      <c r="AE20">
        <v>13315</v>
      </c>
      <c r="AF20">
        <v>13315</v>
      </c>
      <c r="AG20">
        <v>13315</v>
      </c>
    </row>
    <row r="21" spans="1:33">
      <c r="A21">
        <v>20</v>
      </c>
      <c r="B21" t="s">
        <v>86</v>
      </c>
      <c r="C21" t="s">
        <v>19</v>
      </c>
      <c r="D21" t="s">
        <v>739</v>
      </c>
      <c r="M21">
        <v>13206</v>
      </c>
      <c r="N21">
        <v>13206</v>
      </c>
      <c r="O21">
        <v>13206</v>
      </c>
      <c r="P21">
        <v>13206</v>
      </c>
      <c r="Q21">
        <v>13206</v>
      </c>
      <c r="R21">
        <v>13206</v>
      </c>
      <c r="S21">
        <v>13206</v>
      </c>
      <c r="T21">
        <v>13206</v>
      </c>
      <c r="U21">
        <v>13206</v>
      </c>
      <c r="V21">
        <v>13206</v>
      </c>
      <c r="W21">
        <v>13206</v>
      </c>
      <c r="X21">
        <v>13206</v>
      </c>
      <c r="Y21">
        <v>13206</v>
      </c>
      <c r="Z21">
        <v>13206</v>
      </c>
      <c r="AA21">
        <v>13206</v>
      </c>
      <c r="AB21">
        <v>13206</v>
      </c>
      <c r="AC21">
        <v>13206</v>
      </c>
      <c r="AD21">
        <v>13206</v>
      </c>
      <c r="AE21">
        <v>13206</v>
      </c>
      <c r="AF21">
        <v>13206</v>
      </c>
      <c r="AG21">
        <v>13206</v>
      </c>
    </row>
    <row r="22" spans="1:33">
      <c r="A22">
        <v>21</v>
      </c>
      <c r="B22" t="s">
        <v>89</v>
      </c>
      <c r="C22" t="s">
        <v>19</v>
      </c>
      <c r="D22" t="s">
        <v>739</v>
      </c>
      <c r="E22">
        <v>13250</v>
      </c>
      <c r="F22">
        <v>13250</v>
      </c>
      <c r="G22">
        <v>13250</v>
      </c>
      <c r="H22">
        <v>13250</v>
      </c>
      <c r="I22">
        <v>13250</v>
      </c>
      <c r="J22">
        <v>13250</v>
      </c>
      <c r="K22">
        <v>13250</v>
      </c>
      <c r="L22">
        <v>13250</v>
      </c>
      <c r="M22">
        <v>13250</v>
      </c>
      <c r="N22">
        <v>13250</v>
      </c>
      <c r="O22">
        <v>13250</v>
      </c>
      <c r="P22">
        <v>13250</v>
      </c>
      <c r="Q22">
        <v>13250</v>
      </c>
      <c r="R22">
        <v>13250</v>
      </c>
      <c r="S22">
        <v>13250</v>
      </c>
      <c r="T22">
        <v>13250</v>
      </c>
      <c r="U22">
        <v>13250</v>
      </c>
      <c r="V22">
        <v>13250</v>
      </c>
      <c r="W22">
        <v>13250</v>
      </c>
      <c r="X22">
        <v>13250</v>
      </c>
      <c r="Y22">
        <v>13250</v>
      </c>
      <c r="Z22">
        <v>13250</v>
      </c>
      <c r="AA22">
        <v>13250</v>
      </c>
      <c r="AB22">
        <v>13250</v>
      </c>
      <c r="AC22">
        <v>13250</v>
      </c>
      <c r="AD22">
        <v>13250</v>
      </c>
      <c r="AE22">
        <v>13250</v>
      </c>
      <c r="AF22">
        <v>13250</v>
      </c>
      <c r="AG22">
        <v>13250</v>
      </c>
    </row>
    <row r="23" spans="1:33">
      <c r="A23">
        <v>22</v>
      </c>
      <c r="B23" t="s">
        <v>93</v>
      </c>
      <c r="C23" t="s">
        <v>19</v>
      </c>
      <c r="D23" t="s">
        <v>739</v>
      </c>
      <c r="E23">
        <v>13456.92</v>
      </c>
      <c r="F23">
        <v>13456.92</v>
      </c>
      <c r="G23">
        <v>13456.92</v>
      </c>
      <c r="H23">
        <v>13456.92</v>
      </c>
      <c r="I23">
        <v>13456.92</v>
      </c>
      <c r="J23">
        <v>13456.92</v>
      </c>
      <c r="K23">
        <v>13456.92</v>
      </c>
      <c r="L23">
        <v>13456.92</v>
      </c>
      <c r="M23">
        <v>13456.92</v>
      </c>
      <c r="N23">
        <v>13456.92</v>
      </c>
      <c r="O23">
        <v>13456.92</v>
      </c>
      <c r="P23">
        <v>13456.92</v>
      </c>
      <c r="Q23">
        <v>13456.92</v>
      </c>
      <c r="R23">
        <v>13456.92</v>
      </c>
      <c r="S23">
        <v>13456.92</v>
      </c>
      <c r="T23">
        <v>13456.92</v>
      </c>
      <c r="U23">
        <v>13500</v>
      </c>
      <c r="V23">
        <v>13500</v>
      </c>
      <c r="W23">
        <v>13500</v>
      </c>
      <c r="X23">
        <v>13500</v>
      </c>
      <c r="Y23">
        <v>13500</v>
      </c>
      <c r="Z23">
        <v>13500</v>
      </c>
      <c r="AA23">
        <v>13500</v>
      </c>
      <c r="AB23">
        <v>13500</v>
      </c>
      <c r="AC23">
        <v>13500</v>
      </c>
      <c r="AD23">
        <v>13500</v>
      </c>
      <c r="AE23">
        <v>13500</v>
      </c>
      <c r="AF23">
        <v>13500</v>
      </c>
      <c r="AG23">
        <v>13500</v>
      </c>
    </row>
    <row r="24" spans="1:33">
      <c r="A24">
        <v>23</v>
      </c>
      <c r="B24" t="s">
        <v>97</v>
      </c>
      <c r="C24" t="s">
        <v>19</v>
      </c>
      <c r="D24" t="s">
        <v>739</v>
      </c>
      <c r="U24">
        <v>13456</v>
      </c>
      <c r="V24">
        <v>13456</v>
      </c>
      <c r="W24">
        <v>13456</v>
      </c>
      <c r="X24">
        <v>13456</v>
      </c>
      <c r="Y24">
        <v>13456</v>
      </c>
      <c r="Z24">
        <v>13456</v>
      </c>
      <c r="AA24">
        <v>13456</v>
      </c>
      <c r="AB24">
        <v>13456</v>
      </c>
      <c r="AC24">
        <v>13456</v>
      </c>
      <c r="AD24">
        <v>13456</v>
      </c>
      <c r="AE24">
        <v>13456</v>
      </c>
      <c r="AF24">
        <v>13456</v>
      </c>
      <c r="AG24">
        <v>13456</v>
      </c>
    </row>
    <row r="25" spans="1:33">
      <c r="A25">
        <v>24</v>
      </c>
      <c r="B25" t="s">
        <v>100</v>
      </c>
      <c r="C25" t="s">
        <v>19</v>
      </c>
      <c r="D25" t="s">
        <v>739</v>
      </c>
      <c r="E25">
        <v>13318</v>
      </c>
      <c r="F25">
        <v>13318</v>
      </c>
      <c r="G25">
        <v>13318</v>
      </c>
      <c r="H25">
        <v>13318</v>
      </c>
      <c r="I25">
        <v>13318</v>
      </c>
      <c r="J25">
        <v>13318</v>
      </c>
      <c r="K25">
        <v>13318</v>
      </c>
      <c r="L25">
        <v>13318</v>
      </c>
      <c r="M25">
        <v>13318</v>
      </c>
      <c r="N25">
        <v>13318</v>
      </c>
      <c r="O25">
        <v>13318</v>
      </c>
      <c r="P25">
        <v>13318</v>
      </c>
      <c r="Q25">
        <v>13318</v>
      </c>
      <c r="R25">
        <v>13318</v>
      </c>
      <c r="S25">
        <v>13318</v>
      </c>
      <c r="T25">
        <v>13318</v>
      </c>
      <c r="U25">
        <v>13206</v>
      </c>
      <c r="V25">
        <v>13206</v>
      </c>
      <c r="W25">
        <v>13206</v>
      </c>
      <c r="X25">
        <v>13206</v>
      </c>
      <c r="Y25">
        <v>13206</v>
      </c>
      <c r="Z25">
        <v>13206</v>
      </c>
      <c r="AA25">
        <v>13206</v>
      </c>
      <c r="AB25">
        <v>13206</v>
      </c>
      <c r="AC25">
        <v>13206</v>
      </c>
      <c r="AD25">
        <v>13206</v>
      </c>
      <c r="AE25">
        <v>13206</v>
      </c>
      <c r="AF25">
        <v>13206</v>
      </c>
      <c r="AG25">
        <v>13206</v>
      </c>
    </row>
    <row r="26" spans="1:33">
      <c r="A26">
        <v>25</v>
      </c>
      <c r="B26" t="s">
        <v>103</v>
      </c>
      <c r="C26" t="s">
        <v>19</v>
      </c>
      <c r="D26" t="s">
        <v>739</v>
      </c>
      <c r="E26">
        <v>13229</v>
      </c>
      <c r="F26">
        <v>13229</v>
      </c>
      <c r="G26">
        <v>13229</v>
      </c>
      <c r="H26">
        <v>13229</v>
      </c>
      <c r="I26">
        <v>13278</v>
      </c>
      <c r="J26">
        <v>13278</v>
      </c>
      <c r="K26">
        <v>13278</v>
      </c>
      <c r="L26">
        <v>13278</v>
      </c>
      <c r="M26">
        <v>13300.96</v>
      </c>
      <c r="N26">
        <v>13300.96</v>
      </c>
      <c r="O26">
        <v>13300.96</v>
      </c>
      <c r="P26">
        <v>13300.96</v>
      </c>
      <c r="Q26">
        <v>13300.96</v>
      </c>
      <c r="R26">
        <v>13300.96</v>
      </c>
      <c r="S26">
        <v>13300.96</v>
      </c>
      <c r="T26">
        <v>13300.96</v>
      </c>
      <c r="U26">
        <v>13200</v>
      </c>
      <c r="V26">
        <v>13200</v>
      </c>
      <c r="W26">
        <v>13200</v>
      </c>
      <c r="X26">
        <v>13200</v>
      </c>
      <c r="Y26">
        <v>13200</v>
      </c>
      <c r="Z26">
        <v>13200</v>
      </c>
      <c r="AA26">
        <v>13200</v>
      </c>
      <c r="AB26">
        <v>13200</v>
      </c>
      <c r="AC26">
        <v>13200</v>
      </c>
      <c r="AD26">
        <v>13200</v>
      </c>
      <c r="AE26">
        <v>13200</v>
      </c>
      <c r="AF26">
        <v>13200</v>
      </c>
      <c r="AG26">
        <v>13200</v>
      </c>
    </row>
    <row r="27" spans="1:33">
      <c r="A27">
        <v>26</v>
      </c>
      <c r="B27" t="s">
        <v>107</v>
      </c>
      <c r="C27" t="s">
        <v>19</v>
      </c>
      <c r="D27" t="s">
        <v>739</v>
      </c>
      <c r="E27">
        <v>13264.4</v>
      </c>
      <c r="F27">
        <v>13264.4</v>
      </c>
      <c r="G27">
        <v>13264.4</v>
      </c>
      <c r="H27">
        <v>13264.4</v>
      </c>
      <c r="I27">
        <v>13264.4</v>
      </c>
      <c r="J27">
        <v>13264.4</v>
      </c>
      <c r="K27">
        <v>13264.4</v>
      </c>
      <c r="L27">
        <v>13264.4</v>
      </c>
      <c r="M27">
        <v>13481.775101523301</v>
      </c>
      <c r="N27">
        <v>13481.775101523301</v>
      </c>
      <c r="O27">
        <v>13481.775101523301</v>
      </c>
      <c r="P27">
        <v>13481.775101523301</v>
      </c>
      <c r="Q27">
        <v>13235</v>
      </c>
      <c r="R27">
        <v>13235</v>
      </c>
      <c r="S27">
        <v>13235</v>
      </c>
      <c r="T27">
        <v>13235</v>
      </c>
      <c r="U27">
        <v>13278</v>
      </c>
      <c r="V27">
        <v>13278</v>
      </c>
      <c r="W27">
        <v>13278</v>
      </c>
      <c r="X27">
        <v>13278</v>
      </c>
      <c r="Y27">
        <v>13278</v>
      </c>
      <c r="Z27">
        <v>13278</v>
      </c>
      <c r="AA27">
        <v>13278</v>
      </c>
      <c r="AB27">
        <v>13278</v>
      </c>
      <c r="AC27">
        <v>13278</v>
      </c>
      <c r="AD27">
        <v>13278</v>
      </c>
      <c r="AE27">
        <v>13278</v>
      </c>
      <c r="AF27">
        <v>13278</v>
      </c>
      <c r="AG27">
        <v>13278</v>
      </c>
    </row>
    <row r="28" spans="1:33">
      <c r="A28">
        <v>27</v>
      </c>
      <c r="B28" t="s">
        <v>110</v>
      </c>
      <c r="C28" t="s">
        <v>19</v>
      </c>
      <c r="D28" t="s">
        <v>739</v>
      </c>
      <c r="E28">
        <v>13117</v>
      </c>
      <c r="F28">
        <v>13117</v>
      </c>
      <c r="G28">
        <v>13117</v>
      </c>
      <c r="H28">
        <v>13117</v>
      </c>
      <c r="I28">
        <v>13117</v>
      </c>
      <c r="J28">
        <v>13117</v>
      </c>
      <c r="K28">
        <v>13117</v>
      </c>
      <c r="L28">
        <v>13117</v>
      </c>
      <c r="M28">
        <v>13117</v>
      </c>
      <c r="N28">
        <v>13117</v>
      </c>
      <c r="O28">
        <v>13117</v>
      </c>
      <c r="P28">
        <v>13117</v>
      </c>
      <c r="Q28">
        <v>13117</v>
      </c>
      <c r="R28">
        <v>13117</v>
      </c>
      <c r="S28">
        <v>13117</v>
      </c>
      <c r="T28">
        <v>13117</v>
      </c>
      <c r="U28">
        <v>13313.5</v>
      </c>
      <c r="V28">
        <v>13313.5</v>
      </c>
      <c r="W28">
        <v>13313.5</v>
      </c>
      <c r="X28">
        <v>13313.5</v>
      </c>
      <c r="Y28">
        <v>13313.5</v>
      </c>
      <c r="Z28">
        <v>13313.5</v>
      </c>
      <c r="AA28">
        <v>13313.5</v>
      </c>
      <c r="AB28">
        <v>13313.5</v>
      </c>
      <c r="AC28">
        <v>13313.5</v>
      </c>
      <c r="AD28">
        <v>13313.5</v>
      </c>
      <c r="AE28">
        <v>13313.5</v>
      </c>
      <c r="AF28">
        <v>13313.5</v>
      </c>
      <c r="AG28">
        <v>13313.5</v>
      </c>
    </row>
    <row r="29" spans="1:33">
      <c r="A29">
        <v>28</v>
      </c>
      <c r="B29" t="s">
        <v>113</v>
      </c>
      <c r="C29" t="s">
        <v>19</v>
      </c>
      <c r="D29" t="s">
        <v>739</v>
      </c>
      <c r="E29">
        <v>13326</v>
      </c>
      <c r="F29">
        <v>13326</v>
      </c>
      <c r="G29">
        <v>13326</v>
      </c>
      <c r="H29">
        <v>13326</v>
      </c>
      <c r="I29">
        <v>13326</v>
      </c>
      <c r="J29">
        <v>13326</v>
      </c>
      <c r="K29">
        <v>13326</v>
      </c>
      <c r="L29">
        <v>13326</v>
      </c>
      <c r="M29">
        <v>13326</v>
      </c>
      <c r="N29">
        <v>13326</v>
      </c>
      <c r="O29">
        <v>13326</v>
      </c>
      <c r="P29">
        <v>13326</v>
      </c>
      <c r="Q29">
        <v>13326</v>
      </c>
      <c r="R29">
        <v>13326</v>
      </c>
      <c r="S29">
        <v>13326</v>
      </c>
      <c r="T29">
        <v>13326</v>
      </c>
      <c r="U29">
        <v>13326</v>
      </c>
      <c r="V29">
        <v>13326</v>
      </c>
      <c r="W29">
        <v>13326</v>
      </c>
      <c r="X29">
        <v>13326</v>
      </c>
      <c r="Y29">
        <v>13326</v>
      </c>
      <c r="Z29">
        <v>13326</v>
      </c>
      <c r="AA29">
        <v>13326</v>
      </c>
      <c r="AB29">
        <v>13326</v>
      </c>
      <c r="AC29">
        <v>13326</v>
      </c>
      <c r="AD29">
        <v>13326</v>
      </c>
      <c r="AE29">
        <v>13326</v>
      </c>
      <c r="AF29">
        <v>13326</v>
      </c>
      <c r="AG29">
        <v>13326</v>
      </c>
    </row>
    <row r="30" spans="1:33">
      <c r="A30">
        <v>29</v>
      </c>
      <c r="B30" t="s">
        <v>117</v>
      </c>
      <c r="C30" t="s">
        <v>19</v>
      </c>
      <c r="D30" t="s">
        <v>739</v>
      </c>
      <c r="E30">
        <v>13319.44</v>
      </c>
      <c r="F30">
        <v>13319.44</v>
      </c>
      <c r="G30">
        <v>13319.44</v>
      </c>
      <c r="H30">
        <v>13319.44</v>
      </c>
      <c r="I30">
        <v>13319.44</v>
      </c>
      <c r="J30">
        <v>13319.44</v>
      </c>
      <c r="K30">
        <v>13319.44</v>
      </c>
      <c r="L30">
        <v>13319.44</v>
      </c>
      <c r="M30">
        <v>13319.44</v>
      </c>
      <c r="N30">
        <v>13319.44</v>
      </c>
      <c r="O30">
        <v>13319.44</v>
      </c>
      <c r="P30">
        <v>13319.44</v>
      </c>
      <c r="Q30">
        <v>13319.44</v>
      </c>
      <c r="R30">
        <v>13319.44</v>
      </c>
      <c r="S30">
        <v>13319.44</v>
      </c>
      <c r="T30">
        <v>13319.44</v>
      </c>
      <c r="U30">
        <v>13326</v>
      </c>
      <c r="V30">
        <v>13326</v>
      </c>
      <c r="W30">
        <v>13326</v>
      </c>
      <c r="X30">
        <v>13326</v>
      </c>
      <c r="Y30">
        <v>13326</v>
      </c>
      <c r="Z30">
        <v>13326</v>
      </c>
      <c r="AA30">
        <v>13326</v>
      </c>
      <c r="AB30">
        <v>13326</v>
      </c>
      <c r="AC30">
        <v>13326</v>
      </c>
      <c r="AD30">
        <v>13326</v>
      </c>
      <c r="AE30">
        <v>13326</v>
      </c>
      <c r="AF30">
        <v>13326</v>
      </c>
      <c r="AG30">
        <v>13326</v>
      </c>
    </row>
    <row r="31" spans="1:33">
      <c r="A31">
        <v>30</v>
      </c>
      <c r="B31" t="s">
        <v>121</v>
      </c>
      <c r="C31" t="s">
        <v>19</v>
      </c>
      <c r="D31" t="s">
        <v>739</v>
      </c>
      <c r="E31">
        <v>13319.44</v>
      </c>
      <c r="F31">
        <v>13319.44</v>
      </c>
      <c r="G31">
        <v>13319.44</v>
      </c>
      <c r="H31">
        <v>13319.44</v>
      </c>
      <c r="I31">
        <v>13319.44</v>
      </c>
      <c r="J31">
        <v>13319.44</v>
      </c>
      <c r="K31">
        <v>13319.44</v>
      </c>
      <c r="L31">
        <v>13319.44</v>
      </c>
      <c r="M31">
        <v>13319.44</v>
      </c>
      <c r="N31">
        <v>13319.44</v>
      </c>
      <c r="O31">
        <v>13319.44</v>
      </c>
      <c r="P31">
        <v>13319.44</v>
      </c>
      <c r="Q31">
        <v>13319.44</v>
      </c>
      <c r="R31">
        <v>13319.44</v>
      </c>
      <c r="S31">
        <v>13319.44</v>
      </c>
      <c r="T31">
        <v>13319.44</v>
      </c>
      <c r="U31">
        <v>13319.44</v>
      </c>
      <c r="V31">
        <v>13319.44</v>
      </c>
      <c r="W31">
        <v>13319.44</v>
      </c>
      <c r="X31">
        <v>13319.44</v>
      </c>
      <c r="Y31">
        <v>13319.44</v>
      </c>
      <c r="Z31">
        <v>13319.44</v>
      </c>
      <c r="AA31">
        <v>13319.44</v>
      </c>
      <c r="AB31">
        <v>13319.44</v>
      </c>
      <c r="AC31">
        <v>13319.44</v>
      </c>
      <c r="AD31">
        <v>13319.44</v>
      </c>
      <c r="AE31">
        <v>13319.44</v>
      </c>
      <c r="AF31">
        <v>13319.44</v>
      </c>
      <c r="AG31">
        <v>13319.44</v>
      </c>
    </row>
    <row r="32" spans="1:33">
      <c r="A32">
        <v>31</v>
      </c>
      <c r="B32" t="s">
        <v>124</v>
      </c>
      <c r="C32" t="s">
        <v>19</v>
      </c>
      <c r="D32" t="s">
        <v>739</v>
      </c>
      <c r="E32">
        <v>13500</v>
      </c>
      <c r="F32">
        <v>13500</v>
      </c>
      <c r="G32">
        <v>13500</v>
      </c>
      <c r="H32">
        <v>13500</v>
      </c>
      <c r="I32">
        <v>13500</v>
      </c>
      <c r="J32">
        <v>13500</v>
      </c>
      <c r="K32">
        <v>13500</v>
      </c>
      <c r="L32">
        <v>13500</v>
      </c>
      <c r="M32">
        <v>13500</v>
      </c>
      <c r="N32">
        <v>13500</v>
      </c>
      <c r="O32">
        <v>13500</v>
      </c>
      <c r="P32">
        <v>13500</v>
      </c>
      <c r="Q32">
        <v>13500</v>
      </c>
      <c r="R32">
        <v>13500</v>
      </c>
      <c r="S32">
        <v>13500</v>
      </c>
      <c r="T32">
        <v>13500</v>
      </c>
      <c r="U32">
        <v>13500</v>
      </c>
      <c r="V32">
        <v>13500</v>
      </c>
      <c r="W32">
        <v>13500</v>
      </c>
      <c r="X32">
        <v>13500</v>
      </c>
      <c r="Y32">
        <v>13500</v>
      </c>
      <c r="Z32">
        <v>13500</v>
      </c>
      <c r="AA32">
        <v>13500</v>
      </c>
      <c r="AB32">
        <v>13500</v>
      </c>
      <c r="AC32">
        <v>13500</v>
      </c>
      <c r="AD32">
        <v>13500</v>
      </c>
      <c r="AE32">
        <v>13500</v>
      </c>
      <c r="AF32">
        <v>13500</v>
      </c>
      <c r="AG32">
        <v>13500</v>
      </c>
    </row>
    <row r="33" spans="1:33">
      <c r="A33">
        <v>32</v>
      </c>
      <c r="B33" t="s">
        <v>127</v>
      </c>
      <c r="C33" t="s">
        <v>19</v>
      </c>
      <c r="D33" t="s">
        <v>739</v>
      </c>
      <c r="E33">
        <v>12800</v>
      </c>
      <c r="F33">
        <v>12800</v>
      </c>
      <c r="G33">
        <v>12800</v>
      </c>
      <c r="H33">
        <v>12800</v>
      </c>
      <c r="I33">
        <v>12800</v>
      </c>
      <c r="J33">
        <v>12800</v>
      </c>
      <c r="K33">
        <v>12800</v>
      </c>
      <c r="L33">
        <v>12800</v>
      </c>
      <c r="M33">
        <v>12800</v>
      </c>
      <c r="N33">
        <v>12800</v>
      </c>
      <c r="O33">
        <v>12800</v>
      </c>
      <c r="P33">
        <v>12800</v>
      </c>
      <c r="Q33">
        <v>12800</v>
      </c>
      <c r="R33">
        <v>12800</v>
      </c>
      <c r="S33">
        <v>12800</v>
      </c>
      <c r="T33">
        <v>12800</v>
      </c>
      <c r="U33">
        <v>12800</v>
      </c>
      <c r="V33">
        <v>12800</v>
      </c>
      <c r="W33">
        <v>12800</v>
      </c>
      <c r="X33">
        <v>12800</v>
      </c>
      <c r="Y33">
        <v>12800</v>
      </c>
      <c r="Z33">
        <v>12800</v>
      </c>
      <c r="AA33">
        <v>12800</v>
      </c>
      <c r="AB33">
        <v>12800</v>
      </c>
      <c r="AC33">
        <v>12800</v>
      </c>
      <c r="AD33">
        <v>12800</v>
      </c>
      <c r="AE33">
        <v>12800</v>
      </c>
      <c r="AF33">
        <v>12800</v>
      </c>
      <c r="AG33">
        <v>12800</v>
      </c>
    </row>
    <row r="34" spans="1:33">
      <c r="A34">
        <v>33</v>
      </c>
      <c r="B34" t="s">
        <v>130</v>
      </c>
      <c r="C34" t="s">
        <v>19</v>
      </c>
      <c r="D34" t="s">
        <v>739</v>
      </c>
      <c r="E34">
        <v>12548</v>
      </c>
      <c r="F34">
        <v>12548</v>
      </c>
      <c r="G34">
        <v>12548</v>
      </c>
      <c r="H34">
        <v>12548</v>
      </c>
      <c r="I34">
        <v>12548</v>
      </c>
      <c r="J34">
        <v>12548</v>
      </c>
      <c r="K34">
        <v>12548</v>
      </c>
      <c r="L34">
        <v>12548</v>
      </c>
      <c r="M34">
        <v>12548</v>
      </c>
      <c r="N34">
        <v>12548</v>
      </c>
      <c r="O34">
        <v>12548</v>
      </c>
      <c r="P34">
        <v>12548</v>
      </c>
      <c r="Q34">
        <v>12548</v>
      </c>
      <c r="R34">
        <v>12548</v>
      </c>
      <c r="S34">
        <v>12548</v>
      </c>
      <c r="T34">
        <v>12548</v>
      </c>
      <c r="U34">
        <v>12548</v>
      </c>
      <c r="V34">
        <v>12548</v>
      </c>
      <c r="W34">
        <v>12548</v>
      </c>
      <c r="X34">
        <v>12548</v>
      </c>
      <c r="Y34">
        <v>12548</v>
      </c>
      <c r="Z34">
        <v>12548</v>
      </c>
      <c r="AA34">
        <v>12548</v>
      </c>
      <c r="AB34">
        <v>12548</v>
      </c>
      <c r="AC34">
        <v>12548</v>
      </c>
      <c r="AD34">
        <v>12548</v>
      </c>
      <c r="AE34">
        <v>12548</v>
      </c>
      <c r="AF34">
        <v>12548</v>
      </c>
      <c r="AG34">
        <v>12548</v>
      </c>
    </row>
    <row r="35" spans="1:33">
      <c r="A35">
        <v>34</v>
      </c>
      <c r="B35" t="s">
        <v>133</v>
      </c>
      <c r="C35" t="s">
        <v>19</v>
      </c>
      <c r="D35" t="s">
        <v>739</v>
      </c>
      <c r="E35">
        <v>13350</v>
      </c>
      <c r="F35">
        <v>13350</v>
      </c>
      <c r="G35">
        <v>13350</v>
      </c>
      <c r="H35">
        <v>13350</v>
      </c>
      <c r="I35">
        <v>13350</v>
      </c>
      <c r="J35">
        <v>13350</v>
      </c>
      <c r="K35">
        <v>13350</v>
      </c>
      <c r="L35">
        <v>13350</v>
      </c>
      <c r="M35">
        <v>13350</v>
      </c>
      <c r="N35">
        <v>13350</v>
      </c>
      <c r="O35">
        <v>13350</v>
      </c>
      <c r="P35">
        <v>13350</v>
      </c>
      <c r="Q35">
        <v>13350</v>
      </c>
      <c r="R35">
        <v>13350</v>
      </c>
      <c r="S35">
        <v>13350</v>
      </c>
      <c r="T35">
        <v>13350</v>
      </c>
      <c r="U35">
        <v>13350</v>
      </c>
      <c r="V35">
        <v>13350</v>
      </c>
      <c r="W35">
        <v>13350</v>
      </c>
      <c r="X35">
        <v>13350</v>
      </c>
      <c r="Y35">
        <v>13350</v>
      </c>
      <c r="Z35">
        <v>13350</v>
      </c>
      <c r="AA35">
        <v>13350</v>
      </c>
      <c r="AB35">
        <v>13350</v>
      </c>
      <c r="AC35">
        <v>13350</v>
      </c>
      <c r="AD35">
        <v>13350</v>
      </c>
      <c r="AE35">
        <v>13350</v>
      </c>
      <c r="AF35">
        <v>13350</v>
      </c>
      <c r="AG35">
        <v>13350</v>
      </c>
    </row>
    <row r="36" spans="1:33">
      <c r="A36">
        <v>35</v>
      </c>
      <c r="B36" t="s">
        <v>137</v>
      </c>
      <c r="C36" t="s">
        <v>19</v>
      </c>
      <c r="D36" t="s">
        <v>739</v>
      </c>
      <c r="E36">
        <v>13350</v>
      </c>
      <c r="F36">
        <v>13350</v>
      </c>
      <c r="G36">
        <v>13350</v>
      </c>
      <c r="H36">
        <v>13350</v>
      </c>
      <c r="I36">
        <v>13350</v>
      </c>
      <c r="J36">
        <v>13350</v>
      </c>
      <c r="K36">
        <v>13350</v>
      </c>
      <c r="L36">
        <v>13350</v>
      </c>
      <c r="M36">
        <v>13350</v>
      </c>
      <c r="N36">
        <v>13350</v>
      </c>
      <c r="O36">
        <v>13350</v>
      </c>
      <c r="P36">
        <v>13350</v>
      </c>
      <c r="Q36">
        <v>13350</v>
      </c>
      <c r="R36">
        <v>13350</v>
      </c>
      <c r="S36">
        <v>13350</v>
      </c>
      <c r="T36">
        <v>13350</v>
      </c>
      <c r="U36">
        <v>13350</v>
      </c>
      <c r="V36">
        <v>13350</v>
      </c>
      <c r="W36">
        <v>13350</v>
      </c>
      <c r="X36">
        <v>13350</v>
      </c>
      <c r="Y36">
        <v>13350</v>
      </c>
      <c r="Z36">
        <v>13350</v>
      </c>
      <c r="AA36">
        <v>13350</v>
      </c>
      <c r="AB36">
        <v>13350</v>
      </c>
      <c r="AC36">
        <v>13350</v>
      </c>
      <c r="AD36">
        <v>13350</v>
      </c>
      <c r="AE36">
        <v>13350</v>
      </c>
      <c r="AF36">
        <v>13350</v>
      </c>
      <c r="AG36">
        <v>13350</v>
      </c>
    </row>
    <row r="37" spans="1:33">
      <c r="A37">
        <v>36</v>
      </c>
      <c r="B37" t="s">
        <v>140</v>
      </c>
      <c r="C37" t="s">
        <v>19</v>
      </c>
      <c r="D37" t="s">
        <v>739</v>
      </c>
      <c r="E37">
        <v>12975</v>
      </c>
      <c r="F37">
        <v>12975</v>
      </c>
      <c r="G37">
        <v>12975</v>
      </c>
      <c r="H37">
        <v>12975</v>
      </c>
      <c r="I37">
        <v>12975</v>
      </c>
      <c r="J37">
        <v>12975</v>
      </c>
      <c r="K37">
        <v>12975</v>
      </c>
      <c r="L37">
        <v>12975</v>
      </c>
      <c r="M37">
        <v>12975</v>
      </c>
      <c r="N37">
        <v>12975</v>
      </c>
      <c r="O37">
        <v>12975</v>
      </c>
      <c r="P37">
        <v>12975</v>
      </c>
      <c r="Q37">
        <v>12975</v>
      </c>
      <c r="R37">
        <v>12975</v>
      </c>
      <c r="S37">
        <v>12975</v>
      </c>
      <c r="T37">
        <v>12975</v>
      </c>
      <c r="U37">
        <v>12975</v>
      </c>
      <c r="V37">
        <v>12975</v>
      </c>
      <c r="W37">
        <v>12975</v>
      </c>
      <c r="X37">
        <v>12975</v>
      </c>
      <c r="Y37">
        <v>12975</v>
      </c>
      <c r="Z37">
        <v>12975</v>
      </c>
      <c r="AA37">
        <v>12975</v>
      </c>
      <c r="AB37">
        <v>12975</v>
      </c>
      <c r="AC37">
        <v>12975</v>
      </c>
      <c r="AD37">
        <v>12975</v>
      </c>
      <c r="AE37">
        <v>12975</v>
      </c>
      <c r="AF37">
        <v>12975</v>
      </c>
      <c r="AG37">
        <v>12975</v>
      </c>
    </row>
    <row r="38" spans="1:33">
      <c r="A38">
        <v>37</v>
      </c>
      <c r="B38" t="s">
        <v>143</v>
      </c>
      <c r="C38" t="s">
        <v>19</v>
      </c>
      <c r="D38" t="s">
        <v>739</v>
      </c>
      <c r="E38">
        <v>13400</v>
      </c>
      <c r="F38">
        <v>13400</v>
      </c>
      <c r="G38">
        <v>13400</v>
      </c>
      <c r="H38">
        <v>13400</v>
      </c>
      <c r="I38">
        <v>13400</v>
      </c>
      <c r="J38">
        <v>13400</v>
      </c>
      <c r="K38">
        <v>13400</v>
      </c>
      <c r="L38">
        <v>13400</v>
      </c>
      <c r="M38">
        <v>13400</v>
      </c>
      <c r="N38">
        <v>13400</v>
      </c>
      <c r="O38">
        <v>13400</v>
      </c>
      <c r="P38">
        <v>13400</v>
      </c>
      <c r="Q38">
        <v>13400</v>
      </c>
      <c r="R38">
        <v>13400</v>
      </c>
      <c r="S38">
        <v>13400</v>
      </c>
      <c r="T38">
        <v>13400</v>
      </c>
      <c r="U38">
        <v>13400</v>
      </c>
      <c r="V38">
        <v>13400</v>
      </c>
      <c r="W38">
        <v>13400</v>
      </c>
      <c r="X38">
        <v>13400</v>
      </c>
      <c r="Y38">
        <v>13400</v>
      </c>
      <c r="Z38">
        <v>13400</v>
      </c>
      <c r="AA38">
        <v>13400</v>
      </c>
      <c r="AB38">
        <v>13400</v>
      </c>
      <c r="AC38">
        <v>13400</v>
      </c>
      <c r="AD38">
        <v>13400</v>
      </c>
      <c r="AE38">
        <v>13400</v>
      </c>
      <c r="AF38">
        <v>13400</v>
      </c>
      <c r="AG38">
        <v>13400</v>
      </c>
    </row>
    <row r="39" spans="1:33">
      <c r="A39">
        <v>38</v>
      </c>
      <c r="B39" t="s">
        <v>148</v>
      </c>
      <c r="C39" t="s">
        <v>19</v>
      </c>
      <c r="D39" t="s">
        <v>739</v>
      </c>
      <c r="E39">
        <v>13155</v>
      </c>
      <c r="F39">
        <v>13155</v>
      </c>
      <c r="G39">
        <v>13155</v>
      </c>
      <c r="H39">
        <v>13155</v>
      </c>
      <c r="I39">
        <v>13155</v>
      </c>
      <c r="J39">
        <v>13155</v>
      </c>
      <c r="K39">
        <v>13155</v>
      </c>
      <c r="L39">
        <v>13155</v>
      </c>
      <c r="M39">
        <v>13155</v>
      </c>
      <c r="N39">
        <v>13155</v>
      </c>
      <c r="O39">
        <v>13155</v>
      </c>
      <c r="P39">
        <v>13155</v>
      </c>
      <c r="Q39">
        <v>13155</v>
      </c>
      <c r="R39">
        <v>13155</v>
      </c>
      <c r="S39">
        <v>13155</v>
      </c>
      <c r="T39">
        <v>13155</v>
      </c>
      <c r="U39">
        <v>13409</v>
      </c>
      <c r="V39">
        <v>13409</v>
      </c>
      <c r="W39">
        <v>13409</v>
      </c>
      <c r="X39">
        <v>13409</v>
      </c>
      <c r="Y39">
        <v>13409</v>
      </c>
      <c r="Z39">
        <v>13409</v>
      </c>
      <c r="AA39">
        <v>13409</v>
      </c>
      <c r="AB39">
        <v>13409</v>
      </c>
      <c r="AC39">
        <v>13409</v>
      </c>
      <c r="AD39">
        <v>13409</v>
      </c>
      <c r="AE39">
        <v>13409</v>
      </c>
      <c r="AF39">
        <v>13409</v>
      </c>
      <c r="AG39">
        <v>13409</v>
      </c>
    </row>
    <row r="40" spans="1:33">
      <c r="A40">
        <v>39</v>
      </c>
      <c r="B40" t="s">
        <v>151</v>
      </c>
      <c r="C40" t="s">
        <v>19</v>
      </c>
      <c r="D40" t="s">
        <v>739</v>
      </c>
      <c r="U40">
        <v>13133.87</v>
      </c>
      <c r="V40">
        <v>13133.87</v>
      </c>
      <c r="W40">
        <v>13133.87</v>
      </c>
      <c r="X40">
        <v>13133.87</v>
      </c>
      <c r="Y40">
        <v>13133.87</v>
      </c>
      <c r="Z40">
        <v>13133.87</v>
      </c>
      <c r="AA40">
        <v>13133.87</v>
      </c>
      <c r="AB40">
        <v>13133.87</v>
      </c>
      <c r="AC40">
        <v>13133.87</v>
      </c>
      <c r="AD40">
        <v>13133.87</v>
      </c>
      <c r="AE40">
        <v>13133.87</v>
      </c>
      <c r="AF40">
        <v>13133.87</v>
      </c>
      <c r="AG40">
        <v>13133.87</v>
      </c>
    </row>
    <row r="41" spans="1:33">
      <c r="A41">
        <v>40</v>
      </c>
      <c r="B41" t="s">
        <v>153</v>
      </c>
      <c r="C41" t="s">
        <v>19</v>
      </c>
      <c r="D41" t="s">
        <v>739</v>
      </c>
      <c r="E41">
        <v>13227</v>
      </c>
      <c r="F41">
        <v>13227</v>
      </c>
      <c r="G41">
        <v>13227</v>
      </c>
      <c r="H41">
        <v>13227</v>
      </c>
      <c r="I41">
        <v>13227</v>
      </c>
      <c r="J41">
        <v>13227</v>
      </c>
      <c r="K41">
        <v>13227</v>
      </c>
      <c r="L41">
        <v>13227</v>
      </c>
      <c r="M41">
        <v>13227</v>
      </c>
      <c r="N41">
        <v>13227</v>
      </c>
      <c r="O41">
        <v>13227</v>
      </c>
      <c r="P41">
        <v>13227</v>
      </c>
      <c r="Q41">
        <v>13227</v>
      </c>
      <c r="R41">
        <v>13227</v>
      </c>
      <c r="S41">
        <v>13227</v>
      </c>
      <c r="T41">
        <v>13227</v>
      </c>
      <c r="U41">
        <v>13200</v>
      </c>
      <c r="V41">
        <v>13200</v>
      </c>
      <c r="W41">
        <v>13200</v>
      </c>
      <c r="X41">
        <v>13200</v>
      </c>
      <c r="Y41">
        <v>13200</v>
      </c>
      <c r="Z41">
        <v>13200</v>
      </c>
      <c r="AA41">
        <v>13200</v>
      </c>
      <c r="AB41">
        <v>13200</v>
      </c>
      <c r="AC41">
        <v>13200</v>
      </c>
      <c r="AD41">
        <v>13200</v>
      </c>
      <c r="AE41">
        <v>13200</v>
      </c>
      <c r="AF41">
        <v>13200</v>
      </c>
      <c r="AG41">
        <v>13200</v>
      </c>
    </row>
    <row r="42" spans="1:33">
      <c r="A42">
        <v>41</v>
      </c>
      <c r="B42" t="s">
        <v>157</v>
      </c>
      <c r="C42" t="s">
        <v>19</v>
      </c>
      <c r="D42" t="s">
        <v>739</v>
      </c>
      <c r="E42">
        <v>13073</v>
      </c>
      <c r="F42">
        <v>13073</v>
      </c>
      <c r="G42">
        <v>13073</v>
      </c>
      <c r="H42">
        <v>13073</v>
      </c>
      <c r="I42">
        <v>13073</v>
      </c>
      <c r="J42">
        <v>13073</v>
      </c>
      <c r="K42">
        <v>13073</v>
      </c>
      <c r="L42">
        <v>13073</v>
      </c>
      <c r="M42">
        <v>13073</v>
      </c>
      <c r="N42">
        <v>13073</v>
      </c>
      <c r="O42">
        <v>13073</v>
      </c>
      <c r="P42">
        <v>13073</v>
      </c>
      <c r="Q42">
        <v>13073</v>
      </c>
      <c r="R42">
        <v>13073</v>
      </c>
      <c r="S42">
        <v>13073</v>
      </c>
      <c r="T42">
        <v>13073</v>
      </c>
      <c r="U42">
        <v>13229</v>
      </c>
      <c r="V42">
        <v>13229</v>
      </c>
      <c r="W42">
        <v>13229</v>
      </c>
      <c r="X42">
        <v>13229</v>
      </c>
      <c r="Y42">
        <v>13229</v>
      </c>
      <c r="Z42">
        <v>13229</v>
      </c>
      <c r="AA42">
        <v>13229</v>
      </c>
      <c r="AB42">
        <v>13229</v>
      </c>
      <c r="AC42">
        <v>13229</v>
      </c>
      <c r="AD42">
        <v>13229</v>
      </c>
      <c r="AE42">
        <v>13229</v>
      </c>
      <c r="AF42">
        <v>13229</v>
      </c>
      <c r="AG42">
        <v>13229</v>
      </c>
    </row>
    <row r="43" spans="1:33">
      <c r="A43">
        <v>42</v>
      </c>
      <c r="B43" t="s">
        <v>161</v>
      </c>
      <c r="C43" t="s">
        <v>19</v>
      </c>
      <c r="D43" t="s">
        <v>739</v>
      </c>
      <c r="U43">
        <v>13134</v>
      </c>
      <c r="V43">
        <v>13134</v>
      </c>
      <c r="W43">
        <v>13134</v>
      </c>
      <c r="X43">
        <v>13134</v>
      </c>
      <c r="Y43">
        <v>13134</v>
      </c>
      <c r="Z43">
        <v>13134</v>
      </c>
      <c r="AA43">
        <v>13134</v>
      </c>
      <c r="AB43">
        <v>13134</v>
      </c>
      <c r="AC43">
        <v>13134</v>
      </c>
      <c r="AD43">
        <v>13134</v>
      </c>
      <c r="AE43">
        <v>13134</v>
      </c>
      <c r="AF43">
        <v>13134</v>
      </c>
      <c r="AG43">
        <v>13134</v>
      </c>
    </row>
    <row r="44" spans="1:33">
      <c r="A44">
        <v>43</v>
      </c>
      <c r="B44" t="s">
        <v>164</v>
      </c>
      <c r="C44" t="s">
        <v>19</v>
      </c>
      <c r="D44" t="s">
        <v>739</v>
      </c>
      <c r="E44">
        <v>13500</v>
      </c>
      <c r="F44">
        <v>13500</v>
      </c>
      <c r="G44">
        <v>13500</v>
      </c>
      <c r="H44">
        <v>13500</v>
      </c>
      <c r="I44">
        <v>13500</v>
      </c>
      <c r="J44">
        <v>13500</v>
      </c>
      <c r="K44">
        <v>13500</v>
      </c>
      <c r="L44">
        <v>13500</v>
      </c>
      <c r="M44">
        <v>13500</v>
      </c>
      <c r="N44">
        <v>13500</v>
      </c>
      <c r="O44">
        <v>13500</v>
      </c>
      <c r="P44">
        <v>13500</v>
      </c>
      <c r="Q44">
        <v>13500</v>
      </c>
      <c r="R44">
        <v>13500</v>
      </c>
      <c r="S44">
        <v>13500</v>
      </c>
      <c r="T44">
        <v>13500</v>
      </c>
      <c r="U44">
        <v>13500</v>
      </c>
      <c r="V44">
        <v>13500</v>
      </c>
      <c r="W44">
        <v>13500</v>
      </c>
      <c r="X44">
        <v>13500</v>
      </c>
      <c r="Y44">
        <v>13500</v>
      </c>
      <c r="Z44">
        <v>13500</v>
      </c>
      <c r="AA44">
        <v>13500</v>
      </c>
      <c r="AB44">
        <v>13500</v>
      </c>
      <c r="AC44">
        <v>13500</v>
      </c>
      <c r="AD44">
        <v>13500</v>
      </c>
      <c r="AE44">
        <v>13500</v>
      </c>
      <c r="AF44">
        <v>13500</v>
      </c>
      <c r="AG44">
        <v>13500</v>
      </c>
    </row>
    <row r="45" spans="1:33">
      <c r="A45">
        <v>44</v>
      </c>
      <c r="B45" t="s">
        <v>168</v>
      </c>
      <c r="C45" t="s">
        <v>19</v>
      </c>
      <c r="D45" t="s">
        <v>739</v>
      </c>
      <c r="U45">
        <v>13400</v>
      </c>
      <c r="V45">
        <v>13400</v>
      </c>
      <c r="W45">
        <v>13400</v>
      </c>
      <c r="X45">
        <v>13400</v>
      </c>
      <c r="Y45">
        <v>13400</v>
      </c>
      <c r="Z45">
        <v>13400</v>
      </c>
      <c r="AA45">
        <v>13400</v>
      </c>
      <c r="AB45">
        <v>13400</v>
      </c>
      <c r="AC45">
        <v>13400</v>
      </c>
      <c r="AD45">
        <v>13400</v>
      </c>
      <c r="AE45">
        <v>13400</v>
      </c>
      <c r="AF45">
        <v>13400</v>
      </c>
      <c r="AG45">
        <v>13400</v>
      </c>
    </row>
    <row r="46" spans="1:33">
      <c r="A46">
        <v>45</v>
      </c>
      <c r="B46" t="s">
        <v>171</v>
      </c>
      <c r="C46" t="s">
        <v>19</v>
      </c>
      <c r="D46" t="s">
        <v>739</v>
      </c>
      <c r="U46">
        <v>13267</v>
      </c>
      <c r="V46">
        <v>13267</v>
      </c>
      <c r="W46">
        <v>13267</v>
      </c>
      <c r="X46">
        <v>13267</v>
      </c>
      <c r="Y46">
        <v>13267</v>
      </c>
      <c r="Z46">
        <v>13267</v>
      </c>
      <c r="AA46">
        <v>13267</v>
      </c>
      <c r="AB46">
        <v>13267</v>
      </c>
      <c r="AC46">
        <v>13267</v>
      </c>
      <c r="AD46">
        <v>13267</v>
      </c>
      <c r="AE46">
        <v>13267</v>
      </c>
      <c r="AF46">
        <v>13267</v>
      </c>
      <c r="AG46">
        <v>13267</v>
      </c>
    </row>
    <row r="47" spans="1:33">
      <c r="A47">
        <v>46</v>
      </c>
      <c r="B47" t="s">
        <v>174</v>
      </c>
      <c r="C47" t="s">
        <v>19</v>
      </c>
      <c r="D47" t="s">
        <v>739</v>
      </c>
      <c r="Q47">
        <v>13232</v>
      </c>
      <c r="R47">
        <v>13232</v>
      </c>
      <c r="S47">
        <v>13232</v>
      </c>
      <c r="T47">
        <v>13232</v>
      </c>
      <c r="U47">
        <v>13206.1</v>
      </c>
      <c r="V47">
        <v>13206.1</v>
      </c>
      <c r="W47">
        <v>13206.1</v>
      </c>
      <c r="X47">
        <v>13206.1</v>
      </c>
      <c r="Y47">
        <v>13206.1</v>
      </c>
      <c r="Z47">
        <v>13206.1</v>
      </c>
      <c r="AA47">
        <v>13206.1</v>
      </c>
      <c r="AB47">
        <v>13206.1</v>
      </c>
      <c r="AC47">
        <v>13206.1</v>
      </c>
      <c r="AD47">
        <v>13206.1</v>
      </c>
      <c r="AE47">
        <v>13206.1</v>
      </c>
      <c r="AF47">
        <v>13206.1</v>
      </c>
      <c r="AG47">
        <v>13206.1</v>
      </c>
    </row>
    <row r="48" spans="1:33">
      <c r="A48">
        <v>47</v>
      </c>
      <c r="B48" t="s">
        <v>178</v>
      </c>
      <c r="C48" t="s">
        <v>19</v>
      </c>
      <c r="D48" t="s">
        <v>739</v>
      </c>
      <c r="E48">
        <v>13252</v>
      </c>
      <c r="F48">
        <v>13252</v>
      </c>
      <c r="G48">
        <v>13252</v>
      </c>
      <c r="H48">
        <v>13252</v>
      </c>
      <c r="I48">
        <v>13252</v>
      </c>
      <c r="J48">
        <v>13252</v>
      </c>
      <c r="K48">
        <v>13252</v>
      </c>
      <c r="L48">
        <v>13252</v>
      </c>
      <c r="M48">
        <v>13252</v>
      </c>
      <c r="N48">
        <v>13252</v>
      </c>
      <c r="O48">
        <v>13252</v>
      </c>
      <c r="P48">
        <v>13252</v>
      </c>
      <c r="Q48">
        <v>13252</v>
      </c>
      <c r="R48">
        <v>13252</v>
      </c>
      <c r="S48">
        <v>13252</v>
      </c>
      <c r="T48">
        <v>13252</v>
      </c>
      <c r="U48">
        <v>13232</v>
      </c>
      <c r="V48">
        <v>13232</v>
      </c>
      <c r="W48">
        <v>13232</v>
      </c>
      <c r="X48">
        <v>13232</v>
      </c>
      <c r="Y48">
        <v>13232</v>
      </c>
      <c r="Z48">
        <v>13232</v>
      </c>
      <c r="AA48">
        <v>13232</v>
      </c>
      <c r="AB48">
        <v>13232</v>
      </c>
      <c r="AC48">
        <v>13232</v>
      </c>
      <c r="AD48">
        <v>13232</v>
      </c>
      <c r="AE48">
        <v>13232</v>
      </c>
      <c r="AF48">
        <v>13232</v>
      </c>
      <c r="AG48">
        <v>13232</v>
      </c>
    </row>
    <row r="49" spans="1:33">
      <c r="A49">
        <v>48</v>
      </c>
      <c r="B49" t="s">
        <v>181</v>
      </c>
      <c r="C49" t="s">
        <v>19</v>
      </c>
      <c r="D49" t="s">
        <v>739</v>
      </c>
      <c r="E49">
        <v>13369.43</v>
      </c>
      <c r="F49">
        <v>13369.43</v>
      </c>
      <c r="G49">
        <v>13369.43</v>
      </c>
      <c r="H49">
        <v>13369.43</v>
      </c>
      <c r="I49">
        <v>13369.43</v>
      </c>
      <c r="J49">
        <v>13369.43</v>
      </c>
      <c r="K49">
        <v>13369.43</v>
      </c>
      <c r="L49">
        <v>13369.43</v>
      </c>
      <c r="M49">
        <v>13369.43</v>
      </c>
      <c r="N49">
        <v>13369.43</v>
      </c>
      <c r="O49">
        <v>13369.43</v>
      </c>
      <c r="P49">
        <v>13369.43</v>
      </c>
      <c r="Q49">
        <v>13369.43</v>
      </c>
      <c r="R49">
        <v>13369.43</v>
      </c>
      <c r="S49">
        <v>13369.43</v>
      </c>
      <c r="T49">
        <v>13369.43</v>
      </c>
      <c r="U49">
        <v>13263</v>
      </c>
      <c r="V49">
        <v>13263</v>
      </c>
      <c r="W49">
        <v>13263</v>
      </c>
      <c r="X49">
        <v>13263</v>
      </c>
      <c r="Y49">
        <v>13263</v>
      </c>
      <c r="Z49">
        <v>13263</v>
      </c>
      <c r="AA49">
        <v>13263</v>
      </c>
      <c r="AB49">
        <v>13263</v>
      </c>
      <c r="AC49">
        <v>13263</v>
      </c>
      <c r="AD49">
        <v>13263</v>
      </c>
      <c r="AE49">
        <v>13263</v>
      </c>
      <c r="AF49">
        <v>13263</v>
      </c>
      <c r="AG49">
        <v>13263</v>
      </c>
    </row>
    <row r="50" spans="1:33">
      <c r="A50">
        <v>49</v>
      </c>
      <c r="B50" t="s">
        <v>185</v>
      </c>
      <c r="C50" t="s">
        <v>19</v>
      </c>
      <c r="D50" t="s">
        <v>739</v>
      </c>
      <c r="E50">
        <v>13369.43</v>
      </c>
      <c r="F50">
        <v>13369.43</v>
      </c>
      <c r="G50">
        <v>13369.43</v>
      </c>
      <c r="H50">
        <v>13369.43</v>
      </c>
      <c r="I50">
        <v>13369.43</v>
      </c>
      <c r="J50">
        <v>13369.43</v>
      </c>
      <c r="K50">
        <v>13369.43</v>
      </c>
      <c r="L50">
        <v>13369.43</v>
      </c>
      <c r="M50">
        <v>13369.43</v>
      </c>
      <c r="N50">
        <v>13369.43</v>
      </c>
      <c r="O50">
        <v>13369.43</v>
      </c>
      <c r="P50">
        <v>13369.43</v>
      </c>
      <c r="Q50">
        <v>13369.43</v>
      </c>
      <c r="R50">
        <v>13369.43</v>
      </c>
      <c r="S50">
        <v>13369.43</v>
      </c>
      <c r="T50">
        <v>13369.43</v>
      </c>
      <c r="U50">
        <v>13369.43</v>
      </c>
      <c r="V50">
        <v>13369.43</v>
      </c>
      <c r="W50">
        <v>13369.43</v>
      </c>
      <c r="X50">
        <v>13369.43</v>
      </c>
      <c r="Y50">
        <v>13369.43</v>
      </c>
      <c r="Z50">
        <v>13369.43</v>
      </c>
      <c r="AA50">
        <v>13369.43</v>
      </c>
      <c r="AB50">
        <v>13369.43</v>
      </c>
      <c r="AC50">
        <v>13369.43</v>
      </c>
      <c r="AD50">
        <v>13369.43</v>
      </c>
      <c r="AE50">
        <v>13369.43</v>
      </c>
      <c r="AF50">
        <v>13369.43</v>
      </c>
      <c r="AG50">
        <v>13369.43</v>
      </c>
    </row>
    <row r="51" spans="1:33">
      <c r="A51">
        <v>50</v>
      </c>
      <c r="B51" t="s">
        <v>188</v>
      </c>
      <c r="C51" t="s">
        <v>19</v>
      </c>
      <c r="D51" t="s">
        <v>739</v>
      </c>
      <c r="E51">
        <v>13686.67</v>
      </c>
      <c r="F51">
        <v>13686.67</v>
      </c>
      <c r="G51">
        <v>13686.67</v>
      </c>
      <c r="H51">
        <v>13686.67</v>
      </c>
      <c r="I51">
        <v>13627.7</v>
      </c>
      <c r="J51">
        <v>13627.7</v>
      </c>
      <c r="K51">
        <v>13627.7</v>
      </c>
      <c r="L51">
        <v>13627.7</v>
      </c>
      <c r="M51">
        <v>13660.6</v>
      </c>
      <c r="N51">
        <v>13660.6</v>
      </c>
      <c r="O51">
        <v>13660.6</v>
      </c>
      <c r="P51">
        <v>13660.6</v>
      </c>
      <c r="U51">
        <v>13500</v>
      </c>
      <c r="V51">
        <v>13500</v>
      </c>
      <c r="W51">
        <v>13500</v>
      </c>
      <c r="X51">
        <v>13500</v>
      </c>
      <c r="Y51">
        <v>13500</v>
      </c>
      <c r="Z51">
        <v>13500</v>
      </c>
      <c r="AA51">
        <v>13500</v>
      </c>
      <c r="AB51">
        <v>13500</v>
      </c>
      <c r="AC51">
        <v>13500</v>
      </c>
      <c r="AD51">
        <v>13500</v>
      </c>
      <c r="AE51">
        <v>13500</v>
      </c>
      <c r="AF51">
        <v>13500</v>
      </c>
      <c r="AG51">
        <v>13500</v>
      </c>
    </row>
    <row r="52" spans="1:33">
      <c r="A52">
        <v>51</v>
      </c>
      <c r="B52" t="s">
        <v>192</v>
      </c>
      <c r="C52" t="s">
        <v>19</v>
      </c>
      <c r="D52" t="s">
        <v>739</v>
      </c>
      <c r="E52">
        <v>13500</v>
      </c>
      <c r="F52">
        <v>13500</v>
      </c>
      <c r="G52">
        <v>13500</v>
      </c>
      <c r="H52">
        <v>13500</v>
      </c>
      <c r="I52">
        <v>13500</v>
      </c>
      <c r="J52">
        <v>13500</v>
      </c>
      <c r="K52">
        <v>13500</v>
      </c>
      <c r="L52">
        <v>13500</v>
      </c>
      <c r="M52">
        <v>13500</v>
      </c>
      <c r="N52">
        <v>13500</v>
      </c>
      <c r="O52">
        <v>13500</v>
      </c>
      <c r="P52">
        <v>13500</v>
      </c>
      <c r="Q52">
        <v>13500</v>
      </c>
      <c r="R52">
        <v>13500</v>
      </c>
      <c r="S52">
        <v>13500</v>
      </c>
      <c r="T52">
        <v>13500</v>
      </c>
      <c r="U52">
        <v>13500</v>
      </c>
      <c r="V52">
        <v>13500</v>
      </c>
      <c r="W52">
        <v>13500</v>
      </c>
      <c r="X52">
        <v>13500</v>
      </c>
      <c r="Y52">
        <v>13500</v>
      </c>
      <c r="Z52">
        <v>13500</v>
      </c>
      <c r="AA52">
        <v>13500</v>
      </c>
      <c r="AB52">
        <v>13500</v>
      </c>
      <c r="AC52">
        <v>13500</v>
      </c>
      <c r="AD52">
        <v>13500</v>
      </c>
      <c r="AE52">
        <v>13500</v>
      </c>
      <c r="AF52">
        <v>13500</v>
      </c>
      <c r="AG52">
        <v>13500</v>
      </c>
    </row>
    <row r="53" spans="1:33">
      <c r="A53">
        <v>52</v>
      </c>
      <c r="B53" t="s">
        <v>194</v>
      </c>
      <c r="C53" t="s">
        <v>19</v>
      </c>
      <c r="D53" t="s">
        <v>739</v>
      </c>
      <c r="E53">
        <v>13058</v>
      </c>
      <c r="F53">
        <v>13058</v>
      </c>
      <c r="G53">
        <v>13058</v>
      </c>
      <c r="H53">
        <v>13058</v>
      </c>
      <c r="I53">
        <v>13058</v>
      </c>
      <c r="J53">
        <v>13058</v>
      </c>
      <c r="K53">
        <v>13058</v>
      </c>
      <c r="L53">
        <v>13058</v>
      </c>
      <c r="M53">
        <v>13058</v>
      </c>
      <c r="N53">
        <v>13058</v>
      </c>
      <c r="O53">
        <v>13058</v>
      </c>
      <c r="P53">
        <v>13058</v>
      </c>
      <c r="Q53">
        <v>13058</v>
      </c>
      <c r="R53">
        <v>13058</v>
      </c>
      <c r="S53">
        <v>13058</v>
      </c>
      <c r="T53">
        <v>13058</v>
      </c>
      <c r="U53">
        <v>12772</v>
      </c>
      <c r="V53">
        <v>12772</v>
      </c>
      <c r="W53">
        <v>12772</v>
      </c>
      <c r="X53">
        <v>12772</v>
      </c>
      <c r="Y53">
        <v>12772</v>
      </c>
      <c r="Z53">
        <v>12772</v>
      </c>
      <c r="AA53">
        <v>12772</v>
      </c>
      <c r="AB53">
        <v>12772</v>
      </c>
      <c r="AC53">
        <v>12772</v>
      </c>
      <c r="AD53">
        <v>12772</v>
      </c>
      <c r="AE53">
        <v>12772</v>
      </c>
      <c r="AF53">
        <v>12772</v>
      </c>
      <c r="AG53">
        <v>12772</v>
      </c>
    </row>
    <row r="54" spans="1:33">
      <c r="A54">
        <v>53</v>
      </c>
      <c r="B54" t="s">
        <v>197</v>
      </c>
      <c r="C54" t="s">
        <v>19</v>
      </c>
      <c r="D54" t="s">
        <v>739</v>
      </c>
      <c r="E54">
        <v>13331</v>
      </c>
      <c r="F54">
        <v>13331</v>
      </c>
      <c r="G54">
        <v>13331</v>
      </c>
      <c r="H54">
        <v>13331</v>
      </c>
      <c r="I54">
        <v>13331</v>
      </c>
      <c r="J54">
        <v>13331</v>
      </c>
      <c r="K54">
        <v>13331</v>
      </c>
      <c r="L54">
        <v>13331</v>
      </c>
      <c r="M54">
        <v>13331</v>
      </c>
      <c r="N54">
        <v>13331</v>
      </c>
      <c r="O54">
        <v>13331</v>
      </c>
      <c r="P54">
        <v>13331</v>
      </c>
      <c r="Q54">
        <v>13331</v>
      </c>
      <c r="R54">
        <v>13331</v>
      </c>
      <c r="S54">
        <v>13331</v>
      </c>
      <c r="T54">
        <v>13331</v>
      </c>
      <c r="U54">
        <v>13500</v>
      </c>
      <c r="V54">
        <v>13500</v>
      </c>
      <c r="W54">
        <v>13500</v>
      </c>
      <c r="X54">
        <v>13500</v>
      </c>
      <c r="Y54">
        <v>13500</v>
      </c>
      <c r="Z54">
        <v>13500</v>
      </c>
      <c r="AA54">
        <v>13500</v>
      </c>
      <c r="AB54">
        <v>13500</v>
      </c>
      <c r="AC54">
        <v>13500</v>
      </c>
      <c r="AD54">
        <v>13500</v>
      </c>
      <c r="AE54">
        <v>13500</v>
      </c>
      <c r="AF54">
        <v>13500</v>
      </c>
      <c r="AG54">
        <v>13500</v>
      </c>
    </row>
    <row r="55" spans="1:33">
      <c r="A55">
        <v>54</v>
      </c>
      <c r="B55" t="s">
        <v>200</v>
      </c>
      <c r="C55" t="s">
        <v>19</v>
      </c>
      <c r="D55" t="s">
        <v>739</v>
      </c>
      <c r="E55">
        <v>13417.51</v>
      </c>
      <c r="F55">
        <v>13417.51</v>
      </c>
      <c r="G55">
        <v>13417.51</v>
      </c>
      <c r="H55">
        <v>13417.51</v>
      </c>
      <c r="I55">
        <v>13417.51</v>
      </c>
      <c r="J55">
        <v>13417.51</v>
      </c>
      <c r="K55">
        <v>13417.51</v>
      </c>
      <c r="L55">
        <v>13417.51</v>
      </c>
      <c r="M55">
        <v>13417.51</v>
      </c>
      <c r="N55">
        <v>13417.51</v>
      </c>
      <c r="O55">
        <v>13417.51</v>
      </c>
      <c r="P55">
        <v>13417.51</v>
      </c>
      <c r="Q55">
        <v>13417.51</v>
      </c>
      <c r="R55">
        <v>13417.51</v>
      </c>
      <c r="S55">
        <v>13417.51</v>
      </c>
      <c r="T55">
        <v>13417.51</v>
      </c>
      <c r="U55">
        <v>13265</v>
      </c>
      <c r="V55">
        <v>13265</v>
      </c>
      <c r="W55">
        <v>13265</v>
      </c>
      <c r="X55">
        <v>13265</v>
      </c>
      <c r="Y55">
        <v>13265</v>
      </c>
      <c r="Z55">
        <v>13265</v>
      </c>
      <c r="AA55">
        <v>13265</v>
      </c>
      <c r="AB55">
        <v>13265</v>
      </c>
      <c r="AC55">
        <v>13265</v>
      </c>
      <c r="AD55">
        <v>13265</v>
      </c>
      <c r="AE55">
        <v>13265</v>
      </c>
      <c r="AF55">
        <v>13265</v>
      </c>
      <c r="AG55">
        <v>13265</v>
      </c>
    </row>
    <row r="56" spans="1:33">
      <c r="A56">
        <v>55</v>
      </c>
      <c r="B56" t="s">
        <v>203</v>
      </c>
      <c r="C56" t="s">
        <v>19</v>
      </c>
      <c r="D56" t="s">
        <v>739</v>
      </c>
      <c r="E56">
        <v>13227</v>
      </c>
      <c r="F56">
        <v>13227</v>
      </c>
      <c r="G56">
        <v>13227</v>
      </c>
      <c r="H56">
        <v>13227</v>
      </c>
      <c r="I56">
        <v>13227</v>
      </c>
      <c r="J56">
        <v>13227</v>
      </c>
      <c r="K56">
        <v>13227</v>
      </c>
      <c r="L56">
        <v>13227</v>
      </c>
      <c r="M56">
        <v>13227</v>
      </c>
      <c r="N56">
        <v>13227</v>
      </c>
      <c r="O56">
        <v>13227</v>
      </c>
      <c r="P56">
        <v>13227</v>
      </c>
      <c r="Q56">
        <v>13227</v>
      </c>
      <c r="R56">
        <v>13227</v>
      </c>
      <c r="S56">
        <v>13227</v>
      </c>
      <c r="T56">
        <v>13227</v>
      </c>
      <c r="U56">
        <v>13417.51</v>
      </c>
      <c r="V56">
        <v>13417.51</v>
      </c>
      <c r="W56">
        <v>13417.51</v>
      </c>
      <c r="X56">
        <v>13417.51</v>
      </c>
      <c r="Y56">
        <v>13417.51</v>
      </c>
      <c r="Z56">
        <v>13417.51</v>
      </c>
      <c r="AA56">
        <v>13417.51</v>
      </c>
      <c r="AB56">
        <v>13417.51</v>
      </c>
      <c r="AC56">
        <v>13417.51</v>
      </c>
      <c r="AD56">
        <v>13417.51</v>
      </c>
      <c r="AE56">
        <v>13417.51</v>
      </c>
      <c r="AF56">
        <v>13417.51</v>
      </c>
      <c r="AG56">
        <v>13417.51</v>
      </c>
    </row>
    <row r="57" spans="1:33">
      <c r="A57">
        <v>56</v>
      </c>
      <c r="B57" t="s">
        <v>205</v>
      </c>
      <c r="C57" t="s">
        <v>19</v>
      </c>
      <c r="D57" t="s">
        <v>739</v>
      </c>
      <c r="U57">
        <v>13500</v>
      </c>
      <c r="V57">
        <v>13500</v>
      </c>
      <c r="W57">
        <v>13500</v>
      </c>
      <c r="X57">
        <v>13500</v>
      </c>
      <c r="Y57">
        <v>13500</v>
      </c>
      <c r="Z57">
        <v>13500</v>
      </c>
      <c r="AA57">
        <v>13500</v>
      </c>
      <c r="AB57">
        <v>13500</v>
      </c>
      <c r="AC57">
        <v>13500</v>
      </c>
      <c r="AD57">
        <v>13500</v>
      </c>
      <c r="AE57">
        <v>13500</v>
      </c>
      <c r="AF57">
        <v>13500</v>
      </c>
      <c r="AG57">
        <v>13500</v>
      </c>
    </row>
    <row r="58" spans="1:33">
      <c r="A58">
        <v>57</v>
      </c>
      <c r="B58" t="s">
        <v>209</v>
      </c>
      <c r="C58" t="s">
        <v>19</v>
      </c>
      <c r="D58" t="s">
        <v>739</v>
      </c>
      <c r="U58">
        <v>13200</v>
      </c>
      <c r="V58">
        <v>13200</v>
      </c>
      <c r="W58">
        <v>13200</v>
      </c>
      <c r="X58">
        <v>13200</v>
      </c>
      <c r="Y58">
        <v>13200</v>
      </c>
      <c r="Z58">
        <v>13200</v>
      </c>
      <c r="AA58">
        <v>13200</v>
      </c>
      <c r="AB58">
        <v>13200</v>
      </c>
      <c r="AC58">
        <v>13200</v>
      </c>
      <c r="AD58">
        <v>13200</v>
      </c>
      <c r="AE58">
        <v>13200</v>
      </c>
      <c r="AF58">
        <v>13200</v>
      </c>
      <c r="AG58">
        <v>13200</v>
      </c>
    </row>
    <row r="59" spans="1:33">
      <c r="A59">
        <v>58</v>
      </c>
      <c r="B59" t="s">
        <v>213</v>
      </c>
      <c r="C59" t="s">
        <v>19</v>
      </c>
      <c r="D59" t="s">
        <v>739</v>
      </c>
      <c r="E59">
        <v>13267</v>
      </c>
      <c r="F59">
        <v>13267</v>
      </c>
      <c r="G59">
        <v>13267</v>
      </c>
      <c r="H59">
        <v>13267</v>
      </c>
      <c r="I59">
        <v>13267</v>
      </c>
      <c r="J59">
        <v>13267</v>
      </c>
      <c r="K59">
        <v>13267</v>
      </c>
      <c r="L59">
        <v>13267</v>
      </c>
      <c r="M59">
        <v>13267</v>
      </c>
      <c r="N59">
        <v>13267</v>
      </c>
      <c r="O59">
        <v>13267</v>
      </c>
      <c r="P59">
        <v>13267</v>
      </c>
      <c r="Q59">
        <v>13267</v>
      </c>
      <c r="R59">
        <v>13267</v>
      </c>
      <c r="S59">
        <v>13267</v>
      </c>
      <c r="T59">
        <v>13267</v>
      </c>
      <c r="U59">
        <v>13267</v>
      </c>
      <c r="V59">
        <v>13267</v>
      </c>
      <c r="W59">
        <v>13267</v>
      </c>
      <c r="X59">
        <v>13267</v>
      </c>
      <c r="Y59">
        <v>13267</v>
      </c>
      <c r="Z59">
        <v>13267</v>
      </c>
      <c r="AA59">
        <v>13267</v>
      </c>
      <c r="AB59">
        <v>13267</v>
      </c>
      <c r="AC59">
        <v>13267</v>
      </c>
      <c r="AD59">
        <v>13267</v>
      </c>
      <c r="AE59">
        <v>13267</v>
      </c>
      <c r="AF59">
        <v>13267</v>
      </c>
      <c r="AG59">
        <v>13267</v>
      </c>
    </row>
    <row r="60" spans="1:33">
      <c r="A60">
        <v>59</v>
      </c>
      <c r="B60" t="s">
        <v>217</v>
      </c>
      <c r="C60" t="s">
        <v>19</v>
      </c>
      <c r="D60" t="s">
        <v>739</v>
      </c>
      <c r="E60">
        <v>13400</v>
      </c>
      <c r="F60">
        <v>13400</v>
      </c>
      <c r="G60">
        <v>13400</v>
      </c>
      <c r="H60">
        <v>13400</v>
      </c>
      <c r="I60">
        <v>13400</v>
      </c>
      <c r="J60">
        <v>13400</v>
      </c>
      <c r="K60">
        <v>13400</v>
      </c>
      <c r="L60">
        <v>13400</v>
      </c>
      <c r="M60">
        <v>13400</v>
      </c>
      <c r="N60">
        <v>13400</v>
      </c>
      <c r="O60">
        <v>13400</v>
      </c>
      <c r="P60">
        <v>13400</v>
      </c>
      <c r="Q60">
        <v>13400</v>
      </c>
      <c r="R60">
        <v>13400</v>
      </c>
      <c r="S60">
        <v>13400</v>
      </c>
      <c r="T60">
        <v>13400</v>
      </c>
      <c r="U60">
        <v>13400</v>
      </c>
      <c r="V60">
        <v>13400</v>
      </c>
      <c r="W60">
        <v>13400</v>
      </c>
      <c r="X60">
        <v>13400</v>
      </c>
      <c r="Y60">
        <v>13400</v>
      </c>
      <c r="Z60">
        <v>13400</v>
      </c>
      <c r="AA60">
        <v>13400</v>
      </c>
      <c r="AB60">
        <v>13400</v>
      </c>
      <c r="AC60">
        <v>13400</v>
      </c>
      <c r="AD60">
        <v>13400</v>
      </c>
      <c r="AE60">
        <v>13400</v>
      </c>
      <c r="AF60">
        <v>13400</v>
      </c>
      <c r="AG60">
        <v>13400</v>
      </c>
    </row>
    <row r="61" spans="1:33">
      <c r="A61">
        <v>60</v>
      </c>
      <c r="B61" t="s">
        <v>220</v>
      </c>
      <c r="C61" t="s">
        <v>19</v>
      </c>
      <c r="D61" t="s">
        <v>739</v>
      </c>
      <c r="E61">
        <v>13400</v>
      </c>
      <c r="F61">
        <v>13400</v>
      </c>
      <c r="G61">
        <v>13400</v>
      </c>
      <c r="H61">
        <v>13400</v>
      </c>
      <c r="I61">
        <v>13400</v>
      </c>
      <c r="J61">
        <v>13400</v>
      </c>
      <c r="K61">
        <v>13400</v>
      </c>
      <c r="L61">
        <v>13400</v>
      </c>
      <c r="M61">
        <v>13400</v>
      </c>
      <c r="N61">
        <v>13400</v>
      </c>
      <c r="O61">
        <v>13400</v>
      </c>
      <c r="P61">
        <v>13400</v>
      </c>
      <c r="Q61">
        <v>13400</v>
      </c>
      <c r="R61">
        <v>13400</v>
      </c>
      <c r="S61">
        <v>13400</v>
      </c>
      <c r="T61">
        <v>13400</v>
      </c>
      <c r="U61">
        <v>13400</v>
      </c>
      <c r="V61">
        <v>13400</v>
      </c>
      <c r="W61">
        <v>13400</v>
      </c>
      <c r="X61">
        <v>13400</v>
      </c>
      <c r="Y61">
        <v>13400</v>
      </c>
      <c r="Z61">
        <v>13400</v>
      </c>
      <c r="AA61">
        <v>13400</v>
      </c>
      <c r="AB61">
        <v>13400</v>
      </c>
      <c r="AC61">
        <v>13400</v>
      </c>
      <c r="AD61">
        <v>13400</v>
      </c>
      <c r="AE61">
        <v>13400</v>
      </c>
      <c r="AF61">
        <v>13400</v>
      </c>
      <c r="AG61">
        <v>13400</v>
      </c>
    </row>
    <row r="62" spans="1:33">
      <c r="A62">
        <v>61</v>
      </c>
      <c r="B62" t="s">
        <v>224</v>
      </c>
      <c r="C62" t="s">
        <v>19</v>
      </c>
      <c r="D62" t="s">
        <v>739</v>
      </c>
      <c r="E62">
        <v>13400</v>
      </c>
      <c r="F62">
        <v>13400</v>
      </c>
      <c r="G62">
        <v>13400</v>
      </c>
      <c r="H62">
        <v>13400</v>
      </c>
      <c r="I62">
        <v>13400</v>
      </c>
      <c r="J62">
        <v>13400</v>
      </c>
      <c r="K62">
        <v>13400</v>
      </c>
      <c r="L62">
        <v>13400</v>
      </c>
      <c r="M62">
        <v>13400</v>
      </c>
      <c r="N62">
        <v>13400</v>
      </c>
      <c r="O62">
        <v>13400</v>
      </c>
      <c r="P62">
        <v>13400</v>
      </c>
      <c r="Q62">
        <v>13400</v>
      </c>
      <c r="R62">
        <v>13400</v>
      </c>
      <c r="S62">
        <v>13400</v>
      </c>
      <c r="T62">
        <v>13400</v>
      </c>
      <c r="U62">
        <v>13400</v>
      </c>
      <c r="V62">
        <v>13400</v>
      </c>
      <c r="W62">
        <v>13400</v>
      </c>
      <c r="X62">
        <v>13400</v>
      </c>
      <c r="Y62">
        <v>13400</v>
      </c>
      <c r="Z62">
        <v>13400</v>
      </c>
      <c r="AA62">
        <v>13400</v>
      </c>
      <c r="AB62">
        <v>13400</v>
      </c>
      <c r="AC62">
        <v>13400</v>
      </c>
      <c r="AD62">
        <v>13400</v>
      </c>
      <c r="AE62">
        <v>13400</v>
      </c>
      <c r="AF62">
        <v>13400</v>
      </c>
      <c r="AG62">
        <v>13400</v>
      </c>
    </row>
    <row r="63" spans="1:33">
      <c r="A63">
        <v>62</v>
      </c>
      <c r="B63" t="s">
        <v>227</v>
      </c>
      <c r="C63" t="s">
        <v>19</v>
      </c>
      <c r="D63" t="s">
        <v>739</v>
      </c>
      <c r="E63">
        <v>13500</v>
      </c>
      <c r="F63">
        <v>13500</v>
      </c>
      <c r="G63">
        <v>13500</v>
      </c>
      <c r="H63">
        <v>13500</v>
      </c>
      <c r="I63">
        <v>13500</v>
      </c>
      <c r="J63">
        <v>13500</v>
      </c>
      <c r="K63">
        <v>13500</v>
      </c>
      <c r="L63">
        <v>13500</v>
      </c>
      <c r="M63">
        <v>13500</v>
      </c>
      <c r="N63">
        <v>13500</v>
      </c>
      <c r="O63">
        <v>13500</v>
      </c>
      <c r="P63">
        <v>13500</v>
      </c>
      <c r="Q63">
        <v>13500</v>
      </c>
      <c r="R63">
        <v>13500</v>
      </c>
      <c r="S63">
        <v>13500</v>
      </c>
      <c r="T63">
        <v>13500</v>
      </c>
      <c r="U63">
        <v>13500</v>
      </c>
      <c r="V63">
        <v>13500</v>
      </c>
      <c r="W63">
        <v>13500</v>
      </c>
      <c r="X63">
        <v>13500</v>
      </c>
      <c r="Y63">
        <v>13500</v>
      </c>
      <c r="Z63">
        <v>13500</v>
      </c>
      <c r="AA63">
        <v>13500</v>
      </c>
      <c r="AB63">
        <v>13500</v>
      </c>
      <c r="AC63">
        <v>13500</v>
      </c>
      <c r="AD63">
        <v>13500</v>
      </c>
      <c r="AE63">
        <v>13500</v>
      </c>
      <c r="AF63">
        <v>13500</v>
      </c>
      <c r="AG63">
        <v>13500</v>
      </c>
    </row>
    <row r="64" spans="1:33">
      <c r="A64">
        <v>63</v>
      </c>
      <c r="B64" t="s">
        <v>230</v>
      </c>
      <c r="C64" t="s">
        <v>19</v>
      </c>
      <c r="D64" t="s">
        <v>739</v>
      </c>
      <c r="E64">
        <v>13400</v>
      </c>
      <c r="F64">
        <v>13400</v>
      </c>
      <c r="G64">
        <v>13400</v>
      </c>
      <c r="H64">
        <v>13400</v>
      </c>
      <c r="I64">
        <v>13400</v>
      </c>
      <c r="J64">
        <v>13400</v>
      </c>
      <c r="K64">
        <v>13400</v>
      </c>
      <c r="L64">
        <v>13400</v>
      </c>
      <c r="M64">
        <v>13400</v>
      </c>
      <c r="N64">
        <v>13400</v>
      </c>
      <c r="O64">
        <v>13400</v>
      </c>
      <c r="P64">
        <v>13400</v>
      </c>
      <c r="Q64">
        <v>13400</v>
      </c>
      <c r="R64">
        <v>13400</v>
      </c>
      <c r="S64">
        <v>13400</v>
      </c>
      <c r="T64">
        <v>13400</v>
      </c>
      <c r="U64">
        <v>13400</v>
      </c>
      <c r="V64">
        <v>13400</v>
      </c>
      <c r="W64">
        <v>13400</v>
      </c>
      <c r="X64">
        <v>13400</v>
      </c>
      <c r="Y64">
        <v>13400</v>
      </c>
      <c r="Z64">
        <v>13400</v>
      </c>
      <c r="AA64">
        <v>13400</v>
      </c>
      <c r="AB64">
        <v>13400</v>
      </c>
      <c r="AC64">
        <v>13400</v>
      </c>
      <c r="AD64">
        <v>13400</v>
      </c>
      <c r="AE64">
        <v>13400</v>
      </c>
      <c r="AF64">
        <v>13400</v>
      </c>
      <c r="AG64">
        <v>13400</v>
      </c>
    </row>
    <row r="65" spans="1:33">
      <c r="A65">
        <v>64</v>
      </c>
      <c r="B65" t="s">
        <v>232</v>
      </c>
      <c r="C65" t="s">
        <v>19</v>
      </c>
      <c r="D65" t="s">
        <v>739</v>
      </c>
      <c r="E65">
        <v>13400</v>
      </c>
      <c r="F65">
        <v>13400</v>
      </c>
      <c r="G65">
        <v>13400</v>
      </c>
      <c r="H65">
        <v>13400</v>
      </c>
      <c r="I65">
        <v>13400</v>
      </c>
      <c r="J65">
        <v>13400</v>
      </c>
      <c r="K65">
        <v>13400</v>
      </c>
      <c r="L65">
        <v>13400</v>
      </c>
      <c r="M65">
        <v>13400</v>
      </c>
      <c r="N65">
        <v>13400</v>
      </c>
      <c r="O65">
        <v>13400</v>
      </c>
      <c r="P65">
        <v>13400</v>
      </c>
      <c r="Q65">
        <v>13400</v>
      </c>
      <c r="R65">
        <v>13400</v>
      </c>
      <c r="S65">
        <v>13400</v>
      </c>
      <c r="T65">
        <v>13400</v>
      </c>
      <c r="U65">
        <v>13400</v>
      </c>
      <c r="V65">
        <v>13400</v>
      </c>
      <c r="W65">
        <v>13400</v>
      </c>
      <c r="X65">
        <v>13400</v>
      </c>
      <c r="Y65">
        <v>13400</v>
      </c>
      <c r="Z65">
        <v>13400</v>
      </c>
      <c r="AA65">
        <v>13400</v>
      </c>
      <c r="AB65">
        <v>13400</v>
      </c>
      <c r="AC65">
        <v>13400</v>
      </c>
      <c r="AD65">
        <v>13400</v>
      </c>
      <c r="AE65">
        <v>13400</v>
      </c>
      <c r="AF65">
        <v>13400</v>
      </c>
      <c r="AG65">
        <v>13400</v>
      </c>
    </row>
    <row r="66" spans="1:33">
      <c r="A66">
        <v>65</v>
      </c>
      <c r="B66" t="s">
        <v>235</v>
      </c>
      <c r="C66" t="s">
        <v>19</v>
      </c>
      <c r="D66" t="s">
        <v>739</v>
      </c>
      <c r="E66">
        <v>13400</v>
      </c>
      <c r="F66">
        <v>13400</v>
      </c>
      <c r="G66">
        <v>13400</v>
      </c>
      <c r="H66">
        <v>13400</v>
      </c>
      <c r="I66">
        <v>13400</v>
      </c>
      <c r="J66">
        <v>13400</v>
      </c>
      <c r="K66">
        <v>13400</v>
      </c>
      <c r="L66">
        <v>13400</v>
      </c>
      <c r="M66">
        <v>13400</v>
      </c>
      <c r="N66">
        <v>13400</v>
      </c>
      <c r="O66">
        <v>13400</v>
      </c>
      <c r="P66">
        <v>13400</v>
      </c>
      <c r="Q66">
        <v>13400</v>
      </c>
      <c r="R66">
        <v>13400</v>
      </c>
      <c r="S66">
        <v>13400</v>
      </c>
      <c r="T66">
        <v>13400</v>
      </c>
      <c r="U66">
        <v>13400</v>
      </c>
      <c r="V66">
        <v>13400</v>
      </c>
      <c r="W66">
        <v>13400</v>
      </c>
      <c r="X66">
        <v>13400</v>
      </c>
      <c r="Y66">
        <v>13400</v>
      </c>
      <c r="Z66">
        <v>13400</v>
      </c>
      <c r="AA66">
        <v>13400</v>
      </c>
      <c r="AB66">
        <v>13400</v>
      </c>
      <c r="AC66">
        <v>13400</v>
      </c>
      <c r="AD66">
        <v>13400</v>
      </c>
      <c r="AE66">
        <v>13400</v>
      </c>
      <c r="AF66">
        <v>13400</v>
      </c>
      <c r="AG66">
        <v>13400</v>
      </c>
    </row>
    <row r="67" spans="1:33">
      <c r="A67">
        <v>66</v>
      </c>
      <c r="B67" t="s">
        <v>239</v>
      </c>
      <c r="C67" t="s">
        <v>19</v>
      </c>
      <c r="D67" t="s">
        <v>739</v>
      </c>
      <c r="E67">
        <v>13634</v>
      </c>
      <c r="F67">
        <v>13634</v>
      </c>
      <c r="G67">
        <v>13634</v>
      </c>
      <c r="H67">
        <v>13634</v>
      </c>
      <c r="I67">
        <v>13634</v>
      </c>
      <c r="J67">
        <v>13634</v>
      </c>
      <c r="K67">
        <v>13634</v>
      </c>
      <c r="L67">
        <v>13634</v>
      </c>
      <c r="M67">
        <v>13634</v>
      </c>
      <c r="N67">
        <v>13634</v>
      </c>
      <c r="O67">
        <v>13634</v>
      </c>
      <c r="P67">
        <v>13634</v>
      </c>
      <c r="Q67">
        <v>13634</v>
      </c>
      <c r="R67">
        <v>13634</v>
      </c>
      <c r="S67">
        <v>13634</v>
      </c>
      <c r="T67">
        <v>13634</v>
      </c>
      <c r="U67">
        <v>13634</v>
      </c>
      <c r="V67">
        <v>13634</v>
      </c>
      <c r="W67">
        <v>13634</v>
      </c>
      <c r="X67">
        <v>13634</v>
      </c>
      <c r="Y67">
        <v>13634</v>
      </c>
      <c r="Z67">
        <v>13634</v>
      </c>
      <c r="AA67">
        <v>13634</v>
      </c>
      <c r="AB67">
        <v>13634</v>
      </c>
      <c r="AC67">
        <v>13634</v>
      </c>
      <c r="AD67">
        <v>13634</v>
      </c>
      <c r="AE67">
        <v>13634</v>
      </c>
      <c r="AF67">
        <v>13634</v>
      </c>
      <c r="AG67">
        <v>13634</v>
      </c>
    </row>
    <row r="68" spans="1:33">
      <c r="A68">
        <v>67</v>
      </c>
      <c r="B68" t="s">
        <v>242</v>
      </c>
      <c r="C68" t="s">
        <v>19</v>
      </c>
      <c r="D68" t="s">
        <v>739</v>
      </c>
      <c r="U68">
        <v>13616</v>
      </c>
      <c r="V68">
        <v>13616</v>
      </c>
      <c r="W68">
        <v>13616</v>
      </c>
      <c r="X68">
        <v>13616</v>
      </c>
      <c r="Y68">
        <v>13616</v>
      </c>
      <c r="Z68">
        <v>13616</v>
      </c>
      <c r="AA68">
        <v>13616</v>
      </c>
      <c r="AB68">
        <v>13616</v>
      </c>
      <c r="AC68">
        <v>13616</v>
      </c>
      <c r="AD68">
        <v>13616</v>
      </c>
      <c r="AE68">
        <v>13616</v>
      </c>
      <c r="AF68">
        <v>13616</v>
      </c>
      <c r="AG68">
        <v>13616</v>
      </c>
    </row>
    <row r="69" spans="1:33">
      <c r="A69">
        <v>68</v>
      </c>
      <c r="B69" t="s">
        <v>247</v>
      </c>
      <c r="C69" t="s">
        <v>19</v>
      </c>
      <c r="D69" t="s">
        <v>739</v>
      </c>
      <c r="I69">
        <v>13536</v>
      </c>
      <c r="J69">
        <v>13536</v>
      </c>
      <c r="K69">
        <v>13536</v>
      </c>
      <c r="L69">
        <v>13536</v>
      </c>
      <c r="M69">
        <v>13275.74</v>
      </c>
      <c r="N69">
        <v>13275.74</v>
      </c>
      <c r="O69">
        <v>13275.74</v>
      </c>
      <c r="P69">
        <v>13275.74</v>
      </c>
      <c r="Q69">
        <v>13275.74</v>
      </c>
      <c r="R69">
        <v>13275.74</v>
      </c>
      <c r="S69">
        <v>13275.74</v>
      </c>
      <c r="T69">
        <v>13275.74</v>
      </c>
      <c r="U69">
        <v>13682</v>
      </c>
      <c r="V69">
        <v>13682</v>
      </c>
      <c r="W69">
        <v>13682</v>
      </c>
      <c r="X69">
        <v>13682</v>
      </c>
      <c r="Y69">
        <v>13682</v>
      </c>
      <c r="Z69">
        <v>13682</v>
      </c>
      <c r="AA69">
        <v>13682</v>
      </c>
      <c r="AB69">
        <v>13682</v>
      </c>
      <c r="AC69">
        <v>13682</v>
      </c>
      <c r="AD69">
        <v>13682</v>
      </c>
      <c r="AE69">
        <v>13682</v>
      </c>
      <c r="AF69">
        <v>13682</v>
      </c>
      <c r="AG69">
        <v>13682</v>
      </c>
    </row>
    <row r="70" spans="1:33">
      <c r="A70">
        <v>69</v>
      </c>
      <c r="B70" t="s">
        <v>250</v>
      </c>
      <c r="C70" t="s">
        <v>19</v>
      </c>
      <c r="D70" t="s">
        <v>739</v>
      </c>
      <c r="E70">
        <v>13561.2</v>
      </c>
      <c r="F70">
        <v>13561.2</v>
      </c>
      <c r="G70">
        <v>13561.2</v>
      </c>
      <c r="H70">
        <v>13561.2</v>
      </c>
      <c r="I70">
        <v>13363.6</v>
      </c>
      <c r="J70">
        <v>13363.6</v>
      </c>
      <c r="K70">
        <v>13363.6</v>
      </c>
      <c r="L70">
        <v>13363.6</v>
      </c>
      <c r="M70">
        <v>13246.5</v>
      </c>
      <c r="N70">
        <v>13246.5</v>
      </c>
      <c r="O70">
        <v>13246.5</v>
      </c>
      <c r="P70">
        <v>13246.5</v>
      </c>
      <c r="Q70">
        <v>13104</v>
      </c>
      <c r="R70">
        <v>13104</v>
      </c>
      <c r="S70">
        <v>13104</v>
      </c>
      <c r="T70">
        <v>13104</v>
      </c>
      <c r="U70">
        <v>13275.74</v>
      </c>
      <c r="V70">
        <v>13275.74</v>
      </c>
      <c r="W70">
        <v>13275.74</v>
      </c>
      <c r="X70">
        <v>13275.74</v>
      </c>
      <c r="Y70">
        <v>13275.74</v>
      </c>
      <c r="Z70">
        <v>13275.74</v>
      </c>
      <c r="AA70">
        <v>13275.74</v>
      </c>
      <c r="AB70">
        <v>13275.74</v>
      </c>
      <c r="AC70">
        <v>13275.74</v>
      </c>
      <c r="AD70">
        <v>13275.74</v>
      </c>
      <c r="AE70">
        <v>13275.74</v>
      </c>
      <c r="AF70">
        <v>13275.74</v>
      </c>
      <c r="AG70">
        <v>13275.74</v>
      </c>
    </row>
    <row r="71" spans="1:33">
      <c r="A71">
        <v>70</v>
      </c>
      <c r="B71" t="s">
        <v>253</v>
      </c>
      <c r="C71" t="s">
        <v>19</v>
      </c>
      <c r="D71" t="s">
        <v>739</v>
      </c>
      <c r="E71">
        <v>12775.89</v>
      </c>
      <c r="F71">
        <v>12775.89</v>
      </c>
      <c r="G71">
        <v>12775.89</v>
      </c>
      <c r="H71">
        <v>12775.89</v>
      </c>
      <c r="I71">
        <v>12774.7</v>
      </c>
      <c r="J71">
        <v>12774.7</v>
      </c>
      <c r="K71">
        <v>12774.7</v>
      </c>
      <c r="L71">
        <v>12774.7</v>
      </c>
      <c r="M71">
        <v>12808.9</v>
      </c>
      <c r="N71">
        <v>12808.9</v>
      </c>
      <c r="O71">
        <v>12808.9</v>
      </c>
      <c r="P71">
        <v>12808.9</v>
      </c>
      <c r="Q71">
        <v>13219.9</v>
      </c>
      <c r="R71">
        <v>13219.9</v>
      </c>
      <c r="S71">
        <v>13219.9</v>
      </c>
      <c r="T71">
        <v>13219.9</v>
      </c>
      <c r="U71">
        <v>13104</v>
      </c>
      <c r="V71">
        <v>13104</v>
      </c>
      <c r="W71">
        <v>13104</v>
      </c>
      <c r="X71">
        <v>13104</v>
      </c>
      <c r="Y71">
        <v>13104</v>
      </c>
      <c r="Z71">
        <v>13104</v>
      </c>
      <c r="AA71">
        <v>13104</v>
      </c>
      <c r="AB71">
        <v>13104</v>
      </c>
      <c r="AC71">
        <v>13104</v>
      </c>
      <c r="AD71">
        <v>13104</v>
      </c>
      <c r="AE71">
        <v>13104</v>
      </c>
      <c r="AF71">
        <v>13104</v>
      </c>
      <c r="AG71">
        <v>13104</v>
      </c>
    </row>
    <row r="72" spans="1:33">
      <c r="A72">
        <v>71</v>
      </c>
      <c r="B72" t="s">
        <v>256</v>
      </c>
      <c r="C72" t="s">
        <v>19</v>
      </c>
      <c r="D72" t="s">
        <v>739</v>
      </c>
      <c r="E72">
        <v>12775.89</v>
      </c>
      <c r="F72">
        <v>12775.89</v>
      </c>
      <c r="G72">
        <v>12775.89</v>
      </c>
      <c r="H72">
        <v>12775.89</v>
      </c>
      <c r="I72">
        <v>12774.7</v>
      </c>
      <c r="J72">
        <v>12774.7</v>
      </c>
      <c r="K72">
        <v>12774.7</v>
      </c>
      <c r="L72">
        <v>12774.7</v>
      </c>
      <c r="M72">
        <v>12808.9</v>
      </c>
      <c r="N72">
        <v>12808.9</v>
      </c>
      <c r="O72">
        <v>12808.9</v>
      </c>
      <c r="P72">
        <v>12808.9</v>
      </c>
      <c r="Q72">
        <v>13219.9</v>
      </c>
      <c r="R72">
        <v>13219.9</v>
      </c>
      <c r="S72">
        <v>13219.9</v>
      </c>
      <c r="T72">
        <v>13219.9</v>
      </c>
      <c r="U72">
        <v>13219.9</v>
      </c>
      <c r="V72">
        <v>13219.9</v>
      </c>
      <c r="W72">
        <v>13219.9</v>
      </c>
      <c r="X72">
        <v>13219.9</v>
      </c>
      <c r="Y72">
        <v>13219.9</v>
      </c>
      <c r="Z72">
        <v>13219.9</v>
      </c>
      <c r="AA72">
        <v>13219.9</v>
      </c>
      <c r="AB72">
        <v>13219.9</v>
      </c>
      <c r="AC72">
        <v>13219.9</v>
      </c>
      <c r="AD72">
        <v>13219.9</v>
      </c>
      <c r="AE72">
        <v>13219.9</v>
      </c>
      <c r="AF72">
        <v>13219.9</v>
      </c>
      <c r="AG72">
        <v>13219.9</v>
      </c>
    </row>
    <row r="73" spans="1:33">
      <c r="A73">
        <v>72</v>
      </c>
      <c r="B73" t="s">
        <v>258</v>
      </c>
      <c r="C73" t="s">
        <v>19</v>
      </c>
      <c r="D73" t="s">
        <v>739</v>
      </c>
      <c r="E73">
        <v>13083.07</v>
      </c>
      <c r="F73">
        <v>13083.07</v>
      </c>
      <c r="G73">
        <v>13083.07</v>
      </c>
      <c r="H73">
        <v>13083.07</v>
      </c>
      <c r="I73">
        <v>13083.07</v>
      </c>
      <c r="J73">
        <v>13083.07</v>
      </c>
      <c r="K73">
        <v>13083.07</v>
      </c>
      <c r="L73">
        <v>13083.07</v>
      </c>
      <c r="M73">
        <v>13107.73</v>
      </c>
      <c r="N73">
        <v>13107.73</v>
      </c>
      <c r="O73">
        <v>13107.73</v>
      </c>
      <c r="P73">
        <v>13107.73</v>
      </c>
      <c r="Q73">
        <v>13293</v>
      </c>
      <c r="R73">
        <v>13293</v>
      </c>
      <c r="S73">
        <v>13293</v>
      </c>
      <c r="T73">
        <v>13293</v>
      </c>
      <c r="U73">
        <v>13237.7</v>
      </c>
      <c r="V73">
        <v>13237.7</v>
      </c>
      <c r="W73">
        <v>13237.7</v>
      </c>
      <c r="X73">
        <v>13237.7</v>
      </c>
      <c r="Y73">
        <v>13237.7</v>
      </c>
      <c r="Z73">
        <v>13237.7</v>
      </c>
      <c r="AA73">
        <v>13237.7</v>
      </c>
      <c r="AB73">
        <v>13237.7</v>
      </c>
      <c r="AC73">
        <v>13237.7</v>
      </c>
      <c r="AD73">
        <v>13237.7</v>
      </c>
      <c r="AE73">
        <v>13237.7</v>
      </c>
      <c r="AF73">
        <v>13237.7</v>
      </c>
      <c r="AG73">
        <v>13237.7</v>
      </c>
    </row>
    <row r="74" spans="1:33">
      <c r="A74">
        <v>73</v>
      </c>
      <c r="B74" t="s">
        <v>261</v>
      </c>
      <c r="C74" t="s">
        <v>19</v>
      </c>
      <c r="D74" t="s">
        <v>739</v>
      </c>
      <c r="E74">
        <v>13328.56</v>
      </c>
      <c r="F74">
        <v>13328.56</v>
      </c>
      <c r="G74">
        <v>13328.56</v>
      </c>
      <c r="H74">
        <v>13328.56</v>
      </c>
      <c r="I74">
        <v>13328.56</v>
      </c>
      <c r="J74">
        <v>13328.56</v>
      </c>
      <c r="K74">
        <v>13328.56</v>
      </c>
      <c r="L74">
        <v>13328.56</v>
      </c>
      <c r="M74">
        <v>13243.57</v>
      </c>
      <c r="N74">
        <v>13243.57</v>
      </c>
      <c r="O74">
        <v>13243.57</v>
      </c>
      <c r="P74">
        <v>13243.57</v>
      </c>
      <c r="Q74">
        <v>13197</v>
      </c>
      <c r="R74">
        <v>13197</v>
      </c>
      <c r="S74">
        <v>13197</v>
      </c>
      <c r="T74">
        <v>13197</v>
      </c>
      <c r="U74">
        <v>13180</v>
      </c>
      <c r="V74">
        <v>13180</v>
      </c>
      <c r="W74">
        <v>13180</v>
      </c>
      <c r="X74">
        <v>13180</v>
      </c>
      <c r="Y74">
        <v>13180</v>
      </c>
      <c r="Z74">
        <v>13180</v>
      </c>
      <c r="AA74">
        <v>13180</v>
      </c>
      <c r="AB74">
        <v>13180</v>
      </c>
      <c r="AC74">
        <v>13180</v>
      </c>
      <c r="AD74">
        <v>13180</v>
      </c>
      <c r="AE74">
        <v>13180</v>
      </c>
      <c r="AF74">
        <v>13180</v>
      </c>
      <c r="AG74">
        <v>13180</v>
      </c>
    </row>
    <row r="75" spans="1:33">
      <c r="A75">
        <v>74</v>
      </c>
      <c r="B75" t="s">
        <v>265</v>
      </c>
      <c r="C75" t="s">
        <v>19</v>
      </c>
      <c r="D75" t="s">
        <v>739</v>
      </c>
      <c r="E75">
        <v>13274</v>
      </c>
      <c r="F75">
        <v>13274</v>
      </c>
      <c r="G75">
        <v>13274</v>
      </c>
      <c r="H75">
        <v>13274</v>
      </c>
      <c r="I75">
        <v>13274</v>
      </c>
      <c r="J75">
        <v>13274</v>
      </c>
      <c r="K75">
        <v>13274</v>
      </c>
      <c r="L75">
        <v>13274</v>
      </c>
      <c r="M75">
        <v>13274</v>
      </c>
      <c r="N75">
        <v>13274</v>
      </c>
      <c r="O75">
        <v>13274</v>
      </c>
      <c r="P75">
        <v>13274</v>
      </c>
      <c r="Q75">
        <v>13274</v>
      </c>
      <c r="R75">
        <v>13274</v>
      </c>
      <c r="S75">
        <v>13274</v>
      </c>
      <c r="T75">
        <v>13274</v>
      </c>
      <c r="U75">
        <v>13500</v>
      </c>
      <c r="V75">
        <v>13500</v>
      </c>
      <c r="W75">
        <v>13500</v>
      </c>
      <c r="X75">
        <v>13500</v>
      </c>
      <c r="Y75">
        <v>13500</v>
      </c>
      <c r="Z75">
        <v>13500</v>
      </c>
      <c r="AA75">
        <v>13500</v>
      </c>
      <c r="AB75">
        <v>13500</v>
      </c>
      <c r="AC75">
        <v>13500</v>
      </c>
      <c r="AD75">
        <v>13500</v>
      </c>
      <c r="AE75">
        <v>13500</v>
      </c>
      <c r="AF75">
        <v>13500</v>
      </c>
      <c r="AG75">
        <v>13500</v>
      </c>
    </row>
    <row r="76" spans="1:33">
      <c r="A76">
        <v>75</v>
      </c>
      <c r="B76" t="s">
        <v>269</v>
      </c>
      <c r="C76" t="s">
        <v>19</v>
      </c>
      <c r="D76" t="s">
        <v>739</v>
      </c>
      <c r="E76">
        <v>13230</v>
      </c>
      <c r="F76">
        <v>13230</v>
      </c>
      <c r="G76">
        <v>13230</v>
      </c>
      <c r="H76">
        <v>13230</v>
      </c>
      <c r="I76">
        <v>13230</v>
      </c>
      <c r="J76">
        <v>13230</v>
      </c>
      <c r="K76">
        <v>13230</v>
      </c>
      <c r="L76">
        <v>13230</v>
      </c>
      <c r="M76">
        <v>13230</v>
      </c>
      <c r="N76">
        <v>13230</v>
      </c>
      <c r="O76">
        <v>13230</v>
      </c>
      <c r="P76">
        <v>13230</v>
      </c>
      <c r="Q76">
        <v>13230</v>
      </c>
      <c r="R76">
        <v>13230</v>
      </c>
      <c r="S76">
        <v>13230</v>
      </c>
      <c r="T76">
        <v>13230</v>
      </c>
      <c r="U76">
        <v>13500</v>
      </c>
      <c r="V76">
        <v>13500</v>
      </c>
      <c r="W76">
        <v>13500</v>
      </c>
      <c r="X76">
        <v>13500</v>
      </c>
      <c r="Y76">
        <v>13500</v>
      </c>
      <c r="Z76">
        <v>13500</v>
      </c>
      <c r="AA76">
        <v>13500</v>
      </c>
      <c r="AB76">
        <v>13500</v>
      </c>
      <c r="AC76">
        <v>13500</v>
      </c>
      <c r="AD76">
        <v>13500</v>
      </c>
      <c r="AE76">
        <v>13500</v>
      </c>
      <c r="AF76">
        <v>13500</v>
      </c>
      <c r="AG76">
        <v>13500</v>
      </c>
    </row>
    <row r="77" spans="1:33">
      <c r="A77">
        <v>76</v>
      </c>
      <c r="B77" t="s">
        <v>273</v>
      </c>
      <c r="C77" t="s">
        <v>19</v>
      </c>
      <c r="D77" t="s">
        <v>739</v>
      </c>
      <c r="E77">
        <v>13146.81</v>
      </c>
      <c r="F77">
        <v>13146.81</v>
      </c>
      <c r="G77">
        <v>13146.81</v>
      </c>
      <c r="H77">
        <v>13146.81</v>
      </c>
      <c r="I77">
        <v>13146.81</v>
      </c>
      <c r="J77">
        <v>13146.81</v>
      </c>
      <c r="K77">
        <v>13146.81</v>
      </c>
      <c r="L77">
        <v>13146.81</v>
      </c>
      <c r="M77">
        <v>13191.56</v>
      </c>
      <c r="N77">
        <v>13191.56</v>
      </c>
      <c r="O77">
        <v>13191.56</v>
      </c>
      <c r="P77">
        <v>13191.56</v>
      </c>
      <c r="Q77">
        <v>13281.84</v>
      </c>
      <c r="R77">
        <v>13281.84</v>
      </c>
      <c r="S77">
        <v>13281.84</v>
      </c>
      <c r="T77">
        <v>13281.84</v>
      </c>
      <c r="U77">
        <v>13247.8</v>
      </c>
      <c r="V77">
        <v>13247.8</v>
      </c>
      <c r="W77">
        <v>13247.8</v>
      </c>
      <c r="X77">
        <v>13247.8</v>
      </c>
      <c r="Y77">
        <v>13247.8</v>
      </c>
      <c r="Z77">
        <v>13247.8</v>
      </c>
      <c r="AA77">
        <v>13247.8</v>
      </c>
      <c r="AB77">
        <v>13247.8</v>
      </c>
      <c r="AC77">
        <v>13247.8</v>
      </c>
      <c r="AD77">
        <v>13247.8</v>
      </c>
      <c r="AE77">
        <v>13247.8</v>
      </c>
      <c r="AF77">
        <v>13247.8</v>
      </c>
      <c r="AG77">
        <v>13247.8</v>
      </c>
    </row>
    <row r="78" spans="1:33">
      <c r="A78">
        <v>77</v>
      </c>
      <c r="B78" t="s">
        <v>276</v>
      </c>
      <c r="C78" t="s">
        <v>19</v>
      </c>
      <c r="D78" t="s">
        <v>739</v>
      </c>
      <c r="E78">
        <v>13218.86</v>
      </c>
      <c r="F78">
        <v>13218.86</v>
      </c>
      <c r="G78">
        <v>13218.86</v>
      </c>
      <c r="H78">
        <v>13218.86</v>
      </c>
      <c r="I78">
        <v>13218.86</v>
      </c>
      <c r="J78">
        <v>13218.86</v>
      </c>
      <c r="K78">
        <v>13218.86</v>
      </c>
      <c r="L78">
        <v>13218.86</v>
      </c>
      <c r="M78">
        <v>13218.86</v>
      </c>
      <c r="N78">
        <v>13218.86</v>
      </c>
      <c r="O78">
        <v>13218.86</v>
      </c>
      <c r="P78">
        <v>13218.86</v>
      </c>
      <c r="Q78">
        <v>13218.86</v>
      </c>
      <c r="R78">
        <v>13218.86</v>
      </c>
      <c r="S78">
        <v>13218.86</v>
      </c>
      <c r="T78">
        <v>13218.86</v>
      </c>
      <c r="U78">
        <v>13218.86</v>
      </c>
      <c r="V78">
        <v>13218.86</v>
      </c>
      <c r="W78">
        <v>13218.86</v>
      </c>
      <c r="X78">
        <v>13218.86</v>
      </c>
      <c r="Y78">
        <v>13218.86</v>
      </c>
      <c r="Z78">
        <v>13218.86</v>
      </c>
      <c r="AA78">
        <v>13218.86</v>
      </c>
      <c r="AB78">
        <v>13218.86</v>
      </c>
      <c r="AC78">
        <v>13218.86</v>
      </c>
      <c r="AD78">
        <v>13218.86</v>
      </c>
      <c r="AE78">
        <v>13218.86</v>
      </c>
      <c r="AF78">
        <v>13218.86</v>
      </c>
      <c r="AG78">
        <v>13218.86</v>
      </c>
    </row>
    <row r="79" spans="1:33">
      <c r="A79">
        <v>78</v>
      </c>
      <c r="B79" t="s">
        <v>278</v>
      </c>
      <c r="C79" t="s">
        <v>19</v>
      </c>
      <c r="D79" t="s">
        <v>739</v>
      </c>
      <c r="U79">
        <v>13350</v>
      </c>
      <c r="V79">
        <v>13350</v>
      </c>
      <c r="W79">
        <v>13350</v>
      </c>
      <c r="X79">
        <v>13350</v>
      </c>
      <c r="Y79">
        <v>13350</v>
      </c>
      <c r="Z79">
        <v>13350</v>
      </c>
      <c r="AA79">
        <v>13350</v>
      </c>
      <c r="AB79">
        <v>13350</v>
      </c>
      <c r="AC79">
        <v>13350</v>
      </c>
      <c r="AD79">
        <v>13350</v>
      </c>
      <c r="AE79">
        <v>13350</v>
      </c>
      <c r="AF79">
        <v>13350</v>
      </c>
      <c r="AG79">
        <v>13350</v>
      </c>
    </row>
    <row r="80" spans="1:33">
      <c r="A80">
        <v>79</v>
      </c>
      <c r="B80" t="s">
        <v>280</v>
      </c>
      <c r="C80" t="s">
        <v>19</v>
      </c>
      <c r="D80" t="s">
        <v>739</v>
      </c>
      <c r="U80">
        <v>13500</v>
      </c>
      <c r="V80">
        <v>13500</v>
      </c>
      <c r="W80">
        <v>13500</v>
      </c>
      <c r="X80">
        <v>13500</v>
      </c>
      <c r="Y80">
        <v>13500</v>
      </c>
      <c r="Z80">
        <v>13500</v>
      </c>
      <c r="AA80">
        <v>13500</v>
      </c>
      <c r="AB80">
        <v>13500</v>
      </c>
      <c r="AC80">
        <v>13500</v>
      </c>
      <c r="AD80">
        <v>13500</v>
      </c>
      <c r="AE80">
        <v>13500</v>
      </c>
      <c r="AF80">
        <v>13500</v>
      </c>
      <c r="AG80">
        <v>13500</v>
      </c>
    </row>
    <row r="81" spans="1:33">
      <c r="A81">
        <v>80</v>
      </c>
      <c r="B81" t="s">
        <v>282</v>
      </c>
      <c r="C81" t="s">
        <v>19</v>
      </c>
      <c r="D81" t="s">
        <v>739</v>
      </c>
      <c r="E81">
        <v>13157</v>
      </c>
      <c r="F81">
        <v>13157</v>
      </c>
      <c r="G81">
        <v>13157</v>
      </c>
      <c r="H81">
        <v>13157</v>
      </c>
      <c r="I81">
        <v>13625</v>
      </c>
      <c r="J81">
        <v>13625</v>
      </c>
      <c r="K81">
        <v>13625</v>
      </c>
      <c r="L81">
        <v>13625</v>
      </c>
      <c r="M81">
        <v>13245</v>
      </c>
      <c r="N81">
        <v>13245</v>
      </c>
      <c r="O81">
        <v>13245</v>
      </c>
      <c r="P81">
        <v>13245</v>
      </c>
      <c r="Q81">
        <v>13245</v>
      </c>
      <c r="R81">
        <v>13245</v>
      </c>
      <c r="S81">
        <v>13245</v>
      </c>
      <c r="T81">
        <v>13245</v>
      </c>
      <c r="U81">
        <v>13314</v>
      </c>
      <c r="V81">
        <v>13314</v>
      </c>
      <c r="W81">
        <v>13314</v>
      </c>
      <c r="X81">
        <v>13314</v>
      </c>
      <c r="Y81">
        <v>13314</v>
      </c>
      <c r="Z81">
        <v>13314</v>
      </c>
      <c r="AA81">
        <v>13314</v>
      </c>
      <c r="AB81">
        <v>13314</v>
      </c>
      <c r="AC81">
        <v>13314</v>
      </c>
      <c r="AD81">
        <v>13314</v>
      </c>
      <c r="AE81">
        <v>13314</v>
      </c>
      <c r="AF81">
        <v>13314</v>
      </c>
      <c r="AG81">
        <v>13314</v>
      </c>
    </row>
    <row r="82" spans="1:33">
      <c r="A82">
        <v>81</v>
      </c>
      <c r="B82" t="s">
        <v>285</v>
      </c>
      <c r="C82" t="s">
        <v>19</v>
      </c>
      <c r="D82" t="s">
        <v>739</v>
      </c>
      <c r="E82">
        <v>13114</v>
      </c>
      <c r="F82">
        <v>13114</v>
      </c>
      <c r="G82">
        <v>13114</v>
      </c>
      <c r="H82">
        <v>13114</v>
      </c>
      <c r="I82">
        <v>13267</v>
      </c>
      <c r="J82">
        <v>13267</v>
      </c>
      <c r="K82">
        <v>13267</v>
      </c>
      <c r="L82">
        <v>13267</v>
      </c>
      <c r="M82">
        <v>13219</v>
      </c>
      <c r="N82">
        <v>13219</v>
      </c>
      <c r="O82">
        <v>13219</v>
      </c>
      <c r="P82">
        <v>13219</v>
      </c>
      <c r="Q82">
        <v>13219</v>
      </c>
      <c r="R82">
        <v>13219</v>
      </c>
      <c r="S82">
        <v>13219</v>
      </c>
      <c r="T82">
        <v>13219</v>
      </c>
      <c r="U82">
        <v>13442.4</v>
      </c>
      <c r="V82">
        <v>13442.4</v>
      </c>
      <c r="W82">
        <v>13442.4</v>
      </c>
      <c r="X82">
        <v>13442.4</v>
      </c>
      <c r="Y82">
        <v>13442.4</v>
      </c>
      <c r="Z82">
        <v>13442.4</v>
      </c>
      <c r="AA82">
        <v>13442.4</v>
      </c>
      <c r="AB82">
        <v>13442.4</v>
      </c>
      <c r="AC82">
        <v>13442.4</v>
      </c>
      <c r="AD82">
        <v>13442.4</v>
      </c>
      <c r="AE82">
        <v>13442.4</v>
      </c>
      <c r="AF82">
        <v>13442.4</v>
      </c>
      <c r="AG82">
        <v>13442.4</v>
      </c>
    </row>
    <row r="83" spans="1:33">
      <c r="A83">
        <v>82</v>
      </c>
      <c r="B83" t="s">
        <v>287</v>
      </c>
      <c r="C83" t="s">
        <v>19</v>
      </c>
      <c r="D83" t="s">
        <v>739</v>
      </c>
      <c r="E83">
        <v>13114</v>
      </c>
      <c r="F83">
        <v>13114</v>
      </c>
      <c r="G83">
        <v>13114</v>
      </c>
      <c r="H83">
        <v>13114</v>
      </c>
      <c r="I83">
        <v>13267</v>
      </c>
      <c r="J83">
        <v>13267</v>
      </c>
      <c r="K83">
        <v>13267</v>
      </c>
      <c r="L83">
        <v>13267</v>
      </c>
      <c r="M83">
        <v>13219</v>
      </c>
      <c r="N83">
        <v>13219</v>
      </c>
      <c r="O83">
        <v>13219</v>
      </c>
      <c r="P83">
        <v>13219</v>
      </c>
      <c r="Q83">
        <v>13219</v>
      </c>
      <c r="R83">
        <v>13219</v>
      </c>
      <c r="S83">
        <v>13219</v>
      </c>
      <c r="T83">
        <v>13219</v>
      </c>
      <c r="U83">
        <v>13219</v>
      </c>
      <c r="V83">
        <v>13219</v>
      </c>
      <c r="W83">
        <v>13219</v>
      </c>
      <c r="X83">
        <v>13219</v>
      </c>
      <c r="Y83">
        <v>13219</v>
      </c>
      <c r="Z83">
        <v>13219</v>
      </c>
      <c r="AA83">
        <v>13219</v>
      </c>
      <c r="AB83">
        <v>13219</v>
      </c>
      <c r="AC83">
        <v>13219</v>
      </c>
      <c r="AD83">
        <v>13219</v>
      </c>
      <c r="AE83">
        <v>13219</v>
      </c>
      <c r="AF83">
        <v>13219</v>
      </c>
      <c r="AG83">
        <v>13219</v>
      </c>
    </row>
    <row r="84" spans="1:33">
      <c r="A84">
        <v>83</v>
      </c>
      <c r="B84" t="s">
        <v>290</v>
      </c>
      <c r="C84" t="s">
        <v>19</v>
      </c>
      <c r="D84" t="s">
        <v>739</v>
      </c>
      <c r="U84">
        <v>13267</v>
      </c>
      <c r="V84">
        <v>13267</v>
      </c>
      <c r="W84">
        <v>13267</v>
      </c>
      <c r="X84">
        <v>13267</v>
      </c>
      <c r="Y84">
        <v>13267</v>
      </c>
      <c r="Z84">
        <v>13267</v>
      </c>
      <c r="AA84">
        <v>13267</v>
      </c>
      <c r="AB84">
        <v>13267</v>
      </c>
      <c r="AC84">
        <v>13267</v>
      </c>
      <c r="AD84">
        <v>13267</v>
      </c>
      <c r="AE84">
        <v>13267</v>
      </c>
      <c r="AF84">
        <v>13267</v>
      </c>
      <c r="AG84">
        <v>13267</v>
      </c>
    </row>
    <row r="85" spans="1:33">
      <c r="A85">
        <v>84</v>
      </c>
      <c r="B85" t="s">
        <v>292</v>
      </c>
      <c r="C85" t="s">
        <v>19</v>
      </c>
      <c r="D85" t="s">
        <v>739</v>
      </c>
      <c r="E85">
        <v>13221.8</v>
      </c>
      <c r="F85">
        <v>13221.8</v>
      </c>
      <c r="G85">
        <v>13221.8</v>
      </c>
      <c r="H85">
        <v>13221.8</v>
      </c>
      <c r="I85">
        <v>13221.8</v>
      </c>
      <c r="J85">
        <v>13221.8</v>
      </c>
      <c r="K85">
        <v>13221.8</v>
      </c>
      <c r="L85">
        <v>13221.8</v>
      </c>
      <c r="M85">
        <v>13200</v>
      </c>
      <c r="N85">
        <v>13200</v>
      </c>
      <c r="O85">
        <v>13200</v>
      </c>
      <c r="P85">
        <v>13200</v>
      </c>
      <c r="Q85">
        <v>13200</v>
      </c>
      <c r="R85">
        <v>13200</v>
      </c>
      <c r="S85">
        <v>13200</v>
      </c>
      <c r="T85">
        <v>13200</v>
      </c>
      <c r="U85">
        <v>13245</v>
      </c>
      <c r="V85">
        <v>13245</v>
      </c>
      <c r="W85">
        <v>13245</v>
      </c>
      <c r="X85">
        <v>13245</v>
      </c>
      <c r="Y85">
        <v>13245</v>
      </c>
      <c r="Z85">
        <v>13245</v>
      </c>
      <c r="AA85">
        <v>13245</v>
      </c>
      <c r="AB85">
        <v>13245</v>
      </c>
      <c r="AC85">
        <v>13245</v>
      </c>
      <c r="AD85">
        <v>13245</v>
      </c>
      <c r="AE85">
        <v>13245</v>
      </c>
      <c r="AF85">
        <v>13245</v>
      </c>
      <c r="AG85">
        <v>13245</v>
      </c>
    </row>
    <row r="86" spans="1:33">
      <c r="A86">
        <v>85</v>
      </c>
      <c r="B86" t="s">
        <v>295</v>
      </c>
      <c r="C86" t="s">
        <v>19</v>
      </c>
      <c r="D86" t="s">
        <v>739</v>
      </c>
      <c r="I86">
        <v>13667</v>
      </c>
      <c r="J86">
        <v>13667</v>
      </c>
      <c r="K86">
        <v>13667</v>
      </c>
      <c r="L86">
        <v>13667</v>
      </c>
      <c r="M86">
        <v>13667</v>
      </c>
      <c r="N86">
        <v>13667</v>
      </c>
      <c r="O86">
        <v>13667</v>
      </c>
      <c r="P86">
        <v>13667</v>
      </c>
      <c r="Q86">
        <v>13682</v>
      </c>
      <c r="R86">
        <v>13682</v>
      </c>
      <c r="S86">
        <v>13682</v>
      </c>
      <c r="T86">
        <v>13682</v>
      </c>
      <c r="U86">
        <v>13500</v>
      </c>
      <c r="V86">
        <v>13500</v>
      </c>
      <c r="W86">
        <v>13500</v>
      </c>
      <c r="X86">
        <v>13500</v>
      </c>
      <c r="Y86">
        <v>13500</v>
      </c>
      <c r="Z86">
        <v>13500</v>
      </c>
      <c r="AA86">
        <v>13500</v>
      </c>
      <c r="AB86">
        <v>13500</v>
      </c>
      <c r="AC86">
        <v>13500</v>
      </c>
      <c r="AD86">
        <v>13500</v>
      </c>
      <c r="AE86">
        <v>13500</v>
      </c>
      <c r="AF86">
        <v>13500</v>
      </c>
      <c r="AG86">
        <v>13500</v>
      </c>
    </row>
    <row r="87" spans="1:33">
      <c r="A87">
        <v>86</v>
      </c>
      <c r="B87" t="s">
        <v>298</v>
      </c>
      <c r="C87" t="s">
        <v>19</v>
      </c>
      <c r="D87" t="s">
        <v>739</v>
      </c>
      <c r="E87">
        <v>12790</v>
      </c>
      <c r="F87">
        <v>12790</v>
      </c>
      <c r="G87">
        <v>12790</v>
      </c>
      <c r="H87">
        <v>12790</v>
      </c>
      <c r="I87">
        <v>12790</v>
      </c>
      <c r="J87">
        <v>12790</v>
      </c>
      <c r="K87">
        <v>12790</v>
      </c>
      <c r="L87">
        <v>12790</v>
      </c>
      <c r="M87">
        <v>12790</v>
      </c>
      <c r="N87">
        <v>12790</v>
      </c>
      <c r="O87">
        <v>12790</v>
      </c>
      <c r="P87">
        <v>12790</v>
      </c>
      <c r="Q87">
        <v>12790</v>
      </c>
      <c r="R87">
        <v>12790</v>
      </c>
      <c r="S87">
        <v>12790</v>
      </c>
      <c r="T87">
        <v>12790</v>
      </c>
      <c r="U87">
        <v>12780</v>
      </c>
      <c r="V87">
        <v>12780</v>
      </c>
      <c r="W87">
        <v>12780</v>
      </c>
      <c r="X87">
        <v>12780</v>
      </c>
      <c r="Y87">
        <v>12780</v>
      </c>
      <c r="Z87">
        <v>12780</v>
      </c>
      <c r="AA87">
        <v>12780</v>
      </c>
      <c r="AB87">
        <v>12780</v>
      </c>
      <c r="AC87">
        <v>12780</v>
      </c>
      <c r="AD87">
        <v>12780</v>
      </c>
      <c r="AE87">
        <v>12780</v>
      </c>
      <c r="AF87">
        <v>12780</v>
      </c>
      <c r="AG87">
        <v>12780</v>
      </c>
    </row>
    <row r="88" spans="1:33">
      <c r="A88">
        <v>87</v>
      </c>
      <c r="B88" t="s">
        <v>302</v>
      </c>
      <c r="C88" t="s">
        <v>19</v>
      </c>
      <c r="D88" t="s">
        <v>739</v>
      </c>
      <c r="E88">
        <v>12790</v>
      </c>
      <c r="F88">
        <v>12790</v>
      </c>
      <c r="G88">
        <v>12790</v>
      </c>
      <c r="H88">
        <v>12790</v>
      </c>
      <c r="I88">
        <v>12790</v>
      </c>
      <c r="J88">
        <v>12790</v>
      </c>
      <c r="K88">
        <v>12790</v>
      </c>
      <c r="L88">
        <v>12790</v>
      </c>
      <c r="M88">
        <v>12790</v>
      </c>
      <c r="N88">
        <v>12790</v>
      </c>
      <c r="O88">
        <v>12790</v>
      </c>
      <c r="P88">
        <v>12790</v>
      </c>
      <c r="Q88">
        <v>12790</v>
      </c>
      <c r="R88">
        <v>12790</v>
      </c>
      <c r="S88">
        <v>12790</v>
      </c>
      <c r="T88">
        <v>12790</v>
      </c>
      <c r="U88">
        <v>12780</v>
      </c>
      <c r="V88">
        <v>12780</v>
      </c>
      <c r="W88">
        <v>12780</v>
      </c>
      <c r="X88">
        <v>12780</v>
      </c>
      <c r="Y88">
        <v>12780</v>
      </c>
      <c r="Z88">
        <v>12780</v>
      </c>
      <c r="AA88">
        <v>12780</v>
      </c>
      <c r="AB88">
        <v>12780</v>
      </c>
      <c r="AC88">
        <v>12780</v>
      </c>
      <c r="AD88">
        <v>12780</v>
      </c>
      <c r="AE88">
        <v>12780</v>
      </c>
      <c r="AF88">
        <v>12780</v>
      </c>
      <c r="AG88">
        <v>12780</v>
      </c>
    </row>
    <row r="89" spans="1:33">
      <c r="A89">
        <v>88</v>
      </c>
      <c r="B89" t="s">
        <v>305</v>
      </c>
      <c r="C89" t="s">
        <v>19</v>
      </c>
      <c r="D89" t="s">
        <v>739</v>
      </c>
      <c r="E89">
        <v>12790</v>
      </c>
      <c r="F89">
        <v>12790</v>
      </c>
      <c r="G89">
        <v>12790</v>
      </c>
      <c r="H89">
        <v>12790</v>
      </c>
      <c r="I89">
        <v>12790</v>
      </c>
      <c r="J89">
        <v>12790</v>
      </c>
      <c r="K89">
        <v>12790</v>
      </c>
      <c r="L89">
        <v>12790</v>
      </c>
      <c r="M89">
        <v>12790</v>
      </c>
      <c r="N89">
        <v>12790</v>
      </c>
      <c r="O89">
        <v>12790</v>
      </c>
      <c r="P89">
        <v>12790</v>
      </c>
      <c r="Q89">
        <v>12790</v>
      </c>
      <c r="R89">
        <v>12790</v>
      </c>
      <c r="S89">
        <v>12790</v>
      </c>
      <c r="T89">
        <v>12790</v>
      </c>
      <c r="U89">
        <v>12780</v>
      </c>
      <c r="V89">
        <v>12780</v>
      </c>
      <c r="W89">
        <v>12780</v>
      </c>
      <c r="X89">
        <v>12780</v>
      </c>
      <c r="Y89">
        <v>12780</v>
      </c>
      <c r="Z89">
        <v>12780</v>
      </c>
      <c r="AA89">
        <v>12780</v>
      </c>
      <c r="AB89">
        <v>12780</v>
      </c>
      <c r="AC89">
        <v>12780</v>
      </c>
      <c r="AD89">
        <v>12780</v>
      </c>
      <c r="AE89">
        <v>12780</v>
      </c>
      <c r="AF89">
        <v>12780</v>
      </c>
      <c r="AG89">
        <v>12780</v>
      </c>
    </row>
    <row r="90" spans="1:33">
      <c r="A90">
        <v>89</v>
      </c>
      <c r="B90" t="s">
        <v>308</v>
      </c>
      <c r="C90" t="s">
        <v>19</v>
      </c>
      <c r="D90" t="s">
        <v>739</v>
      </c>
      <c r="E90">
        <v>12790</v>
      </c>
      <c r="F90">
        <v>12790</v>
      </c>
      <c r="G90">
        <v>12790</v>
      </c>
      <c r="H90">
        <v>12790</v>
      </c>
      <c r="I90">
        <v>12790</v>
      </c>
      <c r="J90">
        <v>12790</v>
      </c>
      <c r="K90">
        <v>12790</v>
      </c>
      <c r="L90">
        <v>12790</v>
      </c>
      <c r="M90">
        <v>12790</v>
      </c>
      <c r="N90">
        <v>12790</v>
      </c>
      <c r="O90">
        <v>12790</v>
      </c>
      <c r="P90">
        <v>12790</v>
      </c>
      <c r="Q90">
        <v>12790</v>
      </c>
      <c r="R90">
        <v>12790</v>
      </c>
      <c r="S90">
        <v>12790</v>
      </c>
      <c r="T90">
        <v>12790</v>
      </c>
      <c r="U90">
        <v>12780</v>
      </c>
      <c r="V90">
        <v>12780</v>
      </c>
      <c r="W90">
        <v>12780</v>
      </c>
      <c r="X90">
        <v>12780</v>
      </c>
      <c r="Y90">
        <v>12780</v>
      </c>
      <c r="Z90">
        <v>12780</v>
      </c>
      <c r="AA90">
        <v>12780</v>
      </c>
      <c r="AB90">
        <v>12780</v>
      </c>
      <c r="AC90">
        <v>12780</v>
      </c>
      <c r="AD90">
        <v>12780</v>
      </c>
      <c r="AE90">
        <v>12780</v>
      </c>
      <c r="AF90">
        <v>12780</v>
      </c>
      <c r="AG90">
        <v>12780</v>
      </c>
    </row>
    <row r="91" spans="1:33">
      <c r="A91">
        <v>90</v>
      </c>
      <c r="B91" t="s">
        <v>311</v>
      </c>
      <c r="C91" t="s">
        <v>19</v>
      </c>
      <c r="D91" t="s">
        <v>739</v>
      </c>
      <c r="E91">
        <v>12790</v>
      </c>
      <c r="F91">
        <v>12790</v>
      </c>
      <c r="G91">
        <v>12790</v>
      </c>
      <c r="H91">
        <v>12790</v>
      </c>
      <c r="I91">
        <v>12790</v>
      </c>
      <c r="J91">
        <v>12790</v>
      </c>
      <c r="K91">
        <v>12790</v>
      </c>
      <c r="L91">
        <v>12790</v>
      </c>
      <c r="M91">
        <v>12790</v>
      </c>
      <c r="N91">
        <v>12790</v>
      </c>
      <c r="O91">
        <v>12790</v>
      </c>
      <c r="P91">
        <v>12790</v>
      </c>
      <c r="Q91">
        <v>12790</v>
      </c>
      <c r="R91">
        <v>12790</v>
      </c>
      <c r="S91">
        <v>12790</v>
      </c>
      <c r="T91">
        <v>12790</v>
      </c>
      <c r="U91">
        <v>12780</v>
      </c>
      <c r="V91">
        <v>12780</v>
      </c>
      <c r="W91">
        <v>12780</v>
      </c>
      <c r="X91">
        <v>12780</v>
      </c>
      <c r="Y91">
        <v>12780</v>
      </c>
      <c r="Z91">
        <v>12780</v>
      </c>
      <c r="AA91">
        <v>12780</v>
      </c>
      <c r="AB91">
        <v>12780</v>
      </c>
      <c r="AC91">
        <v>12780</v>
      </c>
      <c r="AD91">
        <v>12780</v>
      </c>
      <c r="AE91">
        <v>12780</v>
      </c>
      <c r="AF91">
        <v>12780</v>
      </c>
      <c r="AG91">
        <v>12780</v>
      </c>
    </row>
    <row r="92" spans="1:33">
      <c r="A92">
        <v>91</v>
      </c>
      <c r="B92" t="s">
        <v>314</v>
      </c>
      <c r="C92" t="s">
        <v>19</v>
      </c>
      <c r="D92" t="s">
        <v>739</v>
      </c>
      <c r="E92">
        <v>12790</v>
      </c>
      <c r="F92">
        <v>12790</v>
      </c>
      <c r="G92">
        <v>12790</v>
      </c>
      <c r="H92">
        <v>12790</v>
      </c>
      <c r="I92">
        <v>12790</v>
      </c>
      <c r="J92">
        <v>12790</v>
      </c>
      <c r="K92">
        <v>12790</v>
      </c>
      <c r="L92">
        <v>12790</v>
      </c>
      <c r="M92">
        <v>12790</v>
      </c>
      <c r="N92">
        <v>12790</v>
      </c>
      <c r="O92">
        <v>12790</v>
      </c>
      <c r="P92">
        <v>12790</v>
      </c>
      <c r="Q92">
        <v>12790</v>
      </c>
      <c r="R92">
        <v>12790</v>
      </c>
      <c r="S92">
        <v>12790</v>
      </c>
      <c r="T92">
        <v>12790</v>
      </c>
      <c r="U92">
        <v>12780</v>
      </c>
      <c r="V92">
        <v>12780</v>
      </c>
      <c r="W92">
        <v>12780</v>
      </c>
      <c r="X92">
        <v>12780</v>
      </c>
      <c r="Y92">
        <v>12780</v>
      </c>
      <c r="Z92">
        <v>12780</v>
      </c>
      <c r="AA92">
        <v>12780</v>
      </c>
      <c r="AB92">
        <v>12780</v>
      </c>
      <c r="AC92">
        <v>12780</v>
      </c>
      <c r="AD92">
        <v>12780</v>
      </c>
      <c r="AE92">
        <v>12780</v>
      </c>
      <c r="AF92">
        <v>12780</v>
      </c>
      <c r="AG92">
        <v>12780</v>
      </c>
    </row>
    <row r="93" spans="1:33">
      <c r="A93">
        <v>92</v>
      </c>
      <c r="B93" t="s">
        <v>317</v>
      </c>
      <c r="C93" t="s">
        <v>19</v>
      </c>
      <c r="D93" t="s">
        <v>739</v>
      </c>
      <c r="E93">
        <v>12790</v>
      </c>
      <c r="F93">
        <v>12790</v>
      </c>
      <c r="G93">
        <v>12790</v>
      </c>
      <c r="H93">
        <v>12790</v>
      </c>
      <c r="I93">
        <v>12790</v>
      </c>
      <c r="J93">
        <v>12790</v>
      </c>
      <c r="K93">
        <v>12790</v>
      </c>
      <c r="L93">
        <v>12790</v>
      </c>
      <c r="M93">
        <v>12790</v>
      </c>
      <c r="N93">
        <v>12790</v>
      </c>
      <c r="O93">
        <v>12790</v>
      </c>
      <c r="P93">
        <v>12790</v>
      </c>
      <c r="Q93">
        <v>12790</v>
      </c>
      <c r="R93">
        <v>12790</v>
      </c>
      <c r="S93">
        <v>12790</v>
      </c>
      <c r="T93">
        <v>12790</v>
      </c>
      <c r="U93">
        <v>12780</v>
      </c>
      <c r="V93">
        <v>12780</v>
      </c>
      <c r="W93">
        <v>12780</v>
      </c>
      <c r="X93">
        <v>12780</v>
      </c>
      <c r="Y93">
        <v>12780</v>
      </c>
      <c r="Z93">
        <v>12780</v>
      </c>
      <c r="AA93">
        <v>12780</v>
      </c>
      <c r="AB93">
        <v>12780</v>
      </c>
      <c r="AC93">
        <v>12780</v>
      </c>
      <c r="AD93">
        <v>12780</v>
      </c>
      <c r="AE93">
        <v>12780</v>
      </c>
      <c r="AF93">
        <v>12780</v>
      </c>
      <c r="AG93">
        <v>12780</v>
      </c>
    </row>
    <row r="94" spans="1:33">
      <c r="A94">
        <v>93</v>
      </c>
      <c r="B94" t="s">
        <v>320</v>
      </c>
      <c r="C94" t="s">
        <v>19</v>
      </c>
      <c r="D94" t="s">
        <v>739</v>
      </c>
      <c r="E94">
        <v>12790</v>
      </c>
      <c r="F94">
        <v>12790</v>
      </c>
      <c r="G94">
        <v>12790</v>
      </c>
      <c r="H94">
        <v>12790</v>
      </c>
      <c r="I94">
        <v>12790</v>
      </c>
      <c r="J94">
        <v>12790</v>
      </c>
      <c r="K94">
        <v>12790</v>
      </c>
      <c r="L94">
        <v>12790</v>
      </c>
      <c r="M94">
        <v>12790</v>
      </c>
      <c r="N94">
        <v>12790</v>
      </c>
      <c r="O94">
        <v>12790</v>
      </c>
      <c r="P94">
        <v>12790</v>
      </c>
      <c r="Q94">
        <v>12790</v>
      </c>
      <c r="R94">
        <v>12790</v>
      </c>
      <c r="S94">
        <v>12790</v>
      </c>
      <c r="T94">
        <v>12790</v>
      </c>
      <c r="U94">
        <v>12780</v>
      </c>
      <c r="V94">
        <v>12780</v>
      </c>
      <c r="W94">
        <v>12780</v>
      </c>
      <c r="X94">
        <v>12780</v>
      </c>
      <c r="Y94">
        <v>12780</v>
      </c>
      <c r="Z94">
        <v>12780</v>
      </c>
      <c r="AA94">
        <v>12780</v>
      </c>
      <c r="AB94">
        <v>12780</v>
      </c>
      <c r="AC94">
        <v>12780</v>
      </c>
      <c r="AD94">
        <v>12780</v>
      </c>
      <c r="AE94">
        <v>12780</v>
      </c>
      <c r="AF94">
        <v>12780</v>
      </c>
      <c r="AG94">
        <v>12780</v>
      </c>
    </row>
    <row r="95" spans="1:33">
      <c r="A95">
        <v>94</v>
      </c>
      <c r="B95" t="s">
        <v>323</v>
      </c>
      <c r="C95" t="s">
        <v>19</v>
      </c>
      <c r="D95" t="s">
        <v>739</v>
      </c>
      <c r="E95">
        <v>12790</v>
      </c>
      <c r="F95">
        <v>12790</v>
      </c>
      <c r="G95">
        <v>12790</v>
      </c>
      <c r="H95">
        <v>12790</v>
      </c>
      <c r="I95">
        <v>12790</v>
      </c>
      <c r="J95">
        <v>12790</v>
      </c>
      <c r="K95">
        <v>12790</v>
      </c>
      <c r="L95">
        <v>12790</v>
      </c>
      <c r="M95">
        <v>12790</v>
      </c>
      <c r="N95">
        <v>12790</v>
      </c>
      <c r="O95">
        <v>12790</v>
      </c>
      <c r="P95">
        <v>12790</v>
      </c>
      <c r="Q95">
        <v>12790</v>
      </c>
      <c r="R95">
        <v>12790</v>
      </c>
      <c r="S95">
        <v>12790</v>
      </c>
      <c r="T95">
        <v>12790</v>
      </c>
      <c r="U95">
        <v>12780</v>
      </c>
      <c r="V95">
        <v>12780</v>
      </c>
      <c r="W95">
        <v>12780</v>
      </c>
      <c r="X95">
        <v>12780</v>
      </c>
      <c r="Y95">
        <v>12780</v>
      </c>
      <c r="Z95">
        <v>12780</v>
      </c>
      <c r="AA95">
        <v>12780</v>
      </c>
      <c r="AB95">
        <v>12780</v>
      </c>
      <c r="AC95">
        <v>12780</v>
      </c>
      <c r="AD95">
        <v>12780</v>
      </c>
      <c r="AE95">
        <v>12780</v>
      </c>
      <c r="AF95">
        <v>12780</v>
      </c>
      <c r="AG95">
        <v>12780</v>
      </c>
    </row>
    <row r="96" spans="1:33">
      <c r="A96">
        <v>95</v>
      </c>
      <c r="B96" t="s">
        <v>326</v>
      </c>
      <c r="C96" t="s">
        <v>19</v>
      </c>
      <c r="D96" t="s">
        <v>739</v>
      </c>
      <c r="E96">
        <v>12790</v>
      </c>
      <c r="F96">
        <v>12790</v>
      </c>
      <c r="G96">
        <v>12790</v>
      </c>
      <c r="H96">
        <v>12790</v>
      </c>
      <c r="I96">
        <v>12790</v>
      </c>
      <c r="J96">
        <v>12790</v>
      </c>
      <c r="K96">
        <v>12790</v>
      </c>
      <c r="L96">
        <v>12790</v>
      </c>
      <c r="M96">
        <v>12790</v>
      </c>
      <c r="N96">
        <v>12790</v>
      </c>
      <c r="O96">
        <v>12790</v>
      </c>
      <c r="P96">
        <v>12790</v>
      </c>
      <c r="Q96">
        <v>12790</v>
      </c>
      <c r="R96">
        <v>12790</v>
      </c>
      <c r="S96">
        <v>12790</v>
      </c>
      <c r="T96">
        <v>12790</v>
      </c>
      <c r="U96">
        <v>12780</v>
      </c>
      <c r="V96">
        <v>12780</v>
      </c>
      <c r="W96">
        <v>12780</v>
      </c>
      <c r="X96">
        <v>12780</v>
      </c>
      <c r="Y96">
        <v>12780</v>
      </c>
      <c r="Z96">
        <v>12780</v>
      </c>
      <c r="AA96">
        <v>12780</v>
      </c>
      <c r="AB96">
        <v>12780</v>
      </c>
      <c r="AC96">
        <v>12780</v>
      </c>
      <c r="AD96">
        <v>12780</v>
      </c>
      <c r="AE96">
        <v>12780</v>
      </c>
      <c r="AF96">
        <v>12780</v>
      </c>
      <c r="AG96">
        <v>12780</v>
      </c>
    </row>
    <row r="97" spans="1:33">
      <c r="A97">
        <v>96</v>
      </c>
      <c r="B97" t="s">
        <v>329</v>
      </c>
      <c r="C97" t="s">
        <v>19</v>
      </c>
      <c r="D97" t="s">
        <v>739</v>
      </c>
      <c r="E97">
        <v>12790</v>
      </c>
      <c r="F97">
        <v>12790</v>
      </c>
      <c r="G97">
        <v>12790</v>
      </c>
      <c r="H97">
        <v>12790</v>
      </c>
      <c r="I97">
        <v>12790</v>
      </c>
      <c r="J97">
        <v>12790</v>
      </c>
      <c r="K97">
        <v>12790</v>
      </c>
      <c r="L97">
        <v>12790</v>
      </c>
      <c r="M97">
        <v>12790</v>
      </c>
      <c r="N97">
        <v>12790</v>
      </c>
      <c r="O97">
        <v>12790</v>
      </c>
      <c r="P97">
        <v>12790</v>
      </c>
      <c r="Q97">
        <v>12790</v>
      </c>
      <c r="R97">
        <v>12790</v>
      </c>
      <c r="S97">
        <v>12790</v>
      </c>
      <c r="T97">
        <v>12790</v>
      </c>
      <c r="U97">
        <v>12780</v>
      </c>
      <c r="V97">
        <v>12780</v>
      </c>
      <c r="W97">
        <v>12780</v>
      </c>
      <c r="X97">
        <v>12780</v>
      </c>
      <c r="Y97">
        <v>12780</v>
      </c>
      <c r="Z97">
        <v>12780</v>
      </c>
      <c r="AA97">
        <v>12780</v>
      </c>
      <c r="AB97">
        <v>12780</v>
      </c>
      <c r="AC97">
        <v>12780</v>
      </c>
      <c r="AD97">
        <v>12780</v>
      </c>
      <c r="AE97">
        <v>12780</v>
      </c>
      <c r="AF97">
        <v>12780</v>
      </c>
      <c r="AG97">
        <v>12780</v>
      </c>
    </row>
    <row r="98" spans="1:33">
      <c r="A98">
        <v>97</v>
      </c>
      <c r="B98" t="s">
        <v>332</v>
      </c>
      <c r="C98" t="s">
        <v>19</v>
      </c>
      <c r="D98" t="s">
        <v>739</v>
      </c>
      <c r="E98">
        <v>13500</v>
      </c>
      <c r="F98">
        <v>13500</v>
      </c>
      <c r="G98">
        <v>13500</v>
      </c>
      <c r="H98">
        <v>13500</v>
      </c>
      <c r="I98">
        <v>13500</v>
      </c>
      <c r="J98">
        <v>13500</v>
      </c>
      <c r="K98">
        <v>13500</v>
      </c>
      <c r="L98">
        <v>13500</v>
      </c>
      <c r="M98">
        <v>13500</v>
      </c>
      <c r="N98">
        <v>13500</v>
      </c>
      <c r="O98">
        <v>13500</v>
      </c>
      <c r="P98">
        <v>13500</v>
      </c>
      <c r="Q98">
        <v>13500</v>
      </c>
      <c r="R98">
        <v>13500</v>
      </c>
      <c r="S98">
        <v>13500</v>
      </c>
      <c r="T98">
        <v>13500</v>
      </c>
      <c r="U98">
        <v>13500</v>
      </c>
      <c r="V98">
        <v>13500</v>
      </c>
      <c r="W98">
        <v>13500</v>
      </c>
      <c r="X98">
        <v>13500</v>
      </c>
      <c r="Y98">
        <v>13500</v>
      </c>
      <c r="Z98">
        <v>13500</v>
      </c>
      <c r="AA98">
        <v>13500</v>
      </c>
      <c r="AB98">
        <v>13500</v>
      </c>
      <c r="AC98">
        <v>13500</v>
      </c>
      <c r="AD98">
        <v>13500</v>
      </c>
      <c r="AE98">
        <v>13500</v>
      </c>
      <c r="AF98">
        <v>13500</v>
      </c>
      <c r="AG98">
        <v>13500</v>
      </c>
    </row>
    <row r="99" spans="1:33">
      <c r="A99">
        <v>98</v>
      </c>
      <c r="B99" t="s">
        <v>336</v>
      </c>
      <c r="C99" t="s">
        <v>19</v>
      </c>
      <c r="D99" t="s">
        <v>739</v>
      </c>
      <c r="E99">
        <v>12939</v>
      </c>
      <c r="F99">
        <v>12939</v>
      </c>
      <c r="G99">
        <v>12939</v>
      </c>
      <c r="H99">
        <v>12939</v>
      </c>
      <c r="I99">
        <v>12879.07</v>
      </c>
      <c r="J99">
        <v>12879.07</v>
      </c>
      <c r="K99">
        <v>12879.07</v>
      </c>
      <c r="L99">
        <v>12879.07</v>
      </c>
      <c r="M99">
        <v>12879</v>
      </c>
      <c r="N99">
        <v>12879</v>
      </c>
      <c r="O99">
        <v>12879</v>
      </c>
      <c r="P99">
        <v>12879</v>
      </c>
      <c r="Q99">
        <v>13058</v>
      </c>
      <c r="R99">
        <v>13058</v>
      </c>
      <c r="S99">
        <v>13058</v>
      </c>
      <c r="T99">
        <v>13058</v>
      </c>
      <c r="U99">
        <v>13500</v>
      </c>
      <c r="V99">
        <v>13500</v>
      </c>
      <c r="W99">
        <v>13500</v>
      </c>
      <c r="X99">
        <v>13500</v>
      </c>
      <c r="Y99">
        <v>13500</v>
      </c>
      <c r="Z99">
        <v>13500</v>
      </c>
      <c r="AA99">
        <v>13500</v>
      </c>
      <c r="AB99">
        <v>13500</v>
      </c>
      <c r="AC99">
        <v>13500</v>
      </c>
      <c r="AD99">
        <v>13500</v>
      </c>
      <c r="AE99">
        <v>13500</v>
      </c>
      <c r="AF99">
        <v>13500</v>
      </c>
      <c r="AG99">
        <v>13500</v>
      </c>
    </row>
    <row r="100" spans="1:33">
      <c r="A100">
        <v>99</v>
      </c>
      <c r="B100" t="s">
        <v>338</v>
      </c>
      <c r="C100" t="s">
        <v>19</v>
      </c>
      <c r="D100" t="s">
        <v>739</v>
      </c>
      <c r="E100">
        <v>12939</v>
      </c>
      <c r="F100">
        <v>12939</v>
      </c>
      <c r="G100">
        <v>12939</v>
      </c>
      <c r="H100">
        <v>12939</v>
      </c>
      <c r="I100">
        <v>12879.07</v>
      </c>
      <c r="J100">
        <v>12879.07</v>
      </c>
      <c r="K100">
        <v>12879.07</v>
      </c>
      <c r="L100">
        <v>12879.07</v>
      </c>
      <c r="M100">
        <v>12879</v>
      </c>
      <c r="N100">
        <v>12879</v>
      </c>
      <c r="O100">
        <v>12879</v>
      </c>
      <c r="P100">
        <v>12879</v>
      </c>
      <c r="Q100">
        <v>13058</v>
      </c>
      <c r="R100">
        <v>13058</v>
      </c>
      <c r="S100">
        <v>13058</v>
      </c>
      <c r="T100">
        <v>13058</v>
      </c>
      <c r="U100">
        <v>12780</v>
      </c>
      <c r="V100">
        <v>12780</v>
      </c>
      <c r="W100">
        <v>12780</v>
      </c>
      <c r="X100">
        <v>12780</v>
      </c>
      <c r="Y100">
        <v>12780</v>
      </c>
      <c r="Z100">
        <v>12780</v>
      </c>
      <c r="AA100">
        <v>12780</v>
      </c>
      <c r="AB100">
        <v>12780</v>
      </c>
      <c r="AC100">
        <v>12780</v>
      </c>
      <c r="AD100">
        <v>12780</v>
      </c>
      <c r="AE100">
        <v>12780</v>
      </c>
      <c r="AF100">
        <v>12780</v>
      </c>
      <c r="AG100">
        <v>12780</v>
      </c>
    </row>
    <row r="101" spans="1:33">
      <c r="A101">
        <v>100</v>
      </c>
      <c r="B101" t="s">
        <v>340</v>
      </c>
      <c r="C101" t="s">
        <v>19</v>
      </c>
      <c r="D101" t="s">
        <v>739</v>
      </c>
      <c r="E101">
        <v>12780</v>
      </c>
      <c r="F101">
        <v>12780</v>
      </c>
      <c r="G101">
        <v>12780</v>
      </c>
      <c r="H101">
        <v>12780</v>
      </c>
      <c r="I101">
        <v>12780</v>
      </c>
      <c r="J101">
        <v>12780</v>
      </c>
      <c r="K101">
        <v>12780</v>
      </c>
      <c r="L101">
        <v>12780</v>
      </c>
      <c r="M101">
        <v>12780</v>
      </c>
      <c r="N101">
        <v>12780</v>
      </c>
      <c r="O101">
        <v>12780</v>
      </c>
      <c r="P101">
        <v>12780</v>
      </c>
      <c r="Q101">
        <v>12780</v>
      </c>
      <c r="R101">
        <v>12780</v>
      </c>
      <c r="S101">
        <v>12780</v>
      </c>
      <c r="T101">
        <v>12780</v>
      </c>
      <c r="U101">
        <v>12780</v>
      </c>
      <c r="V101">
        <v>12780</v>
      </c>
      <c r="W101">
        <v>12780</v>
      </c>
      <c r="X101">
        <v>12780</v>
      </c>
      <c r="Y101">
        <v>12780</v>
      </c>
      <c r="Z101">
        <v>12780</v>
      </c>
      <c r="AA101">
        <v>12780</v>
      </c>
      <c r="AB101">
        <v>12780</v>
      </c>
      <c r="AC101">
        <v>12780</v>
      </c>
      <c r="AD101">
        <v>12780</v>
      </c>
      <c r="AE101">
        <v>12780</v>
      </c>
      <c r="AF101">
        <v>12780</v>
      </c>
      <c r="AG101">
        <v>12780</v>
      </c>
    </row>
    <row r="102" spans="1:33">
      <c r="A102">
        <v>101</v>
      </c>
      <c r="B102" t="s">
        <v>343</v>
      </c>
      <c r="C102" t="s">
        <v>19</v>
      </c>
      <c r="D102" t="s">
        <v>739</v>
      </c>
      <c r="E102">
        <v>12939</v>
      </c>
      <c r="F102">
        <v>12939</v>
      </c>
      <c r="G102">
        <v>12939</v>
      </c>
      <c r="H102">
        <v>12939</v>
      </c>
      <c r="I102">
        <v>12879.07</v>
      </c>
      <c r="J102">
        <v>12879.07</v>
      </c>
      <c r="K102">
        <v>12879.07</v>
      </c>
      <c r="L102">
        <v>12879.07</v>
      </c>
      <c r="M102">
        <v>12879</v>
      </c>
      <c r="N102">
        <v>12879</v>
      </c>
      <c r="O102">
        <v>12879</v>
      </c>
      <c r="P102">
        <v>12879</v>
      </c>
      <c r="Q102">
        <v>13058</v>
      </c>
      <c r="R102">
        <v>13058</v>
      </c>
      <c r="S102">
        <v>13058</v>
      </c>
      <c r="T102">
        <v>13058</v>
      </c>
      <c r="U102">
        <v>13200</v>
      </c>
      <c r="V102">
        <v>13200</v>
      </c>
      <c r="W102">
        <v>13200</v>
      </c>
      <c r="X102">
        <v>13200</v>
      </c>
      <c r="Y102">
        <v>13200</v>
      </c>
      <c r="Z102">
        <v>13200</v>
      </c>
      <c r="AA102">
        <v>13200</v>
      </c>
      <c r="AB102">
        <v>13200</v>
      </c>
      <c r="AC102">
        <v>13200</v>
      </c>
      <c r="AD102">
        <v>13200</v>
      </c>
      <c r="AE102">
        <v>13200</v>
      </c>
      <c r="AF102">
        <v>13200</v>
      </c>
      <c r="AG102">
        <v>13200</v>
      </c>
    </row>
    <row r="103" spans="1:33">
      <c r="A103">
        <v>102</v>
      </c>
      <c r="B103" t="s">
        <v>345</v>
      </c>
      <c r="C103" t="s">
        <v>19</v>
      </c>
      <c r="D103" t="s">
        <v>739</v>
      </c>
      <c r="E103">
        <v>13276.2</v>
      </c>
      <c r="F103">
        <v>13276.2</v>
      </c>
      <c r="G103">
        <v>13276.2</v>
      </c>
      <c r="H103">
        <v>13276.2</v>
      </c>
      <c r="I103">
        <v>13276.2</v>
      </c>
      <c r="J103">
        <v>13276.2</v>
      </c>
      <c r="K103">
        <v>13276.2</v>
      </c>
      <c r="L103">
        <v>13276.2</v>
      </c>
      <c r="M103">
        <v>13440.477102747</v>
      </c>
      <c r="N103">
        <v>13440.477102747</v>
      </c>
      <c r="O103">
        <v>13440.477102747</v>
      </c>
      <c r="P103">
        <v>13440.477102747</v>
      </c>
      <c r="Q103">
        <v>13503</v>
      </c>
      <c r="R103">
        <v>13503</v>
      </c>
      <c r="S103">
        <v>13503</v>
      </c>
      <c r="T103">
        <v>13503</v>
      </c>
      <c r="U103">
        <v>13500</v>
      </c>
      <c r="V103">
        <v>13500</v>
      </c>
      <c r="W103">
        <v>13500</v>
      </c>
      <c r="X103">
        <v>13500</v>
      </c>
      <c r="Y103">
        <v>13500</v>
      </c>
      <c r="Z103">
        <v>13500</v>
      </c>
      <c r="AA103">
        <v>13500</v>
      </c>
      <c r="AB103">
        <v>13500</v>
      </c>
      <c r="AC103">
        <v>13500</v>
      </c>
      <c r="AD103">
        <v>13500</v>
      </c>
      <c r="AE103">
        <v>13500</v>
      </c>
      <c r="AF103">
        <v>13500</v>
      </c>
      <c r="AG103">
        <v>13500</v>
      </c>
    </row>
    <row r="104" spans="1:33">
      <c r="A104">
        <v>103</v>
      </c>
      <c r="B104" t="s">
        <v>349</v>
      </c>
      <c r="C104" t="s">
        <v>19</v>
      </c>
      <c r="D104" t="s">
        <v>739</v>
      </c>
      <c r="E104">
        <v>13652.6</v>
      </c>
      <c r="F104">
        <v>13652.6</v>
      </c>
      <c r="G104">
        <v>13652.6</v>
      </c>
      <c r="H104">
        <v>13652.6</v>
      </c>
      <c r="I104">
        <v>13652.6</v>
      </c>
      <c r="J104">
        <v>13652.6</v>
      </c>
      <c r="K104">
        <v>13652.6</v>
      </c>
      <c r="L104">
        <v>13652.6</v>
      </c>
      <c r="M104">
        <v>13558.6925270517</v>
      </c>
      <c r="N104">
        <v>13558.6925270517</v>
      </c>
      <c r="O104">
        <v>13558.6925270517</v>
      </c>
      <c r="P104">
        <v>13558.6925270517</v>
      </c>
      <c r="Q104">
        <v>13384</v>
      </c>
      <c r="R104">
        <v>13384</v>
      </c>
      <c r="S104">
        <v>13384</v>
      </c>
      <c r="T104">
        <v>13384</v>
      </c>
      <c r="U104">
        <v>13553</v>
      </c>
      <c r="V104">
        <v>13553</v>
      </c>
      <c r="W104">
        <v>13553</v>
      </c>
      <c r="X104">
        <v>13553</v>
      </c>
      <c r="Y104">
        <v>13553</v>
      </c>
      <c r="Z104">
        <v>13553</v>
      </c>
      <c r="AA104">
        <v>13553</v>
      </c>
      <c r="AB104">
        <v>13553</v>
      </c>
      <c r="AC104">
        <v>13553</v>
      </c>
      <c r="AD104">
        <v>13553</v>
      </c>
      <c r="AE104">
        <v>13553</v>
      </c>
      <c r="AF104">
        <v>13553</v>
      </c>
      <c r="AG104">
        <v>13553</v>
      </c>
    </row>
    <row r="105" spans="1:33">
      <c r="A105">
        <v>104</v>
      </c>
      <c r="B105" t="s">
        <v>352</v>
      </c>
      <c r="C105" t="s">
        <v>19</v>
      </c>
      <c r="D105" t="s">
        <v>739</v>
      </c>
      <c r="E105">
        <v>12870</v>
      </c>
      <c r="F105">
        <v>12870</v>
      </c>
      <c r="G105">
        <v>12870</v>
      </c>
      <c r="H105">
        <v>12870</v>
      </c>
      <c r="I105">
        <v>12870</v>
      </c>
      <c r="J105">
        <v>12870</v>
      </c>
      <c r="K105">
        <v>12870</v>
      </c>
      <c r="L105">
        <v>12870</v>
      </c>
      <c r="M105">
        <v>13400.9904614265</v>
      </c>
      <c r="N105">
        <v>13400.9904614265</v>
      </c>
      <c r="O105">
        <v>13400.9904614265</v>
      </c>
      <c r="P105">
        <v>13400.9904614265</v>
      </c>
      <c r="Q105">
        <v>13375</v>
      </c>
      <c r="R105">
        <v>13375</v>
      </c>
      <c r="S105">
        <v>13375</v>
      </c>
      <c r="T105">
        <v>13375</v>
      </c>
      <c r="U105">
        <v>13275</v>
      </c>
      <c r="V105">
        <v>13275</v>
      </c>
      <c r="W105">
        <v>13275</v>
      </c>
      <c r="X105">
        <v>13275</v>
      </c>
      <c r="Y105">
        <v>13275</v>
      </c>
      <c r="Z105">
        <v>13275</v>
      </c>
      <c r="AA105">
        <v>13275</v>
      </c>
      <c r="AB105">
        <v>13275</v>
      </c>
      <c r="AC105">
        <v>13275</v>
      </c>
      <c r="AD105">
        <v>13275</v>
      </c>
      <c r="AE105">
        <v>13275</v>
      </c>
      <c r="AF105">
        <v>13275</v>
      </c>
      <c r="AG105">
        <v>13275</v>
      </c>
    </row>
    <row r="106" spans="1:33">
      <c r="A106">
        <v>105</v>
      </c>
      <c r="B106" t="s">
        <v>356</v>
      </c>
      <c r="C106" t="s">
        <v>19</v>
      </c>
      <c r="D106" t="s">
        <v>739</v>
      </c>
      <c r="E106">
        <v>13336.6</v>
      </c>
      <c r="F106">
        <v>13336.6</v>
      </c>
      <c r="G106">
        <v>13336.6</v>
      </c>
      <c r="H106">
        <v>13336.6</v>
      </c>
      <c r="I106">
        <v>13336.6</v>
      </c>
      <c r="J106">
        <v>13336.6</v>
      </c>
      <c r="K106">
        <v>13336.6</v>
      </c>
      <c r="L106">
        <v>13336.6</v>
      </c>
      <c r="M106">
        <v>13289.4321566115</v>
      </c>
      <c r="N106">
        <v>13289.4321566115</v>
      </c>
      <c r="O106">
        <v>13289.4321566115</v>
      </c>
      <c r="P106">
        <v>13289.4321566115</v>
      </c>
      <c r="Q106">
        <v>13400</v>
      </c>
      <c r="R106">
        <v>13400</v>
      </c>
      <c r="S106">
        <v>13400</v>
      </c>
      <c r="T106">
        <v>13400</v>
      </c>
      <c r="U106">
        <v>13567</v>
      </c>
      <c r="V106">
        <v>13567</v>
      </c>
      <c r="W106">
        <v>13567</v>
      </c>
      <c r="X106">
        <v>13567</v>
      </c>
      <c r="Y106">
        <v>13567</v>
      </c>
      <c r="Z106">
        <v>13567</v>
      </c>
      <c r="AA106">
        <v>13567</v>
      </c>
      <c r="AB106">
        <v>13567</v>
      </c>
      <c r="AC106">
        <v>13567</v>
      </c>
      <c r="AD106">
        <v>13567</v>
      </c>
      <c r="AE106">
        <v>13567</v>
      </c>
      <c r="AF106">
        <v>13567</v>
      </c>
      <c r="AG106">
        <v>13567</v>
      </c>
    </row>
    <row r="107" spans="1:33">
      <c r="A107">
        <v>106</v>
      </c>
      <c r="B107" t="s">
        <v>359</v>
      </c>
      <c r="C107" t="s">
        <v>19</v>
      </c>
      <c r="D107" t="s">
        <v>739</v>
      </c>
      <c r="E107">
        <v>13564.8</v>
      </c>
      <c r="F107">
        <v>13564.8</v>
      </c>
      <c r="G107">
        <v>13564.8</v>
      </c>
      <c r="H107">
        <v>13564.8</v>
      </c>
      <c r="I107">
        <v>13564.8</v>
      </c>
      <c r="J107">
        <v>13564.8</v>
      </c>
      <c r="K107">
        <v>13564.8</v>
      </c>
      <c r="L107">
        <v>13564.8</v>
      </c>
      <c r="M107">
        <v>13663.7639706057</v>
      </c>
      <c r="N107">
        <v>13663.7639706057</v>
      </c>
      <c r="O107">
        <v>13663.7639706057</v>
      </c>
      <c r="P107">
        <v>13663.7639706057</v>
      </c>
      <c r="Q107">
        <v>13669</v>
      </c>
      <c r="R107">
        <v>13669</v>
      </c>
      <c r="S107">
        <v>13669</v>
      </c>
      <c r="T107">
        <v>13669</v>
      </c>
      <c r="U107">
        <v>13289</v>
      </c>
      <c r="V107">
        <v>13289</v>
      </c>
      <c r="W107">
        <v>13289</v>
      </c>
      <c r="X107">
        <v>13289</v>
      </c>
      <c r="Y107">
        <v>13289</v>
      </c>
      <c r="Z107">
        <v>13289</v>
      </c>
      <c r="AA107">
        <v>13289</v>
      </c>
      <c r="AB107">
        <v>13289</v>
      </c>
      <c r="AC107">
        <v>13289</v>
      </c>
      <c r="AD107">
        <v>13289</v>
      </c>
      <c r="AE107">
        <v>13289</v>
      </c>
      <c r="AF107">
        <v>13289</v>
      </c>
      <c r="AG107">
        <v>13289</v>
      </c>
    </row>
    <row r="108" spans="1:33">
      <c r="A108">
        <v>107</v>
      </c>
      <c r="B108" t="s">
        <v>362</v>
      </c>
      <c r="C108" t="s">
        <v>19</v>
      </c>
      <c r="D108" t="s">
        <v>739</v>
      </c>
      <c r="E108">
        <v>13430.4</v>
      </c>
      <c r="F108">
        <v>13430.4</v>
      </c>
      <c r="G108">
        <v>13430.4</v>
      </c>
      <c r="H108">
        <v>13430.4</v>
      </c>
      <c r="I108">
        <v>13430.4</v>
      </c>
      <c r="J108">
        <v>13430.4</v>
      </c>
      <c r="K108">
        <v>13430.4</v>
      </c>
      <c r="L108">
        <v>13430.4</v>
      </c>
      <c r="M108">
        <v>13349.8286942501</v>
      </c>
      <c r="N108">
        <v>13349.8286942501</v>
      </c>
      <c r="O108">
        <v>13349.8286942501</v>
      </c>
      <c r="P108">
        <v>13349.8286942501</v>
      </c>
      <c r="Q108">
        <v>13340</v>
      </c>
      <c r="R108">
        <v>13340</v>
      </c>
      <c r="S108">
        <v>13340</v>
      </c>
      <c r="T108">
        <v>13340</v>
      </c>
      <c r="U108">
        <v>13450</v>
      </c>
      <c r="V108">
        <v>13450</v>
      </c>
      <c r="W108">
        <v>13450</v>
      </c>
      <c r="X108">
        <v>13450</v>
      </c>
      <c r="Y108">
        <v>13450</v>
      </c>
      <c r="Z108">
        <v>13450</v>
      </c>
      <c r="AA108">
        <v>13450</v>
      </c>
      <c r="AB108">
        <v>13450</v>
      </c>
      <c r="AC108">
        <v>13450</v>
      </c>
      <c r="AD108">
        <v>13450</v>
      </c>
      <c r="AE108">
        <v>13450</v>
      </c>
      <c r="AF108">
        <v>13450</v>
      </c>
      <c r="AG108">
        <v>13450</v>
      </c>
    </row>
    <row r="109" spans="1:33">
      <c r="A109">
        <v>108</v>
      </c>
      <c r="B109" t="s">
        <v>365</v>
      </c>
      <c r="C109" t="s">
        <v>19</v>
      </c>
      <c r="D109" t="s">
        <v>739</v>
      </c>
      <c r="E109">
        <v>13325</v>
      </c>
      <c r="F109">
        <v>13325</v>
      </c>
      <c r="G109">
        <v>13325</v>
      </c>
      <c r="H109">
        <v>13325</v>
      </c>
      <c r="I109">
        <v>13325</v>
      </c>
      <c r="J109">
        <v>13325</v>
      </c>
      <c r="K109">
        <v>13325</v>
      </c>
      <c r="L109">
        <v>13325</v>
      </c>
      <c r="M109">
        <v>13325</v>
      </c>
      <c r="N109">
        <v>13325</v>
      </c>
      <c r="O109">
        <v>13325</v>
      </c>
      <c r="P109">
        <v>13325</v>
      </c>
      <c r="Q109">
        <v>13325</v>
      </c>
      <c r="R109">
        <v>13325</v>
      </c>
      <c r="S109">
        <v>13325</v>
      </c>
      <c r="T109">
        <v>13325</v>
      </c>
      <c r="U109">
        <v>13325</v>
      </c>
      <c r="V109">
        <v>13325</v>
      </c>
      <c r="W109">
        <v>13325</v>
      </c>
      <c r="X109">
        <v>13325</v>
      </c>
      <c r="Y109">
        <v>13325</v>
      </c>
      <c r="Z109">
        <v>13325</v>
      </c>
      <c r="AA109">
        <v>13325</v>
      </c>
      <c r="AB109">
        <v>13325</v>
      </c>
      <c r="AC109">
        <v>13325</v>
      </c>
      <c r="AD109">
        <v>13325</v>
      </c>
      <c r="AE109">
        <v>13325</v>
      </c>
      <c r="AF109">
        <v>13325</v>
      </c>
      <c r="AG109">
        <v>13325</v>
      </c>
    </row>
    <row r="110" spans="1:33">
      <c r="A110">
        <v>109</v>
      </c>
      <c r="B110" t="s">
        <v>369</v>
      </c>
      <c r="C110" t="s">
        <v>19</v>
      </c>
      <c r="D110" t="s">
        <v>739</v>
      </c>
      <c r="U110">
        <v>13400</v>
      </c>
      <c r="V110">
        <v>13400</v>
      </c>
      <c r="W110">
        <v>13400</v>
      </c>
      <c r="X110">
        <v>13400</v>
      </c>
      <c r="Y110">
        <v>13400</v>
      </c>
      <c r="Z110">
        <v>13400</v>
      </c>
      <c r="AA110">
        <v>13400</v>
      </c>
      <c r="AB110">
        <v>13400</v>
      </c>
      <c r="AC110">
        <v>13400</v>
      </c>
      <c r="AD110">
        <v>13400</v>
      </c>
      <c r="AE110">
        <v>13400</v>
      </c>
      <c r="AF110">
        <v>13400</v>
      </c>
      <c r="AG110">
        <v>13400</v>
      </c>
    </row>
    <row r="111" spans="1:33">
      <c r="A111">
        <v>110</v>
      </c>
      <c r="B111" t="s">
        <v>372</v>
      </c>
      <c r="C111" t="s">
        <v>19</v>
      </c>
      <c r="D111" t="s">
        <v>739</v>
      </c>
      <c r="E111">
        <v>13221</v>
      </c>
      <c r="F111">
        <v>13221</v>
      </c>
      <c r="G111">
        <v>13221</v>
      </c>
      <c r="H111">
        <v>13221</v>
      </c>
      <c r="I111">
        <v>13221</v>
      </c>
      <c r="J111">
        <v>13221</v>
      </c>
      <c r="K111">
        <v>13221</v>
      </c>
      <c r="L111">
        <v>13221</v>
      </c>
      <c r="M111">
        <v>13221</v>
      </c>
      <c r="N111">
        <v>13221</v>
      </c>
      <c r="O111">
        <v>13221</v>
      </c>
      <c r="P111">
        <v>13221</v>
      </c>
      <c r="Q111">
        <v>13221</v>
      </c>
      <c r="R111">
        <v>13221</v>
      </c>
      <c r="S111">
        <v>13221</v>
      </c>
      <c r="T111">
        <v>13221</v>
      </c>
      <c r="U111">
        <v>13200</v>
      </c>
      <c r="V111">
        <v>13200</v>
      </c>
      <c r="W111">
        <v>13200</v>
      </c>
      <c r="X111">
        <v>13200</v>
      </c>
      <c r="Y111">
        <v>13200</v>
      </c>
      <c r="Z111">
        <v>13200</v>
      </c>
      <c r="AA111">
        <v>13200</v>
      </c>
      <c r="AB111">
        <v>13200</v>
      </c>
      <c r="AC111">
        <v>13200</v>
      </c>
      <c r="AD111">
        <v>13200</v>
      </c>
      <c r="AE111">
        <v>13200</v>
      </c>
      <c r="AF111">
        <v>13200</v>
      </c>
      <c r="AG111">
        <v>13200</v>
      </c>
    </row>
    <row r="112" spans="1:33">
      <c r="A112">
        <v>111</v>
      </c>
      <c r="B112" t="s">
        <v>374</v>
      </c>
      <c r="C112" t="s">
        <v>19</v>
      </c>
      <c r="D112" t="s">
        <v>739</v>
      </c>
      <c r="E112">
        <v>13500</v>
      </c>
      <c r="F112">
        <v>13500</v>
      </c>
      <c r="G112">
        <v>13500</v>
      </c>
      <c r="H112">
        <v>13500</v>
      </c>
      <c r="I112">
        <v>13500</v>
      </c>
      <c r="J112">
        <v>13500</v>
      </c>
      <c r="K112">
        <v>13500</v>
      </c>
      <c r="L112">
        <v>13500</v>
      </c>
      <c r="M112">
        <v>13500</v>
      </c>
      <c r="N112">
        <v>13500</v>
      </c>
      <c r="O112">
        <v>13500</v>
      </c>
      <c r="P112">
        <v>13500</v>
      </c>
      <c r="Q112">
        <v>13500</v>
      </c>
      <c r="R112">
        <v>13500</v>
      </c>
      <c r="S112">
        <v>13500</v>
      </c>
      <c r="T112">
        <v>13500</v>
      </c>
      <c r="U112">
        <v>13500</v>
      </c>
      <c r="V112">
        <v>13500</v>
      </c>
      <c r="W112">
        <v>13500</v>
      </c>
      <c r="X112">
        <v>13500</v>
      </c>
      <c r="Y112">
        <v>13500</v>
      </c>
      <c r="Z112">
        <v>13500</v>
      </c>
      <c r="AA112">
        <v>13500</v>
      </c>
      <c r="AB112">
        <v>13500</v>
      </c>
      <c r="AC112">
        <v>13500</v>
      </c>
      <c r="AD112">
        <v>13500</v>
      </c>
      <c r="AE112">
        <v>13500</v>
      </c>
      <c r="AF112">
        <v>13500</v>
      </c>
      <c r="AG112">
        <v>13500</v>
      </c>
    </row>
    <row r="113" spans="1:33">
      <c r="A113">
        <v>112</v>
      </c>
      <c r="B113" t="s">
        <v>377</v>
      </c>
      <c r="C113" t="s">
        <v>19</v>
      </c>
      <c r="D113" t="s">
        <v>739</v>
      </c>
      <c r="E113">
        <v>13470</v>
      </c>
      <c r="F113">
        <v>13470</v>
      </c>
      <c r="G113">
        <v>13470</v>
      </c>
      <c r="H113">
        <v>13470</v>
      </c>
      <c r="I113">
        <v>13470</v>
      </c>
      <c r="J113">
        <v>13470</v>
      </c>
      <c r="K113">
        <v>13470</v>
      </c>
      <c r="L113">
        <v>13470</v>
      </c>
      <c r="M113">
        <v>13470</v>
      </c>
      <c r="N113">
        <v>13470</v>
      </c>
      <c r="O113">
        <v>13470</v>
      </c>
      <c r="P113">
        <v>13470</v>
      </c>
      <c r="Q113">
        <v>13470</v>
      </c>
      <c r="R113">
        <v>13470</v>
      </c>
      <c r="S113">
        <v>13470</v>
      </c>
      <c r="T113">
        <v>13470</v>
      </c>
      <c r="U113">
        <v>13470</v>
      </c>
      <c r="V113">
        <v>13470</v>
      </c>
      <c r="W113">
        <v>13470</v>
      </c>
      <c r="X113">
        <v>13470</v>
      </c>
      <c r="Y113">
        <v>13470</v>
      </c>
      <c r="Z113">
        <v>13470</v>
      </c>
      <c r="AA113">
        <v>13470</v>
      </c>
      <c r="AB113">
        <v>13470</v>
      </c>
      <c r="AC113">
        <v>13470</v>
      </c>
      <c r="AD113">
        <v>13470</v>
      </c>
      <c r="AE113">
        <v>13470</v>
      </c>
      <c r="AF113">
        <v>13470</v>
      </c>
      <c r="AG113">
        <v>13470</v>
      </c>
    </row>
    <row r="114" spans="1:33">
      <c r="A114">
        <v>113</v>
      </c>
      <c r="B114" t="s">
        <v>381</v>
      </c>
      <c r="C114" t="s">
        <v>19</v>
      </c>
      <c r="D114" t="s">
        <v>739</v>
      </c>
      <c r="E114">
        <v>13217</v>
      </c>
      <c r="F114">
        <v>13217</v>
      </c>
      <c r="G114">
        <v>13217</v>
      </c>
      <c r="H114">
        <v>13217</v>
      </c>
      <c r="I114">
        <v>13217</v>
      </c>
      <c r="J114">
        <v>13217</v>
      </c>
      <c r="K114">
        <v>13217</v>
      </c>
      <c r="L114">
        <v>13217</v>
      </c>
      <c r="M114">
        <v>13217</v>
      </c>
      <c r="N114">
        <v>13217</v>
      </c>
      <c r="O114">
        <v>13217</v>
      </c>
      <c r="P114">
        <v>13217</v>
      </c>
      <c r="Q114">
        <v>13217</v>
      </c>
      <c r="R114">
        <v>13217</v>
      </c>
      <c r="S114">
        <v>13217</v>
      </c>
      <c r="T114">
        <v>13217</v>
      </c>
      <c r="U114">
        <v>13300</v>
      </c>
      <c r="V114">
        <v>13300</v>
      </c>
      <c r="W114">
        <v>13300</v>
      </c>
      <c r="X114">
        <v>13300</v>
      </c>
      <c r="Y114">
        <v>13300</v>
      </c>
      <c r="Z114">
        <v>13300</v>
      </c>
      <c r="AA114">
        <v>13300</v>
      </c>
      <c r="AB114">
        <v>13300</v>
      </c>
      <c r="AC114">
        <v>13300</v>
      </c>
      <c r="AD114">
        <v>13300</v>
      </c>
      <c r="AE114">
        <v>13300</v>
      </c>
      <c r="AF114">
        <v>13300</v>
      </c>
      <c r="AG114">
        <v>13300</v>
      </c>
    </row>
    <row r="115" spans="1:33">
      <c r="A115">
        <v>114</v>
      </c>
      <c r="B115" t="s">
        <v>385</v>
      </c>
      <c r="C115" t="s">
        <v>19</v>
      </c>
      <c r="D115" t="s">
        <v>739</v>
      </c>
      <c r="U115">
        <v>13156</v>
      </c>
      <c r="V115">
        <v>13156</v>
      </c>
      <c r="W115">
        <v>13156</v>
      </c>
      <c r="X115">
        <v>13156</v>
      </c>
      <c r="Y115">
        <v>13156</v>
      </c>
      <c r="Z115">
        <v>13156</v>
      </c>
      <c r="AA115">
        <v>13156</v>
      </c>
      <c r="AB115">
        <v>13156</v>
      </c>
      <c r="AC115">
        <v>13156</v>
      </c>
      <c r="AD115">
        <v>13156</v>
      </c>
      <c r="AE115">
        <v>13156</v>
      </c>
      <c r="AF115">
        <v>13156</v>
      </c>
      <c r="AG115">
        <v>13156</v>
      </c>
    </row>
    <row r="116" spans="1:33">
      <c r="A116">
        <v>115</v>
      </c>
      <c r="B116" t="s">
        <v>387</v>
      </c>
      <c r="C116" t="s">
        <v>19</v>
      </c>
      <c r="D116" t="s">
        <v>739</v>
      </c>
      <c r="U116">
        <v>13500</v>
      </c>
      <c r="V116">
        <v>13500</v>
      </c>
      <c r="W116">
        <v>13500</v>
      </c>
      <c r="X116">
        <v>13500</v>
      </c>
      <c r="Y116">
        <v>13500</v>
      </c>
      <c r="Z116">
        <v>13500</v>
      </c>
      <c r="AA116">
        <v>13500</v>
      </c>
      <c r="AB116">
        <v>13500</v>
      </c>
      <c r="AC116">
        <v>13500</v>
      </c>
      <c r="AD116">
        <v>13500</v>
      </c>
      <c r="AE116">
        <v>13500</v>
      </c>
      <c r="AF116">
        <v>13500</v>
      </c>
      <c r="AG116">
        <v>13500</v>
      </c>
    </row>
    <row r="117" spans="1:33">
      <c r="A117">
        <v>116</v>
      </c>
      <c r="B117" t="s">
        <v>389</v>
      </c>
      <c r="C117" t="s">
        <v>19</v>
      </c>
      <c r="D117" t="s">
        <v>739</v>
      </c>
      <c r="U117">
        <v>13500</v>
      </c>
      <c r="V117">
        <v>13500</v>
      </c>
      <c r="W117">
        <v>13500</v>
      </c>
      <c r="X117">
        <v>13500</v>
      </c>
      <c r="Y117">
        <v>13500</v>
      </c>
      <c r="Z117">
        <v>13500</v>
      </c>
      <c r="AA117">
        <v>13500</v>
      </c>
      <c r="AB117">
        <v>13500</v>
      </c>
      <c r="AC117">
        <v>13500</v>
      </c>
      <c r="AD117">
        <v>13500</v>
      </c>
      <c r="AE117">
        <v>13500</v>
      </c>
      <c r="AF117">
        <v>13500</v>
      </c>
      <c r="AG117">
        <v>13500</v>
      </c>
    </row>
    <row r="118" spans="1:33">
      <c r="A118">
        <v>117</v>
      </c>
      <c r="B118" t="s">
        <v>392</v>
      </c>
      <c r="C118" t="s">
        <v>19</v>
      </c>
      <c r="D118" t="s">
        <v>739</v>
      </c>
      <c r="E118">
        <v>13688</v>
      </c>
      <c r="F118">
        <v>13688</v>
      </c>
      <c r="G118">
        <v>13688</v>
      </c>
      <c r="H118">
        <v>13688</v>
      </c>
      <c r="I118">
        <v>13688</v>
      </c>
      <c r="J118">
        <v>13688</v>
      </c>
      <c r="K118">
        <v>13688</v>
      </c>
      <c r="L118">
        <v>13688</v>
      </c>
      <c r="M118">
        <v>13688</v>
      </c>
      <c r="N118">
        <v>13688</v>
      </c>
      <c r="O118">
        <v>13688</v>
      </c>
      <c r="P118">
        <v>13688</v>
      </c>
      <c r="Q118">
        <v>13688</v>
      </c>
      <c r="R118">
        <v>13688</v>
      </c>
      <c r="S118">
        <v>13688</v>
      </c>
      <c r="T118">
        <v>13688</v>
      </c>
      <c r="U118">
        <v>13688</v>
      </c>
      <c r="V118">
        <v>13688</v>
      </c>
      <c r="W118">
        <v>13688</v>
      </c>
      <c r="X118">
        <v>13688</v>
      </c>
      <c r="Y118">
        <v>13688</v>
      </c>
      <c r="Z118">
        <v>13688</v>
      </c>
      <c r="AA118">
        <v>13688</v>
      </c>
      <c r="AB118">
        <v>13688</v>
      </c>
      <c r="AC118">
        <v>13688</v>
      </c>
      <c r="AD118">
        <v>13688</v>
      </c>
      <c r="AE118">
        <v>13688</v>
      </c>
      <c r="AF118">
        <v>13688</v>
      </c>
      <c r="AG118">
        <v>13688</v>
      </c>
    </row>
    <row r="119" spans="1:33">
      <c r="A119">
        <v>118</v>
      </c>
      <c r="B119" t="s">
        <v>395</v>
      </c>
      <c r="C119" t="s">
        <v>19</v>
      </c>
      <c r="D119" t="s">
        <v>739</v>
      </c>
      <c r="E119">
        <v>13500</v>
      </c>
      <c r="F119">
        <v>13500</v>
      </c>
      <c r="G119">
        <v>13500</v>
      </c>
      <c r="H119">
        <v>13500</v>
      </c>
      <c r="I119">
        <v>13500</v>
      </c>
      <c r="J119">
        <v>13500</v>
      </c>
      <c r="K119">
        <v>13500</v>
      </c>
      <c r="L119">
        <v>13500</v>
      </c>
      <c r="M119">
        <v>13500</v>
      </c>
      <c r="N119">
        <v>13500</v>
      </c>
      <c r="O119">
        <v>13500</v>
      </c>
      <c r="P119">
        <v>13500</v>
      </c>
      <c r="Q119">
        <v>13500</v>
      </c>
      <c r="R119">
        <v>13500</v>
      </c>
      <c r="S119">
        <v>13500</v>
      </c>
      <c r="T119">
        <v>13500</v>
      </c>
      <c r="U119">
        <v>13500</v>
      </c>
      <c r="V119">
        <v>13500</v>
      </c>
      <c r="W119">
        <v>13500</v>
      </c>
      <c r="X119">
        <v>13500</v>
      </c>
      <c r="Y119">
        <v>13500</v>
      </c>
      <c r="Z119">
        <v>13500</v>
      </c>
      <c r="AA119">
        <v>13500</v>
      </c>
      <c r="AB119">
        <v>13500</v>
      </c>
      <c r="AC119">
        <v>13500</v>
      </c>
      <c r="AD119">
        <v>13500</v>
      </c>
      <c r="AE119">
        <v>13500</v>
      </c>
      <c r="AF119">
        <v>13500</v>
      </c>
      <c r="AG119">
        <v>13500</v>
      </c>
    </row>
    <row r="120" spans="1:33">
      <c r="A120">
        <v>119</v>
      </c>
      <c r="B120" t="s">
        <v>398</v>
      </c>
      <c r="C120" t="s">
        <v>19</v>
      </c>
      <c r="D120" t="s">
        <v>739</v>
      </c>
      <c r="E120">
        <v>13661.5</v>
      </c>
      <c r="F120">
        <v>13661.5</v>
      </c>
      <c r="G120">
        <v>13661.5</v>
      </c>
      <c r="H120">
        <v>13661.5</v>
      </c>
      <c r="I120">
        <v>13348.8</v>
      </c>
      <c r="J120">
        <v>13348.8</v>
      </c>
      <c r="K120">
        <v>13348.8</v>
      </c>
      <c r="L120">
        <v>13348.8</v>
      </c>
      <c r="M120">
        <v>13274.3</v>
      </c>
      <c r="N120">
        <v>13274.3</v>
      </c>
      <c r="O120">
        <v>13274.3</v>
      </c>
      <c r="P120">
        <v>13274.3</v>
      </c>
      <c r="Q120">
        <v>13325.6</v>
      </c>
      <c r="R120">
        <v>13325.6</v>
      </c>
      <c r="S120">
        <v>13325.6</v>
      </c>
      <c r="T120">
        <v>13325.6</v>
      </c>
      <c r="U120">
        <v>13533</v>
      </c>
      <c r="V120">
        <v>13533</v>
      </c>
      <c r="W120">
        <v>13533</v>
      </c>
      <c r="X120">
        <v>13533</v>
      </c>
      <c r="Y120">
        <v>13533</v>
      </c>
      <c r="Z120">
        <v>13533</v>
      </c>
      <c r="AA120">
        <v>13533</v>
      </c>
      <c r="AB120">
        <v>13533</v>
      </c>
      <c r="AC120">
        <v>13533</v>
      </c>
      <c r="AD120">
        <v>13533</v>
      </c>
      <c r="AE120">
        <v>13533</v>
      </c>
      <c r="AF120">
        <v>13533</v>
      </c>
      <c r="AG120">
        <v>13533</v>
      </c>
    </row>
    <row r="121" spans="1:33">
      <c r="A121">
        <v>120</v>
      </c>
      <c r="B121" t="s">
        <v>402</v>
      </c>
      <c r="C121" t="s">
        <v>19</v>
      </c>
      <c r="D121" t="s">
        <v>739</v>
      </c>
      <c r="E121">
        <v>13300</v>
      </c>
      <c r="F121">
        <v>13300</v>
      </c>
      <c r="G121">
        <v>13300</v>
      </c>
      <c r="H121">
        <v>13300</v>
      </c>
      <c r="I121">
        <v>13300</v>
      </c>
      <c r="J121">
        <v>13300</v>
      </c>
      <c r="K121">
        <v>13300</v>
      </c>
      <c r="L121">
        <v>13300</v>
      </c>
      <c r="M121">
        <v>13300</v>
      </c>
      <c r="N121">
        <v>13300</v>
      </c>
      <c r="O121">
        <v>13300</v>
      </c>
      <c r="P121">
        <v>13300</v>
      </c>
      <c r="Q121">
        <v>13300</v>
      </c>
      <c r="R121">
        <v>13300</v>
      </c>
      <c r="S121">
        <v>13300</v>
      </c>
      <c r="T121">
        <v>13300</v>
      </c>
      <c r="U121">
        <v>13300</v>
      </c>
      <c r="V121">
        <v>13300</v>
      </c>
      <c r="W121">
        <v>13300</v>
      </c>
      <c r="X121">
        <v>13300</v>
      </c>
      <c r="Y121">
        <v>13300</v>
      </c>
      <c r="Z121">
        <v>13300</v>
      </c>
      <c r="AA121">
        <v>13300</v>
      </c>
      <c r="AB121">
        <v>13300</v>
      </c>
      <c r="AC121">
        <v>13300</v>
      </c>
      <c r="AD121">
        <v>13300</v>
      </c>
      <c r="AE121">
        <v>13300</v>
      </c>
      <c r="AF121">
        <v>13300</v>
      </c>
      <c r="AG121">
        <v>13300</v>
      </c>
    </row>
    <row r="122" spans="1:33">
      <c r="A122">
        <v>121</v>
      </c>
      <c r="B122" t="s">
        <v>405</v>
      </c>
      <c r="C122" t="s">
        <v>19</v>
      </c>
      <c r="D122" t="s">
        <v>739</v>
      </c>
      <c r="E122">
        <v>13500</v>
      </c>
      <c r="F122">
        <v>13500</v>
      </c>
      <c r="G122">
        <v>13500</v>
      </c>
      <c r="H122">
        <v>13500</v>
      </c>
      <c r="I122">
        <v>13500</v>
      </c>
      <c r="J122">
        <v>13500</v>
      </c>
      <c r="K122">
        <v>13500</v>
      </c>
      <c r="L122">
        <v>13500</v>
      </c>
      <c r="M122">
        <v>13500</v>
      </c>
      <c r="N122">
        <v>13500</v>
      </c>
      <c r="O122">
        <v>13500</v>
      </c>
      <c r="P122">
        <v>13500</v>
      </c>
      <c r="Q122">
        <v>13500</v>
      </c>
      <c r="R122">
        <v>13500</v>
      </c>
      <c r="S122">
        <v>13500</v>
      </c>
      <c r="T122">
        <v>13500</v>
      </c>
      <c r="U122">
        <v>13500</v>
      </c>
      <c r="V122">
        <v>13500</v>
      </c>
      <c r="W122">
        <v>13500</v>
      </c>
      <c r="X122">
        <v>13500</v>
      </c>
      <c r="Y122">
        <v>13500</v>
      </c>
      <c r="Z122">
        <v>13500</v>
      </c>
      <c r="AA122">
        <v>13500</v>
      </c>
      <c r="AB122">
        <v>13500</v>
      </c>
      <c r="AC122">
        <v>13500</v>
      </c>
      <c r="AD122">
        <v>13500</v>
      </c>
      <c r="AE122">
        <v>13500</v>
      </c>
      <c r="AF122">
        <v>13500</v>
      </c>
      <c r="AG122">
        <v>13500</v>
      </c>
    </row>
    <row r="123" spans="1:33">
      <c r="A123">
        <v>122</v>
      </c>
      <c r="B123" t="s">
        <v>408</v>
      </c>
      <c r="C123" t="s">
        <v>410</v>
      </c>
      <c r="D123" t="s">
        <v>739</v>
      </c>
    </row>
    <row r="124" spans="1:33">
      <c r="A124">
        <v>123</v>
      </c>
      <c r="B124" t="s">
        <v>412</v>
      </c>
      <c r="C124" t="s">
        <v>414</v>
      </c>
      <c r="D124" t="s">
        <v>739</v>
      </c>
    </row>
    <row r="125" spans="1:33">
      <c r="A125">
        <v>124</v>
      </c>
      <c r="B125" t="s">
        <v>416</v>
      </c>
      <c r="C125" t="s">
        <v>418</v>
      </c>
      <c r="D125" t="s">
        <v>739</v>
      </c>
    </row>
    <row r="126" spans="1:33">
      <c r="A126">
        <v>125</v>
      </c>
      <c r="B126" t="s">
        <v>420</v>
      </c>
      <c r="C126" t="s">
        <v>421</v>
      </c>
      <c r="D126" t="s">
        <v>739</v>
      </c>
    </row>
    <row r="127" spans="1:33">
      <c r="A127">
        <v>126</v>
      </c>
      <c r="B127" t="s">
        <v>423</v>
      </c>
      <c r="C127" t="s">
        <v>425</v>
      </c>
      <c r="D127" t="s">
        <v>739</v>
      </c>
    </row>
    <row r="128" spans="1:33">
      <c r="A128">
        <v>127</v>
      </c>
      <c r="B128" t="s">
        <v>427</v>
      </c>
      <c r="C128" t="s">
        <v>428</v>
      </c>
      <c r="D128" t="s">
        <v>739</v>
      </c>
    </row>
    <row r="129" spans="1:4">
      <c r="A129">
        <v>128</v>
      </c>
      <c r="B129" t="s">
        <v>430</v>
      </c>
      <c r="C129" t="s">
        <v>410</v>
      </c>
      <c r="D129" t="s">
        <v>739</v>
      </c>
    </row>
    <row r="130" spans="1:4">
      <c r="A130">
        <v>129</v>
      </c>
      <c r="B130" t="s">
        <v>431</v>
      </c>
      <c r="C130" t="s">
        <v>433</v>
      </c>
      <c r="D130" t="s">
        <v>739</v>
      </c>
    </row>
    <row r="131" spans="1:4">
      <c r="A131">
        <v>130</v>
      </c>
      <c r="B131" t="s">
        <v>435</v>
      </c>
      <c r="C131" t="s">
        <v>410</v>
      </c>
      <c r="D131" t="s">
        <v>739</v>
      </c>
    </row>
    <row r="132" spans="1:4">
      <c r="A132">
        <v>131</v>
      </c>
      <c r="B132" t="s">
        <v>437</v>
      </c>
      <c r="C132" t="s">
        <v>438</v>
      </c>
      <c r="D132" t="s">
        <v>739</v>
      </c>
    </row>
    <row r="133" spans="1:4">
      <c r="A133">
        <v>132</v>
      </c>
      <c r="B133" t="s">
        <v>440</v>
      </c>
      <c r="C133" t="s">
        <v>441</v>
      </c>
      <c r="D133" t="s">
        <v>739</v>
      </c>
    </row>
    <row r="134" spans="1:4">
      <c r="A134">
        <v>133</v>
      </c>
      <c r="B134" t="s">
        <v>443</v>
      </c>
      <c r="C134" t="s">
        <v>445</v>
      </c>
      <c r="D134" t="s">
        <v>739</v>
      </c>
    </row>
    <row r="135" spans="1:4">
      <c r="A135">
        <v>134</v>
      </c>
      <c r="B135" t="s">
        <v>447</v>
      </c>
      <c r="C135" t="s">
        <v>410</v>
      </c>
      <c r="D135" t="s">
        <v>739</v>
      </c>
    </row>
    <row r="136" spans="1:4">
      <c r="A136">
        <v>135</v>
      </c>
      <c r="B136" t="s">
        <v>449</v>
      </c>
      <c r="C136" t="s">
        <v>450</v>
      </c>
      <c r="D136" t="s">
        <v>739</v>
      </c>
    </row>
    <row r="137" spans="1:4">
      <c r="A137">
        <v>136</v>
      </c>
      <c r="B137" t="s">
        <v>452</v>
      </c>
      <c r="C137" t="s">
        <v>453</v>
      </c>
      <c r="D137" t="s">
        <v>739</v>
      </c>
    </row>
    <row r="138" spans="1:4">
      <c r="A138">
        <v>137</v>
      </c>
      <c r="B138" t="s">
        <v>455</v>
      </c>
      <c r="C138" t="s">
        <v>456</v>
      </c>
      <c r="D138" t="s">
        <v>739</v>
      </c>
    </row>
    <row r="139" spans="1:4">
      <c r="A139">
        <v>138</v>
      </c>
      <c r="B139" t="s">
        <v>458</v>
      </c>
      <c r="C139" t="s">
        <v>425</v>
      </c>
      <c r="D139" t="s">
        <v>739</v>
      </c>
    </row>
    <row r="140" spans="1:4">
      <c r="A140">
        <v>139</v>
      </c>
      <c r="B140" t="s">
        <v>459</v>
      </c>
      <c r="C140" t="s">
        <v>461</v>
      </c>
      <c r="D140" t="s">
        <v>739</v>
      </c>
    </row>
    <row r="141" spans="1:4">
      <c r="A141">
        <v>140</v>
      </c>
      <c r="B141" t="s">
        <v>463</v>
      </c>
      <c r="C141" t="s">
        <v>410</v>
      </c>
      <c r="D141" t="s">
        <v>739</v>
      </c>
    </row>
    <row r="142" spans="1:4">
      <c r="A142">
        <v>141</v>
      </c>
      <c r="B142" t="s">
        <v>464</v>
      </c>
      <c r="C142" t="s">
        <v>466</v>
      </c>
      <c r="D142" t="s">
        <v>739</v>
      </c>
    </row>
    <row r="143" spans="1:4">
      <c r="A143">
        <v>142</v>
      </c>
      <c r="B143" t="s">
        <v>467</v>
      </c>
      <c r="C143" t="s">
        <v>468</v>
      </c>
      <c r="D143" t="s">
        <v>739</v>
      </c>
    </row>
    <row r="144" spans="1:4">
      <c r="A144">
        <v>143</v>
      </c>
      <c r="B144" t="s">
        <v>470</v>
      </c>
      <c r="C144" t="s">
        <v>466</v>
      </c>
      <c r="D144" t="s">
        <v>739</v>
      </c>
    </row>
    <row r="145" spans="1:4">
      <c r="A145">
        <v>144</v>
      </c>
      <c r="B145" t="s">
        <v>472</v>
      </c>
      <c r="C145" t="s">
        <v>468</v>
      </c>
      <c r="D145" t="s">
        <v>739</v>
      </c>
    </row>
    <row r="146" spans="1:4">
      <c r="A146">
        <v>145</v>
      </c>
      <c r="B146" t="s">
        <v>474</v>
      </c>
      <c r="C146" t="s">
        <v>418</v>
      </c>
      <c r="D146" t="s">
        <v>739</v>
      </c>
    </row>
    <row r="147" spans="1:4">
      <c r="A147">
        <v>146</v>
      </c>
      <c r="B147" t="s">
        <v>476</v>
      </c>
      <c r="C147" t="s">
        <v>477</v>
      </c>
      <c r="D147" t="s">
        <v>739</v>
      </c>
    </row>
    <row r="148" spans="1:4">
      <c r="A148">
        <v>147</v>
      </c>
      <c r="B148" t="s">
        <v>476</v>
      </c>
      <c r="C148" t="s">
        <v>477</v>
      </c>
      <c r="D148" t="s">
        <v>739</v>
      </c>
    </row>
    <row r="149" spans="1:4">
      <c r="A149">
        <v>148</v>
      </c>
      <c r="B149" t="s">
        <v>476</v>
      </c>
      <c r="C149" t="s">
        <v>477</v>
      </c>
      <c r="D149" t="s">
        <v>739</v>
      </c>
    </row>
    <row r="150" spans="1:4">
      <c r="A150">
        <v>149</v>
      </c>
      <c r="B150" t="s">
        <v>481</v>
      </c>
      <c r="C150" t="s">
        <v>461</v>
      </c>
      <c r="D150" t="s">
        <v>739</v>
      </c>
    </row>
    <row r="151" spans="1:4">
      <c r="A151">
        <v>150</v>
      </c>
      <c r="B151" t="s">
        <v>483</v>
      </c>
      <c r="C151" t="s">
        <v>484</v>
      </c>
      <c r="D151" t="s">
        <v>739</v>
      </c>
    </row>
    <row r="152" spans="1:4">
      <c r="A152">
        <v>151</v>
      </c>
      <c r="B152" t="s">
        <v>486</v>
      </c>
      <c r="C152" t="s">
        <v>487</v>
      </c>
      <c r="D152" t="s">
        <v>739</v>
      </c>
    </row>
    <row r="153" spans="1:4">
      <c r="A153">
        <v>152</v>
      </c>
      <c r="B153" t="s">
        <v>489</v>
      </c>
      <c r="C153" t="s">
        <v>490</v>
      </c>
      <c r="D153" t="s">
        <v>739</v>
      </c>
    </row>
    <row r="154" spans="1:4">
      <c r="A154">
        <v>153</v>
      </c>
      <c r="B154" t="s">
        <v>489</v>
      </c>
      <c r="C154" t="s">
        <v>490</v>
      </c>
      <c r="D154" t="s">
        <v>739</v>
      </c>
    </row>
    <row r="155" spans="1:4">
      <c r="A155">
        <v>154</v>
      </c>
      <c r="B155" t="s">
        <v>493</v>
      </c>
      <c r="C155" t="s">
        <v>484</v>
      </c>
      <c r="D155" t="s">
        <v>739</v>
      </c>
    </row>
    <row r="156" spans="1:4">
      <c r="A156">
        <v>155</v>
      </c>
      <c r="B156" t="s">
        <v>495</v>
      </c>
      <c r="C156" t="s">
        <v>496</v>
      </c>
      <c r="D156" t="s">
        <v>739</v>
      </c>
    </row>
    <row r="157" spans="1:4">
      <c r="A157">
        <v>156</v>
      </c>
      <c r="B157" t="s">
        <v>498</v>
      </c>
      <c r="C157" t="s">
        <v>410</v>
      </c>
      <c r="D157" t="s">
        <v>739</v>
      </c>
    </row>
    <row r="158" spans="1:4">
      <c r="A158">
        <v>157</v>
      </c>
      <c r="B158" t="s">
        <v>499</v>
      </c>
      <c r="C158" t="s">
        <v>500</v>
      </c>
      <c r="D158" t="s">
        <v>739</v>
      </c>
    </row>
    <row r="159" spans="1:4">
      <c r="A159">
        <v>158</v>
      </c>
      <c r="B159" t="s">
        <v>499</v>
      </c>
      <c r="C159" t="s">
        <v>500</v>
      </c>
      <c r="D159" t="s">
        <v>739</v>
      </c>
    </row>
    <row r="160" spans="1:4">
      <c r="A160">
        <v>159</v>
      </c>
      <c r="B160" t="s">
        <v>499</v>
      </c>
      <c r="C160" t="s">
        <v>500</v>
      </c>
      <c r="D160" t="s">
        <v>739</v>
      </c>
    </row>
    <row r="161" spans="1:4">
      <c r="A161">
        <v>160</v>
      </c>
      <c r="B161" t="s">
        <v>504</v>
      </c>
      <c r="C161" t="s">
        <v>490</v>
      </c>
      <c r="D161" t="s">
        <v>739</v>
      </c>
    </row>
    <row r="162" spans="1:4">
      <c r="A162">
        <v>161</v>
      </c>
      <c r="B162" t="s">
        <v>504</v>
      </c>
      <c r="C162" t="s">
        <v>490</v>
      </c>
      <c r="D162" t="s">
        <v>739</v>
      </c>
    </row>
    <row r="163" spans="1:4">
      <c r="A163">
        <v>162</v>
      </c>
      <c r="B163" t="s">
        <v>504</v>
      </c>
      <c r="C163" t="s">
        <v>490</v>
      </c>
      <c r="D163" t="s">
        <v>739</v>
      </c>
    </row>
    <row r="164" spans="1:4">
      <c r="A164">
        <v>163</v>
      </c>
      <c r="B164" t="s">
        <v>504</v>
      </c>
      <c r="C164" t="s">
        <v>490</v>
      </c>
      <c r="D164" t="s">
        <v>739</v>
      </c>
    </row>
    <row r="165" spans="1:4">
      <c r="A165">
        <v>164</v>
      </c>
      <c r="B165" t="s">
        <v>509</v>
      </c>
      <c r="C165" t="s">
        <v>510</v>
      </c>
      <c r="D165" t="s">
        <v>739</v>
      </c>
    </row>
    <row r="166" spans="1:4">
      <c r="A166">
        <v>165</v>
      </c>
      <c r="B166" t="s">
        <v>512</v>
      </c>
      <c r="C166" t="s">
        <v>513</v>
      </c>
      <c r="D166" t="s">
        <v>739</v>
      </c>
    </row>
    <row r="167" spans="1:4">
      <c r="A167">
        <v>166</v>
      </c>
      <c r="B167" t="s">
        <v>515</v>
      </c>
      <c r="C167" t="s">
        <v>500</v>
      </c>
      <c r="D167" t="s">
        <v>739</v>
      </c>
    </row>
    <row r="168" spans="1:4">
      <c r="A168">
        <v>167</v>
      </c>
      <c r="B168" t="s">
        <v>517</v>
      </c>
      <c r="C168" t="s">
        <v>477</v>
      </c>
      <c r="D168" t="s">
        <v>739</v>
      </c>
    </row>
    <row r="169" spans="1:4">
      <c r="A169">
        <v>168</v>
      </c>
      <c r="B169" t="s">
        <v>519</v>
      </c>
      <c r="C169" t="s">
        <v>433</v>
      </c>
      <c r="D169" t="s">
        <v>739</v>
      </c>
    </row>
    <row r="170" spans="1:4">
      <c r="A170">
        <v>169</v>
      </c>
      <c r="B170" t="s">
        <v>521</v>
      </c>
      <c r="C170" t="s">
        <v>468</v>
      </c>
      <c r="D170" t="s">
        <v>739</v>
      </c>
    </row>
    <row r="171" spans="1:4">
      <c r="A171">
        <v>170</v>
      </c>
      <c r="B171" t="s">
        <v>523</v>
      </c>
      <c r="C171" t="s">
        <v>524</v>
      </c>
      <c r="D171" t="s">
        <v>739</v>
      </c>
    </row>
    <row r="172" spans="1:4">
      <c r="A172">
        <v>171</v>
      </c>
      <c r="B172" t="s">
        <v>526</v>
      </c>
      <c r="C172" t="s">
        <v>527</v>
      </c>
      <c r="D172" t="s">
        <v>739</v>
      </c>
    </row>
    <row r="173" spans="1:4">
      <c r="A173">
        <v>172</v>
      </c>
      <c r="B173" t="s">
        <v>529</v>
      </c>
      <c r="C173" t="s">
        <v>468</v>
      </c>
      <c r="D173" t="s">
        <v>739</v>
      </c>
    </row>
    <row r="174" spans="1:4">
      <c r="A174">
        <v>173</v>
      </c>
      <c r="B174" t="s">
        <v>531</v>
      </c>
      <c r="C174" t="s">
        <v>468</v>
      </c>
      <c r="D174" t="s">
        <v>739</v>
      </c>
    </row>
    <row r="175" spans="1:4">
      <c r="A175">
        <v>174</v>
      </c>
      <c r="B175" t="s">
        <v>533</v>
      </c>
      <c r="C175" t="s">
        <v>410</v>
      </c>
      <c r="D175" t="s">
        <v>739</v>
      </c>
    </row>
    <row r="176" spans="1:4">
      <c r="A176">
        <v>175</v>
      </c>
      <c r="B176" t="s">
        <v>534</v>
      </c>
      <c r="C176" t="s">
        <v>468</v>
      </c>
      <c r="D176" t="s">
        <v>739</v>
      </c>
    </row>
    <row r="177" spans="1:4">
      <c r="A177">
        <v>176</v>
      </c>
      <c r="B177" t="s">
        <v>535</v>
      </c>
      <c r="C177" t="s">
        <v>536</v>
      </c>
      <c r="D177" t="s">
        <v>739</v>
      </c>
    </row>
    <row r="178" spans="1:4">
      <c r="A178">
        <v>177</v>
      </c>
      <c r="B178" t="s">
        <v>538</v>
      </c>
      <c r="C178" t="s">
        <v>425</v>
      </c>
      <c r="D178" t="s">
        <v>739</v>
      </c>
    </row>
    <row r="179" spans="1:4">
      <c r="A179">
        <v>178</v>
      </c>
      <c r="B179" t="s">
        <v>539</v>
      </c>
      <c r="C179" t="s">
        <v>410</v>
      </c>
      <c r="D179" t="s">
        <v>739</v>
      </c>
    </row>
    <row r="180" spans="1:4">
      <c r="A180">
        <v>179</v>
      </c>
      <c r="B180" t="s">
        <v>540</v>
      </c>
      <c r="C180" t="s">
        <v>541</v>
      </c>
      <c r="D180" t="s">
        <v>739</v>
      </c>
    </row>
    <row r="181" spans="1:4">
      <c r="A181">
        <v>180</v>
      </c>
      <c r="B181" t="s">
        <v>540</v>
      </c>
      <c r="C181" t="s">
        <v>543</v>
      </c>
      <c r="D181" t="s">
        <v>739</v>
      </c>
    </row>
    <row r="182" spans="1:4">
      <c r="A182">
        <v>181</v>
      </c>
      <c r="B182" t="s">
        <v>545</v>
      </c>
      <c r="C182" t="s">
        <v>546</v>
      </c>
      <c r="D182" t="s">
        <v>739</v>
      </c>
    </row>
    <row r="183" spans="1:4">
      <c r="A183">
        <v>182</v>
      </c>
      <c r="B183" t="s">
        <v>548</v>
      </c>
      <c r="C183" t="s">
        <v>477</v>
      </c>
      <c r="D183" t="s">
        <v>739</v>
      </c>
    </row>
    <row r="184" spans="1:4">
      <c r="A184">
        <v>183</v>
      </c>
      <c r="B184" t="s">
        <v>550</v>
      </c>
      <c r="C184" t="s">
        <v>477</v>
      </c>
      <c r="D184" t="s">
        <v>739</v>
      </c>
    </row>
    <row r="185" spans="1:4">
      <c r="A185">
        <v>184</v>
      </c>
      <c r="B185" t="s">
        <v>551</v>
      </c>
      <c r="C185" t="s">
        <v>552</v>
      </c>
      <c r="D185" t="s">
        <v>739</v>
      </c>
    </row>
    <row r="186" spans="1:4">
      <c r="A186">
        <v>185</v>
      </c>
      <c r="B186" t="s">
        <v>554</v>
      </c>
      <c r="C186" t="s">
        <v>500</v>
      </c>
      <c r="D186" t="s">
        <v>739</v>
      </c>
    </row>
    <row r="187" spans="1:4">
      <c r="A187">
        <v>186</v>
      </c>
      <c r="B187" t="s">
        <v>556</v>
      </c>
      <c r="C187" t="s">
        <v>468</v>
      </c>
      <c r="D187" t="s">
        <v>739</v>
      </c>
    </row>
    <row r="188" spans="1:4">
      <c r="A188">
        <v>187</v>
      </c>
      <c r="B188" t="s">
        <v>558</v>
      </c>
      <c r="C188" t="s">
        <v>524</v>
      </c>
      <c r="D188" t="s">
        <v>739</v>
      </c>
    </row>
    <row r="189" spans="1:4">
      <c r="A189">
        <v>188</v>
      </c>
      <c r="B189" t="s">
        <v>560</v>
      </c>
      <c r="C189" t="s">
        <v>561</v>
      </c>
      <c r="D189" t="s">
        <v>739</v>
      </c>
    </row>
    <row r="190" spans="1:4">
      <c r="A190">
        <v>189</v>
      </c>
      <c r="B190" t="s">
        <v>563</v>
      </c>
      <c r="C190" t="s">
        <v>564</v>
      </c>
      <c r="D190" t="s">
        <v>739</v>
      </c>
    </row>
    <row r="191" spans="1:4">
      <c r="A191">
        <v>190</v>
      </c>
      <c r="B191" t="s">
        <v>566</v>
      </c>
      <c r="C191" t="s">
        <v>466</v>
      </c>
      <c r="D191" t="s">
        <v>739</v>
      </c>
    </row>
    <row r="192" spans="1:4">
      <c r="A192">
        <v>191</v>
      </c>
      <c r="B192" t="s">
        <v>567</v>
      </c>
      <c r="C192" t="s">
        <v>568</v>
      </c>
      <c r="D192" t="s">
        <v>739</v>
      </c>
    </row>
    <row r="193" spans="1:4">
      <c r="A193">
        <v>192</v>
      </c>
      <c r="B193" t="s">
        <v>570</v>
      </c>
      <c r="C193" t="s">
        <v>571</v>
      </c>
      <c r="D193" t="s">
        <v>739</v>
      </c>
    </row>
    <row r="194" spans="1:4">
      <c r="A194">
        <v>193</v>
      </c>
      <c r="B194" t="s">
        <v>573</v>
      </c>
      <c r="C194" t="s">
        <v>524</v>
      </c>
      <c r="D194" t="s">
        <v>739</v>
      </c>
    </row>
    <row r="195" spans="1:4">
      <c r="A195">
        <v>194</v>
      </c>
      <c r="B195" t="s">
        <v>575</v>
      </c>
      <c r="C195" t="s">
        <v>468</v>
      </c>
      <c r="D195" t="s">
        <v>739</v>
      </c>
    </row>
    <row r="196" spans="1:4">
      <c r="A196">
        <v>195</v>
      </c>
      <c r="B196" t="s">
        <v>577</v>
      </c>
      <c r="C196" t="s">
        <v>410</v>
      </c>
      <c r="D196" t="s">
        <v>739</v>
      </c>
    </row>
    <row r="197" spans="1:4">
      <c r="A197">
        <v>196</v>
      </c>
      <c r="B197" t="s">
        <v>577</v>
      </c>
      <c r="C197" t="s">
        <v>410</v>
      </c>
      <c r="D197" t="s">
        <v>739</v>
      </c>
    </row>
    <row r="198" spans="1:4">
      <c r="A198">
        <v>197</v>
      </c>
      <c r="B198" t="s">
        <v>579</v>
      </c>
      <c r="C198" t="s">
        <v>580</v>
      </c>
      <c r="D198" t="s">
        <v>739</v>
      </c>
    </row>
    <row r="199" spans="1:4">
      <c r="A199">
        <v>198</v>
      </c>
      <c r="B199" t="s">
        <v>582</v>
      </c>
      <c r="C199" t="s">
        <v>583</v>
      </c>
      <c r="D199" t="s">
        <v>739</v>
      </c>
    </row>
    <row r="200" spans="1:4">
      <c r="A200">
        <v>199</v>
      </c>
      <c r="B200" t="s">
        <v>584</v>
      </c>
      <c r="C200" t="s">
        <v>490</v>
      </c>
      <c r="D200" t="s">
        <v>739</v>
      </c>
    </row>
    <row r="201" spans="1:4">
      <c r="A201">
        <v>200</v>
      </c>
      <c r="B201" t="s">
        <v>586</v>
      </c>
      <c r="C201" t="s">
        <v>587</v>
      </c>
      <c r="D201" t="s">
        <v>739</v>
      </c>
    </row>
    <row r="202" spans="1:4">
      <c r="A202">
        <v>201</v>
      </c>
      <c r="B202" t="s">
        <v>589</v>
      </c>
      <c r="C202" t="s">
        <v>590</v>
      </c>
      <c r="D202" t="s">
        <v>739</v>
      </c>
    </row>
    <row r="203" spans="1:4">
      <c r="A203">
        <v>202</v>
      </c>
      <c r="B203" t="s">
        <v>592</v>
      </c>
      <c r="C203" t="s">
        <v>466</v>
      </c>
      <c r="D203" t="s">
        <v>739</v>
      </c>
    </row>
    <row r="204" spans="1:4">
      <c r="A204">
        <v>203</v>
      </c>
      <c r="B204" t="s">
        <v>593</v>
      </c>
      <c r="C204" t="s">
        <v>510</v>
      </c>
      <c r="D204" t="s">
        <v>739</v>
      </c>
    </row>
    <row r="205" spans="1:4">
      <c r="A205">
        <v>204</v>
      </c>
      <c r="B205" t="s">
        <v>593</v>
      </c>
      <c r="C205" t="s">
        <v>510</v>
      </c>
      <c r="D205" t="s">
        <v>739</v>
      </c>
    </row>
    <row r="206" spans="1:4">
      <c r="A206">
        <v>205</v>
      </c>
      <c r="B206" t="s">
        <v>593</v>
      </c>
      <c r="C206" t="s">
        <v>541</v>
      </c>
      <c r="D206" t="s">
        <v>739</v>
      </c>
    </row>
    <row r="207" spans="1:4">
      <c r="A207">
        <v>206</v>
      </c>
      <c r="B207" t="s">
        <v>597</v>
      </c>
      <c r="C207" t="s">
        <v>598</v>
      </c>
      <c r="D207" t="s">
        <v>739</v>
      </c>
    </row>
    <row r="208" spans="1:4">
      <c r="A208">
        <v>207</v>
      </c>
      <c r="B208" t="s">
        <v>600</v>
      </c>
      <c r="C208" t="s">
        <v>500</v>
      </c>
      <c r="D208" t="s">
        <v>739</v>
      </c>
    </row>
    <row r="209" spans="1:4">
      <c r="A209">
        <v>208</v>
      </c>
      <c r="B209" t="s">
        <v>602</v>
      </c>
      <c r="C209" t="s">
        <v>500</v>
      </c>
      <c r="D209" t="s">
        <v>739</v>
      </c>
    </row>
    <row r="210" spans="1:4">
      <c r="A210">
        <v>209</v>
      </c>
      <c r="B210" t="s">
        <v>604</v>
      </c>
      <c r="C210" t="s">
        <v>421</v>
      </c>
      <c r="D210" t="s">
        <v>739</v>
      </c>
    </row>
    <row r="211" spans="1:4">
      <c r="A211">
        <v>210</v>
      </c>
      <c r="B211" t="s">
        <v>605</v>
      </c>
      <c r="C211" t="s">
        <v>468</v>
      </c>
      <c r="D211" t="s">
        <v>739</v>
      </c>
    </row>
    <row r="212" spans="1:4">
      <c r="A212">
        <v>211</v>
      </c>
      <c r="B212" t="s">
        <v>607</v>
      </c>
      <c r="C212" t="s">
        <v>510</v>
      </c>
      <c r="D212" t="s">
        <v>739</v>
      </c>
    </row>
    <row r="213" spans="1:4">
      <c r="A213">
        <v>212</v>
      </c>
      <c r="B213" t="s">
        <v>609</v>
      </c>
      <c r="C213" t="s">
        <v>477</v>
      </c>
      <c r="D213" t="s">
        <v>739</v>
      </c>
    </row>
    <row r="214" spans="1:4">
      <c r="A214">
        <v>213</v>
      </c>
      <c r="B214" t="s">
        <v>610</v>
      </c>
      <c r="C214" t="s">
        <v>477</v>
      </c>
      <c r="D214" t="s">
        <v>739</v>
      </c>
    </row>
    <row r="215" spans="1:4">
      <c r="A215">
        <v>214</v>
      </c>
      <c r="B215" t="s">
        <v>611</v>
      </c>
      <c r="C215" t="s">
        <v>418</v>
      </c>
      <c r="D215" t="s">
        <v>739</v>
      </c>
    </row>
    <row r="216" spans="1:4">
      <c r="A216">
        <v>215</v>
      </c>
    </row>
    <row r="217" spans="1:4">
      <c r="A217">
        <v>216</v>
      </c>
    </row>
    <row r="218" spans="1:4">
      <c r="A218">
        <v>217</v>
      </c>
    </row>
    <row r="219" spans="1:4">
      <c r="A219">
        <v>218</v>
      </c>
    </row>
    <row r="220" spans="1:4">
      <c r="A220">
        <v>219</v>
      </c>
    </row>
    <row r="221" spans="1:4">
      <c r="A221">
        <v>220</v>
      </c>
    </row>
    <row r="222" spans="1:4">
      <c r="A222">
        <v>221</v>
      </c>
    </row>
    <row r="223" spans="1:4">
      <c r="A223">
        <v>222</v>
      </c>
    </row>
    <row r="224" spans="1:4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26"/>
  <sheetViews>
    <sheetView workbookViewId="0">
      <selection activeCell="A2" sqref="A2"/>
    </sheetView>
  </sheetViews>
  <sheetFormatPr defaultColWidth="12.42578125" defaultRowHeight="15"/>
  <cols>
    <col min="3" max="3" width="14.140625" customWidth="1"/>
    <col min="5" max="5" width="13.5703125" bestFit="1" customWidth="1"/>
    <col min="6" max="6" width="13.28515625" bestFit="1" customWidth="1"/>
    <col min="8" max="8" width="13.28515625" bestFit="1" customWidth="1"/>
    <col min="21" max="28" width="14.42578125" bestFit="1" customWidth="1"/>
  </cols>
  <sheetData>
    <row r="1" spans="3:33" ht="18.75">
      <c r="C1" s="36" t="s">
        <v>730</v>
      </c>
      <c r="D1" s="12" t="s">
        <v>646</v>
      </c>
      <c r="E1" s="12" t="s">
        <v>647</v>
      </c>
      <c r="F1" s="12" t="s">
        <v>648</v>
      </c>
      <c r="G1" s="12" t="s">
        <v>649</v>
      </c>
      <c r="H1" s="12" t="s">
        <v>650</v>
      </c>
      <c r="I1" s="12" t="s">
        <v>651</v>
      </c>
      <c r="J1" s="12" t="s">
        <v>652</v>
      </c>
      <c r="K1" s="12" t="s">
        <v>653</v>
      </c>
      <c r="L1" s="12" t="s">
        <v>654</v>
      </c>
      <c r="M1" s="12" t="s">
        <v>655</v>
      </c>
      <c r="N1" s="12" t="s">
        <v>656</v>
      </c>
      <c r="O1" s="12" t="s">
        <v>657</v>
      </c>
      <c r="P1" s="12" t="s">
        <v>658</v>
      </c>
      <c r="Q1" s="12" t="s">
        <v>659</v>
      </c>
      <c r="R1" s="12" t="s">
        <v>660</v>
      </c>
      <c r="S1" s="12" t="s">
        <v>661</v>
      </c>
      <c r="T1" s="12" t="s">
        <v>662</v>
      </c>
      <c r="U1" s="12" t="s">
        <v>663</v>
      </c>
      <c r="V1" s="12" t="s">
        <v>664</v>
      </c>
      <c r="W1" s="12" t="s">
        <v>665</v>
      </c>
      <c r="X1" s="12" t="s">
        <v>666</v>
      </c>
      <c r="Y1" s="12" t="s">
        <v>667</v>
      </c>
      <c r="Z1" s="12" t="s">
        <v>668</v>
      </c>
      <c r="AA1" s="12" t="s">
        <v>669</v>
      </c>
      <c r="AB1" s="12" t="s">
        <v>670</v>
      </c>
      <c r="AC1" s="12" t="s">
        <v>671</v>
      </c>
      <c r="AD1" s="12" t="s">
        <v>672</v>
      </c>
      <c r="AE1" s="12" t="s">
        <v>673</v>
      </c>
      <c r="AF1" s="12" t="s">
        <v>674</v>
      </c>
      <c r="AG1" s="13" t="s">
        <v>731</v>
      </c>
    </row>
    <row r="2" spans="3:33">
      <c r="C2" s="37" t="s">
        <v>732</v>
      </c>
      <c r="D2" s="37" t="s">
        <v>733</v>
      </c>
      <c r="E2" s="38">
        <v>0.53986356932153357</v>
      </c>
      <c r="F2" s="38">
        <v>0.53986356932153357</v>
      </c>
      <c r="G2" s="38">
        <v>0.53986356932153357</v>
      </c>
      <c r="H2" s="38">
        <v>0.53986356932153357</v>
      </c>
      <c r="I2" s="38">
        <v>0.53986356932153357</v>
      </c>
      <c r="J2" s="38">
        <v>0.53986356932153357</v>
      </c>
      <c r="K2" s="38">
        <v>0.53986356932153357</v>
      </c>
      <c r="L2" s="38">
        <v>0.53986356932153357</v>
      </c>
      <c r="M2" s="38">
        <v>0.53986356932153357</v>
      </c>
      <c r="N2" s="38">
        <v>0.53986356932153357</v>
      </c>
      <c r="O2" s="38">
        <v>0.53986356932153357</v>
      </c>
      <c r="P2" s="38">
        <v>0.53986356932153357</v>
      </c>
      <c r="Q2" s="38">
        <v>0.53752212389380538</v>
      </c>
      <c r="R2" s="38">
        <v>0.53752212389380538</v>
      </c>
      <c r="S2" s="38">
        <v>0.53752212389380538</v>
      </c>
      <c r="T2" s="38">
        <v>0.53752212389380538</v>
      </c>
      <c r="U2" s="38">
        <v>0.53752212389380538</v>
      </c>
      <c r="V2" s="38">
        <v>0.53752212389380538</v>
      </c>
      <c r="W2" s="38">
        <v>0.536283185840708</v>
      </c>
      <c r="X2" s="38">
        <v>0.536283185840708</v>
      </c>
      <c r="Y2" s="38">
        <v>0.536283185840708</v>
      </c>
      <c r="Z2" s="38">
        <v>0.536283185840708</v>
      </c>
      <c r="AA2" s="38">
        <v>0.52628318584070799</v>
      </c>
      <c r="AB2" s="38">
        <v>0.52628318584070799</v>
      </c>
      <c r="AC2" s="38">
        <v>0.52628318584070799</v>
      </c>
      <c r="AD2" s="38">
        <v>0.52628318584070799</v>
      </c>
      <c r="AE2" s="38">
        <v>0.52584070796460181</v>
      </c>
      <c r="AF2" s="38">
        <v>0.52584070796460181</v>
      </c>
      <c r="AG2" s="38">
        <v>0.52584070796460181</v>
      </c>
    </row>
    <row r="3" spans="3:33">
      <c r="C3" s="37" t="s">
        <v>81</v>
      </c>
      <c r="D3" s="37" t="s">
        <v>733</v>
      </c>
      <c r="E3" s="38">
        <v>0.55044247787610623</v>
      </c>
      <c r="F3" s="38">
        <v>0.55044247787610623</v>
      </c>
      <c r="G3" s="38">
        <v>0.55044247787610623</v>
      </c>
      <c r="H3" s="38">
        <v>0.55044247787610623</v>
      </c>
      <c r="I3" s="38">
        <v>0.55044247787610623</v>
      </c>
      <c r="J3" s="38">
        <v>0.55044247787610623</v>
      </c>
      <c r="K3" s="38">
        <v>0.55044247787610623</v>
      </c>
      <c r="L3" s="38">
        <v>0.55044247787610623</v>
      </c>
      <c r="M3" s="38">
        <v>0.55044247787610623</v>
      </c>
      <c r="N3" s="38">
        <v>0.54849557522123893</v>
      </c>
      <c r="O3" s="38">
        <v>0.54849557522123893</v>
      </c>
      <c r="P3" s="38">
        <v>0.54849557522123893</v>
      </c>
      <c r="Q3" s="38">
        <v>0.54849557522123893</v>
      </c>
      <c r="R3" s="38">
        <v>0.54687315634218292</v>
      </c>
      <c r="S3" s="38">
        <v>0.54362831858407079</v>
      </c>
      <c r="T3" s="38">
        <v>0.54362831858407079</v>
      </c>
      <c r="U3" s="38">
        <v>0.54362831858407079</v>
      </c>
      <c r="V3" s="38">
        <v>0.54362831858407079</v>
      </c>
      <c r="W3" s="38">
        <v>0.54362831858407079</v>
      </c>
      <c r="X3" s="38">
        <v>0.54362831858407079</v>
      </c>
      <c r="Y3" s="38">
        <v>0.54362831858407079</v>
      </c>
      <c r="Z3" s="38">
        <v>0.50905604719764008</v>
      </c>
      <c r="AA3" s="38">
        <v>0.49176991150442478</v>
      </c>
      <c r="AB3" s="38">
        <v>0.49176991150442478</v>
      </c>
      <c r="AC3" s="38">
        <v>0.49176991150442478</v>
      </c>
      <c r="AD3" s="38">
        <v>0.49176991150442478</v>
      </c>
      <c r="AE3" s="38">
        <v>0.49176991150442478</v>
      </c>
      <c r="AF3" s="38">
        <v>0.49176991150442478</v>
      </c>
      <c r="AG3" s="38">
        <v>0.49176991150442478</v>
      </c>
    </row>
    <row r="4" spans="3:33">
      <c r="C4" s="37" t="s">
        <v>116</v>
      </c>
      <c r="D4" s="37" t="s">
        <v>733</v>
      </c>
      <c r="E4" s="38">
        <v>0.51893805309734509</v>
      </c>
      <c r="F4" s="38">
        <v>0.51893805309734509</v>
      </c>
      <c r="G4" s="38">
        <v>0.51893805309734509</v>
      </c>
      <c r="H4" s="38">
        <v>0.51893805309734509</v>
      </c>
      <c r="I4" s="38">
        <v>0.51893805309734509</v>
      </c>
      <c r="J4" s="38">
        <v>0.51893805309734509</v>
      </c>
      <c r="K4" s="38">
        <v>0.51893805309734509</v>
      </c>
      <c r="L4" s="38">
        <v>0.51893805309734509</v>
      </c>
      <c r="M4" s="38">
        <v>0.51893805309734509</v>
      </c>
      <c r="N4" s="38">
        <v>0.49752212389380535</v>
      </c>
      <c r="O4" s="38">
        <v>0.49752212389380535</v>
      </c>
      <c r="P4" s="38">
        <v>0.49752212389380535</v>
      </c>
      <c r="Q4" s="38">
        <v>0.49752212389380535</v>
      </c>
      <c r="R4" s="38">
        <v>0.49752212389380535</v>
      </c>
      <c r="S4" s="38">
        <v>0.49752212389380535</v>
      </c>
      <c r="T4" s="38">
        <v>0.49752212389380535</v>
      </c>
      <c r="U4" s="38">
        <v>0.49752212389380535</v>
      </c>
      <c r="V4" s="38">
        <v>0.48477876106194689</v>
      </c>
      <c r="W4" s="38">
        <v>0.46035398230088498</v>
      </c>
      <c r="X4" s="38">
        <v>0.46035398230088498</v>
      </c>
      <c r="Y4" s="38">
        <v>0.46035398230088498</v>
      </c>
      <c r="Z4" s="38">
        <v>0.46035398230088498</v>
      </c>
      <c r="AA4" s="38">
        <v>0.46035398230088498</v>
      </c>
      <c r="AB4" s="38">
        <v>0.46035398230088498</v>
      </c>
      <c r="AC4" s="38">
        <v>0.46035398230088498</v>
      </c>
      <c r="AD4" s="38">
        <v>0.46035398230088498</v>
      </c>
      <c r="AE4" s="38">
        <v>0.46035398230088498</v>
      </c>
      <c r="AF4" s="38">
        <v>0.46035398230088498</v>
      </c>
      <c r="AG4" s="38">
        <v>0.46035398230088498</v>
      </c>
    </row>
    <row r="5" spans="3:33">
      <c r="C5" s="37" t="s">
        <v>43</v>
      </c>
      <c r="D5" s="37" t="s">
        <v>733</v>
      </c>
      <c r="E5" s="38">
        <v>0.4031563421828912</v>
      </c>
      <c r="F5" s="38">
        <v>0.4031563421828912</v>
      </c>
      <c r="G5" s="38">
        <v>0.4031563421828912</v>
      </c>
      <c r="H5" s="38">
        <v>0.4031563421828912</v>
      </c>
      <c r="I5" s="38">
        <v>0.4031563421828912</v>
      </c>
      <c r="J5" s="38">
        <v>0.4031563421828912</v>
      </c>
      <c r="K5" s="38">
        <v>0.4031563421828912</v>
      </c>
      <c r="L5" s="38">
        <v>0.4031563421828912</v>
      </c>
      <c r="M5" s="38">
        <v>0.4031563421828912</v>
      </c>
      <c r="N5" s="38">
        <v>0.40318584070796465</v>
      </c>
      <c r="O5" s="38">
        <v>0.40318584070796465</v>
      </c>
      <c r="P5" s="38">
        <v>0.40318584070796465</v>
      </c>
      <c r="Q5" s="38">
        <v>0.40318584070796465</v>
      </c>
      <c r="R5" s="38">
        <v>0.40318584070796465</v>
      </c>
      <c r="S5" s="38">
        <v>0.40318584070796465</v>
      </c>
      <c r="T5" s="38">
        <v>0.40318584070796465</v>
      </c>
      <c r="U5" s="38">
        <v>0.40318584070796465</v>
      </c>
      <c r="V5" s="38">
        <v>0.40318584070796465</v>
      </c>
      <c r="W5" s="38">
        <v>0.38424778761061945</v>
      </c>
      <c r="X5" s="38">
        <v>0.38424778761061945</v>
      </c>
      <c r="Y5" s="38">
        <v>0.38424778761061945</v>
      </c>
      <c r="Z5" s="38">
        <v>0.38424778761061945</v>
      </c>
      <c r="AA5" s="38">
        <v>0.38424778761061945</v>
      </c>
      <c r="AB5" s="38">
        <v>0.38424778761061945</v>
      </c>
      <c r="AC5" s="38">
        <v>0.38424778761061945</v>
      </c>
      <c r="AD5" s="38">
        <v>0.38424778761061945</v>
      </c>
      <c r="AE5" s="38">
        <v>0.38424778761061945</v>
      </c>
      <c r="AF5" s="38">
        <v>0.38424778761061945</v>
      </c>
      <c r="AG5" s="38">
        <v>0.38424778761061945</v>
      </c>
    </row>
    <row r="6" spans="3:33">
      <c r="C6" s="37" t="s">
        <v>21</v>
      </c>
      <c r="D6" s="37" t="s">
        <v>733</v>
      </c>
      <c r="E6" s="38">
        <v>0.51734513274336291</v>
      </c>
      <c r="F6" s="38">
        <v>0.51734513274336291</v>
      </c>
      <c r="G6" s="38">
        <v>0.51734513274336291</v>
      </c>
      <c r="H6" s="38">
        <v>0.51734513274336291</v>
      </c>
      <c r="I6" s="38">
        <v>0.50061946902654864</v>
      </c>
      <c r="J6" s="38">
        <v>0.50061946902654864</v>
      </c>
      <c r="K6" s="38">
        <v>0.50061946902654864</v>
      </c>
      <c r="L6" s="38">
        <v>0.50061946902654864</v>
      </c>
      <c r="M6" s="38">
        <v>0.50061946902654864</v>
      </c>
      <c r="N6" s="38">
        <v>0.50061946902654864</v>
      </c>
      <c r="O6" s="38">
        <v>0.50061946902654864</v>
      </c>
      <c r="P6" s="38">
        <v>0.50061946902654864</v>
      </c>
      <c r="Q6" s="38">
        <v>0.50061946902654864</v>
      </c>
      <c r="R6" s="38">
        <v>0.49991150442477883</v>
      </c>
      <c r="S6" s="38">
        <v>0.498495575221239</v>
      </c>
      <c r="T6" s="38">
        <v>0.498495575221239</v>
      </c>
      <c r="U6" s="38">
        <v>0.498495575221239</v>
      </c>
      <c r="V6" s="38">
        <v>0.498495575221239</v>
      </c>
      <c r="W6" s="38">
        <v>0.4921238938053098</v>
      </c>
      <c r="X6" s="38">
        <v>0.4921238938053098</v>
      </c>
      <c r="Y6" s="38">
        <v>0.4921238938053098</v>
      </c>
      <c r="Z6" s="38">
        <v>0.4921238938053098</v>
      </c>
      <c r="AA6" s="38">
        <v>0.4921238938053098</v>
      </c>
      <c r="AB6" s="38">
        <v>0.4921238938053098</v>
      </c>
      <c r="AC6" s="38">
        <v>0.4921238938053098</v>
      </c>
      <c r="AD6" s="38">
        <v>0.4921238938053098</v>
      </c>
      <c r="AE6" s="38">
        <v>0.4921238938053098</v>
      </c>
      <c r="AF6" s="38">
        <v>0.4921238938053098</v>
      </c>
      <c r="AG6" s="38">
        <v>0.4921238938053098</v>
      </c>
    </row>
    <row r="7" spans="3:33">
      <c r="C7" s="37" t="s">
        <v>136</v>
      </c>
      <c r="D7" s="37" t="s">
        <v>733</v>
      </c>
      <c r="E7" s="38">
        <v>0.43123709439528057</v>
      </c>
      <c r="F7" s="38">
        <v>0.43123709439528018</v>
      </c>
      <c r="G7" s="38">
        <v>0.43123709439528018</v>
      </c>
      <c r="H7" s="38">
        <v>0.43123709439528018</v>
      </c>
      <c r="I7" s="38">
        <v>0.43123709439528018</v>
      </c>
      <c r="J7" s="38">
        <v>0.43123709439528018</v>
      </c>
      <c r="K7" s="38">
        <v>0.43123709439528018</v>
      </c>
      <c r="L7" s="38">
        <v>0.43123709439528018</v>
      </c>
      <c r="M7" s="38">
        <v>0.43123709439528018</v>
      </c>
      <c r="N7" s="38">
        <v>0.44663716814159299</v>
      </c>
      <c r="O7" s="38">
        <v>0.44663716814159299</v>
      </c>
      <c r="P7" s="38">
        <v>0.44663716814159299</v>
      </c>
      <c r="Q7" s="38">
        <v>0.43415929203539821</v>
      </c>
      <c r="R7" s="38">
        <v>0.43415929203539821</v>
      </c>
      <c r="S7" s="38">
        <v>0.43415929203539821</v>
      </c>
      <c r="T7" s="38">
        <v>0.43415929203539821</v>
      </c>
      <c r="U7" s="38">
        <v>0.43415929203539821</v>
      </c>
      <c r="V7" s="38">
        <v>0.43415929203539821</v>
      </c>
      <c r="W7" s="38">
        <v>0.43115044247787615</v>
      </c>
      <c r="X7" s="38">
        <v>0.43115044247787615</v>
      </c>
      <c r="Y7" s="38">
        <v>0.43115044247787615</v>
      </c>
      <c r="Z7" s="38">
        <v>0.4270796460176991</v>
      </c>
      <c r="AA7" s="38">
        <v>0.4270796460176991</v>
      </c>
      <c r="AB7" s="38">
        <v>0.4270796460176991</v>
      </c>
      <c r="AC7" s="38">
        <v>0.4270796460176991</v>
      </c>
      <c r="AD7" s="38">
        <v>0.4270796460176991</v>
      </c>
      <c r="AE7" s="38">
        <v>0.4270796460176991</v>
      </c>
      <c r="AF7" s="38">
        <v>0.4270796460176991</v>
      </c>
      <c r="AG7" s="38">
        <v>0.4270796460176991</v>
      </c>
    </row>
    <row r="8" spans="3:33">
      <c r="C8" s="37" t="s">
        <v>208</v>
      </c>
      <c r="D8" s="37" t="s">
        <v>733</v>
      </c>
      <c r="E8" s="38">
        <v>0.53147492625368742</v>
      </c>
      <c r="F8" s="38">
        <v>0.53147492625368742</v>
      </c>
      <c r="G8" s="38">
        <v>0.53147492625368742</v>
      </c>
      <c r="H8" s="38">
        <v>0.53147492625368742</v>
      </c>
      <c r="I8" s="38">
        <v>0.53147492625368742</v>
      </c>
      <c r="J8" s="38">
        <v>0.53147492625368742</v>
      </c>
      <c r="K8" s="38">
        <v>0.53147492625368742</v>
      </c>
      <c r="L8" s="38">
        <v>0.53147492625368742</v>
      </c>
      <c r="M8" s="38">
        <v>0.53147492625368742</v>
      </c>
      <c r="N8" s="38">
        <v>0.50097345132743365</v>
      </c>
      <c r="O8" s="38">
        <v>0.50097345132743365</v>
      </c>
      <c r="P8" s="38">
        <v>0.50097345132743365</v>
      </c>
      <c r="Q8" s="38">
        <v>0.50097345132743365</v>
      </c>
      <c r="R8" s="38">
        <v>0.50097345132743365</v>
      </c>
      <c r="S8" s="38">
        <v>0.50097345132743365</v>
      </c>
      <c r="T8" s="38">
        <v>0.50097345132743365</v>
      </c>
      <c r="U8" s="38">
        <v>0.48106194690265486</v>
      </c>
      <c r="V8" s="38">
        <v>0.48106194690265486</v>
      </c>
      <c r="W8" s="38">
        <v>0.47221238938053095</v>
      </c>
      <c r="X8" s="38">
        <v>0.47221238938053095</v>
      </c>
      <c r="Y8" s="38">
        <v>0.47053097345132744</v>
      </c>
      <c r="Z8" s="38">
        <v>0.46716814159292042</v>
      </c>
      <c r="AA8" s="38">
        <v>0.46716814159292042</v>
      </c>
      <c r="AB8" s="38">
        <v>0.46716814159292042</v>
      </c>
      <c r="AC8" s="38">
        <v>0.46716814159292042</v>
      </c>
      <c r="AD8" s="38">
        <v>0.46716814159292042</v>
      </c>
      <c r="AE8" s="38">
        <v>0.46716814159292042</v>
      </c>
      <c r="AF8" s="38">
        <v>0.46716814159292042</v>
      </c>
      <c r="AG8" s="38">
        <v>0.46716814159292042</v>
      </c>
    </row>
    <row r="9" spans="3:33">
      <c r="C9" s="37" t="s">
        <v>734</v>
      </c>
      <c r="D9" s="37" t="s">
        <v>733</v>
      </c>
      <c r="E9" s="38">
        <v>0.4716814159292036</v>
      </c>
      <c r="F9" s="38">
        <v>0.4716814159292036</v>
      </c>
      <c r="G9" s="38">
        <v>0.4716814159292036</v>
      </c>
      <c r="H9" s="38">
        <v>0.4716814159292036</v>
      </c>
      <c r="I9" s="38">
        <v>0.4716814159292036</v>
      </c>
      <c r="J9" s="38">
        <v>0.4716814159292036</v>
      </c>
      <c r="K9" s="38">
        <v>0.4716814159292036</v>
      </c>
      <c r="L9" s="38">
        <v>0.4716814159292036</v>
      </c>
      <c r="M9" s="38">
        <v>0.4716814159292036</v>
      </c>
      <c r="N9" s="38">
        <v>0.4716814159292036</v>
      </c>
      <c r="O9" s="38">
        <v>0.4716814159292036</v>
      </c>
      <c r="P9" s="38">
        <v>0.4716814159292036</v>
      </c>
      <c r="Q9" s="38">
        <v>0.49380530973451336</v>
      </c>
      <c r="R9" s="38">
        <v>0.49380530973451336</v>
      </c>
      <c r="S9" s="38">
        <v>0.49380530973451336</v>
      </c>
      <c r="T9" s="38">
        <v>0.49380530973451336</v>
      </c>
      <c r="U9" s="38">
        <v>0.48743362831858406</v>
      </c>
      <c r="V9" s="38">
        <v>0.48743362831858406</v>
      </c>
      <c r="W9" s="38">
        <v>0.48743362831858406</v>
      </c>
      <c r="X9" s="38">
        <v>0.48743362831858406</v>
      </c>
      <c r="Y9" s="38">
        <v>0.48743362831858406</v>
      </c>
      <c r="Z9" s="38">
        <v>0.48743362831858406</v>
      </c>
      <c r="AA9" s="38">
        <v>0.48743362831858406</v>
      </c>
      <c r="AB9" s="38">
        <v>0.48743362831858406</v>
      </c>
      <c r="AC9" s="38">
        <v>0.48743362831858406</v>
      </c>
      <c r="AD9" s="38">
        <v>0.48743362831858406</v>
      </c>
      <c r="AE9" s="38">
        <v>0.48743362831858406</v>
      </c>
      <c r="AF9" s="38">
        <v>0.48743362831858406</v>
      </c>
      <c r="AG9" s="38">
        <v>0.48743362831858406</v>
      </c>
    </row>
    <row r="10" spans="3:33">
      <c r="C10" s="37" t="s">
        <v>51</v>
      </c>
      <c r="D10" s="37" t="s">
        <v>733</v>
      </c>
      <c r="E10" s="38">
        <v>0.55092035398230088</v>
      </c>
      <c r="F10" s="38">
        <v>0.55092035398230088</v>
      </c>
      <c r="G10" s="38">
        <v>0.55092035398230088</v>
      </c>
      <c r="H10" s="38">
        <v>0.55092035398230088</v>
      </c>
      <c r="I10" s="38">
        <v>0.55092035398230088</v>
      </c>
      <c r="J10" s="38">
        <v>0.55092035398230088</v>
      </c>
      <c r="K10" s="38">
        <v>0.55092035398230088</v>
      </c>
      <c r="L10" s="38">
        <v>0.55092035398230088</v>
      </c>
      <c r="M10" s="38">
        <v>0.55092035398230088</v>
      </c>
      <c r="N10" s="38">
        <v>0.48323893805309737</v>
      </c>
      <c r="O10" s="38">
        <v>0.48323893805309737</v>
      </c>
      <c r="P10" s="38">
        <v>0.48323893805309737</v>
      </c>
      <c r="Q10" s="38">
        <v>0.48323893805309737</v>
      </c>
      <c r="R10" s="38">
        <v>0.48323893805309737</v>
      </c>
      <c r="S10" s="38">
        <v>0.48323893805309737</v>
      </c>
      <c r="T10" s="38">
        <v>0.48323893805309737</v>
      </c>
      <c r="U10" s="38">
        <v>0.48323893805309737</v>
      </c>
      <c r="V10" s="38">
        <v>0.47969911504424778</v>
      </c>
      <c r="W10" s="38">
        <v>0.48126548672566377</v>
      </c>
      <c r="X10" s="38">
        <v>0.48126548672566377</v>
      </c>
      <c r="Y10" s="38">
        <v>0.48126548672566377</v>
      </c>
      <c r="Z10" s="38">
        <v>0.47805014749262537</v>
      </c>
      <c r="AA10" s="38">
        <v>0.4782566371681416</v>
      </c>
      <c r="AB10" s="38">
        <v>0.4782566371681416</v>
      </c>
      <c r="AC10" s="38">
        <v>0.4782566371681416</v>
      </c>
      <c r="AD10" s="38">
        <v>0.4782566371681416</v>
      </c>
      <c r="AE10" s="38">
        <v>0.48109789823008853</v>
      </c>
      <c r="AF10" s="38">
        <v>0.48109789823008853</v>
      </c>
      <c r="AG10" s="38">
        <v>0.48109789823008853</v>
      </c>
    </row>
    <row r="11" spans="3:33">
      <c r="C11" s="37" t="s">
        <v>147</v>
      </c>
      <c r="D11" s="37" t="s">
        <v>733</v>
      </c>
      <c r="E11" s="38">
        <v>0.53053176007866276</v>
      </c>
      <c r="F11" s="38">
        <v>0.53053176007866276</v>
      </c>
      <c r="G11" s="38">
        <v>0.53053176007866276</v>
      </c>
      <c r="H11" s="38">
        <v>0.53053176007866276</v>
      </c>
      <c r="I11" s="38">
        <v>0.53053176007866276</v>
      </c>
      <c r="J11" s="38">
        <v>0.53053176007866276</v>
      </c>
      <c r="K11" s="38">
        <v>0.53053176007866276</v>
      </c>
      <c r="L11" s="38">
        <v>0.53053176007866276</v>
      </c>
      <c r="M11" s="38">
        <v>0.53053176007866276</v>
      </c>
      <c r="N11" s="38">
        <v>0.53053176007866276</v>
      </c>
      <c r="O11" s="38">
        <v>0.53053176007866276</v>
      </c>
      <c r="P11" s="38">
        <v>0.53053176007866276</v>
      </c>
      <c r="Q11" s="38">
        <v>0.50867256637168146</v>
      </c>
      <c r="R11" s="38">
        <v>0.49539823008849559</v>
      </c>
      <c r="S11" s="38">
        <v>0.49539823008849559</v>
      </c>
      <c r="T11" s="38">
        <v>0.49539823008849559</v>
      </c>
      <c r="U11" s="38">
        <v>0.49539823008849559</v>
      </c>
      <c r="V11" s="38">
        <v>0.49539823008849559</v>
      </c>
      <c r="W11" s="38">
        <v>0.49097345132743364</v>
      </c>
      <c r="X11" s="38">
        <v>0.49097345132743364</v>
      </c>
      <c r="Y11" s="38">
        <v>0.49097345132743364</v>
      </c>
      <c r="Z11" s="38">
        <v>0.49097345132743364</v>
      </c>
      <c r="AA11" s="38">
        <v>0.49097345132743364</v>
      </c>
      <c r="AB11" s="38">
        <v>0.49097345132743364</v>
      </c>
      <c r="AC11" s="38">
        <v>0.49097345132743364</v>
      </c>
      <c r="AD11" s="38">
        <v>0.49097345132743364</v>
      </c>
      <c r="AE11" s="38">
        <v>0.49097345132743364</v>
      </c>
      <c r="AF11" s="38">
        <v>0.49097345132743364</v>
      </c>
      <c r="AG11" s="38">
        <v>0.49097345132743364</v>
      </c>
    </row>
    <row r="12" spans="3:33">
      <c r="C12" s="37" t="s">
        <v>92</v>
      </c>
      <c r="D12" s="37" t="s">
        <v>733</v>
      </c>
      <c r="E12" s="38">
        <v>0.56451463864306783</v>
      </c>
      <c r="F12" s="38">
        <v>0.56451463864306783</v>
      </c>
      <c r="G12" s="38">
        <v>0.56451463864306783</v>
      </c>
      <c r="H12" s="38">
        <v>0.56451463864306783</v>
      </c>
      <c r="I12" s="38">
        <v>0.56451463864306783</v>
      </c>
      <c r="J12" s="38">
        <v>0.56451463864306783</v>
      </c>
      <c r="K12" s="38">
        <v>0.56451463864306783</v>
      </c>
      <c r="L12" s="38">
        <v>0.56451463864306783</v>
      </c>
      <c r="M12" s="38">
        <v>0.56451463864306783</v>
      </c>
      <c r="N12" s="38">
        <v>0.56451463864306783</v>
      </c>
      <c r="O12" s="38">
        <v>0.56451463864306783</v>
      </c>
      <c r="P12" s="38">
        <v>0.56451463864306783</v>
      </c>
      <c r="Q12" s="38">
        <v>0.5408849557522124</v>
      </c>
      <c r="R12" s="38">
        <v>0.5408849557522124</v>
      </c>
      <c r="S12" s="38">
        <v>0.5408849557522124</v>
      </c>
      <c r="T12" s="38">
        <v>0.5408849557522124</v>
      </c>
      <c r="U12" s="38">
        <v>0.5408849557522124</v>
      </c>
      <c r="V12" s="38">
        <v>0.5408849557522124</v>
      </c>
      <c r="W12" s="38">
        <v>0.49796460176991153</v>
      </c>
      <c r="X12" s="38">
        <v>0.49796460176991153</v>
      </c>
      <c r="Y12" s="38">
        <v>0.49796460176991153</v>
      </c>
      <c r="Z12" s="38">
        <v>0.49796460176991153</v>
      </c>
      <c r="AA12" s="38">
        <v>0.49796460176991153</v>
      </c>
      <c r="AB12" s="38">
        <v>0.49796460176991153</v>
      </c>
      <c r="AC12" s="38">
        <v>0.49796460176991153</v>
      </c>
      <c r="AD12" s="38">
        <v>0.45566371681415935</v>
      </c>
      <c r="AE12" s="38">
        <v>0.45566371681415935</v>
      </c>
      <c r="AF12" s="38">
        <v>0.45566371681415935</v>
      </c>
      <c r="AG12" s="38">
        <v>0.45566371681415935</v>
      </c>
    </row>
    <row r="13" spans="3:33">
      <c r="C13" s="7" t="s">
        <v>30</v>
      </c>
      <c r="D13" s="37" t="s">
        <v>733</v>
      </c>
      <c r="E13" s="38">
        <v>0.40088495575221245</v>
      </c>
      <c r="F13" s="38">
        <v>0.40088495575221245</v>
      </c>
      <c r="G13" s="38">
        <v>0.40088495575221245</v>
      </c>
      <c r="H13" s="38">
        <v>0.40088495575221245</v>
      </c>
      <c r="I13" s="38">
        <v>0.40088495575221245</v>
      </c>
      <c r="J13" s="38">
        <v>0.40088495575221245</v>
      </c>
      <c r="K13" s="38">
        <v>0.40088495575221245</v>
      </c>
      <c r="L13" s="38">
        <v>0.40088495575221245</v>
      </c>
      <c r="M13" s="38">
        <v>0.40088495575221245</v>
      </c>
      <c r="N13" s="38">
        <v>0.39584070796460175</v>
      </c>
      <c r="O13" s="38">
        <v>0.39584070796460175</v>
      </c>
      <c r="P13" s="38">
        <v>0.37238938053097348</v>
      </c>
      <c r="Q13" s="38">
        <v>0.37238938053097348</v>
      </c>
      <c r="R13" s="38">
        <v>0.37238938053097348</v>
      </c>
      <c r="S13" s="38">
        <v>0.37238938053097348</v>
      </c>
      <c r="T13" s="38">
        <v>0.37238938053097348</v>
      </c>
      <c r="U13" s="38">
        <v>0.36619469026548673</v>
      </c>
      <c r="V13" s="38">
        <v>0.36619469026548673</v>
      </c>
      <c r="W13" s="38">
        <v>0.36619469026548673</v>
      </c>
      <c r="X13" s="38">
        <v>0.36619469026548673</v>
      </c>
      <c r="Y13" s="38">
        <v>0.36619469026548673</v>
      </c>
      <c r="Z13" s="38">
        <v>0.36619469026548673</v>
      </c>
      <c r="AA13" s="38">
        <v>0.36619469026548673</v>
      </c>
      <c r="AB13" s="38">
        <v>0.36619469026548673</v>
      </c>
      <c r="AC13" s="38">
        <v>0.36619469026548673</v>
      </c>
      <c r="AD13" s="38">
        <v>0.36619469026548673</v>
      </c>
      <c r="AE13" s="38">
        <v>0.36619469026548673</v>
      </c>
      <c r="AF13" s="38">
        <v>0.36619469026548673</v>
      </c>
      <c r="AG13" s="38">
        <v>0.36619469026548673</v>
      </c>
    </row>
    <row r="14" spans="3:33">
      <c r="C14" s="37" t="s">
        <v>735</v>
      </c>
      <c r="D14" s="37" t="s">
        <v>733</v>
      </c>
      <c r="E14" s="38">
        <v>0.55044247787610623</v>
      </c>
      <c r="F14" s="38">
        <v>0.55044247787610623</v>
      </c>
      <c r="G14" s="38">
        <v>0.55044247787610623</v>
      </c>
      <c r="H14" s="38">
        <v>0.55044247787610623</v>
      </c>
      <c r="I14" s="38">
        <v>0.55044247787610623</v>
      </c>
      <c r="J14" s="38">
        <v>0.55044247787610623</v>
      </c>
      <c r="K14" s="38">
        <v>0.55044247787610623</v>
      </c>
      <c r="L14" s="38">
        <v>0.55044247787610623</v>
      </c>
      <c r="M14" s="38">
        <v>0.55044247787610623</v>
      </c>
      <c r="N14" s="38">
        <v>0.55044247787610623</v>
      </c>
      <c r="O14" s="38">
        <v>0.55044247787610623</v>
      </c>
      <c r="P14" s="38">
        <v>0.55044247787610623</v>
      </c>
      <c r="Q14" s="38">
        <v>0.55044247787610623</v>
      </c>
      <c r="R14" s="38">
        <v>0.54840707964601776</v>
      </c>
      <c r="S14" s="38">
        <v>0.54433628318584071</v>
      </c>
      <c r="T14" s="38">
        <v>0.54433628318584071</v>
      </c>
      <c r="U14" s="38">
        <v>0.54433628318584071</v>
      </c>
      <c r="V14" s="38">
        <v>0.54433628318584071</v>
      </c>
      <c r="W14" s="38">
        <v>0.52814159292035401</v>
      </c>
      <c r="X14" s="38">
        <v>0.52814159292035401</v>
      </c>
      <c r="Y14" s="38">
        <v>0.52814159292035401</v>
      </c>
      <c r="Z14" s="38">
        <v>0.52814159292035401</v>
      </c>
      <c r="AA14" s="38">
        <v>0.52814159292035401</v>
      </c>
      <c r="AB14" s="38">
        <v>0.52814159292035401</v>
      </c>
      <c r="AC14" s="38">
        <v>0.52814159292035401</v>
      </c>
      <c r="AD14" s="38">
        <v>0.52814159292035401</v>
      </c>
      <c r="AE14" s="38">
        <v>0.52814159292035401</v>
      </c>
      <c r="AF14" s="38">
        <v>0.52814159292035401</v>
      </c>
      <c r="AG14" s="38">
        <v>0.52814159292035401</v>
      </c>
    </row>
    <row r="15" spans="3:33">
      <c r="C15" s="37" t="s">
        <v>736</v>
      </c>
      <c r="D15" s="37" t="s">
        <v>733</v>
      </c>
      <c r="E15" s="38">
        <v>0.57842330383480822</v>
      </c>
      <c r="F15" s="38">
        <v>0.57842330383480822</v>
      </c>
      <c r="G15" s="38">
        <v>0.57842330383480822</v>
      </c>
      <c r="H15" s="38">
        <v>0.57842330383480822</v>
      </c>
      <c r="I15" s="38">
        <v>0.57842330383480822</v>
      </c>
      <c r="J15" s="38">
        <v>0.57842330383480822</v>
      </c>
      <c r="K15" s="38">
        <v>0.57842330383480822</v>
      </c>
      <c r="L15" s="38">
        <v>0.57842330383480822</v>
      </c>
      <c r="M15" s="38">
        <v>0.57842330383480822</v>
      </c>
      <c r="N15" s="38">
        <v>0.54752212389380539</v>
      </c>
      <c r="O15" s="38">
        <v>0.54752212389380539</v>
      </c>
      <c r="P15" s="38">
        <v>0.54752212389380539</v>
      </c>
      <c r="Q15" s="38">
        <v>0.54752212389380539</v>
      </c>
      <c r="R15" s="38">
        <v>0.54752212389380539</v>
      </c>
      <c r="S15" s="38">
        <v>0.54752212389380539</v>
      </c>
      <c r="T15" s="38">
        <v>0.54752212389380539</v>
      </c>
      <c r="U15" s="38">
        <v>0.54752212389380539</v>
      </c>
      <c r="V15" s="38">
        <v>0.54752212389380539</v>
      </c>
      <c r="W15" s="38">
        <v>0.48628318584070795</v>
      </c>
      <c r="X15" s="38">
        <v>0.48628318584070795</v>
      </c>
      <c r="Y15" s="38">
        <v>0.48628318584070795</v>
      </c>
      <c r="Z15" s="38">
        <v>0.48628318584070795</v>
      </c>
      <c r="AA15" s="38">
        <v>0.51265486725663723</v>
      </c>
      <c r="AB15" s="38">
        <v>0.51265486725663723</v>
      </c>
      <c r="AC15" s="38">
        <v>0.51265486725663723</v>
      </c>
      <c r="AD15" s="38">
        <v>0.51265486725663723</v>
      </c>
      <c r="AE15" s="38">
        <v>0.51265486725663723</v>
      </c>
      <c r="AF15" s="38">
        <v>0.51265486725663723</v>
      </c>
      <c r="AG15" s="38">
        <v>0.51265486725663723</v>
      </c>
    </row>
    <row r="16" spans="3:33">
      <c r="C16" s="37" t="s">
        <v>737</v>
      </c>
      <c r="D16" s="37" t="s">
        <v>733</v>
      </c>
      <c r="E16" s="38">
        <v>0.49876106194690267</v>
      </c>
      <c r="F16" s="38">
        <v>0.49876106194690267</v>
      </c>
      <c r="G16" s="38">
        <v>0.49876106194690267</v>
      </c>
      <c r="H16" s="38">
        <v>0.49876106194690267</v>
      </c>
      <c r="I16" s="38">
        <v>0.49876106194690267</v>
      </c>
      <c r="J16" s="38">
        <v>0.49876106194690267</v>
      </c>
      <c r="K16" s="38">
        <v>0.49876106194690267</v>
      </c>
      <c r="L16" s="38">
        <v>0.49876106194690267</v>
      </c>
      <c r="M16" s="38">
        <v>0.49876106194690267</v>
      </c>
      <c r="N16" s="38">
        <v>0.49876106194690267</v>
      </c>
      <c r="O16" s="38">
        <v>0.49876106194690267</v>
      </c>
      <c r="P16" s="38">
        <v>0.49876106194690267</v>
      </c>
      <c r="Q16" s="38">
        <v>0.49876106194690267</v>
      </c>
      <c r="R16" s="38">
        <v>0.48548672566371681</v>
      </c>
      <c r="S16" s="38">
        <v>0.48548672566371681</v>
      </c>
      <c r="T16" s="38">
        <v>0.48548672566371681</v>
      </c>
      <c r="U16" s="38">
        <v>0.48548672566371681</v>
      </c>
      <c r="V16" s="38">
        <v>0.48548672566371681</v>
      </c>
      <c r="W16" s="38">
        <v>0.47929203539823007</v>
      </c>
      <c r="X16" s="38">
        <v>0.47929203539823007</v>
      </c>
      <c r="Y16" s="38">
        <v>0.47929203539823007</v>
      </c>
      <c r="Z16" s="38">
        <v>0.47929203539823007</v>
      </c>
      <c r="AA16" s="38">
        <v>0.47929203539823007</v>
      </c>
      <c r="AB16" s="38">
        <v>0.47929203539823007</v>
      </c>
      <c r="AC16" s="38">
        <v>0.47929203539823007</v>
      </c>
      <c r="AD16" s="38">
        <v>0.47929203539823007</v>
      </c>
      <c r="AE16" s="38">
        <v>0.47929203539823007</v>
      </c>
      <c r="AF16" s="38">
        <v>0.47929203539823007</v>
      </c>
      <c r="AG16" s="38">
        <v>0.47929203539823007</v>
      </c>
    </row>
    <row r="17" spans="3:33">
      <c r="C17" s="37" t="s">
        <v>380</v>
      </c>
      <c r="D17" s="37" t="s">
        <v>733</v>
      </c>
      <c r="E17" s="38">
        <v>0.46424778761061947</v>
      </c>
      <c r="F17" s="38">
        <v>0.46424778761061947</v>
      </c>
      <c r="G17" s="38">
        <v>0.46424778761061947</v>
      </c>
      <c r="H17" s="38">
        <v>0.46424778761061947</v>
      </c>
      <c r="I17" s="38">
        <v>0.46424778761061947</v>
      </c>
      <c r="J17" s="38">
        <v>0.46424778761061947</v>
      </c>
      <c r="K17" s="38">
        <v>0.46424778761061947</v>
      </c>
      <c r="L17" s="38">
        <v>0.46424778761061947</v>
      </c>
      <c r="M17" s="38">
        <v>0.46424778761061947</v>
      </c>
      <c r="N17" s="38">
        <v>0.46424778761061947</v>
      </c>
      <c r="O17" s="38">
        <v>0.46424778761061947</v>
      </c>
      <c r="P17" s="38">
        <v>0.46424778761061947</v>
      </c>
      <c r="Q17" s="38">
        <v>0.46424778761061947</v>
      </c>
      <c r="R17" s="38">
        <v>0.45982300884955751</v>
      </c>
      <c r="S17" s="38">
        <v>0.45097345132743372</v>
      </c>
      <c r="T17" s="38">
        <v>0.45097345132743372</v>
      </c>
      <c r="U17" s="38">
        <v>0.45097345132743372</v>
      </c>
      <c r="V17" s="38">
        <v>0.45097345132743372</v>
      </c>
      <c r="W17" s="38">
        <v>0.43592920353982301</v>
      </c>
      <c r="X17" s="38">
        <v>0.43592920353982301</v>
      </c>
      <c r="Y17" s="38">
        <v>0.43592920353982301</v>
      </c>
      <c r="Z17" s="38">
        <v>0.43592920353982301</v>
      </c>
      <c r="AA17" s="38">
        <v>0.43592920353982301</v>
      </c>
      <c r="AB17" s="38">
        <v>0.43592920353982301</v>
      </c>
      <c r="AC17" s="38">
        <v>0.43592920353982301</v>
      </c>
      <c r="AD17" s="38">
        <v>0.43592920353982301</v>
      </c>
      <c r="AE17" s="38">
        <v>0.43592920353982301</v>
      </c>
      <c r="AF17" s="38">
        <v>0.43592920353982301</v>
      </c>
      <c r="AG17" s="38">
        <v>0.43592920353982301</v>
      </c>
    </row>
    <row r="18" spans="3:33">
      <c r="C18" s="37" t="s">
        <v>238</v>
      </c>
      <c r="D18" s="37" t="s">
        <v>733</v>
      </c>
      <c r="E18" s="38">
        <v>0.35044247787610627</v>
      </c>
      <c r="F18" s="38">
        <v>0.35044247787610627</v>
      </c>
      <c r="G18" s="38">
        <v>0.35044247787610627</v>
      </c>
      <c r="H18" s="38">
        <v>0.35044247787610627</v>
      </c>
      <c r="I18" s="38">
        <v>0.35044247787610627</v>
      </c>
      <c r="J18" s="38">
        <v>0.35044247787610627</v>
      </c>
      <c r="K18" s="38">
        <v>0.35044247787610627</v>
      </c>
      <c r="L18" s="38">
        <v>0.35044247787610627</v>
      </c>
      <c r="M18" s="38">
        <v>0.35044247787610627</v>
      </c>
      <c r="N18" s="38">
        <v>0.35044247787610627</v>
      </c>
      <c r="O18" s="38">
        <v>0.35044247787610627</v>
      </c>
      <c r="P18" s="38">
        <v>0.35044247787610627</v>
      </c>
      <c r="Q18" s="38">
        <v>0.35044247787610627</v>
      </c>
      <c r="R18" s="38">
        <v>0.35044247787610627</v>
      </c>
      <c r="S18" s="38">
        <v>0.35044247787610627</v>
      </c>
      <c r="T18" s="38">
        <v>0.35044247787610627</v>
      </c>
      <c r="U18" s="38">
        <v>0.35044247787610627</v>
      </c>
      <c r="V18" s="38">
        <v>0.35044247787610627</v>
      </c>
      <c r="W18" s="38">
        <v>0.32123893805309733</v>
      </c>
      <c r="X18" s="38">
        <v>0.32123893805309733</v>
      </c>
      <c r="Y18" s="38">
        <v>0.32123893805309733</v>
      </c>
      <c r="Z18" s="38">
        <v>0.32123893805309733</v>
      </c>
      <c r="AA18" s="38">
        <v>0.32123893805309733</v>
      </c>
      <c r="AB18" s="38">
        <v>0.32123893805309733</v>
      </c>
      <c r="AC18" s="38">
        <v>0.32123893805309733</v>
      </c>
      <c r="AD18" s="38">
        <v>0.32123893805309733</v>
      </c>
      <c r="AE18" s="38">
        <v>0.31504424778761064</v>
      </c>
      <c r="AF18" s="38">
        <v>0.31504424778761064</v>
      </c>
      <c r="AG18" s="38">
        <v>0.31504424778761064</v>
      </c>
    </row>
    <row r="19" spans="3:33">
      <c r="C19" s="37" t="s">
        <v>48</v>
      </c>
      <c r="D19" s="37" t="s">
        <v>733</v>
      </c>
      <c r="E19" s="38">
        <v>0.30725663716814161</v>
      </c>
      <c r="F19" s="38">
        <v>0.30725663716814161</v>
      </c>
      <c r="G19" s="38">
        <v>0.30725663716814161</v>
      </c>
      <c r="H19" s="38">
        <v>0.30725663716814161</v>
      </c>
      <c r="I19" s="38">
        <v>0.30725663716814161</v>
      </c>
      <c r="J19" s="38">
        <v>0.30725663716814161</v>
      </c>
      <c r="K19" s="38">
        <v>0.30725663716814161</v>
      </c>
      <c r="L19" s="38">
        <v>0.30725663716814161</v>
      </c>
      <c r="M19" s="38">
        <v>0.30725663716814161</v>
      </c>
      <c r="N19" s="38">
        <v>0.30725663716814161</v>
      </c>
      <c r="O19" s="38">
        <v>0.30725663716814161</v>
      </c>
      <c r="P19" s="38">
        <v>0.30725663716814161</v>
      </c>
      <c r="Q19" s="38">
        <v>0.30725663716814161</v>
      </c>
      <c r="R19" s="38">
        <v>0.30725663716814161</v>
      </c>
      <c r="S19" s="38">
        <v>0.30725663716814161</v>
      </c>
      <c r="T19" s="38">
        <v>0.30725663716814161</v>
      </c>
      <c r="U19" s="38">
        <v>0.30725663716814161</v>
      </c>
      <c r="V19" s="38">
        <v>0.30725663716814161</v>
      </c>
      <c r="W19" s="38">
        <v>0.30725663716814161</v>
      </c>
      <c r="X19" s="38">
        <v>0.30725663716814161</v>
      </c>
      <c r="Y19" s="38">
        <v>0.30725663716814161</v>
      </c>
      <c r="Z19" s="38">
        <v>0.30725663716814161</v>
      </c>
      <c r="AA19" s="38">
        <v>0.30725663716814161</v>
      </c>
      <c r="AB19" s="38">
        <v>0.30725663716814161</v>
      </c>
      <c r="AC19" s="38">
        <v>0.30725663716814161</v>
      </c>
      <c r="AD19" s="38">
        <v>0.30725663716814161</v>
      </c>
      <c r="AE19" s="38">
        <v>0.30725663716814161</v>
      </c>
      <c r="AF19" s="38">
        <v>0.30725663716814161</v>
      </c>
      <c r="AG19" s="38">
        <v>0.30725663716814161</v>
      </c>
    </row>
    <row r="20" spans="3:33">
      <c r="C20" s="37" t="s">
        <v>246</v>
      </c>
      <c r="D20" s="37" t="s">
        <v>733</v>
      </c>
      <c r="E20" s="38">
        <v>0.48061946902654873</v>
      </c>
      <c r="F20" s="38">
        <v>0.48061946902654873</v>
      </c>
      <c r="G20" s="38">
        <v>0.48061946902654873</v>
      </c>
      <c r="H20" s="38">
        <v>0.48061946902654873</v>
      </c>
      <c r="I20" s="38">
        <v>0.48061946902654873</v>
      </c>
      <c r="J20" s="38">
        <v>0.48061946902654873</v>
      </c>
      <c r="K20" s="38">
        <v>0.48061946902654873</v>
      </c>
      <c r="L20" s="38">
        <v>0.48061946902654873</v>
      </c>
      <c r="M20" s="38">
        <v>0.48061946902654873</v>
      </c>
      <c r="N20" s="38">
        <v>0.47589970501474932</v>
      </c>
      <c r="O20" s="38">
        <v>0.47353982300884961</v>
      </c>
      <c r="P20" s="38">
        <v>0.47353982300884961</v>
      </c>
      <c r="Q20" s="38">
        <v>0.47353982300884961</v>
      </c>
      <c r="R20" s="38">
        <v>0.47058997050147489</v>
      </c>
      <c r="S20" s="38">
        <v>0.46469026548672571</v>
      </c>
      <c r="T20" s="38">
        <v>0.46469026548672571</v>
      </c>
      <c r="U20" s="38">
        <v>0.45294985250737457</v>
      </c>
      <c r="V20" s="38">
        <v>0.44707964601769912</v>
      </c>
      <c r="W20" s="38">
        <v>0.44707964601769912</v>
      </c>
      <c r="X20" s="38">
        <v>0.44707964601769912</v>
      </c>
      <c r="Y20" s="38">
        <v>0.44707964601769912</v>
      </c>
      <c r="Z20" s="38">
        <v>0.44707964601769912</v>
      </c>
      <c r="AA20" s="38">
        <v>0.44707964601769912</v>
      </c>
      <c r="AB20" s="38">
        <v>0.44707964601769912</v>
      </c>
      <c r="AC20" s="38">
        <v>0.44707964601769912</v>
      </c>
      <c r="AD20" s="38">
        <v>0.44707964601769912</v>
      </c>
      <c r="AE20" s="38">
        <v>0.44707964601769912</v>
      </c>
      <c r="AF20" s="38">
        <v>0.44707964601769912</v>
      </c>
      <c r="AG20" s="38">
        <v>0.44707964601769912</v>
      </c>
    </row>
    <row r="21" spans="3:33">
      <c r="C21" s="7" t="s">
        <v>191</v>
      </c>
      <c r="D21" s="37" t="s">
        <v>733</v>
      </c>
      <c r="E21" s="38">
        <v>0.64944690265486738</v>
      </c>
      <c r="F21" s="38">
        <v>0.64944690265486738</v>
      </c>
      <c r="G21" s="38">
        <v>0.64944690265486738</v>
      </c>
      <c r="H21" s="38">
        <v>0.64944690265486738</v>
      </c>
      <c r="I21" s="38">
        <v>0.64944690265486738</v>
      </c>
      <c r="J21" s="38">
        <v>0.60867256637168132</v>
      </c>
      <c r="K21" s="38">
        <v>0.60867256637168132</v>
      </c>
      <c r="L21" s="38">
        <v>0.60867256637168132</v>
      </c>
      <c r="M21" s="38">
        <v>0.60867256637168132</v>
      </c>
      <c r="N21" s="38">
        <v>0.59876106194690271</v>
      </c>
      <c r="O21" s="38">
        <v>0.59876106194690271</v>
      </c>
      <c r="P21" s="38">
        <v>0.59876106194690271</v>
      </c>
      <c r="Q21" s="38">
        <v>0.53309734513274343</v>
      </c>
      <c r="R21" s="38">
        <v>0.53309734513274343</v>
      </c>
      <c r="S21" s="38">
        <v>0.53309734513274343</v>
      </c>
      <c r="T21" s="38">
        <v>0.53309734513274343</v>
      </c>
      <c r="U21" s="38">
        <v>0.53309734513274343</v>
      </c>
      <c r="V21" s="38">
        <v>0.50938053097345137</v>
      </c>
      <c r="W21" s="38">
        <v>0.50938053097345137</v>
      </c>
      <c r="X21" s="38">
        <v>0.50938053097345137</v>
      </c>
      <c r="Y21" s="38">
        <v>0.50938053097345137</v>
      </c>
      <c r="Z21" s="38">
        <v>0.50938053097345137</v>
      </c>
      <c r="AA21" s="38">
        <v>0.50637168141592925</v>
      </c>
      <c r="AB21" s="38">
        <v>0.50637168141592925</v>
      </c>
      <c r="AC21" s="38">
        <v>0.50637168141592925</v>
      </c>
      <c r="AD21" s="38">
        <v>0.50637168141592925</v>
      </c>
      <c r="AE21" s="38">
        <v>0.50637168141592925</v>
      </c>
      <c r="AF21" s="38">
        <v>0.50637168141592925</v>
      </c>
      <c r="AG21" s="38">
        <v>0.50637168141592925</v>
      </c>
    </row>
    <row r="22" spans="3:33">
      <c r="C22" s="37" t="s">
        <v>55</v>
      </c>
      <c r="D22" s="37" t="s">
        <v>733</v>
      </c>
      <c r="E22" s="38">
        <v>0.44194690265486719</v>
      </c>
      <c r="F22" s="38">
        <v>0.44194690265486719</v>
      </c>
      <c r="G22" s="38">
        <v>0.44194690265486719</v>
      </c>
      <c r="H22" s="38">
        <v>0.44194690265486719</v>
      </c>
      <c r="I22" s="38">
        <v>0.44194690265486719</v>
      </c>
      <c r="J22" s="38">
        <v>0.44194690265486719</v>
      </c>
      <c r="K22" s="38">
        <v>0.44194690265486719</v>
      </c>
      <c r="L22" s="38">
        <v>0.44194690265486719</v>
      </c>
      <c r="M22" s="38">
        <v>0.44194690265486719</v>
      </c>
      <c r="N22" s="38">
        <v>0.43734513274336284</v>
      </c>
      <c r="O22" s="38">
        <v>0.43734513274336284</v>
      </c>
      <c r="P22" s="38">
        <v>0.43734513274336284</v>
      </c>
      <c r="Q22" s="38">
        <v>0.43734513274336284</v>
      </c>
      <c r="R22" s="38">
        <v>0.43734513274336284</v>
      </c>
      <c r="S22" s="38">
        <v>0.43734513274336284</v>
      </c>
      <c r="T22" s="38">
        <v>0.43734513274336284</v>
      </c>
      <c r="U22" s="38">
        <v>0.4010619469026549</v>
      </c>
      <c r="V22" s="38">
        <v>0.4010619469026549</v>
      </c>
      <c r="W22" s="38">
        <v>0.39663716814159294</v>
      </c>
      <c r="X22" s="38">
        <v>0.39663716814159294</v>
      </c>
      <c r="Y22" s="38">
        <v>0.39663716814159294</v>
      </c>
      <c r="Z22" s="38">
        <v>0.39663716814159294</v>
      </c>
      <c r="AA22" s="38">
        <v>0.39663716814159294</v>
      </c>
      <c r="AB22" s="38">
        <v>0.39663716814159294</v>
      </c>
      <c r="AC22" s="38">
        <v>0.39663716814159294</v>
      </c>
      <c r="AD22" s="38">
        <v>0.39663716814159294</v>
      </c>
      <c r="AE22" s="38">
        <v>0.39663716814159294</v>
      </c>
      <c r="AF22" s="38">
        <v>0.39663716814159294</v>
      </c>
      <c r="AG22" s="38">
        <v>0.39663716814159294</v>
      </c>
    </row>
    <row r="23" spans="3:33">
      <c r="C23" s="37" t="s">
        <v>36</v>
      </c>
      <c r="D23" s="37" t="s">
        <v>733</v>
      </c>
      <c r="E23" s="38">
        <v>0.5137758112094396</v>
      </c>
      <c r="F23" s="38">
        <v>0.5137758112094396</v>
      </c>
      <c r="G23" s="38">
        <v>0.5137758112094396</v>
      </c>
      <c r="H23" s="38">
        <v>0.5137758112094396</v>
      </c>
      <c r="I23" s="38">
        <v>0.5137758112094396</v>
      </c>
      <c r="J23" s="38">
        <v>0.5137758112094396</v>
      </c>
      <c r="K23" s="38">
        <v>0.5137758112094396</v>
      </c>
      <c r="L23" s="38">
        <v>0.5137758112094396</v>
      </c>
      <c r="M23" s="38">
        <v>0.5137758112094396</v>
      </c>
      <c r="N23" s="38">
        <v>0.5137758112094396</v>
      </c>
      <c r="O23" s="38">
        <v>0.5137758112094396</v>
      </c>
      <c r="P23" s="38">
        <v>0.5137758112094396</v>
      </c>
      <c r="Q23" s="38">
        <v>0.42</v>
      </c>
      <c r="R23" s="38">
        <v>0.42</v>
      </c>
      <c r="S23" s="38">
        <v>0.42</v>
      </c>
      <c r="T23" s="38">
        <v>0.42</v>
      </c>
      <c r="U23" s="38">
        <v>0.42</v>
      </c>
      <c r="V23" s="38">
        <v>0.42</v>
      </c>
      <c r="W23" s="38">
        <v>0.45787610619469027</v>
      </c>
      <c r="X23" s="38">
        <v>0.45787610619469027</v>
      </c>
      <c r="Y23" s="38">
        <v>0.45787610619469027</v>
      </c>
      <c r="Z23" s="38">
        <v>0.45787610619469027</v>
      </c>
      <c r="AA23" s="38">
        <v>0.45787610619469027</v>
      </c>
      <c r="AB23" s="38">
        <v>0.45787610619469027</v>
      </c>
      <c r="AC23" s="38">
        <v>0.45787610619469027</v>
      </c>
      <c r="AD23" s="38">
        <v>0.45787610619469027</v>
      </c>
      <c r="AE23" s="38">
        <v>0.45787610619469027</v>
      </c>
      <c r="AF23" s="38">
        <v>0.45787610619469027</v>
      </c>
      <c r="AG23" s="38">
        <v>0.45787610619469027</v>
      </c>
    </row>
    <row r="24" spans="3:33">
      <c r="C24" s="37" t="s">
        <v>109</v>
      </c>
      <c r="D24" s="37" t="s">
        <v>733</v>
      </c>
      <c r="E24" s="38">
        <v>0.30619469026548674</v>
      </c>
      <c r="F24" s="38">
        <v>0.30619469026548674</v>
      </c>
      <c r="G24" s="38">
        <v>0.30619469026548674</v>
      </c>
      <c r="H24" s="38">
        <v>0.30619469026548674</v>
      </c>
      <c r="I24" s="38">
        <v>0.30619469026548674</v>
      </c>
      <c r="J24" s="38">
        <v>0.30619469026548674</v>
      </c>
      <c r="K24" s="38">
        <v>0.30619469026548674</v>
      </c>
      <c r="L24" s="38">
        <v>0.30619469026548674</v>
      </c>
      <c r="M24" s="38">
        <v>0.30619469026548674</v>
      </c>
      <c r="N24" s="38">
        <v>0.30619469026548674</v>
      </c>
      <c r="O24" s="38">
        <v>0.30619469026548674</v>
      </c>
      <c r="P24" s="38">
        <v>0.30619469026548674</v>
      </c>
      <c r="Q24" s="38">
        <v>0.30619469026548674</v>
      </c>
      <c r="R24" s="38">
        <v>0.30619469026548674</v>
      </c>
      <c r="S24" s="38">
        <v>0.30619469026548674</v>
      </c>
      <c r="T24" s="38">
        <v>0.30619469026548674</v>
      </c>
      <c r="U24" s="38">
        <v>0.30619469026548674</v>
      </c>
      <c r="V24" s="38">
        <v>0.30619469026548674</v>
      </c>
      <c r="W24" s="38">
        <v>0.30619469026548674</v>
      </c>
      <c r="X24" s="38">
        <v>0.30619469026548674</v>
      </c>
      <c r="Y24" s="38">
        <v>0.30619469026548674</v>
      </c>
      <c r="Z24" s="38">
        <v>0.30619469026548674</v>
      </c>
      <c r="AA24" s="38">
        <v>0.30619469026548674</v>
      </c>
      <c r="AB24" s="38">
        <v>0.30619469026548674</v>
      </c>
      <c r="AC24" s="38">
        <v>0.30619469026548674</v>
      </c>
      <c r="AD24" s="38">
        <v>0.30619469026548674</v>
      </c>
      <c r="AE24" s="38">
        <v>0.30619469026548674</v>
      </c>
      <c r="AF24" s="38">
        <v>0.30619469026548674</v>
      </c>
      <c r="AG24" s="38">
        <v>0.30619469026548674</v>
      </c>
    </row>
    <row r="25" spans="3:33">
      <c r="C25" s="37" t="s">
        <v>62</v>
      </c>
      <c r="D25" s="37" t="s">
        <v>733</v>
      </c>
      <c r="E25" s="38">
        <v>0.42202556538839731</v>
      </c>
      <c r="F25" s="38">
        <v>0.42202556538839731</v>
      </c>
      <c r="G25" s="38">
        <v>0.42202556538839731</v>
      </c>
      <c r="H25" s="38">
        <v>0.42202556538839731</v>
      </c>
      <c r="I25" s="38">
        <v>0.42202556538839731</v>
      </c>
      <c r="J25" s="38">
        <v>0.42202556538839731</v>
      </c>
      <c r="K25" s="38">
        <v>0.42202556538839731</v>
      </c>
      <c r="L25" s="38">
        <v>0.42202556538839731</v>
      </c>
      <c r="M25" s="38">
        <v>0.42202556538839731</v>
      </c>
      <c r="N25" s="38">
        <v>0.42202556538839731</v>
      </c>
      <c r="O25" s="38">
        <v>0.42202556538839731</v>
      </c>
      <c r="P25" s="38">
        <v>0.42202556538839731</v>
      </c>
      <c r="Q25" s="38">
        <v>0.42202556538839731</v>
      </c>
      <c r="R25" s="38">
        <v>0.42202556538839731</v>
      </c>
      <c r="S25" s="38">
        <v>0.42202556538839731</v>
      </c>
      <c r="T25" s="38">
        <v>0.42202556538839731</v>
      </c>
      <c r="U25" s="38">
        <v>0.42202556538839736</v>
      </c>
      <c r="V25" s="38">
        <v>0.42202556538839736</v>
      </c>
      <c r="W25" s="38">
        <v>0.30778761061946908</v>
      </c>
      <c r="X25" s="38">
        <v>0.30778761061946908</v>
      </c>
      <c r="Y25" s="38">
        <v>0.30778761061946908</v>
      </c>
      <c r="Z25" s="38">
        <v>0.30774336283185844</v>
      </c>
      <c r="AA25" s="38">
        <v>0.30840707964601771</v>
      </c>
      <c r="AB25" s="38">
        <v>0.30840707964601771</v>
      </c>
      <c r="AC25" s="38">
        <v>0.30840707964601771</v>
      </c>
      <c r="AD25" s="38">
        <v>0.30840707964601771</v>
      </c>
      <c r="AE25" s="38">
        <v>0.30940265486725665</v>
      </c>
      <c r="AF25" s="38">
        <v>0.30940265486725665</v>
      </c>
      <c r="AG25" s="38">
        <v>0.30940265486725665</v>
      </c>
    </row>
    <row r="26" spans="3:33">
      <c r="C26" s="37" t="s">
        <v>738</v>
      </c>
      <c r="D26" s="37" t="s">
        <v>733</v>
      </c>
      <c r="E26" s="38">
        <v>0.57824483775811242</v>
      </c>
      <c r="F26" s="38">
        <v>0.57824483775811242</v>
      </c>
      <c r="G26" s="38">
        <v>0.57824483775811242</v>
      </c>
      <c r="H26" s="38">
        <v>0.57824483775811242</v>
      </c>
      <c r="I26" s="38">
        <v>0.57824483775811242</v>
      </c>
      <c r="J26" s="38">
        <v>0.57345132743362837</v>
      </c>
      <c r="K26" s="38">
        <v>0.57345132743362837</v>
      </c>
      <c r="L26" s="38">
        <v>0.57345132743362837</v>
      </c>
      <c r="M26" s="38">
        <v>0.57345132743362837</v>
      </c>
      <c r="N26" s="38">
        <v>0.56601769911504418</v>
      </c>
      <c r="O26" s="38">
        <v>0.56601769911504418</v>
      </c>
      <c r="P26" s="38">
        <v>0.56601769911504418</v>
      </c>
      <c r="Q26" s="38">
        <v>0.56601769911504418</v>
      </c>
      <c r="R26" s="38">
        <v>0.56306784660766962</v>
      </c>
      <c r="S26" s="38">
        <v>0.55716814159292039</v>
      </c>
      <c r="T26" s="38">
        <v>0.55716814159292039</v>
      </c>
      <c r="U26" s="38">
        <v>0.55716814159292039</v>
      </c>
      <c r="V26" s="38">
        <v>0.55716814159292039</v>
      </c>
      <c r="W26" s="38">
        <v>0.53752212389380538</v>
      </c>
      <c r="X26" s="38">
        <v>0.53752212389380538</v>
      </c>
      <c r="Y26" s="38">
        <v>0.53752212389380538</v>
      </c>
      <c r="Z26" s="38">
        <v>0.53752212389380538</v>
      </c>
      <c r="AA26" s="38">
        <v>0.53752212389380538</v>
      </c>
      <c r="AB26" s="38">
        <v>0.53752212389380538</v>
      </c>
      <c r="AC26" s="38">
        <v>0.53752212389380538</v>
      </c>
      <c r="AD26" s="38">
        <v>0.53752212389380538</v>
      </c>
      <c r="AE26" s="38">
        <v>0.53752212389380538</v>
      </c>
      <c r="AF26" s="38">
        <v>0.53752212389380538</v>
      </c>
      <c r="AG26" s="38">
        <v>0.53752212389380538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1"/>
  <sheetViews>
    <sheetView workbookViewId="0">
      <selection activeCell="E1" sqref="E1"/>
    </sheetView>
  </sheetViews>
  <sheetFormatPr defaultColWidth="12.5703125" defaultRowHeight="15"/>
  <cols>
    <col min="1" max="1" width="11.42578125" customWidth="1"/>
  </cols>
  <sheetData>
    <row r="1" spans="1:35" ht="18.75">
      <c r="A1" s="12" t="s">
        <v>1</v>
      </c>
      <c r="B1" s="12" t="s">
        <v>2</v>
      </c>
      <c r="C1" s="12" t="s">
        <v>3</v>
      </c>
      <c r="D1" s="12" t="s">
        <v>7</v>
      </c>
      <c r="E1" s="12" t="s">
        <v>14</v>
      </c>
      <c r="F1" s="12" t="s">
        <v>646</v>
      </c>
      <c r="G1" s="12" t="s">
        <v>647</v>
      </c>
      <c r="H1" s="12" t="s">
        <v>648</v>
      </c>
      <c r="I1" s="12" t="s">
        <v>649</v>
      </c>
      <c r="J1" s="12" t="s">
        <v>650</v>
      </c>
      <c r="K1" s="12" t="s">
        <v>651</v>
      </c>
      <c r="L1" s="12" t="s">
        <v>652</v>
      </c>
      <c r="M1" s="12" t="s">
        <v>653</v>
      </c>
      <c r="N1" s="12" t="s">
        <v>654</v>
      </c>
      <c r="O1" s="12" t="s">
        <v>655</v>
      </c>
      <c r="P1" s="12" t="s">
        <v>656</v>
      </c>
      <c r="Q1" s="12" t="s">
        <v>657</v>
      </c>
      <c r="R1" s="12" t="s">
        <v>658</v>
      </c>
      <c r="S1" s="12" t="s">
        <v>659</v>
      </c>
      <c r="T1" s="12" t="s">
        <v>660</v>
      </c>
      <c r="U1" s="12" t="s">
        <v>661</v>
      </c>
      <c r="V1" s="12" t="s">
        <v>662</v>
      </c>
      <c r="W1" s="12" t="s">
        <v>663</v>
      </c>
      <c r="X1" s="12" t="s">
        <v>664</v>
      </c>
      <c r="Y1" s="12" t="s">
        <v>665</v>
      </c>
      <c r="Z1" s="12" t="s">
        <v>666</v>
      </c>
      <c r="AA1" s="12" t="s">
        <v>667</v>
      </c>
      <c r="AB1" s="12" t="s">
        <v>668</v>
      </c>
      <c r="AC1" s="12" t="s">
        <v>669</v>
      </c>
      <c r="AD1" s="12" t="s">
        <v>670</v>
      </c>
      <c r="AE1" s="12" t="s">
        <v>671</v>
      </c>
      <c r="AF1" s="12" t="s">
        <v>672</v>
      </c>
      <c r="AG1" s="12" t="s">
        <v>673</v>
      </c>
      <c r="AH1" s="12" t="s">
        <v>674</v>
      </c>
      <c r="AI1" s="13" t="s">
        <v>740</v>
      </c>
    </row>
    <row r="2" spans="1:35">
      <c r="A2">
        <v>1</v>
      </c>
      <c r="B2" t="s">
        <v>16</v>
      </c>
      <c r="C2" t="s">
        <v>17</v>
      </c>
      <c r="D2" t="s">
        <v>19</v>
      </c>
      <c r="E2" t="s">
        <v>613</v>
      </c>
      <c r="F2" t="s">
        <v>709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5">
        <v>0</v>
      </c>
      <c r="AI2" s="35">
        <v>0</v>
      </c>
    </row>
    <row r="3" spans="1:35">
      <c r="A3">
        <v>2</v>
      </c>
      <c r="B3" t="s">
        <v>23</v>
      </c>
      <c r="C3" t="s">
        <v>24</v>
      </c>
      <c r="D3" t="s">
        <v>19</v>
      </c>
      <c r="E3" t="s">
        <v>613</v>
      </c>
      <c r="F3" t="s">
        <v>709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</row>
    <row r="4" spans="1:35">
      <c r="A4">
        <v>3</v>
      </c>
      <c r="B4" t="s">
        <v>26</v>
      </c>
      <c r="C4" t="s">
        <v>27</v>
      </c>
      <c r="D4" t="s">
        <v>19</v>
      </c>
      <c r="E4" t="s">
        <v>613</v>
      </c>
      <c r="F4" t="s">
        <v>709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>
        <v>0.55000000000000004</v>
      </c>
      <c r="V4" s="35">
        <v>0.55000000000000004</v>
      </c>
      <c r="W4" s="35">
        <v>0.55000000000000004</v>
      </c>
      <c r="X4" s="35">
        <v>0.55000000000000004</v>
      </c>
      <c r="Y4" s="35">
        <v>0.55000000000000004</v>
      </c>
      <c r="Z4" s="35">
        <v>0.55000000000000004</v>
      </c>
      <c r="AA4" s="35">
        <v>0.5</v>
      </c>
      <c r="AB4" s="35">
        <v>0.5</v>
      </c>
      <c r="AC4" s="35">
        <v>0.5</v>
      </c>
      <c r="AD4" s="35">
        <v>0.5</v>
      </c>
      <c r="AE4" s="35">
        <v>0.5</v>
      </c>
      <c r="AF4" s="35">
        <v>0.5</v>
      </c>
      <c r="AG4" s="35">
        <v>0.5</v>
      </c>
      <c r="AH4" s="35">
        <v>0.5</v>
      </c>
      <c r="AI4" s="35">
        <v>0.5</v>
      </c>
    </row>
    <row r="5" spans="1:35">
      <c r="A5">
        <v>4</v>
      </c>
      <c r="B5" t="s">
        <v>32</v>
      </c>
      <c r="C5" t="s">
        <v>33</v>
      </c>
      <c r="D5" t="s">
        <v>19</v>
      </c>
      <c r="E5" t="s">
        <v>613</v>
      </c>
      <c r="F5" t="s">
        <v>709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5">
        <v>0</v>
      </c>
      <c r="AI5" s="35">
        <v>0</v>
      </c>
    </row>
    <row r="6" spans="1:35">
      <c r="A6">
        <v>5</v>
      </c>
      <c r="B6" t="s">
        <v>38</v>
      </c>
      <c r="C6" t="s">
        <v>39</v>
      </c>
      <c r="D6" t="s">
        <v>19</v>
      </c>
      <c r="E6" t="s">
        <v>615</v>
      </c>
      <c r="F6" t="s">
        <v>709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>
        <v>0</v>
      </c>
      <c r="AI6" s="35">
        <v>0</v>
      </c>
    </row>
    <row r="7" spans="1:35">
      <c r="A7">
        <v>6</v>
      </c>
      <c r="B7" t="s">
        <v>41</v>
      </c>
      <c r="C7" t="s">
        <v>42</v>
      </c>
      <c r="D7" t="s">
        <v>19</v>
      </c>
      <c r="E7" t="s">
        <v>613</v>
      </c>
      <c r="F7" t="s">
        <v>709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5">
        <v>0</v>
      </c>
    </row>
    <row r="8" spans="1:35">
      <c r="A8">
        <v>7</v>
      </c>
      <c r="B8" t="s">
        <v>44</v>
      </c>
      <c r="C8" t="s">
        <v>45</v>
      </c>
      <c r="D8" t="s">
        <v>19</v>
      </c>
      <c r="E8" t="s">
        <v>613</v>
      </c>
      <c r="F8" t="s">
        <v>709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5">
        <v>0</v>
      </c>
    </row>
    <row r="9" spans="1:35">
      <c r="A9">
        <v>8</v>
      </c>
      <c r="B9" t="s">
        <v>46</v>
      </c>
      <c r="C9" t="s">
        <v>47</v>
      </c>
      <c r="D9" t="s">
        <v>19</v>
      </c>
      <c r="E9" t="s">
        <v>613</v>
      </c>
      <c r="F9" t="s">
        <v>709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>
      <c r="A10">
        <v>9</v>
      </c>
      <c r="B10" t="s">
        <v>49</v>
      </c>
      <c r="C10" t="s">
        <v>50</v>
      </c>
      <c r="D10" t="s">
        <v>19</v>
      </c>
      <c r="E10" t="s">
        <v>613</v>
      </c>
      <c r="F10" t="s">
        <v>709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</row>
    <row r="11" spans="1:35">
      <c r="A11">
        <v>10</v>
      </c>
      <c r="B11" t="s">
        <v>52</v>
      </c>
      <c r="C11" t="s">
        <v>53</v>
      </c>
      <c r="D11" t="s">
        <v>19</v>
      </c>
      <c r="E11" t="s">
        <v>613</v>
      </c>
      <c r="F11" t="s">
        <v>709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5">
        <v>0</v>
      </c>
    </row>
    <row r="12" spans="1:35">
      <c r="A12">
        <v>11</v>
      </c>
      <c r="B12" t="s">
        <v>56</v>
      </c>
      <c r="C12" t="s">
        <v>57</v>
      </c>
      <c r="D12" t="s">
        <v>19</v>
      </c>
      <c r="E12" t="s">
        <v>613</v>
      </c>
      <c r="F12" t="s">
        <v>709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>
        <v>0.83</v>
      </c>
      <c r="V12" s="35">
        <v>0.83</v>
      </c>
      <c r="W12" s="35">
        <v>0.83</v>
      </c>
      <c r="X12" s="35">
        <v>0.83</v>
      </c>
      <c r="Y12" s="35">
        <v>0.83</v>
      </c>
      <c r="Z12" s="35">
        <v>0.83</v>
      </c>
      <c r="AA12" s="35">
        <v>0.67</v>
      </c>
      <c r="AB12" s="35">
        <v>0.67</v>
      </c>
      <c r="AC12" s="35">
        <v>0.67</v>
      </c>
      <c r="AD12" s="35">
        <v>0.67</v>
      </c>
      <c r="AE12" s="35">
        <v>0.67</v>
      </c>
      <c r="AF12" s="35">
        <v>0.67</v>
      </c>
      <c r="AG12" s="35">
        <v>0.67</v>
      </c>
      <c r="AH12" s="35">
        <v>0.67</v>
      </c>
      <c r="AI12" s="35">
        <v>0.67</v>
      </c>
    </row>
    <row r="13" spans="1:35">
      <c r="A13">
        <v>12</v>
      </c>
      <c r="B13" t="s">
        <v>59</v>
      </c>
      <c r="C13" t="s">
        <v>60</v>
      </c>
      <c r="D13" t="s">
        <v>19</v>
      </c>
      <c r="E13" t="s">
        <v>615</v>
      </c>
      <c r="F13" t="s">
        <v>709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5">
        <v>0</v>
      </c>
    </row>
    <row r="14" spans="1:35">
      <c r="A14">
        <v>13</v>
      </c>
      <c r="B14" t="s">
        <v>63</v>
      </c>
      <c r="C14" t="s">
        <v>64</v>
      </c>
      <c r="D14" t="s">
        <v>19</v>
      </c>
      <c r="E14" t="s">
        <v>615</v>
      </c>
      <c r="F14" t="s">
        <v>709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  <c r="AI14" s="35">
        <v>0</v>
      </c>
    </row>
    <row r="15" spans="1:35">
      <c r="A15">
        <v>14</v>
      </c>
      <c r="B15" t="s">
        <v>66</v>
      </c>
      <c r="C15" t="s">
        <v>67</v>
      </c>
      <c r="D15" t="s">
        <v>19</v>
      </c>
      <c r="E15" t="s">
        <v>615</v>
      </c>
      <c r="F15" t="s">
        <v>709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5">
        <v>0</v>
      </c>
    </row>
    <row r="16" spans="1:35">
      <c r="A16">
        <v>15</v>
      </c>
      <c r="B16" t="s">
        <v>69</v>
      </c>
      <c r="C16" t="s">
        <v>70</v>
      </c>
      <c r="D16" t="s">
        <v>19</v>
      </c>
      <c r="E16" t="s">
        <v>615</v>
      </c>
      <c r="F16" t="s">
        <v>709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>
        <v>0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  <c r="AB16" s="35">
        <v>0</v>
      </c>
      <c r="AC16" s="35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  <c r="AI16" s="35">
        <v>0</v>
      </c>
    </row>
    <row r="17" spans="1:35">
      <c r="A17">
        <v>16</v>
      </c>
      <c r="B17" t="s">
        <v>71</v>
      </c>
      <c r="C17" t="s">
        <v>72</v>
      </c>
      <c r="D17" t="s">
        <v>19</v>
      </c>
      <c r="E17" t="s">
        <v>615</v>
      </c>
      <c r="F17" t="s">
        <v>709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</row>
    <row r="18" spans="1:35">
      <c r="A18">
        <v>17</v>
      </c>
      <c r="B18" t="s">
        <v>74</v>
      </c>
      <c r="C18" t="s">
        <v>75</v>
      </c>
      <c r="D18" t="s">
        <v>19</v>
      </c>
      <c r="E18" t="s">
        <v>615</v>
      </c>
      <c r="F18" t="s">
        <v>709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v>0</v>
      </c>
      <c r="AI18" s="35">
        <v>0</v>
      </c>
    </row>
    <row r="19" spans="1:35" ht="15.75">
      <c r="A19">
        <v>18</v>
      </c>
      <c r="B19" t="s">
        <v>77</v>
      </c>
      <c r="C19" t="s">
        <v>78</v>
      </c>
      <c r="D19" t="s">
        <v>19</v>
      </c>
      <c r="E19" t="s">
        <v>613</v>
      </c>
      <c r="F19" t="s">
        <v>709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5">
        <v>0</v>
      </c>
      <c r="AF19" s="35">
        <v>0</v>
      </c>
      <c r="AG19" s="35">
        <v>0</v>
      </c>
      <c r="AH19" s="35">
        <v>0</v>
      </c>
      <c r="AI19" s="35">
        <v>0</v>
      </c>
    </row>
    <row r="20" spans="1:35">
      <c r="A20">
        <v>19</v>
      </c>
      <c r="B20" t="s">
        <v>82</v>
      </c>
      <c r="C20" t="s">
        <v>83</v>
      </c>
      <c r="D20" t="s">
        <v>19</v>
      </c>
      <c r="E20" t="s">
        <v>613</v>
      </c>
      <c r="F20" t="s">
        <v>709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0</v>
      </c>
    </row>
    <row r="21" spans="1:35">
      <c r="A21">
        <v>20</v>
      </c>
      <c r="B21" t="s">
        <v>86</v>
      </c>
      <c r="C21" t="s">
        <v>87</v>
      </c>
      <c r="D21" t="s">
        <v>19</v>
      </c>
      <c r="E21" t="s">
        <v>613</v>
      </c>
      <c r="F21" t="s">
        <v>709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</row>
    <row r="22" spans="1:35">
      <c r="A22">
        <v>21</v>
      </c>
      <c r="B22" t="s">
        <v>89</v>
      </c>
      <c r="C22" t="s">
        <v>90</v>
      </c>
      <c r="D22" t="s">
        <v>19</v>
      </c>
      <c r="E22" t="s">
        <v>613</v>
      </c>
      <c r="F22" t="s">
        <v>709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  <c r="AB22" s="35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</row>
    <row r="23" spans="1:35">
      <c r="A23">
        <v>22</v>
      </c>
      <c r="B23" t="s">
        <v>93</v>
      </c>
      <c r="C23" t="s">
        <v>94</v>
      </c>
      <c r="D23" t="s">
        <v>19</v>
      </c>
      <c r="E23" t="s">
        <v>613</v>
      </c>
      <c r="F23" t="s">
        <v>709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>
        <v>1</v>
      </c>
      <c r="V23" s="35">
        <v>1</v>
      </c>
      <c r="W23" s="35">
        <v>1</v>
      </c>
      <c r="X23" s="35">
        <v>1</v>
      </c>
      <c r="Y23" s="35">
        <v>1</v>
      </c>
      <c r="Z23" s="35">
        <v>1</v>
      </c>
      <c r="AA23" s="35">
        <v>1</v>
      </c>
      <c r="AB23" s="35">
        <v>1</v>
      </c>
      <c r="AC23" s="35">
        <v>1</v>
      </c>
      <c r="AD23" s="35">
        <v>1</v>
      </c>
      <c r="AE23" s="35">
        <v>1</v>
      </c>
      <c r="AF23" s="35">
        <v>1</v>
      </c>
      <c r="AG23" s="35">
        <v>1</v>
      </c>
      <c r="AH23" s="35">
        <v>1</v>
      </c>
      <c r="AI23" s="35">
        <v>1</v>
      </c>
    </row>
    <row r="24" spans="1:35">
      <c r="A24">
        <v>23</v>
      </c>
      <c r="B24" t="s">
        <v>97</v>
      </c>
      <c r="C24" t="s">
        <v>98</v>
      </c>
      <c r="D24" t="s">
        <v>19</v>
      </c>
      <c r="E24" t="s">
        <v>613</v>
      </c>
      <c r="F24" t="s">
        <v>709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</row>
    <row r="25" spans="1:35">
      <c r="A25">
        <v>24</v>
      </c>
      <c r="B25" t="s">
        <v>100</v>
      </c>
      <c r="C25" t="s">
        <v>101</v>
      </c>
      <c r="D25" t="s">
        <v>19</v>
      </c>
      <c r="E25" t="s">
        <v>613</v>
      </c>
      <c r="F25" t="s">
        <v>709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</row>
    <row r="26" spans="1:35">
      <c r="A26">
        <v>25</v>
      </c>
      <c r="B26" t="s">
        <v>103</v>
      </c>
      <c r="C26" t="s">
        <v>104</v>
      </c>
      <c r="D26" t="s">
        <v>19</v>
      </c>
      <c r="E26" t="s">
        <v>613</v>
      </c>
      <c r="F26" t="s">
        <v>709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>
        <v>0.85</v>
      </c>
      <c r="V26" s="35">
        <v>0.85</v>
      </c>
      <c r="W26" s="35">
        <v>0.85</v>
      </c>
      <c r="X26" s="35">
        <v>0.85</v>
      </c>
      <c r="Y26" s="35">
        <v>0.85</v>
      </c>
      <c r="Z26" s="35">
        <v>0.85</v>
      </c>
      <c r="AA26" s="35">
        <v>0.85</v>
      </c>
      <c r="AB26" s="35">
        <v>0.85</v>
      </c>
      <c r="AC26" s="35">
        <v>0.85</v>
      </c>
      <c r="AD26" s="35">
        <v>0.85</v>
      </c>
      <c r="AE26" s="35">
        <v>0.85</v>
      </c>
      <c r="AF26" s="35">
        <v>0.85</v>
      </c>
      <c r="AG26" s="35">
        <v>0.85</v>
      </c>
      <c r="AH26" s="35">
        <v>0.85</v>
      </c>
      <c r="AI26" s="35">
        <v>0.85</v>
      </c>
    </row>
    <row r="27" spans="1:35">
      <c r="A27">
        <v>26</v>
      </c>
      <c r="B27" t="s">
        <v>107</v>
      </c>
      <c r="C27" t="s">
        <v>108</v>
      </c>
      <c r="D27" t="s">
        <v>19</v>
      </c>
      <c r="E27" t="s">
        <v>613</v>
      </c>
      <c r="F27" t="s">
        <v>709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>
        <v>1</v>
      </c>
      <c r="V27" s="35">
        <v>1</v>
      </c>
      <c r="W27" s="35">
        <v>1</v>
      </c>
      <c r="X27" s="35">
        <v>1</v>
      </c>
      <c r="Y27" s="35">
        <v>1</v>
      </c>
      <c r="Z27" s="35">
        <v>1</v>
      </c>
      <c r="AA27" s="35">
        <v>1</v>
      </c>
      <c r="AB27" s="35">
        <v>1</v>
      </c>
      <c r="AC27" s="35">
        <v>1</v>
      </c>
      <c r="AD27" s="35">
        <v>1</v>
      </c>
      <c r="AE27" s="35">
        <v>1</v>
      </c>
      <c r="AF27" s="35">
        <v>1</v>
      </c>
      <c r="AG27" s="35">
        <v>1</v>
      </c>
      <c r="AH27" s="35">
        <v>1</v>
      </c>
      <c r="AI27" s="35">
        <v>1</v>
      </c>
    </row>
    <row r="28" spans="1:35">
      <c r="A28">
        <v>27</v>
      </c>
      <c r="B28" t="s">
        <v>110</v>
      </c>
      <c r="C28" t="s">
        <v>111</v>
      </c>
      <c r="D28" t="s">
        <v>19</v>
      </c>
      <c r="E28" t="s">
        <v>613</v>
      </c>
      <c r="F28" t="s">
        <v>709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5">
        <v>0</v>
      </c>
    </row>
    <row r="29" spans="1:35">
      <c r="A29">
        <v>28</v>
      </c>
      <c r="B29" t="s">
        <v>113</v>
      </c>
      <c r="C29" t="s">
        <v>114</v>
      </c>
      <c r="D29" t="s">
        <v>19</v>
      </c>
      <c r="E29" t="s">
        <v>613</v>
      </c>
      <c r="F29" t="s">
        <v>709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</row>
    <row r="30" spans="1:35">
      <c r="A30">
        <v>29</v>
      </c>
      <c r="B30" t="s">
        <v>117</v>
      </c>
      <c r="C30" t="s">
        <v>118</v>
      </c>
      <c r="D30" t="s">
        <v>19</v>
      </c>
      <c r="E30" t="s">
        <v>613</v>
      </c>
      <c r="F30" t="s">
        <v>709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</row>
    <row r="31" spans="1:35">
      <c r="A31">
        <v>30</v>
      </c>
      <c r="B31" t="s">
        <v>121</v>
      </c>
      <c r="C31" t="s">
        <v>122</v>
      </c>
      <c r="D31" t="s">
        <v>19</v>
      </c>
      <c r="E31" t="s">
        <v>613</v>
      </c>
      <c r="F31" t="s">
        <v>709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</row>
    <row r="32" spans="1:35" ht="15.75">
      <c r="A32">
        <v>31</v>
      </c>
      <c r="B32" t="s">
        <v>124</v>
      </c>
      <c r="C32" t="s">
        <v>125</v>
      </c>
      <c r="D32" t="s">
        <v>19</v>
      </c>
      <c r="E32" t="s">
        <v>613</v>
      </c>
      <c r="F32" t="s">
        <v>709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</row>
    <row r="33" spans="1:35">
      <c r="A33">
        <v>32</v>
      </c>
      <c r="B33" t="s">
        <v>127</v>
      </c>
      <c r="C33" t="s">
        <v>128</v>
      </c>
      <c r="D33" t="s">
        <v>19</v>
      </c>
      <c r="E33" t="s">
        <v>613</v>
      </c>
      <c r="F33" t="s">
        <v>709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</row>
    <row r="34" spans="1:35">
      <c r="A34">
        <v>33</v>
      </c>
      <c r="B34" t="s">
        <v>130</v>
      </c>
      <c r="C34" t="s">
        <v>131</v>
      </c>
      <c r="D34" t="s">
        <v>19</v>
      </c>
      <c r="E34" t="s">
        <v>613</v>
      </c>
      <c r="F34" t="s">
        <v>709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>
        <v>0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v>0</v>
      </c>
      <c r="AI34" s="35">
        <v>0</v>
      </c>
    </row>
    <row r="35" spans="1:35">
      <c r="A35">
        <v>34</v>
      </c>
      <c r="B35" t="s">
        <v>133</v>
      </c>
      <c r="C35" t="s">
        <v>134</v>
      </c>
      <c r="D35" t="s">
        <v>19</v>
      </c>
      <c r="E35" t="s">
        <v>613</v>
      </c>
      <c r="F35" t="s">
        <v>709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0</v>
      </c>
      <c r="AI35" s="35">
        <v>0</v>
      </c>
    </row>
    <row r="36" spans="1:35">
      <c r="A36">
        <v>35</v>
      </c>
      <c r="B36" t="s">
        <v>137</v>
      </c>
      <c r="C36" t="s">
        <v>138</v>
      </c>
      <c r="D36" t="s">
        <v>19</v>
      </c>
      <c r="E36" t="s">
        <v>613</v>
      </c>
      <c r="F36" t="s">
        <v>709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>
        <v>0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  <c r="AI36" s="35">
        <v>0</v>
      </c>
    </row>
    <row r="37" spans="1:35">
      <c r="A37">
        <v>36</v>
      </c>
      <c r="B37" t="s">
        <v>140</v>
      </c>
      <c r="C37" t="s">
        <v>141</v>
      </c>
      <c r="D37" t="s">
        <v>19</v>
      </c>
      <c r="E37" t="s">
        <v>613</v>
      </c>
      <c r="F37" t="s">
        <v>709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0</v>
      </c>
    </row>
    <row r="38" spans="1:35">
      <c r="A38">
        <v>37</v>
      </c>
      <c r="B38" t="s">
        <v>143</v>
      </c>
      <c r="C38" t="s">
        <v>144</v>
      </c>
      <c r="D38" t="s">
        <v>19</v>
      </c>
      <c r="E38" t="s">
        <v>615</v>
      </c>
      <c r="F38" t="s">
        <v>709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5">
        <v>0</v>
      </c>
    </row>
    <row r="39" spans="1:35" ht="15.75">
      <c r="A39">
        <v>38</v>
      </c>
      <c r="B39" t="s">
        <v>148</v>
      </c>
      <c r="C39" t="s">
        <v>149</v>
      </c>
      <c r="D39" t="s">
        <v>19</v>
      </c>
      <c r="E39" t="s">
        <v>613</v>
      </c>
      <c r="F39" t="s">
        <v>709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9">
        <v>0.8</v>
      </c>
      <c r="V39" s="39">
        <v>0.8</v>
      </c>
      <c r="W39" s="39">
        <v>0.8</v>
      </c>
      <c r="X39" s="39">
        <v>0.8</v>
      </c>
      <c r="Y39" s="39">
        <v>0.8</v>
      </c>
      <c r="Z39" s="39">
        <v>0.8</v>
      </c>
      <c r="AA39" s="39">
        <v>0.8</v>
      </c>
      <c r="AB39" s="39">
        <v>0.8</v>
      </c>
      <c r="AC39" s="39">
        <v>0.8</v>
      </c>
      <c r="AD39" s="39">
        <v>0.8</v>
      </c>
      <c r="AE39" s="35">
        <v>0</v>
      </c>
      <c r="AF39" s="35">
        <v>0</v>
      </c>
      <c r="AG39" s="35">
        <v>0</v>
      </c>
      <c r="AH39" s="35">
        <v>0</v>
      </c>
      <c r="AI39" s="35">
        <v>0</v>
      </c>
    </row>
    <row r="40" spans="1:35" ht="15.75">
      <c r="A40">
        <v>39</v>
      </c>
      <c r="B40" t="s">
        <v>151</v>
      </c>
      <c r="C40" t="s">
        <v>152</v>
      </c>
      <c r="D40" t="s">
        <v>19</v>
      </c>
      <c r="E40" t="s">
        <v>613</v>
      </c>
      <c r="F40" t="s">
        <v>709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9">
        <v>0.8</v>
      </c>
      <c r="V40" s="39">
        <v>0.8</v>
      </c>
      <c r="W40" s="39">
        <v>0.8</v>
      </c>
      <c r="X40" s="39">
        <v>0.8</v>
      </c>
      <c r="Y40" s="39">
        <v>0.8</v>
      </c>
      <c r="Z40" s="39">
        <v>0.8</v>
      </c>
      <c r="AA40" s="39">
        <v>0.8</v>
      </c>
      <c r="AB40" s="39">
        <v>0.8</v>
      </c>
      <c r="AC40" s="39">
        <v>0.8</v>
      </c>
      <c r="AD40" s="39">
        <v>0.8</v>
      </c>
      <c r="AE40" s="35">
        <v>0</v>
      </c>
      <c r="AF40" s="35">
        <v>0</v>
      </c>
      <c r="AG40" s="35">
        <v>0</v>
      </c>
      <c r="AH40" s="35">
        <v>0</v>
      </c>
      <c r="AI40" s="35">
        <v>0</v>
      </c>
    </row>
    <row r="41" spans="1:35" ht="15.75">
      <c r="A41">
        <v>40</v>
      </c>
      <c r="B41" t="s">
        <v>153</v>
      </c>
      <c r="C41" t="s">
        <v>154</v>
      </c>
      <c r="D41" t="s">
        <v>19</v>
      </c>
      <c r="E41" t="s">
        <v>613</v>
      </c>
      <c r="F41" t="s">
        <v>709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9">
        <v>0.7</v>
      </c>
      <c r="V41" s="39">
        <v>0.7</v>
      </c>
      <c r="W41" s="39">
        <v>0.7</v>
      </c>
      <c r="X41" s="39">
        <v>0.7</v>
      </c>
      <c r="Y41" s="39">
        <v>0.7</v>
      </c>
      <c r="Z41" s="39">
        <v>0.7</v>
      </c>
      <c r="AA41" s="39">
        <v>0.7</v>
      </c>
      <c r="AB41" s="39">
        <v>0.7</v>
      </c>
      <c r="AC41" s="39">
        <v>0.7</v>
      </c>
      <c r="AD41" s="39">
        <v>0.7</v>
      </c>
      <c r="AE41" s="35">
        <v>0</v>
      </c>
      <c r="AF41" s="35">
        <v>0</v>
      </c>
      <c r="AG41" s="35">
        <v>0</v>
      </c>
      <c r="AH41" s="35">
        <v>0</v>
      </c>
      <c r="AI41" s="35">
        <v>0</v>
      </c>
    </row>
    <row r="42" spans="1:35" ht="15.75">
      <c r="A42">
        <v>41</v>
      </c>
      <c r="B42" t="s">
        <v>157</v>
      </c>
      <c r="C42" t="s">
        <v>158</v>
      </c>
      <c r="D42" t="s">
        <v>19</v>
      </c>
      <c r="E42" t="s">
        <v>613</v>
      </c>
      <c r="F42" t="s">
        <v>709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9">
        <v>0.7</v>
      </c>
      <c r="V42" s="39">
        <v>0.7</v>
      </c>
      <c r="W42" s="39">
        <v>0.7</v>
      </c>
      <c r="X42" s="39">
        <v>0.7</v>
      </c>
      <c r="Y42" s="39">
        <v>0.7</v>
      </c>
      <c r="Z42" s="39">
        <v>0.7</v>
      </c>
      <c r="AA42" s="39">
        <v>0.7</v>
      </c>
      <c r="AB42" s="39">
        <v>0.7</v>
      </c>
      <c r="AC42" s="39">
        <v>0.7</v>
      </c>
      <c r="AD42" s="39">
        <v>0.7</v>
      </c>
      <c r="AE42" s="35">
        <v>0</v>
      </c>
      <c r="AF42" s="35">
        <v>0</v>
      </c>
      <c r="AG42" s="35">
        <v>0</v>
      </c>
      <c r="AH42" s="35">
        <v>0</v>
      </c>
      <c r="AI42" s="35">
        <v>0</v>
      </c>
    </row>
    <row r="43" spans="1:35">
      <c r="A43">
        <v>42</v>
      </c>
      <c r="B43" t="s">
        <v>161</v>
      </c>
      <c r="C43" t="s">
        <v>162</v>
      </c>
      <c r="D43" t="s">
        <v>19</v>
      </c>
      <c r="E43" t="s">
        <v>613</v>
      </c>
      <c r="F43" t="s">
        <v>709</v>
      </c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>
        <v>0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v>0</v>
      </c>
      <c r="AI43" s="35">
        <v>0</v>
      </c>
    </row>
    <row r="44" spans="1:35">
      <c r="A44">
        <v>43</v>
      </c>
      <c r="B44" t="s">
        <v>164</v>
      </c>
      <c r="C44" t="s">
        <v>165</v>
      </c>
      <c r="D44" t="s">
        <v>19</v>
      </c>
      <c r="E44" t="s">
        <v>613</v>
      </c>
      <c r="F44" t="s">
        <v>709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>
        <v>0</v>
      </c>
      <c r="V44" s="35">
        <v>0</v>
      </c>
      <c r="W44" s="35">
        <v>0</v>
      </c>
      <c r="X44" s="35">
        <v>0</v>
      </c>
      <c r="Y44" s="35">
        <v>0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0</v>
      </c>
    </row>
    <row r="45" spans="1:35">
      <c r="A45">
        <v>44</v>
      </c>
      <c r="B45" t="s">
        <v>168</v>
      </c>
      <c r="C45" t="s">
        <v>169</v>
      </c>
      <c r="D45" t="s">
        <v>19</v>
      </c>
      <c r="E45" t="s">
        <v>613</v>
      </c>
      <c r="F45" t="s">
        <v>709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>
        <v>0.5</v>
      </c>
      <c r="V45" s="35">
        <v>0.5</v>
      </c>
      <c r="W45" s="35">
        <v>0.5</v>
      </c>
      <c r="X45" s="35">
        <v>0.5</v>
      </c>
      <c r="Y45" s="35">
        <v>0.5</v>
      </c>
      <c r="Z45" s="35">
        <v>0.5</v>
      </c>
      <c r="AA45" s="35">
        <v>0.5</v>
      </c>
      <c r="AB45" s="35">
        <v>0.5</v>
      </c>
      <c r="AC45" s="35">
        <v>0.5</v>
      </c>
      <c r="AD45" s="35">
        <v>0.5</v>
      </c>
      <c r="AE45" s="35">
        <v>0.5</v>
      </c>
      <c r="AF45" s="35">
        <v>0.5</v>
      </c>
      <c r="AG45" s="35">
        <v>0.5</v>
      </c>
      <c r="AH45" s="35">
        <v>0.5</v>
      </c>
      <c r="AI45" s="35">
        <v>0.5</v>
      </c>
    </row>
    <row r="46" spans="1:35">
      <c r="A46">
        <v>45</v>
      </c>
      <c r="B46" t="s">
        <v>171</v>
      </c>
      <c r="C46" t="s">
        <v>172</v>
      </c>
      <c r="D46" t="s">
        <v>19</v>
      </c>
      <c r="E46" t="s">
        <v>613</v>
      </c>
      <c r="F46" t="s">
        <v>709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>
        <v>1</v>
      </c>
      <c r="V46" s="35">
        <v>1</v>
      </c>
      <c r="W46" s="35">
        <v>1</v>
      </c>
      <c r="X46" s="35">
        <v>1</v>
      </c>
      <c r="Y46" s="35">
        <v>1</v>
      </c>
      <c r="Z46" s="35">
        <v>1</v>
      </c>
      <c r="AA46" s="35">
        <v>1</v>
      </c>
      <c r="AB46" s="35">
        <v>1</v>
      </c>
      <c r="AC46" s="35">
        <v>1</v>
      </c>
      <c r="AD46" s="35">
        <v>1</v>
      </c>
      <c r="AE46" s="35">
        <v>1</v>
      </c>
      <c r="AF46" s="35">
        <v>1</v>
      </c>
      <c r="AG46" s="35">
        <v>1</v>
      </c>
      <c r="AH46" s="35">
        <v>1</v>
      </c>
      <c r="AI46" s="35">
        <v>1</v>
      </c>
    </row>
    <row r="47" spans="1:35">
      <c r="A47">
        <v>46</v>
      </c>
      <c r="B47" t="s">
        <v>174</v>
      </c>
      <c r="C47" t="s">
        <v>175</v>
      </c>
      <c r="D47" t="s">
        <v>19</v>
      </c>
      <c r="E47" t="s">
        <v>613</v>
      </c>
      <c r="F47" t="s">
        <v>709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>
        <v>0.95</v>
      </c>
      <c r="V47" s="35">
        <v>0.95</v>
      </c>
      <c r="W47" s="35">
        <v>0.95</v>
      </c>
      <c r="X47" s="35">
        <v>0.95</v>
      </c>
      <c r="Y47" s="35">
        <v>0.95</v>
      </c>
      <c r="Z47" s="35">
        <v>0.95</v>
      </c>
      <c r="AA47" s="35">
        <v>0.95</v>
      </c>
      <c r="AB47" s="35">
        <v>0.95</v>
      </c>
      <c r="AC47" s="35">
        <v>0.95</v>
      </c>
      <c r="AD47" s="35">
        <v>0.95</v>
      </c>
      <c r="AE47" s="35">
        <v>0.95</v>
      </c>
      <c r="AF47" s="35">
        <v>0.95</v>
      </c>
      <c r="AG47" s="35">
        <v>0.95</v>
      </c>
      <c r="AH47" s="35">
        <v>0.95</v>
      </c>
      <c r="AI47" s="35">
        <v>0.95</v>
      </c>
    </row>
    <row r="48" spans="1:35">
      <c r="A48">
        <v>47</v>
      </c>
      <c r="B48" t="s">
        <v>178</v>
      </c>
      <c r="C48" t="s">
        <v>179</v>
      </c>
      <c r="D48" t="s">
        <v>19</v>
      </c>
      <c r="E48" t="s">
        <v>613</v>
      </c>
      <c r="F48" t="s">
        <v>709</v>
      </c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>
        <v>0.7</v>
      </c>
      <c r="V48" s="35">
        <v>0.7</v>
      </c>
      <c r="W48" s="35">
        <v>0.7</v>
      </c>
      <c r="X48" s="35">
        <v>0.7</v>
      </c>
      <c r="Y48" s="35">
        <v>0.7</v>
      </c>
      <c r="Z48" s="35">
        <v>0.7</v>
      </c>
      <c r="AA48" s="35">
        <v>0.7</v>
      </c>
      <c r="AB48" s="35">
        <v>0.7</v>
      </c>
      <c r="AC48" s="35">
        <v>0.7</v>
      </c>
      <c r="AD48" s="35">
        <v>0.7</v>
      </c>
      <c r="AE48" s="35">
        <v>0.7</v>
      </c>
      <c r="AF48" s="35">
        <v>0.7</v>
      </c>
      <c r="AG48" s="35">
        <v>0.7</v>
      </c>
      <c r="AH48" s="35">
        <v>0.7</v>
      </c>
      <c r="AI48" s="35">
        <v>0.7</v>
      </c>
    </row>
    <row r="49" spans="1:35" ht="15.75">
      <c r="A49">
        <v>48</v>
      </c>
      <c r="B49" t="s">
        <v>181</v>
      </c>
      <c r="C49" t="s">
        <v>182</v>
      </c>
      <c r="D49" t="s">
        <v>19</v>
      </c>
      <c r="E49" t="s">
        <v>613</v>
      </c>
      <c r="F49" t="s">
        <v>709</v>
      </c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9">
        <v>0.9</v>
      </c>
      <c r="V49" s="39">
        <v>0.9</v>
      </c>
      <c r="W49" s="39">
        <v>0.9</v>
      </c>
      <c r="X49" s="39">
        <v>0.9</v>
      </c>
      <c r="Y49" s="39">
        <v>0.9</v>
      </c>
      <c r="Z49" s="39">
        <v>0.9</v>
      </c>
      <c r="AA49" s="39">
        <v>0.9</v>
      </c>
      <c r="AB49" s="39">
        <v>0.9</v>
      </c>
      <c r="AC49" s="39">
        <v>0.9</v>
      </c>
      <c r="AD49" s="39">
        <v>0.9</v>
      </c>
      <c r="AE49" s="35">
        <v>0.3</v>
      </c>
      <c r="AF49" s="35">
        <v>0.3</v>
      </c>
      <c r="AG49" s="35">
        <v>0.3</v>
      </c>
      <c r="AH49" s="35">
        <v>0.3</v>
      </c>
      <c r="AI49" s="35">
        <v>0.3</v>
      </c>
    </row>
    <row r="50" spans="1:35">
      <c r="A50">
        <v>49</v>
      </c>
      <c r="B50" t="s">
        <v>185</v>
      </c>
      <c r="C50" t="s">
        <v>186</v>
      </c>
      <c r="D50" t="s">
        <v>19</v>
      </c>
      <c r="E50" t="s">
        <v>613</v>
      </c>
      <c r="F50" t="s">
        <v>709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>
        <v>0</v>
      </c>
      <c r="V50" s="35">
        <v>0</v>
      </c>
      <c r="W50" s="35">
        <v>0</v>
      </c>
      <c r="X50" s="35">
        <v>0</v>
      </c>
      <c r="Y50" s="35">
        <v>0</v>
      </c>
      <c r="Z50" s="35">
        <v>0</v>
      </c>
      <c r="AA50" s="35">
        <v>0</v>
      </c>
      <c r="AB50" s="35">
        <v>0</v>
      </c>
      <c r="AC50" s="35">
        <v>0</v>
      </c>
      <c r="AD50" s="35">
        <v>0</v>
      </c>
      <c r="AE50" s="35">
        <v>0</v>
      </c>
      <c r="AF50" s="35">
        <v>0</v>
      </c>
      <c r="AG50" s="35">
        <v>0</v>
      </c>
      <c r="AH50" s="35">
        <v>0</v>
      </c>
      <c r="AI50" s="35">
        <v>0</v>
      </c>
    </row>
    <row r="51" spans="1:35">
      <c r="A51">
        <v>50</v>
      </c>
      <c r="B51" t="s">
        <v>188</v>
      </c>
      <c r="C51" t="s">
        <v>189</v>
      </c>
      <c r="D51" t="s">
        <v>19</v>
      </c>
      <c r="E51" t="s">
        <v>613</v>
      </c>
      <c r="F51" t="s">
        <v>709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>
        <v>0</v>
      </c>
      <c r="V51" s="35">
        <v>0</v>
      </c>
      <c r="W51" s="35">
        <v>0</v>
      </c>
      <c r="X51" s="35">
        <v>0</v>
      </c>
      <c r="Y51" s="35">
        <v>0</v>
      </c>
      <c r="Z51" s="35">
        <v>0</v>
      </c>
      <c r="AA51" s="35">
        <v>0</v>
      </c>
      <c r="AB51" s="35">
        <v>0</v>
      </c>
      <c r="AC51" s="35">
        <v>0</v>
      </c>
      <c r="AD51" s="35">
        <v>0</v>
      </c>
      <c r="AE51" s="35">
        <v>0</v>
      </c>
      <c r="AF51" s="35">
        <v>0</v>
      </c>
      <c r="AG51" s="35">
        <v>0</v>
      </c>
      <c r="AH51" s="35">
        <v>0</v>
      </c>
      <c r="AI51" s="35">
        <v>0</v>
      </c>
    </row>
    <row r="52" spans="1:35">
      <c r="A52">
        <v>51</v>
      </c>
      <c r="B52" t="s">
        <v>192</v>
      </c>
      <c r="C52" t="s">
        <v>193</v>
      </c>
      <c r="D52" t="s">
        <v>19</v>
      </c>
      <c r="E52" t="s">
        <v>613</v>
      </c>
      <c r="F52" t="s">
        <v>709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0</v>
      </c>
      <c r="AA52" s="35">
        <v>0</v>
      </c>
      <c r="AB52" s="35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  <c r="AH52" s="35">
        <v>0</v>
      </c>
      <c r="AI52" s="35">
        <v>0</v>
      </c>
    </row>
    <row r="53" spans="1:35">
      <c r="A53">
        <v>52</v>
      </c>
      <c r="B53" t="s">
        <v>194</v>
      </c>
      <c r="C53" t="s">
        <v>195</v>
      </c>
      <c r="D53" t="s">
        <v>19</v>
      </c>
      <c r="E53" t="s">
        <v>613</v>
      </c>
      <c r="F53" t="s">
        <v>709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>
        <v>1</v>
      </c>
      <c r="V53" s="35">
        <v>1</v>
      </c>
      <c r="W53" s="35">
        <v>1</v>
      </c>
      <c r="X53" s="35">
        <v>1</v>
      </c>
      <c r="Y53" s="35">
        <v>1</v>
      </c>
      <c r="Z53" s="35">
        <v>1</v>
      </c>
      <c r="AA53" s="35">
        <v>1</v>
      </c>
      <c r="AB53" s="35">
        <v>1</v>
      </c>
      <c r="AC53" s="35">
        <v>1</v>
      </c>
      <c r="AD53" s="35">
        <v>1</v>
      </c>
      <c r="AE53" s="35">
        <v>0</v>
      </c>
      <c r="AF53" s="35">
        <v>0</v>
      </c>
      <c r="AG53" s="35">
        <v>0</v>
      </c>
      <c r="AH53" s="35">
        <v>0</v>
      </c>
      <c r="AI53" s="35">
        <v>0</v>
      </c>
    </row>
    <row r="54" spans="1:35">
      <c r="A54">
        <v>53</v>
      </c>
      <c r="B54" t="s">
        <v>197</v>
      </c>
      <c r="C54" t="s">
        <v>198</v>
      </c>
      <c r="D54" t="s">
        <v>19</v>
      </c>
      <c r="E54" t="s">
        <v>613</v>
      </c>
      <c r="F54" t="s">
        <v>709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>
        <v>0</v>
      </c>
      <c r="V54" s="35">
        <v>0</v>
      </c>
      <c r="W54" s="35">
        <v>0</v>
      </c>
      <c r="X54" s="35">
        <v>0</v>
      </c>
      <c r="Y54" s="35">
        <v>0</v>
      </c>
      <c r="Z54" s="35">
        <v>0</v>
      </c>
      <c r="AA54" s="35">
        <v>0</v>
      </c>
      <c r="AB54" s="35">
        <v>0</v>
      </c>
      <c r="AC54" s="35">
        <v>0</v>
      </c>
      <c r="AD54" s="35">
        <v>0</v>
      </c>
      <c r="AE54" s="35">
        <v>0</v>
      </c>
      <c r="AF54" s="35">
        <v>0</v>
      </c>
      <c r="AG54" s="35">
        <v>0</v>
      </c>
      <c r="AH54" s="35">
        <v>0</v>
      </c>
      <c r="AI54" s="35">
        <v>0</v>
      </c>
    </row>
    <row r="55" spans="1:35" ht="15.75">
      <c r="A55">
        <v>54</v>
      </c>
      <c r="B55" t="s">
        <v>200</v>
      </c>
      <c r="C55" t="s">
        <v>201</v>
      </c>
      <c r="D55" t="s">
        <v>19</v>
      </c>
      <c r="E55" t="s">
        <v>613</v>
      </c>
      <c r="F55" t="s">
        <v>709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9">
        <v>0.3</v>
      </c>
      <c r="V55" s="39">
        <v>0.3</v>
      </c>
      <c r="W55" s="39">
        <v>0.3</v>
      </c>
      <c r="X55" s="39">
        <v>0.3</v>
      </c>
      <c r="Y55" s="39">
        <v>0.3</v>
      </c>
      <c r="Z55" s="39">
        <v>0.3</v>
      </c>
      <c r="AA55" s="39">
        <v>0.3</v>
      </c>
      <c r="AB55" s="39">
        <v>0.3</v>
      </c>
      <c r="AC55" s="39">
        <v>0.3</v>
      </c>
      <c r="AD55" s="39">
        <v>0.3</v>
      </c>
      <c r="AE55" s="35">
        <v>0.3</v>
      </c>
      <c r="AF55" s="35">
        <v>0.3</v>
      </c>
      <c r="AG55" s="35">
        <v>0.3</v>
      </c>
      <c r="AH55" s="35">
        <v>0.3</v>
      </c>
      <c r="AI55" s="35">
        <v>0.3</v>
      </c>
    </row>
    <row r="56" spans="1:35" ht="15.75">
      <c r="A56">
        <v>55</v>
      </c>
      <c r="B56" t="s">
        <v>203</v>
      </c>
      <c r="C56" t="s">
        <v>204</v>
      </c>
      <c r="D56" t="s">
        <v>19</v>
      </c>
      <c r="E56" t="s">
        <v>613</v>
      </c>
      <c r="F56" t="s">
        <v>709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9">
        <v>0.7</v>
      </c>
      <c r="V56" s="39">
        <v>0.7</v>
      </c>
      <c r="W56" s="39">
        <v>0.7</v>
      </c>
      <c r="X56" s="39">
        <v>0.7</v>
      </c>
      <c r="Y56" s="39">
        <v>0.7</v>
      </c>
      <c r="Z56" s="39">
        <v>0.7</v>
      </c>
      <c r="AA56" s="39">
        <v>0.7</v>
      </c>
      <c r="AB56" s="39">
        <v>0.7</v>
      </c>
      <c r="AC56" s="39">
        <v>0.7</v>
      </c>
      <c r="AD56" s="39">
        <v>0.7</v>
      </c>
      <c r="AE56" s="35">
        <v>0</v>
      </c>
      <c r="AF56" s="35">
        <v>0</v>
      </c>
      <c r="AG56" s="35">
        <v>0</v>
      </c>
      <c r="AH56" s="35">
        <v>0</v>
      </c>
      <c r="AI56" s="35">
        <v>0</v>
      </c>
    </row>
    <row r="57" spans="1:35">
      <c r="A57">
        <v>56</v>
      </c>
      <c r="B57" t="s">
        <v>205</v>
      </c>
      <c r="C57" t="s">
        <v>206</v>
      </c>
      <c r="D57" t="s">
        <v>19</v>
      </c>
      <c r="E57" t="s">
        <v>613</v>
      </c>
      <c r="F57" t="s">
        <v>709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>
        <v>0</v>
      </c>
      <c r="V57" s="35">
        <v>0</v>
      </c>
      <c r="W57" s="35">
        <v>0</v>
      </c>
      <c r="X57" s="35">
        <v>0</v>
      </c>
      <c r="Y57" s="35">
        <v>0</v>
      </c>
      <c r="Z57" s="35">
        <v>0</v>
      </c>
      <c r="AA57" s="35">
        <v>0</v>
      </c>
      <c r="AB57" s="35">
        <v>0</v>
      </c>
      <c r="AC57" s="35">
        <v>0</v>
      </c>
      <c r="AD57" s="35">
        <v>0</v>
      </c>
      <c r="AE57" s="35">
        <v>0</v>
      </c>
      <c r="AF57" s="35">
        <v>0</v>
      </c>
      <c r="AG57" s="35">
        <v>0</v>
      </c>
      <c r="AH57" s="35">
        <v>0</v>
      </c>
      <c r="AI57" s="35">
        <v>0</v>
      </c>
    </row>
    <row r="58" spans="1:35" ht="15.75">
      <c r="A58">
        <v>57</v>
      </c>
      <c r="B58" t="s">
        <v>209</v>
      </c>
      <c r="C58" t="s">
        <v>210</v>
      </c>
      <c r="D58" t="s">
        <v>19</v>
      </c>
      <c r="E58" t="s">
        <v>613</v>
      </c>
      <c r="F58" t="s">
        <v>709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9">
        <v>1</v>
      </c>
      <c r="V58" s="39">
        <v>1</v>
      </c>
      <c r="W58" s="39">
        <v>1</v>
      </c>
      <c r="X58" s="39">
        <v>1</v>
      </c>
      <c r="Y58" s="39">
        <v>1</v>
      </c>
      <c r="Z58" s="39">
        <v>1</v>
      </c>
      <c r="AA58" s="39">
        <v>1</v>
      </c>
      <c r="AB58" s="39">
        <v>1</v>
      </c>
      <c r="AC58" s="39">
        <v>1</v>
      </c>
      <c r="AD58" s="39">
        <v>1</v>
      </c>
      <c r="AE58" s="35">
        <v>0</v>
      </c>
      <c r="AF58" s="35">
        <v>0</v>
      </c>
      <c r="AG58" s="35">
        <v>0</v>
      </c>
      <c r="AH58" s="35">
        <v>0</v>
      </c>
      <c r="AI58" s="35">
        <v>0</v>
      </c>
    </row>
    <row r="59" spans="1:35">
      <c r="A59">
        <v>58</v>
      </c>
      <c r="B59" t="s">
        <v>213</v>
      </c>
      <c r="C59" t="s">
        <v>214</v>
      </c>
      <c r="D59" t="s">
        <v>19</v>
      </c>
      <c r="E59" t="s">
        <v>613</v>
      </c>
      <c r="F59" t="s">
        <v>709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>
        <v>0</v>
      </c>
      <c r="V59" s="35">
        <v>0</v>
      </c>
      <c r="W59" s="35">
        <v>0</v>
      </c>
      <c r="X59" s="35">
        <v>0</v>
      </c>
      <c r="Y59" s="35">
        <v>0</v>
      </c>
      <c r="Z59" s="35">
        <v>0</v>
      </c>
      <c r="AA59" s="35">
        <v>0</v>
      </c>
      <c r="AB59" s="35">
        <v>0</v>
      </c>
      <c r="AC59" s="35">
        <v>0</v>
      </c>
      <c r="AD59" s="35">
        <v>0</v>
      </c>
      <c r="AE59" s="35">
        <v>0</v>
      </c>
      <c r="AF59" s="35">
        <v>0</v>
      </c>
      <c r="AG59" s="35">
        <v>0</v>
      </c>
      <c r="AH59" s="35">
        <v>0</v>
      </c>
      <c r="AI59" s="35">
        <v>0</v>
      </c>
    </row>
    <row r="60" spans="1:35" ht="15.75">
      <c r="A60">
        <v>59</v>
      </c>
      <c r="B60" t="s">
        <v>217</v>
      </c>
      <c r="C60" t="s">
        <v>218</v>
      </c>
      <c r="D60" t="s">
        <v>19</v>
      </c>
      <c r="E60" t="s">
        <v>613</v>
      </c>
      <c r="F60" t="s">
        <v>709</v>
      </c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9">
        <v>0.8</v>
      </c>
      <c r="V60" s="35">
        <v>0</v>
      </c>
      <c r="W60" s="35">
        <v>0</v>
      </c>
      <c r="X60" s="35">
        <v>0</v>
      </c>
      <c r="Y60" s="35">
        <v>0</v>
      </c>
      <c r="Z60" s="35">
        <v>0</v>
      </c>
      <c r="AA60" s="35">
        <v>0</v>
      </c>
      <c r="AB60" s="35">
        <v>0</v>
      </c>
      <c r="AC60" s="35">
        <v>0</v>
      </c>
      <c r="AD60" s="35">
        <v>0</v>
      </c>
      <c r="AE60" s="35">
        <v>0</v>
      </c>
      <c r="AF60" s="35">
        <v>0</v>
      </c>
      <c r="AG60" s="35">
        <v>0</v>
      </c>
      <c r="AH60" s="35">
        <v>0</v>
      </c>
      <c r="AI60" s="35">
        <v>0</v>
      </c>
    </row>
    <row r="61" spans="1:35" ht="15.75">
      <c r="A61">
        <v>60</v>
      </c>
      <c r="B61" t="s">
        <v>220</v>
      </c>
      <c r="C61" t="s">
        <v>221</v>
      </c>
      <c r="D61" t="s">
        <v>19</v>
      </c>
      <c r="E61" t="s">
        <v>615</v>
      </c>
      <c r="F61" t="s">
        <v>709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9">
        <v>0.47</v>
      </c>
      <c r="V61" s="35">
        <v>0</v>
      </c>
      <c r="W61" s="35">
        <v>0</v>
      </c>
      <c r="X61" s="35">
        <v>0</v>
      </c>
      <c r="Y61" s="35">
        <v>0</v>
      </c>
      <c r="Z61" s="35">
        <v>0</v>
      </c>
      <c r="AA61" s="35">
        <v>0</v>
      </c>
      <c r="AB61" s="35">
        <v>0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  <c r="AH61" s="35">
        <v>0</v>
      </c>
      <c r="AI61" s="35">
        <v>0</v>
      </c>
    </row>
    <row r="62" spans="1:35">
      <c r="A62">
        <v>61</v>
      </c>
      <c r="B62" t="s">
        <v>224</v>
      </c>
      <c r="C62" t="s">
        <v>225</v>
      </c>
      <c r="D62" t="s">
        <v>19</v>
      </c>
      <c r="E62" t="s">
        <v>613</v>
      </c>
      <c r="F62" t="s">
        <v>709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>
        <v>0</v>
      </c>
      <c r="V62" s="35">
        <v>0</v>
      </c>
      <c r="W62" s="35">
        <v>0</v>
      </c>
      <c r="X62" s="35">
        <v>0</v>
      </c>
      <c r="Y62" s="35">
        <v>0</v>
      </c>
      <c r="Z62" s="35">
        <v>0</v>
      </c>
      <c r="AA62" s="35">
        <v>0</v>
      </c>
      <c r="AB62" s="35">
        <v>0</v>
      </c>
      <c r="AC62" s="35">
        <v>0</v>
      </c>
      <c r="AD62" s="35">
        <v>0</v>
      </c>
      <c r="AE62" s="35">
        <v>0</v>
      </c>
      <c r="AF62" s="35">
        <v>0</v>
      </c>
      <c r="AG62" s="35">
        <v>0</v>
      </c>
      <c r="AH62" s="35">
        <v>0</v>
      </c>
      <c r="AI62" s="35">
        <v>0</v>
      </c>
    </row>
    <row r="63" spans="1:35">
      <c r="A63">
        <v>62</v>
      </c>
      <c r="B63" t="s">
        <v>227</v>
      </c>
      <c r="C63" t="s">
        <v>228</v>
      </c>
      <c r="D63" t="s">
        <v>19</v>
      </c>
      <c r="E63" t="s">
        <v>613</v>
      </c>
      <c r="F63" t="s">
        <v>709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>
        <v>0</v>
      </c>
      <c r="V63" s="35">
        <v>0</v>
      </c>
      <c r="W63" s="35">
        <v>0</v>
      </c>
      <c r="X63" s="35">
        <v>0</v>
      </c>
      <c r="Y63" s="35">
        <v>0</v>
      </c>
      <c r="Z63" s="35">
        <v>0</v>
      </c>
      <c r="AA63" s="35">
        <v>0</v>
      </c>
      <c r="AB63" s="35">
        <v>0</v>
      </c>
      <c r="AC63" s="35">
        <v>0</v>
      </c>
      <c r="AD63" s="35">
        <v>0</v>
      </c>
      <c r="AE63" s="35">
        <v>0</v>
      </c>
      <c r="AF63" s="35">
        <v>0</v>
      </c>
      <c r="AG63" s="35">
        <v>0</v>
      </c>
      <c r="AH63" s="35">
        <v>0</v>
      </c>
      <c r="AI63" s="35">
        <v>0</v>
      </c>
    </row>
    <row r="64" spans="1:35" ht="15.75">
      <c r="A64">
        <v>63</v>
      </c>
      <c r="B64" t="s">
        <v>230</v>
      </c>
      <c r="C64" t="s">
        <v>231</v>
      </c>
      <c r="D64" t="s">
        <v>19</v>
      </c>
      <c r="E64" t="s">
        <v>613</v>
      </c>
      <c r="F64" t="s">
        <v>709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>
        <v>0.82000000000000006</v>
      </c>
      <c r="V64" s="39">
        <v>0.82000000000000006</v>
      </c>
      <c r="W64" s="39">
        <v>0.82000000000000006</v>
      </c>
      <c r="X64" s="39">
        <v>0.82000000000000006</v>
      </c>
      <c r="Y64" s="39">
        <v>0.82000000000000006</v>
      </c>
      <c r="Z64" s="39">
        <v>0.82000000000000006</v>
      </c>
      <c r="AA64" s="35"/>
      <c r="AB64" s="35"/>
      <c r="AC64" s="35"/>
      <c r="AD64" s="35"/>
      <c r="AE64" s="35">
        <v>0</v>
      </c>
      <c r="AF64" s="35">
        <v>0</v>
      </c>
      <c r="AG64" s="35">
        <v>0</v>
      </c>
      <c r="AH64" s="35">
        <v>0</v>
      </c>
      <c r="AI64" s="35">
        <v>0</v>
      </c>
    </row>
    <row r="65" spans="1:35">
      <c r="A65">
        <v>64</v>
      </c>
      <c r="B65" t="s">
        <v>232</v>
      </c>
      <c r="C65" t="s">
        <v>233</v>
      </c>
      <c r="D65" t="s">
        <v>19</v>
      </c>
      <c r="E65" t="s">
        <v>613</v>
      </c>
      <c r="F65" t="s">
        <v>709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>
        <v>0</v>
      </c>
      <c r="V65" s="35">
        <v>0</v>
      </c>
      <c r="W65" s="35">
        <v>0</v>
      </c>
      <c r="X65" s="35">
        <v>0</v>
      </c>
      <c r="Y65" s="35">
        <v>0</v>
      </c>
      <c r="Z65" s="35">
        <v>0</v>
      </c>
      <c r="AA65" s="35">
        <v>0</v>
      </c>
      <c r="AB65" s="35">
        <v>0</v>
      </c>
      <c r="AC65" s="35">
        <v>0</v>
      </c>
      <c r="AD65" s="35">
        <v>0</v>
      </c>
      <c r="AE65" s="35">
        <v>0</v>
      </c>
      <c r="AF65" s="35">
        <v>0</v>
      </c>
      <c r="AG65" s="35">
        <v>0</v>
      </c>
      <c r="AH65" s="35">
        <v>0</v>
      </c>
      <c r="AI65" s="35">
        <v>0</v>
      </c>
    </row>
    <row r="66" spans="1:35">
      <c r="A66">
        <v>65</v>
      </c>
      <c r="B66" t="s">
        <v>235</v>
      </c>
      <c r="C66" t="s">
        <v>236</v>
      </c>
      <c r="D66" t="s">
        <v>19</v>
      </c>
      <c r="E66" t="s">
        <v>613</v>
      </c>
      <c r="F66" t="s">
        <v>709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>
        <v>0.9</v>
      </c>
      <c r="V66" s="35">
        <v>0.9</v>
      </c>
      <c r="W66" s="35">
        <v>0.9</v>
      </c>
      <c r="X66" s="35">
        <v>0.9</v>
      </c>
      <c r="Y66" s="35">
        <v>0.9</v>
      </c>
      <c r="Z66" s="35">
        <v>0.9</v>
      </c>
      <c r="AA66" s="35">
        <v>0.9</v>
      </c>
      <c r="AB66" s="35">
        <v>0.9</v>
      </c>
      <c r="AC66" s="35">
        <v>0.9</v>
      </c>
      <c r="AD66" s="35">
        <v>0.9</v>
      </c>
      <c r="AE66" s="35">
        <v>0.9</v>
      </c>
      <c r="AF66" s="35">
        <v>0.9</v>
      </c>
      <c r="AG66" s="35">
        <v>0.9</v>
      </c>
      <c r="AH66" s="35">
        <v>0.9</v>
      </c>
      <c r="AI66" s="35">
        <v>0.9</v>
      </c>
    </row>
    <row r="67" spans="1:35">
      <c r="A67">
        <v>66</v>
      </c>
      <c r="B67" t="s">
        <v>239</v>
      </c>
      <c r="C67" t="s">
        <v>240</v>
      </c>
      <c r="D67" t="s">
        <v>19</v>
      </c>
      <c r="E67" t="s">
        <v>613</v>
      </c>
      <c r="F67" t="s">
        <v>709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>
        <v>0.9</v>
      </c>
      <c r="V67" s="35">
        <v>0.9</v>
      </c>
      <c r="W67" s="35">
        <v>0.9</v>
      </c>
      <c r="X67" s="35">
        <v>0.9</v>
      </c>
      <c r="Y67" s="35">
        <v>0.9</v>
      </c>
      <c r="Z67" s="35">
        <v>0.9</v>
      </c>
      <c r="AA67" s="35">
        <v>0.9</v>
      </c>
      <c r="AB67" s="35">
        <v>0.9</v>
      </c>
      <c r="AC67" s="35">
        <v>0.9</v>
      </c>
      <c r="AD67" s="35">
        <v>0.9</v>
      </c>
      <c r="AE67" s="35">
        <v>0.9</v>
      </c>
      <c r="AF67" s="35">
        <v>0.9</v>
      </c>
      <c r="AG67" s="35">
        <v>0.9</v>
      </c>
      <c r="AH67" s="35">
        <v>0.9</v>
      </c>
      <c r="AI67" s="35">
        <v>0.9</v>
      </c>
    </row>
    <row r="68" spans="1:35">
      <c r="A68">
        <v>67</v>
      </c>
      <c r="B68" t="s">
        <v>242</v>
      </c>
      <c r="C68" t="s">
        <v>243</v>
      </c>
      <c r="D68" t="s">
        <v>19</v>
      </c>
      <c r="E68" t="s">
        <v>613</v>
      </c>
      <c r="F68" t="s">
        <v>709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>
        <v>1</v>
      </c>
      <c r="V68" s="35">
        <v>1</v>
      </c>
      <c r="W68" s="35">
        <v>1</v>
      </c>
      <c r="X68" s="35">
        <v>1</v>
      </c>
      <c r="Y68" s="35">
        <v>1</v>
      </c>
      <c r="Z68" s="35">
        <v>1</v>
      </c>
      <c r="AA68" s="35">
        <v>1</v>
      </c>
      <c r="AB68" s="35">
        <v>1</v>
      </c>
      <c r="AC68" s="35">
        <v>1</v>
      </c>
      <c r="AD68" s="35">
        <v>1</v>
      </c>
      <c r="AE68" s="35">
        <v>1</v>
      </c>
      <c r="AF68" s="35">
        <v>1</v>
      </c>
      <c r="AG68" s="35">
        <v>1</v>
      </c>
      <c r="AH68" s="35">
        <v>1</v>
      </c>
      <c r="AI68" s="35">
        <v>1</v>
      </c>
    </row>
    <row r="69" spans="1:35">
      <c r="A69">
        <v>68</v>
      </c>
      <c r="B69" t="s">
        <v>247</v>
      </c>
      <c r="C69" t="s">
        <v>248</v>
      </c>
      <c r="D69" t="s">
        <v>19</v>
      </c>
      <c r="E69" t="s">
        <v>613</v>
      </c>
      <c r="F69" t="s">
        <v>709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>
        <v>1</v>
      </c>
      <c r="V69" s="35">
        <v>1</v>
      </c>
      <c r="W69" s="35">
        <v>1</v>
      </c>
      <c r="X69" s="35">
        <v>1</v>
      </c>
      <c r="Y69" s="35">
        <v>1</v>
      </c>
      <c r="Z69" s="35">
        <v>1</v>
      </c>
      <c r="AA69" s="35">
        <v>1</v>
      </c>
      <c r="AB69" s="35">
        <v>1</v>
      </c>
      <c r="AC69" s="35">
        <v>1</v>
      </c>
      <c r="AD69" s="35">
        <v>1</v>
      </c>
      <c r="AE69" s="35">
        <v>1</v>
      </c>
      <c r="AF69" s="35">
        <v>1</v>
      </c>
      <c r="AG69" s="35">
        <v>1</v>
      </c>
      <c r="AH69" s="35">
        <v>1</v>
      </c>
      <c r="AI69" s="35">
        <v>1</v>
      </c>
    </row>
    <row r="70" spans="1:35" ht="15.75">
      <c r="A70">
        <v>69</v>
      </c>
      <c r="B70" t="s">
        <v>250</v>
      </c>
      <c r="C70" t="s">
        <v>251</v>
      </c>
      <c r="D70" t="s">
        <v>19</v>
      </c>
      <c r="E70" t="s">
        <v>613</v>
      </c>
      <c r="F70" t="s">
        <v>709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9">
        <v>0.92</v>
      </c>
      <c r="V70" s="39">
        <v>0.92</v>
      </c>
      <c r="W70" s="39">
        <v>0.92</v>
      </c>
      <c r="X70" s="39">
        <v>0.92</v>
      </c>
      <c r="Y70" s="39">
        <v>0.92</v>
      </c>
      <c r="Z70" s="39">
        <v>0.92</v>
      </c>
      <c r="AA70" s="39">
        <v>0.92</v>
      </c>
      <c r="AB70" s="39">
        <v>0.92</v>
      </c>
      <c r="AC70" s="39">
        <v>0.92</v>
      </c>
      <c r="AD70" s="39">
        <v>0.92</v>
      </c>
      <c r="AE70" s="35">
        <v>0</v>
      </c>
      <c r="AF70" s="35">
        <v>0</v>
      </c>
      <c r="AG70" s="35">
        <v>0</v>
      </c>
      <c r="AH70" s="35">
        <v>0</v>
      </c>
      <c r="AI70" s="35">
        <v>0</v>
      </c>
    </row>
    <row r="71" spans="1:35">
      <c r="A71">
        <v>70</v>
      </c>
      <c r="B71" t="s">
        <v>253</v>
      </c>
      <c r="C71" t="s">
        <v>254</v>
      </c>
      <c r="D71" t="s">
        <v>19</v>
      </c>
      <c r="E71" t="s">
        <v>613</v>
      </c>
      <c r="F71" t="s">
        <v>709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>
        <v>1</v>
      </c>
      <c r="V71" s="35">
        <v>1</v>
      </c>
      <c r="W71" s="35">
        <v>1</v>
      </c>
      <c r="X71" s="35">
        <v>1</v>
      </c>
      <c r="Y71" s="35">
        <v>1</v>
      </c>
      <c r="Z71" s="35">
        <v>1</v>
      </c>
      <c r="AA71" s="35">
        <v>1</v>
      </c>
      <c r="AB71" s="35">
        <v>1</v>
      </c>
      <c r="AC71" s="35">
        <v>1</v>
      </c>
      <c r="AD71" s="35">
        <v>1</v>
      </c>
      <c r="AE71" s="35">
        <v>1</v>
      </c>
      <c r="AF71" s="35">
        <v>1</v>
      </c>
      <c r="AG71" s="35">
        <v>1</v>
      </c>
      <c r="AH71" s="35">
        <v>1</v>
      </c>
      <c r="AI71" s="35">
        <v>1</v>
      </c>
    </row>
    <row r="72" spans="1:35">
      <c r="A72">
        <v>71</v>
      </c>
      <c r="B72" t="s">
        <v>256</v>
      </c>
      <c r="C72" t="s">
        <v>257</v>
      </c>
      <c r="D72" t="s">
        <v>19</v>
      </c>
      <c r="E72" t="s">
        <v>613</v>
      </c>
      <c r="F72" t="s">
        <v>709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>
        <v>1</v>
      </c>
      <c r="V72" s="35">
        <v>1</v>
      </c>
      <c r="W72" s="35">
        <v>1</v>
      </c>
      <c r="X72" s="35">
        <v>1</v>
      </c>
      <c r="Y72" s="35">
        <v>1</v>
      </c>
      <c r="Z72" s="35">
        <v>1</v>
      </c>
      <c r="AA72" s="35">
        <v>1</v>
      </c>
      <c r="AB72" s="35">
        <v>1</v>
      </c>
      <c r="AC72" s="35">
        <v>1</v>
      </c>
      <c r="AD72" s="35">
        <v>1</v>
      </c>
      <c r="AE72" s="35">
        <v>1</v>
      </c>
      <c r="AF72" s="35">
        <v>1</v>
      </c>
      <c r="AG72" s="35">
        <v>1</v>
      </c>
      <c r="AH72" s="35">
        <v>1</v>
      </c>
      <c r="AI72" s="35">
        <v>1</v>
      </c>
    </row>
    <row r="73" spans="1:35">
      <c r="A73">
        <v>72</v>
      </c>
      <c r="B73" t="s">
        <v>258</v>
      </c>
      <c r="C73" t="s">
        <v>259</v>
      </c>
      <c r="D73" t="s">
        <v>19</v>
      </c>
      <c r="E73" t="s">
        <v>613</v>
      </c>
      <c r="F73" t="s">
        <v>709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>
        <v>0</v>
      </c>
      <c r="AI73" s="35">
        <v>0</v>
      </c>
    </row>
    <row r="74" spans="1:35" ht="15.75">
      <c r="A74">
        <v>73</v>
      </c>
      <c r="B74" t="s">
        <v>261</v>
      </c>
      <c r="C74" t="s">
        <v>262</v>
      </c>
      <c r="D74" t="s">
        <v>19</v>
      </c>
      <c r="E74" t="s">
        <v>613</v>
      </c>
      <c r="F74" t="s">
        <v>709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9">
        <v>0.94</v>
      </c>
      <c r="V74" s="39">
        <v>0.94</v>
      </c>
      <c r="W74" s="39">
        <v>0.94</v>
      </c>
      <c r="X74" s="39">
        <v>0.94</v>
      </c>
      <c r="Y74" s="39">
        <v>0.94</v>
      </c>
      <c r="Z74" s="39">
        <v>0.94</v>
      </c>
      <c r="AA74" s="35"/>
      <c r="AB74" s="35"/>
      <c r="AC74" s="35"/>
      <c r="AD74" s="35"/>
      <c r="AE74" s="35">
        <v>0</v>
      </c>
      <c r="AF74" s="35">
        <v>0</v>
      </c>
      <c r="AG74" s="35">
        <v>0</v>
      </c>
      <c r="AH74" s="35">
        <v>0</v>
      </c>
      <c r="AI74" s="35">
        <v>0</v>
      </c>
    </row>
    <row r="75" spans="1:35">
      <c r="A75">
        <v>74</v>
      </c>
      <c r="B75" t="s">
        <v>265</v>
      </c>
      <c r="C75" t="s">
        <v>266</v>
      </c>
      <c r="D75" t="s">
        <v>19</v>
      </c>
      <c r="E75" t="s">
        <v>613</v>
      </c>
      <c r="F75" t="s">
        <v>709</v>
      </c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>
        <v>0</v>
      </c>
      <c r="V75" s="35">
        <v>0</v>
      </c>
      <c r="W75" s="35">
        <v>0</v>
      </c>
      <c r="X75" s="35">
        <v>0</v>
      </c>
      <c r="Y75" s="35">
        <v>0</v>
      </c>
      <c r="Z75" s="35">
        <v>0</v>
      </c>
      <c r="AA75" s="35">
        <v>0</v>
      </c>
      <c r="AB75" s="35">
        <v>0</v>
      </c>
      <c r="AC75" s="35">
        <v>0</v>
      </c>
      <c r="AD75" s="35">
        <v>0</v>
      </c>
      <c r="AE75" s="35">
        <v>0</v>
      </c>
      <c r="AF75" s="35">
        <v>0</v>
      </c>
      <c r="AG75" s="35">
        <v>0</v>
      </c>
      <c r="AH75" s="35">
        <v>0</v>
      </c>
      <c r="AI75" s="35">
        <v>0</v>
      </c>
    </row>
    <row r="76" spans="1:35">
      <c r="A76">
        <v>75</v>
      </c>
      <c r="B76" t="s">
        <v>269</v>
      </c>
      <c r="C76" t="s">
        <v>270</v>
      </c>
      <c r="D76" t="s">
        <v>19</v>
      </c>
      <c r="E76" t="s">
        <v>613</v>
      </c>
      <c r="F76" t="s">
        <v>709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>
        <v>1</v>
      </c>
      <c r="V76" s="35">
        <v>1</v>
      </c>
      <c r="W76" s="35">
        <v>1</v>
      </c>
      <c r="X76" s="35">
        <v>1</v>
      </c>
      <c r="Y76" s="35">
        <v>1</v>
      </c>
      <c r="Z76" s="35">
        <v>1</v>
      </c>
      <c r="AA76" s="35">
        <v>0</v>
      </c>
      <c r="AB76" s="35">
        <v>0</v>
      </c>
      <c r="AC76" s="35">
        <v>0</v>
      </c>
      <c r="AD76" s="35">
        <v>0</v>
      </c>
      <c r="AE76" s="35">
        <v>0</v>
      </c>
      <c r="AF76" s="35">
        <v>0</v>
      </c>
      <c r="AG76" s="35">
        <v>0</v>
      </c>
      <c r="AH76" s="35">
        <v>0</v>
      </c>
      <c r="AI76" s="35">
        <v>0</v>
      </c>
    </row>
    <row r="77" spans="1:35">
      <c r="A77">
        <v>76</v>
      </c>
      <c r="B77" t="s">
        <v>273</v>
      </c>
      <c r="C77" t="s">
        <v>274</v>
      </c>
      <c r="D77" t="s">
        <v>19</v>
      </c>
      <c r="E77" t="s">
        <v>613</v>
      </c>
      <c r="F77" t="s">
        <v>709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>
        <v>0</v>
      </c>
      <c r="V77" s="35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5">
        <v>0</v>
      </c>
    </row>
    <row r="78" spans="1:35">
      <c r="A78">
        <v>77</v>
      </c>
      <c r="B78" t="s">
        <v>276</v>
      </c>
      <c r="C78" t="s">
        <v>277</v>
      </c>
      <c r="D78" t="s">
        <v>19</v>
      </c>
      <c r="E78" t="s">
        <v>613</v>
      </c>
      <c r="F78" t="s">
        <v>709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>
        <v>0</v>
      </c>
      <c r="V78" s="35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0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5">
        <v>0</v>
      </c>
    </row>
    <row r="79" spans="1:35">
      <c r="A79">
        <v>78</v>
      </c>
      <c r="B79" t="s">
        <v>278</v>
      </c>
      <c r="C79" t="s">
        <v>279</v>
      </c>
      <c r="D79" t="s">
        <v>19</v>
      </c>
      <c r="E79" t="s">
        <v>615</v>
      </c>
      <c r="F79" t="s">
        <v>709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>
      <c r="A80">
        <v>79</v>
      </c>
      <c r="B80" t="s">
        <v>280</v>
      </c>
      <c r="C80" t="s">
        <v>281</v>
      </c>
      <c r="D80" t="s">
        <v>19</v>
      </c>
      <c r="E80" t="s">
        <v>613</v>
      </c>
      <c r="F80" t="s">
        <v>709</v>
      </c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>
        <v>1</v>
      </c>
      <c r="V80" s="35">
        <v>1</v>
      </c>
      <c r="W80" s="35">
        <v>1</v>
      </c>
      <c r="X80" s="35">
        <v>1</v>
      </c>
      <c r="Y80" s="35">
        <v>1</v>
      </c>
      <c r="Z80" s="35">
        <v>1</v>
      </c>
      <c r="AA80" s="35">
        <v>1</v>
      </c>
      <c r="AB80" s="35">
        <v>1</v>
      </c>
      <c r="AC80" s="35">
        <v>1</v>
      </c>
      <c r="AD80" s="35">
        <v>1</v>
      </c>
      <c r="AE80" s="35">
        <v>0</v>
      </c>
      <c r="AF80" s="35">
        <v>0</v>
      </c>
      <c r="AG80" s="35">
        <v>0</v>
      </c>
      <c r="AH80" s="35">
        <v>0</v>
      </c>
      <c r="AI80" s="35">
        <v>0</v>
      </c>
    </row>
    <row r="81" spans="1:35">
      <c r="A81">
        <v>80</v>
      </c>
      <c r="B81" t="s">
        <v>282</v>
      </c>
      <c r="C81" t="s">
        <v>283</v>
      </c>
      <c r="D81" t="s">
        <v>19</v>
      </c>
      <c r="E81" t="s">
        <v>613</v>
      </c>
      <c r="F81" t="s">
        <v>709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>
        <v>1</v>
      </c>
      <c r="V81" s="35">
        <v>1</v>
      </c>
      <c r="W81" s="35">
        <v>1</v>
      </c>
      <c r="X81" s="35">
        <v>1</v>
      </c>
      <c r="Y81" s="35">
        <v>1</v>
      </c>
      <c r="Z81" s="35">
        <v>1</v>
      </c>
      <c r="AA81" s="35">
        <v>1</v>
      </c>
      <c r="AB81" s="35">
        <v>1</v>
      </c>
      <c r="AC81" s="35">
        <v>1</v>
      </c>
      <c r="AD81" s="35">
        <v>1</v>
      </c>
      <c r="AE81" s="35">
        <v>1</v>
      </c>
      <c r="AF81" s="35">
        <v>1</v>
      </c>
      <c r="AG81" s="35">
        <v>1</v>
      </c>
      <c r="AH81" s="35">
        <v>1</v>
      </c>
      <c r="AI81" s="35">
        <v>1</v>
      </c>
    </row>
    <row r="82" spans="1:35">
      <c r="A82">
        <v>81</v>
      </c>
      <c r="B82" t="s">
        <v>285</v>
      </c>
      <c r="C82" t="s">
        <v>286</v>
      </c>
      <c r="D82" t="s">
        <v>19</v>
      </c>
      <c r="E82" t="s">
        <v>613</v>
      </c>
      <c r="F82" t="s">
        <v>709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>
        <v>1</v>
      </c>
      <c r="V82" s="35">
        <v>1</v>
      </c>
      <c r="W82" s="35">
        <v>1</v>
      </c>
      <c r="X82" s="35">
        <v>1</v>
      </c>
      <c r="Y82" s="35">
        <v>1</v>
      </c>
      <c r="Z82" s="35">
        <v>1</v>
      </c>
      <c r="AA82" s="35">
        <v>1</v>
      </c>
      <c r="AB82" s="35">
        <v>1</v>
      </c>
      <c r="AC82" s="35">
        <v>1</v>
      </c>
      <c r="AD82" s="35">
        <v>1</v>
      </c>
      <c r="AE82" s="35">
        <v>1</v>
      </c>
      <c r="AF82" s="35">
        <v>1</v>
      </c>
      <c r="AG82" s="35">
        <v>1</v>
      </c>
      <c r="AH82" s="35">
        <v>1</v>
      </c>
      <c r="AI82" s="35">
        <v>1</v>
      </c>
    </row>
    <row r="83" spans="1:35">
      <c r="A83">
        <v>82</v>
      </c>
      <c r="B83" t="s">
        <v>287</v>
      </c>
      <c r="C83" t="s">
        <v>288</v>
      </c>
      <c r="D83" t="s">
        <v>19</v>
      </c>
      <c r="E83" t="s">
        <v>613</v>
      </c>
      <c r="F83" t="s">
        <v>709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>
        <v>1</v>
      </c>
      <c r="V83" s="35">
        <v>1</v>
      </c>
      <c r="W83" s="35">
        <v>1</v>
      </c>
      <c r="X83" s="35">
        <v>1</v>
      </c>
      <c r="Y83" s="35">
        <v>1</v>
      </c>
      <c r="Z83" s="35">
        <v>1</v>
      </c>
      <c r="AA83" s="35">
        <v>1</v>
      </c>
      <c r="AB83" s="35">
        <v>1</v>
      </c>
      <c r="AC83" s="35">
        <v>1</v>
      </c>
      <c r="AD83" s="35">
        <v>1</v>
      </c>
      <c r="AE83" s="35">
        <v>1</v>
      </c>
      <c r="AF83" s="35">
        <v>1</v>
      </c>
      <c r="AG83" s="35">
        <v>1</v>
      </c>
      <c r="AH83" s="35">
        <v>1</v>
      </c>
      <c r="AI83" s="35">
        <v>1</v>
      </c>
    </row>
    <row r="84" spans="1:35">
      <c r="A84">
        <v>83</v>
      </c>
      <c r="B84" t="s">
        <v>290</v>
      </c>
      <c r="C84" t="s">
        <v>291</v>
      </c>
      <c r="D84" t="s">
        <v>19</v>
      </c>
      <c r="E84" t="s">
        <v>613</v>
      </c>
      <c r="F84" t="s">
        <v>709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>
        <v>0</v>
      </c>
      <c r="V84" s="35">
        <v>0</v>
      </c>
      <c r="W84" s="35">
        <v>0</v>
      </c>
      <c r="X84" s="35">
        <v>0</v>
      </c>
      <c r="Y84" s="35">
        <v>0</v>
      </c>
      <c r="Z84" s="35">
        <v>0</v>
      </c>
      <c r="AA84" s="35">
        <v>0</v>
      </c>
      <c r="AB84" s="35">
        <v>0</v>
      </c>
      <c r="AC84" s="35">
        <v>0</v>
      </c>
      <c r="AD84" s="35">
        <v>0</v>
      </c>
      <c r="AE84" s="35">
        <v>0</v>
      </c>
      <c r="AF84" s="35">
        <v>0</v>
      </c>
      <c r="AG84" s="35">
        <v>0</v>
      </c>
      <c r="AH84" s="35">
        <v>0</v>
      </c>
      <c r="AI84" s="35">
        <v>0</v>
      </c>
    </row>
    <row r="85" spans="1:35">
      <c r="A85">
        <v>84</v>
      </c>
      <c r="B85" t="s">
        <v>292</v>
      </c>
      <c r="C85" t="s">
        <v>293</v>
      </c>
      <c r="D85" t="s">
        <v>19</v>
      </c>
      <c r="E85" t="s">
        <v>613</v>
      </c>
      <c r="F85" t="s">
        <v>709</v>
      </c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>
        <v>0</v>
      </c>
      <c r="V85" s="35">
        <v>0</v>
      </c>
      <c r="W85" s="35">
        <v>0</v>
      </c>
      <c r="X85" s="35">
        <v>0</v>
      </c>
      <c r="Y85" s="35">
        <v>0</v>
      </c>
      <c r="Z85" s="35">
        <v>0</v>
      </c>
      <c r="AA85" s="35">
        <v>0</v>
      </c>
      <c r="AB85" s="35">
        <v>0</v>
      </c>
      <c r="AC85" s="35">
        <v>0</v>
      </c>
      <c r="AD85" s="35">
        <v>0</v>
      </c>
      <c r="AE85" s="35">
        <v>0</v>
      </c>
      <c r="AF85" s="35">
        <v>0</v>
      </c>
      <c r="AG85" s="35">
        <v>0</v>
      </c>
      <c r="AH85" s="35">
        <v>0</v>
      </c>
      <c r="AI85" s="35">
        <v>0</v>
      </c>
    </row>
    <row r="86" spans="1:35">
      <c r="A86">
        <v>85</v>
      </c>
      <c r="B86" t="s">
        <v>295</v>
      </c>
      <c r="C86" t="s">
        <v>296</v>
      </c>
      <c r="D86" t="s">
        <v>19</v>
      </c>
      <c r="E86" t="s">
        <v>613</v>
      </c>
      <c r="F86" t="s">
        <v>709</v>
      </c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>
        <v>0</v>
      </c>
      <c r="V86" s="35">
        <v>0</v>
      </c>
      <c r="W86" s="35">
        <v>0</v>
      </c>
      <c r="X86" s="35">
        <v>0</v>
      </c>
      <c r="Y86" s="35">
        <v>0</v>
      </c>
      <c r="Z86" s="35">
        <v>0</v>
      </c>
      <c r="AA86" s="35">
        <v>0</v>
      </c>
      <c r="AB86" s="35">
        <v>0</v>
      </c>
      <c r="AC86" s="35">
        <v>0</v>
      </c>
      <c r="AD86" s="35">
        <v>0</v>
      </c>
      <c r="AE86" s="35">
        <v>0</v>
      </c>
      <c r="AF86" s="35">
        <v>0</v>
      </c>
      <c r="AG86" s="35">
        <v>0</v>
      </c>
      <c r="AH86" s="35">
        <v>0</v>
      </c>
      <c r="AI86" s="35">
        <v>0</v>
      </c>
    </row>
    <row r="87" spans="1:35">
      <c r="A87">
        <v>86</v>
      </c>
      <c r="B87" t="s">
        <v>298</v>
      </c>
      <c r="C87" t="s">
        <v>299</v>
      </c>
      <c r="D87" t="s">
        <v>19</v>
      </c>
      <c r="E87" t="s">
        <v>613</v>
      </c>
      <c r="F87" t="s">
        <v>709</v>
      </c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>
        <v>1</v>
      </c>
      <c r="V87" s="35">
        <v>1</v>
      </c>
      <c r="W87" s="35">
        <v>1</v>
      </c>
      <c r="X87" s="35">
        <v>1</v>
      </c>
      <c r="Y87" s="35">
        <v>1</v>
      </c>
      <c r="Z87" s="35">
        <v>1</v>
      </c>
      <c r="AA87" s="35">
        <v>1</v>
      </c>
      <c r="AB87" s="35">
        <v>1</v>
      </c>
      <c r="AC87" s="35">
        <v>1</v>
      </c>
      <c r="AD87" s="35">
        <v>1</v>
      </c>
      <c r="AE87" s="35">
        <v>1</v>
      </c>
      <c r="AF87" s="35">
        <v>1</v>
      </c>
      <c r="AG87" s="35">
        <v>1</v>
      </c>
      <c r="AH87" s="35">
        <v>1</v>
      </c>
      <c r="AI87" s="35">
        <v>1</v>
      </c>
    </row>
    <row r="88" spans="1:35">
      <c r="A88">
        <v>87</v>
      </c>
      <c r="B88" t="s">
        <v>302</v>
      </c>
      <c r="C88" t="s">
        <v>303</v>
      </c>
      <c r="D88" t="s">
        <v>19</v>
      </c>
      <c r="E88" t="s">
        <v>613</v>
      </c>
      <c r="F88" t="s">
        <v>709</v>
      </c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>
        <v>1</v>
      </c>
      <c r="V88" s="35">
        <v>1</v>
      </c>
      <c r="W88" s="35">
        <v>1</v>
      </c>
      <c r="X88" s="35">
        <v>1</v>
      </c>
      <c r="Y88" s="35">
        <v>1</v>
      </c>
      <c r="Z88" s="35">
        <v>1</v>
      </c>
      <c r="AA88" s="35">
        <v>1</v>
      </c>
      <c r="AB88" s="35">
        <v>1</v>
      </c>
      <c r="AC88" s="35">
        <v>1</v>
      </c>
      <c r="AD88" s="35">
        <v>1</v>
      </c>
      <c r="AE88" s="35">
        <v>1</v>
      </c>
      <c r="AF88" s="35">
        <v>1</v>
      </c>
      <c r="AG88" s="35">
        <v>1</v>
      </c>
      <c r="AH88" s="35">
        <v>1</v>
      </c>
      <c r="AI88" s="35">
        <v>1</v>
      </c>
    </row>
    <row r="89" spans="1:35">
      <c r="A89">
        <v>88</v>
      </c>
      <c r="B89" t="s">
        <v>305</v>
      </c>
      <c r="C89" t="s">
        <v>306</v>
      </c>
      <c r="D89" t="s">
        <v>19</v>
      </c>
      <c r="E89" t="s">
        <v>613</v>
      </c>
      <c r="F89" t="s">
        <v>709</v>
      </c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>
        <v>1</v>
      </c>
      <c r="V89" s="35">
        <v>1</v>
      </c>
      <c r="W89" s="35">
        <v>1</v>
      </c>
      <c r="X89" s="35">
        <v>1</v>
      </c>
      <c r="Y89" s="35">
        <v>1</v>
      </c>
      <c r="Z89" s="35">
        <v>1</v>
      </c>
      <c r="AA89" s="35">
        <v>1</v>
      </c>
      <c r="AB89" s="35">
        <v>1</v>
      </c>
      <c r="AC89" s="35">
        <v>1</v>
      </c>
      <c r="AD89" s="35">
        <v>1</v>
      </c>
      <c r="AE89" s="35">
        <v>1</v>
      </c>
      <c r="AF89" s="35">
        <v>1</v>
      </c>
      <c r="AG89" s="35">
        <v>1</v>
      </c>
      <c r="AH89" s="35">
        <v>1</v>
      </c>
      <c r="AI89" s="35">
        <v>1</v>
      </c>
    </row>
    <row r="90" spans="1:35">
      <c r="A90">
        <v>89</v>
      </c>
      <c r="B90" t="s">
        <v>308</v>
      </c>
      <c r="C90" t="s">
        <v>309</v>
      </c>
      <c r="D90" t="s">
        <v>19</v>
      </c>
      <c r="E90" t="s">
        <v>613</v>
      </c>
      <c r="F90" t="s">
        <v>709</v>
      </c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>
        <v>1</v>
      </c>
      <c r="V90" s="35">
        <v>1</v>
      </c>
      <c r="W90" s="35">
        <v>1</v>
      </c>
      <c r="X90" s="35">
        <v>1</v>
      </c>
      <c r="Y90" s="35">
        <v>1</v>
      </c>
      <c r="Z90" s="35">
        <v>1</v>
      </c>
      <c r="AA90" s="35">
        <v>1</v>
      </c>
      <c r="AB90" s="35">
        <v>1</v>
      </c>
      <c r="AC90" s="35">
        <v>1</v>
      </c>
      <c r="AD90" s="35">
        <v>1</v>
      </c>
      <c r="AE90" s="35">
        <v>1</v>
      </c>
      <c r="AF90" s="35">
        <v>1</v>
      </c>
      <c r="AG90" s="35">
        <v>1</v>
      </c>
      <c r="AH90" s="35">
        <v>1</v>
      </c>
      <c r="AI90" s="35">
        <v>1</v>
      </c>
    </row>
    <row r="91" spans="1:35">
      <c r="A91">
        <v>90</v>
      </c>
      <c r="B91" t="s">
        <v>311</v>
      </c>
      <c r="C91" t="s">
        <v>312</v>
      </c>
      <c r="D91" t="s">
        <v>19</v>
      </c>
      <c r="E91" t="s">
        <v>613</v>
      </c>
      <c r="F91" t="s">
        <v>709</v>
      </c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>
        <v>1</v>
      </c>
      <c r="V91" s="35">
        <v>1</v>
      </c>
      <c r="W91" s="35">
        <v>1</v>
      </c>
      <c r="X91" s="35">
        <v>1</v>
      </c>
      <c r="Y91" s="35">
        <v>1</v>
      </c>
      <c r="Z91" s="35">
        <v>1</v>
      </c>
      <c r="AA91" s="35">
        <v>1</v>
      </c>
      <c r="AB91" s="35">
        <v>1</v>
      </c>
      <c r="AC91" s="35">
        <v>1</v>
      </c>
      <c r="AD91" s="35">
        <v>1</v>
      </c>
      <c r="AE91" s="35">
        <v>1</v>
      </c>
      <c r="AF91" s="35">
        <v>1</v>
      </c>
      <c r="AG91" s="35">
        <v>1</v>
      </c>
      <c r="AH91" s="35">
        <v>1</v>
      </c>
      <c r="AI91" s="35">
        <v>1</v>
      </c>
    </row>
    <row r="92" spans="1:35">
      <c r="A92">
        <v>91</v>
      </c>
      <c r="B92" t="s">
        <v>314</v>
      </c>
      <c r="C92" t="s">
        <v>315</v>
      </c>
      <c r="D92" t="s">
        <v>19</v>
      </c>
      <c r="E92" t="s">
        <v>613</v>
      </c>
      <c r="F92" t="s">
        <v>709</v>
      </c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>
        <v>1</v>
      </c>
      <c r="V92" s="35">
        <v>1</v>
      </c>
      <c r="W92" s="35">
        <v>1</v>
      </c>
      <c r="X92" s="35">
        <v>1</v>
      </c>
      <c r="Y92" s="35">
        <v>1</v>
      </c>
      <c r="Z92" s="35">
        <v>1</v>
      </c>
      <c r="AA92" s="35">
        <v>1</v>
      </c>
      <c r="AB92" s="35">
        <v>1</v>
      </c>
      <c r="AC92" s="35">
        <v>1</v>
      </c>
      <c r="AD92" s="35">
        <v>1</v>
      </c>
      <c r="AE92" s="35">
        <v>1</v>
      </c>
      <c r="AF92" s="35">
        <v>1</v>
      </c>
      <c r="AG92" s="35">
        <v>1</v>
      </c>
      <c r="AH92" s="35">
        <v>1</v>
      </c>
      <c r="AI92" s="35">
        <v>1</v>
      </c>
    </row>
    <row r="93" spans="1:35">
      <c r="A93">
        <v>92</v>
      </c>
      <c r="B93" t="s">
        <v>317</v>
      </c>
      <c r="C93" t="s">
        <v>318</v>
      </c>
      <c r="D93" t="s">
        <v>19</v>
      </c>
      <c r="E93" t="s">
        <v>613</v>
      </c>
      <c r="F93" t="s">
        <v>709</v>
      </c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>
        <v>1</v>
      </c>
      <c r="V93" s="35">
        <v>1</v>
      </c>
      <c r="W93" s="35">
        <v>1</v>
      </c>
      <c r="X93" s="35">
        <v>1</v>
      </c>
      <c r="Y93" s="35">
        <v>1</v>
      </c>
      <c r="Z93" s="35">
        <v>1</v>
      </c>
      <c r="AA93" s="35">
        <v>1</v>
      </c>
      <c r="AB93" s="35">
        <v>1</v>
      </c>
      <c r="AC93" s="35">
        <v>1</v>
      </c>
      <c r="AD93" s="35">
        <v>1</v>
      </c>
      <c r="AE93" s="35">
        <v>1</v>
      </c>
      <c r="AF93" s="35">
        <v>1</v>
      </c>
      <c r="AG93" s="35">
        <v>1</v>
      </c>
      <c r="AH93" s="35">
        <v>1</v>
      </c>
      <c r="AI93" s="35">
        <v>1</v>
      </c>
    </row>
    <row r="94" spans="1:35">
      <c r="A94">
        <v>93</v>
      </c>
      <c r="B94" t="s">
        <v>320</v>
      </c>
      <c r="C94" t="s">
        <v>321</v>
      </c>
      <c r="D94" t="s">
        <v>19</v>
      </c>
      <c r="E94" t="s">
        <v>613</v>
      </c>
      <c r="F94" t="s">
        <v>709</v>
      </c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>
        <v>1</v>
      </c>
      <c r="V94" s="35">
        <v>1</v>
      </c>
      <c r="W94" s="35">
        <v>1</v>
      </c>
      <c r="X94" s="35">
        <v>1</v>
      </c>
      <c r="Y94" s="35">
        <v>1</v>
      </c>
      <c r="Z94" s="35">
        <v>1</v>
      </c>
      <c r="AA94" s="35">
        <v>1</v>
      </c>
      <c r="AB94" s="35">
        <v>1</v>
      </c>
      <c r="AC94" s="35">
        <v>1</v>
      </c>
      <c r="AD94" s="35">
        <v>1</v>
      </c>
      <c r="AE94" s="35">
        <v>1</v>
      </c>
      <c r="AF94" s="35">
        <v>1</v>
      </c>
      <c r="AG94" s="35">
        <v>1</v>
      </c>
      <c r="AH94" s="35">
        <v>1</v>
      </c>
      <c r="AI94" s="35">
        <v>1</v>
      </c>
    </row>
    <row r="95" spans="1:35">
      <c r="A95">
        <v>94</v>
      </c>
      <c r="B95" t="s">
        <v>323</v>
      </c>
      <c r="C95" t="s">
        <v>324</v>
      </c>
      <c r="D95" t="s">
        <v>19</v>
      </c>
      <c r="E95" t="s">
        <v>613</v>
      </c>
      <c r="F95" t="s">
        <v>709</v>
      </c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>
        <v>1</v>
      </c>
      <c r="V95" s="35">
        <v>1</v>
      </c>
      <c r="W95" s="35">
        <v>1</v>
      </c>
      <c r="X95" s="35">
        <v>1</v>
      </c>
      <c r="Y95" s="35">
        <v>1</v>
      </c>
      <c r="Z95" s="35">
        <v>1</v>
      </c>
      <c r="AA95" s="35">
        <v>1</v>
      </c>
      <c r="AB95" s="35">
        <v>1</v>
      </c>
      <c r="AC95" s="35">
        <v>1</v>
      </c>
      <c r="AD95" s="35">
        <v>1</v>
      </c>
      <c r="AE95" s="35">
        <v>1</v>
      </c>
      <c r="AF95" s="35">
        <v>1</v>
      </c>
      <c r="AG95" s="35">
        <v>1</v>
      </c>
      <c r="AH95" s="35">
        <v>1</v>
      </c>
      <c r="AI95" s="35">
        <v>1</v>
      </c>
    </row>
    <row r="96" spans="1:35">
      <c r="A96">
        <v>95</v>
      </c>
      <c r="B96" t="s">
        <v>326</v>
      </c>
      <c r="C96" t="s">
        <v>327</v>
      </c>
      <c r="D96" t="s">
        <v>19</v>
      </c>
      <c r="E96" t="s">
        <v>613</v>
      </c>
      <c r="F96" t="s">
        <v>709</v>
      </c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>
        <v>1</v>
      </c>
      <c r="V96" s="35">
        <v>1</v>
      </c>
      <c r="W96" s="35">
        <v>1</v>
      </c>
      <c r="X96" s="35">
        <v>1</v>
      </c>
      <c r="Y96" s="35">
        <v>1</v>
      </c>
      <c r="Z96" s="35">
        <v>1</v>
      </c>
      <c r="AA96" s="35">
        <v>1</v>
      </c>
      <c r="AB96" s="35">
        <v>1</v>
      </c>
      <c r="AC96" s="35">
        <v>1</v>
      </c>
      <c r="AD96" s="35">
        <v>1</v>
      </c>
      <c r="AE96" s="35">
        <v>1</v>
      </c>
      <c r="AF96" s="35">
        <v>1</v>
      </c>
      <c r="AG96" s="35">
        <v>1</v>
      </c>
      <c r="AH96" s="35">
        <v>1</v>
      </c>
      <c r="AI96" s="35">
        <v>1</v>
      </c>
    </row>
    <row r="97" spans="1:35">
      <c r="A97">
        <v>96</v>
      </c>
      <c r="B97" t="s">
        <v>329</v>
      </c>
      <c r="C97" t="s">
        <v>330</v>
      </c>
      <c r="D97" t="s">
        <v>19</v>
      </c>
      <c r="E97" t="s">
        <v>613</v>
      </c>
      <c r="F97" t="s">
        <v>709</v>
      </c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>
        <v>1</v>
      </c>
      <c r="V97" s="35">
        <v>1</v>
      </c>
      <c r="W97" s="35">
        <v>1</v>
      </c>
      <c r="X97" s="35">
        <v>1</v>
      </c>
      <c r="Y97" s="35">
        <v>1</v>
      </c>
      <c r="Z97" s="35">
        <v>1</v>
      </c>
      <c r="AA97" s="35">
        <v>1</v>
      </c>
      <c r="AB97" s="35">
        <v>1</v>
      </c>
      <c r="AC97" s="35">
        <v>1</v>
      </c>
      <c r="AD97" s="35">
        <v>1</v>
      </c>
      <c r="AE97" s="35">
        <v>1</v>
      </c>
      <c r="AF97" s="35">
        <v>1</v>
      </c>
      <c r="AG97" s="35">
        <v>1</v>
      </c>
      <c r="AH97" s="35">
        <v>1</v>
      </c>
      <c r="AI97" s="35">
        <v>1</v>
      </c>
    </row>
    <row r="98" spans="1:35">
      <c r="A98">
        <v>97</v>
      </c>
      <c r="B98" t="s">
        <v>332</v>
      </c>
      <c r="C98" t="s">
        <v>333</v>
      </c>
      <c r="D98" t="s">
        <v>19</v>
      </c>
      <c r="E98" t="s">
        <v>613</v>
      </c>
      <c r="F98" t="s">
        <v>709</v>
      </c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>
        <v>0</v>
      </c>
      <c r="V98" s="35">
        <v>0</v>
      </c>
      <c r="W98" s="35">
        <v>0</v>
      </c>
      <c r="X98" s="35">
        <v>0</v>
      </c>
      <c r="Y98" s="35">
        <v>0</v>
      </c>
      <c r="Z98" s="35">
        <v>0</v>
      </c>
      <c r="AA98" s="35">
        <v>0</v>
      </c>
      <c r="AB98" s="35">
        <v>0</v>
      </c>
      <c r="AC98" s="35">
        <v>0</v>
      </c>
      <c r="AD98" s="35">
        <v>0</v>
      </c>
      <c r="AE98" s="35">
        <v>0</v>
      </c>
      <c r="AF98" s="35">
        <v>0</v>
      </c>
      <c r="AG98" s="35">
        <v>0</v>
      </c>
      <c r="AH98" s="35">
        <v>0</v>
      </c>
      <c r="AI98" s="35">
        <v>0</v>
      </c>
    </row>
    <row r="99" spans="1:35">
      <c r="A99">
        <v>98</v>
      </c>
      <c r="B99" t="s">
        <v>336</v>
      </c>
      <c r="C99" t="s">
        <v>337</v>
      </c>
      <c r="D99" t="s">
        <v>19</v>
      </c>
      <c r="E99" t="s">
        <v>613</v>
      </c>
      <c r="F99" t="s">
        <v>709</v>
      </c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>
        <v>1</v>
      </c>
      <c r="V99" s="35">
        <v>1</v>
      </c>
      <c r="W99" s="35">
        <v>1</v>
      </c>
      <c r="X99" s="35">
        <v>1</v>
      </c>
      <c r="Y99" s="35">
        <v>1</v>
      </c>
      <c r="Z99" s="35">
        <v>1</v>
      </c>
      <c r="AA99" s="35">
        <v>1</v>
      </c>
      <c r="AB99" s="35">
        <v>1</v>
      </c>
      <c r="AC99" s="35">
        <v>1</v>
      </c>
      <c r="AD99" s="35">
        <v>1</v>
      </c>
      <c r="AE99" s="35">
        <v>1</v>
      </c>
      <c r="AF99" s="35">
        <v>1</v>
      </c>
      <c r="AG99" s="35">
        <v>1</v>
      </c>
      <c r="AH99" s="35">
        <v>1</v>
      </c>
      <c r="AI99" s="35">
        <v>1</v>
      </c>
    </row>
    <row r="100" spans="1:35">
      <c r="A100">
        <v>99</v>
      </c>
      <c r="B100" t="s">
        <v>338</v>
      </c>
      <c r="C100" t="s">
        <v>339</v>
      </c>
      <c r="D100" t="s">
        <v>19</v>
      </c>
      <c r="E100" t="s">
        <v>613</v>
      </c>
      <c r="F100" t="s">
        <v>709</v>
      </c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>
        <v>1</v>
      </c>
      <c r="V100" s="35">
        <v>1</v>
      </c>
      <c r="W100" s="35">
        <v>1</v>
      </c>
      <c r="X100" s="35">
        <v>1</v>
      </c>
      <c r="Y100" s="35">
        <v>1</v>
      </c>
      <c r="Z100" s="35">
        <v>1</v>
      </c>
      <c r="AA100" s="35">
        <v>1</v>
      </c>
      <c r="AB100" s="35">
        <v>1</v>
      </c>
      <c r="AC100" s="35">
        <v>1</v>
      </c>
      <c r="AD100" s="35">
        <v>1</v>
      </c>
      <c r="AE100" s="35">
        <v>1</v>
      </c>
      <c r="AF100" s="35">
        <v>1</v>
      </c>
      <c r="AG100" s="35">
        <v>1</v>
      </c>
      <c r="AH100" s="35">
        <v>1</v>
      </c>
      <c r="AI100" s="35">
        <v>1</v>
      </c>
    </row>
    <row r="101" spans="1:35">
      <c r="A101">
        <v>100</v>
      </c>
      <c r="B101" t="s">
        <v>340</v>
      </c>
      <c r="C101" t="s">
        <v>341</v>
      </c>
      <c r="D101" t="s">
        <v>19</v>
      </c>
      <c r="E101" t="s">
        <v>613</v>
      </c>
      <c r="F101" t="s">
        <v>709</v>
      </c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>
        <v>1</v>
      </c>
      <c r="V101" s="35">
        <v>1</v>
      </c>
      <c r="W101" s="35">
        <v>1</v>
      </c>
      <c r="X101" s="35">
        <v>1</v>
      </c>
      <c r="Y101" s="35">
        <v>1</v>
      </c>
      <c r="Z101" s="35">
        <v>1</v>
      </c>
      <c r="AA101" s="35">
        <v>1</v>
      </c>
      <c r="AB101" s="35">
        <v>1</v>
      </c>
      <c r="AC101" s="35">
        <v>1</v>
      </c>
      <c r="AD101" s="35">
        <v>1</v>
      </c>
      <c r="AE101" s="35">
        <v>1</v>
      </c>
      <c r="AF101" s="35">
        <v>1</v>
      </c>
      <c r="AG101" s="35">
        <v>1</v>
      </c>
      <c r="AH101" s="35">
        <v>1</v>
      </c>
      <c r="AI101" s="35">
        <v>1</v>
      </c>
    </row>
    <row r="102" spans="1:35">
      <c r="A102">
        <v>101</v>
      </c>
      <c r="B102" t="s">
        <v>343</v>
      </c>
      <c r="C102" t="s">
        <v>344</v>
      </c>
      <c r="D102" t="s">
        <v>19</v>
      </c>
      <c r="E102" t="s">
        <v>613</v>
      </c>
      <c r="F102" t="s">
        <v>709</v>
      </c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>
        <v>1</v>
      </c>
      <c r="V102" s="35">
        <v>1</v>
      </c>
      <c r="W102" s="35">
        <v>1</v>
      </c>
      <c r="X102" s="35">
        <v>1</v>
      </c>
      <c r="Y102" s="35">
        <v>1</v>
      </c>
      <c r="Z102" s="35">
        <v>1</v>
      </c>
      <c r="AA102" s="35">
        <v>1</v>
      </c>
      <c r="AB102" s="35">
        <v>1</v>
      </c>
      <c r="AC102" s="35">
        <v>1</v>
      </c>
      <c r="AD102" s="35">
        <v>1</v>
      </c>
      <c r="AE102" s="35">
        <v>1</v>
      </c>
      <c r="AF102" s="35">
        <v>1</v>
      </c>
      <c r="AG102" s="35">
        <v>1</v>
      </c>
      <c r="AH102" s="35">
        <v>1</v>
      </c>
      <c r="AI102" s="35">
        <v>1</v>
      </c>
    </row>
    <row r="103" spans="1:35">
      <c r="A103">
        <v>102</v>
      </c>
      <c r="B103" t="s">
        <v>345</v>
      </c>
      <c r="C103" t="s">
        <v>346</v>
      </c>
      <c r="D103" t="s">
        <v>19</v>
      </c>
      <c r="E103" t="s">
        <v>613</v>
      </c>
      <c r="F103" t="s">
        <v>709</v>
      </c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>
        <v>1</v>
      </c>
      <c r="V103" s="35">
        <v>1</v>
      </c>
      <c r="W103" s="35">
        <v>1</v>
      </c>
      <c r="X103" s="35">
        <v>1</v>
      </c>
      <c r="Y103" s="35">
        <v>1</v>
      </c>
      <c r="Z103" s="35">
        <v>1</v>
      </c>
      <c r="AA103" s="35">
        <v>1</v>
      </c>
      <c r="AB103" s="35">
        <v>1</v>
      </c>
      <c r="AC103" s="35">
        <v>1</v>
      </c>
      <c r="AD103" s="35">
        <v>1</v>
      </c>
      <c r="AE103" s="35">
        <v>1</v>
      </c>
      <c r="AF103" s="35">
        <v>1</v>
      </c>
      <c r="AG103" s="35">
        <v>1</v>
      </c>
      <c r="AH103" s="35">
        <v>1</v>
      </c>
      <c r="AI103" s="35">
        <v>1</v>
      </c>
    </row>
    <row r="104" spans="1:35">
      <c r="A104">
        <v>103</v>
      </c>
      <c r="B104" t="s">
        <v>349</v>
      </c>
      <c r="C104" t="s">
        <v>350</v>
      </c>
      <c r="D104" t="s">
        <v>19</v>
      </c>
      <c r="E104" t="s">
        <v>613</v>
      </c>
      <c r="F104" t="s">
        <v>709</v>
      </c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>
        <v>1</v>
      </c>
      <c r="V104" s="35">
        <v>1</v>
      </c>
      <c r="W104" s="35">
        <v>1</v>
      </c>
      <c r="X104" s="35">
        <v>1</v>
      </c>
      <c r="Y104" s="35">
        <v>1</v>
      </c>
      <c r="Z104" s="35">
        <v>1</v>
      </c>
      <c r="AA104" s="35">
        <v>1</v>
      </c>
      <c r="AB104" s="35">
        <v>1</v>
      </c>
      <c r="AC104" s="35">
        <v>1</v>
      </c>
      <c r="AD104" s="35">
        <v>1</v>
      </c>
      <c r="AE104" s="35">
        <v>1</v>
      </c>
      <c r="AF104" s="35">
        <v>1</v>
      </c>
      <c r="AG104" s="35">
        <v>1</v>
      </c>
      <c r="AH104" s="35">
        <v>1</v>
      </c>
      <c r="AI104" s="35">
        <v>1</v>
      </c>
    </row>
    <row r="105" spans="1:35">
      <c r="A105">
        <v>104</v>
      </c>
      <c r="B105" t="s">
        <v>352</v>
      </c>
      <c r="C105" t="s">
        <v>353</v>
      </c>
      <c r="D105" t="s">
        <v>19</v>
      </c>
      <c r="E105" t="s">
        <v>613</v>
      </c>
      <c r="F105" t="s">
        <v>709</v>
      </c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>
        <v>1</v>
      </c>
      <c r="V105" s="35">
        <v>1</v>
      </c>
      <c r="W105" s="35">
        <v>1</v>
      </c>
      <c r="X105" s="35">
        <v>1</v>
      </c>
      <c r="Y105" s="35">
        <v>1</v>
      </c>
      <c r="Z105" s="35">
        <v>1</v>
      </c>
      <c r="AA105" s="35">
        <v>1</v>
      </c>
      <c r="AB105" s="35">
        <v>1</v>
      </c>
      <c r="AC105" s="35">
        <v>1</v>
      </c>
      <c r="AD105" s="35">
        <v>1</v>
      </c>
      <c r="AE105" s="35">
        <v>1</v>
      </c>
      <c r="AF105" s="35">
        <v>1</v>
      </c>
      <c r="AG105" s="35">
        <v>1</v>
      </c>
      <c r="AH105" s="35">
        <v>1</v>
      </c>
      <c r="AI105" s="35">
        <v>1</v>
      </c>
    </row>
    <row r="106" spans="1:35">
      <c r="A106">
        <v>105</v>
      </c>
      <c r="B106" t="s">
        <v>356</v>
      </c>
      <c r="C106" t="s">
        <v>357</v>
      </c>
      <c r="D106" t="s">
        <v>19</v>
      </c>
      <c r="E106" t="s">
        <v>613</v>
      </c>
      <c r="F106" t="s">
        <v>709</v>
      </c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>
        <v>1</v>
      </c>
      <c r="V106" s="35">
        <v>1</v>
      </c>
      <c r="W106" s="35">
        <v>1</v>
      </c>
      <c r="X106" s="35">
        <v>1</v>
      </c>
      <c r="Y106" s="35">
        <v>1</v>
      </c>
      <c r="Z106" s="35">
        <v>1</v>
      </c>
      <c r="AA106" s="35">
        <v>1</v>
      </c>
      <c r="AB106" s="35">
        <v>1</v>
      </c>
      <c r="AC106" s="35">
        <v>1</v>
      </c>
      <c r="AD106" s="35">
        <v>1</v>
      </c>
      <c r="AE106" s="35">
        <v>1</v>
      </c>
      <c r="AF106" s="35">
        <v>1</v>
      </c>
      <c r="AG106" s="35">
        <v>1</v>
      </c>
      <c r="AH106" s="35">
        <v>1</v>
      </c>
      <c r="AI106" s="35">
        <v>1</v>
      </c>
    </row>
    <row r="107" spans="1:35">
      <c r="A107">
        <v>106</v>
      </c>
      <c r="B107" t="s">
        <v>359</v>
      </c>
      <c r="C107" t="s">
        <v>360</v>
      </c>
      <c r="D107" t="s">
        <v>19</v>
      </c>
      <c r="E107" t="s">
        <v>613</v>
      </c>
      <c r="F107" t="s">
        <v>709</v>
      </c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>
        <v>1</v>
      </c>
      <c r="V107" s="35">
        <v>1</v>
      </c>
      <c r="W107" s="35">
        <v>1</v>
      </c>
      <c r="X107" s="35">
        <v>1</v>
      </c>
      <c r="Y107" s="35">
        <v>1</v>
      </c>
      <c r="Z107" s="35">
        <v>1</v>
      </c>
      <c r="AA107" s="35">
        <v>1</v>
      </c>
      <c r="AB107" s="35">
        <v>1</v>
      </c>
      <c r="AC107" s="35">
        <v>1</v>
      </c>
      <c r="AD107" s="35">
        <v>1</v>
      </c>
      <c r="AE107" s="35">
        <v>1</v>
      </c>
      <c r="AF107" s="35">
        <v>1</v>
      </c>
      <c r="AG107" s="35">
        <v>1</v>
      </c>
      <c r="AH107" s="35">
        <v>1</v>
      </c>
      <c r="AI107" s="35">
        <v>1</v>
      </c>
    </row>
    <row r="108" spans="1:35">
      <c r="A108">
        <v>107</v>
      </c>
      <c r="B108" t="s">
        <v>362</v>
      </c>
      <c r="C108" t="s">
        <v>363</v>
      </c>
      <c r="D108" t="s">
        <v>19</v>
      </c>
      <c r="E108" t="s">
        <v>613</v>
      </c>
      <c r="F108" t="s">
        <v>709</v>
      </c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>
        <v>0.9</v>
      </c>
      <c r="V108" s="35">
        <v>0.9</v>
      </c>
      <c r="W108" s="35">
        <v>0.9</v>
      </c>
      <c r="X108" s="35">
        <v>0.9</v>
      </c>
      <c r="Y108" s="35">
        <v>0.9</v>
      </c>
      <c r="Z108" s="35">
        <v>0.9</v>
      </c>
      <c r="AA108" s="35">
        <v>0.8</v>
      </c>
      <c r="AB108" s="35">
        <v>0.8</v>
      </c>
      <c r="AC108" s="35">
        <v>0.8</v>
      </c>
      <c r="AD108" s="35">
        <v>0.8</v>
      </c>
      <c r="AE108" s="35">
        <v>0.8</v>
      </c>
      <c r="AF108" s="35">
        <v>0.8</v>
      </c>
      <c r="AG108" s="35">
        <v>0.8</v>
      </c>
      <c r="AH108" s="35">
        <v>0.8</v>
      </c>
      <c r="AI108" s="35">
        <v>0.8</v>
      </c>
    </row>
    <row r="109" spans="1:35">
      <c r="A109">
        <v>108</v>
      </c>
      <c r="B109" t="s">
        <v>365</v>
      </c>
      <c r="C109" t="s">
        <v>366</v>
      </c>
      <c r="D109" t="s">
        <v>19</v>
      </c>
      <c r="E109" t="s">
        <v>613</v>
      </c>
      <c r="F109" t="s">
        <v>709</v>
      </c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>
        <v>1</v>
      </c>
      <c r="V109" s="35">
        <v>1</v>
      </c>
      <c r="W109" s="35">
        <v>1</v>
      </c>
      <c r="X109" s="35">
        <v>1</v>
      </c>
      <c r="Y109" s="35">
        <v>1</v>
      </c>
      <c r="Z109" s="35">
        <v>1</v>
      </c>
      <c r="AA109" s="35">
        <v>1</v>
      </c>
      <c r="AB109" s="35">
        <v>1</v>
      </c>
      <c r="AC109" s="35">
        <v>1</v>
      </c>
      <c r="AD109" s="35">
        <v>1</v>
      </c>
      <c r="AE109" s="35">
        <v>1</v>
      </c>
      <c r="AF109" s="35">
        <v>1</v>
      </c>
      <c r="AG109" s="35">
        <v>1</v>
      </c>
      <c r="AH109" s="35">
        <v>1</v>
      </c>
      <c r="AI109" s="35">
        <v>1</v>
      </c>
    </row>
    <row r="110" spans="1:35">
      <c r="A110">
        <v>109</v>
      </c>
      <c r="B110" t="s">
        <v>369</v>
      </c>
      <c r="C110" t="s">
        <v>370</v>
      </c>
      <c r="D110" t="s">
        <v>19</v>
      </c>
      <c r="E110" t="s">
        <v>613</v>
      </c>
      <c r="F110" t="s">
        <v>709</v>
      </c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5">
        <v>0</v>
      </c>
    </row>
    <row r="111" spans="1:35">
      <c r="A111">
        <v>110</v>
      </c>
      <c r="B111" t="s">
        <v>372</v>
      </c>
      <c r="C111" t="s">
        <v>373</v>
      </c>
      <c r="D111" t="s">
        <v>19</v>
      </c>
      <c r="E111" t="s">
        <v>613</v>
      </c>
      <c r="F111" t="s">
        <v>709</v>
      </c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>
        <v>0</v>
      </c>
      <c r="V111" s="35">
        <v>0</v>
      </c>
      <c r="W111" s="35">
        <v>0</v>
      </c>
      <c r="X111" s="35">
        <v>0</v>
      </c>
      <c r="Y111" s="35">
        <v>0</v>
      </c>
      <c r="Z111" s="35">
        <v>0</v>
      </c>
      <c r="AA111" s="35">
        <v>0</v>
      </c>
      <c r="AB111" s="35">
        <v>0</v>
      </c>
      <c r="AC111" s="35">
        <v>0</v>
      </c>
      <c r="AD111" s="35">
        <v>0</v>
      </c>
      <c r="AE111" s="35">
        <v>0</v>
      </c>
      <c r="AF111" s="35">
        <v>0</v>
      </c>
      <c r="AG111" s="35">
        <v>0</v>
      </c>
      <c r="AH111" s="35">
        <v>0</v>
      </c>
      <c r="AI111" s="35">
        <v>0</v>
      </c>
    </row>
    <row r="112" spans="1:35">
      <c r="A112">
        <v>111</v>
      </c>
      <c r="B112" t="s">
        <v>374</v>
      </c>
      <c r="C112" t="s">
        <v>375</v>
      </c>
      <c r="D112" t="s">
        <v>19</v>
      </c>
      <c r="E112" t="s">
        <v>613</v>
      </c>
      <c r="F112" t="s">
        <v>709</v>
      </c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>
        <v>0</v>
      </c>
      <c r="V112" s="35">
        <v>0</v>
      </c>
      <c r="W112" s="35">
        <v>0</v>
      </c>
      <c r="X112" s="35">
        <v>0</v>
      </c>
      <c r="Y112" s="35">
        <v>0</v>
      </c>
      <c r="Z112" s="35">
        <v>0</v>
      </c>
      <c r="AA112" s="35">
        <v>0</v>
      </c>
      <c r="AB112" s="35">
        <v>0</v>
      </c>
      <c r="AC112" s="35">
        <v>0</v>
      </c>
      <c r="AD112" s="35">
        <v>0</v>
      </c>
      <c r="AE112" s="35">
        <v>0</v>
      </c>
      <c r="AF112" s="35">
        <v>0</v>
      </c>
      <c r="AG112" s="35">
        <v>0</v>
      </c>
      <c r="AH112" s="35">
        <v>0</v>
      </c>
      <c r="AI112" s="35">
        <v>0</v>
      </c>
    </row>
    <row r="113" spans="1:35">
      <c r="A113">
        <v>112</v>
      </c>
      <c r="B113" t="s">
        <v>377</v>
      </c>
      <c r="C113" t="s">
        <v>378</v>
      </c>
      <c r="D113" t="s">
        <v>19</v>
      </c>
      <c r="E113" t="s">
        <v>613</v>
      </c>
      <c r="F113" t="s">
        <v>709</v>
      </c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>
        <v>0</v>
      </c>
      <c r="V113" s="35">
        <v>0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>
        <v>0</v>
      </c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  <c r="AH113" s="35">
        <v>0</v>
      </c>
      <c r="AI113" s="35">
        <v>0</v>
      </c>
    </row>
    <row r="114" spans="1:35">
      <c r="A114">
        <v>113</v>
      </c>
      <c r="B114" t="s">
        <v>381</v>
      </c>
      <c r="C114" t="s">
        <v>382</v>
      </c>
      <c r="D114" t="s">
        <v>19</v>
      </c>
      <c r="E114" t="s">
        <v>613</v>
      </c>
      <c r="F114" t="s">
        <v>709</v>
      </c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>
        <v>0</v>
      </c>
      <c r="V114" s="35">
        <v>0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5">
        <v>0</v>
      </c>
      <c r="AE114" s="35">
        <v>0</v>
      </c>
      <c r="AF114" s="35">
        <v>0</v>
      </c>
      <c r="AG114" s="35">
        <v>0</v>
      </c>
      <c r="AH114" s="35">
        <v>0</v>
      </c>
      <c r="AI114" s="35">
        <v>0</v>
      </c>
    </row>
    <row r="115" spans="1:35">
      <c r="A115">
        <v>114</v>
      </c>
      <c r="B115" t="s">
        <v>385</v>
      </c>
      <c r="C115" t="s">
        <v>386</v>
      </c>
      <c r="D115" t="s">
        <v>19</v>
      </c>
      <c r="E115" t="s">
        <v>615</v>
      </c>
      <c r="F115" t="s">
        <v>709</v>
      </c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>
        <v>0</v>
      </c>
      <c r="V115" s="35">
        <v>0</v>
      </c>
      <c r="W115" s="35">
        <v>0</v>
      </c>
      <c r="X115" s="35">
        <v>0</v>
      </c>
      <c r="Y115" s="35">
        <v>0</v>
      </c>
      <c r="Z115" s="35">
        <v>0</v>
      </c>
      <c r="AA115" s="35">
        <v>0</v>
      </c>
      <c r="AB115" s="35">
        <v>0</v>
      </c>
      <c r="AC115" s="35">
        <v>0</v>
      </c>
      <c r="AD115" s="35">
        <v>0</v>
      </c>
      <c r="AE115" s="35">
        <v>0</v>
      </c>
      <c r="AF115" s="35">
        <v>0</v>
      </c>
      <c r="AG115" s="35">
        <v>0</v>
      </c>
      <c r="AH115" s="35">
        <v>0</v>
      </c>
      <c r="AI115" s="35">
        <v>0</v>
      </c>
    </row>
    <row r="116" spans="1:35">
      <c r="A116">
        <v>115</v>
      </c>
      <c r="B116" t="s">
        <v>387</v>
      </c>
      <c r="C116" t="s">
        <v>388</v>
      </c>
      <c r="D116" t="s">
        <v>19</v>
      </c>
      <c r="E116" t="s">
        <v>615</v>
      </c>
      <c r="F116" t="s">
        <v>709</v>
      </c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>
        <v>0</v>
      </c>
      <c r="V116" s="35">
        <v>0</v>
      </c>
      <c r="W116" s="35">
        <v>0</v>
      </c>
      <c r="X116" s="35">
        <v>0</v>
      </c>
      <c r="Y116" s="35">
        <v>0</v>
      </c>
      <c r="Z116" s="35">
        <v>0</v>
      </c>
      <c r="AA116" s="35">
        <v>0</v>
      </c>
      <c r="AB116" s="35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  <c r="AH116" s="35">
        <v>0</v>
      </c>
      <c r="AI116" s="35">
        <v>0</v>
      </c>
    </row>
    <row r="117" spans="1:35">
      <c r="A117">
        <v>116</v>
      </c>
      <c r="B117" t="s">
        <v>389</v>
      </c>
      <c r="C117" t="s">
        <v>390</v>
      </c>
      <c r="D117" t="s">
        <v>19</v>
      </c>
      <c r="E117" t="s">
        <v>613</v>
      </c>
      <c r="F117" t="s">
        <v>709</v>
      </c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>
        <v>0</v>
      </c>
      <c r="V117" s="35">
        <v>0</v>
      </c>
      <c r="W117" s="35">
        <v>0</v>
      </c>
      <c r="X117" s="35">
        <v>0</v>
      </c>
      <c r="Y117" s="35">
        <v>0</v>
      </c>
      <c r="Z117" s="35">
        <v>0</v>
      </c>
      <c r="AA117" s="35">
        <v>0</v>
      </c>
      <c r="AB117" s="35">
        <v>0</v>
      </c>
      <c r="AC117" s="35">
        <v>0</v>
      </c>
      <c r="AD117" s="35">
        <v>0</v>
      </c>
      <c r="AE117" s="35">
        <v>0</v>
      </c>
      <c r="AF117" s="35">
        <v>0</v>
      </c>
      <c r="AG117" s="35">
        <v>0</v>
      </c>
      <c r="AH117" s="35">
        <v>0</v>
      </c>
      <c r="AI117" s="35">
        <v>0</v>
      </c>
    </row>
    <row r="118" spans="1:35">
      <c r="A118">
        <v>117</v>
      </c>
      <c r="B118" t="s">
        <v>392</v>
      </c>
      <c r="C118" t="s">
        <v>393</v>
      </c>
      <c r="D118" t="s">
        <v>19</v>
      </c>
      <c r="E118" t="s">
        <v>613</v>
      </c>
      <c r="F118" t="s">
        <v>709</v>
      </c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>
        <v>0</v>
      </c>
      <c r="V118" s="35">
        <v>0</v>
      </c>
      <c r="W118" s="35">
        <v>0</v>
      </c>
      <c r="X118" s="35">
        <v>0</v>
      </c>
      <c r="Y118" s="35">
        <v>0</v>
      </c>
      <c r="Z118" s="35">
        <v>0</v>
      </c>
      <c r="AA118" s="35">
        <v>0</v>
      </c>
      <c r="AB118" s="35">
        <v>0</v>
      </c>
      <c r="AC118" s="35">
        <v>0</v>
      </c>
      <c r="AD118" s="35">
        <v>0</v>
      </c>
      <c r="AE118" s="35">
        <v>0</v>
      </c>
      <c r="AF118" s="35">
        <v>0</v>
      </c>
      <c r="AG118" s="35">
        <v>0</v>
      </c>
      <c r="AH118" s="35">
        <v>0</v>
      </c>
      <c r="AI118" s="35">
        <v>0</v>
      </c>
    </row>
    <row r="119" spans="1:35">
      <c r="A119">
        <v>118</v>
      </c>
      <c r="B119" t="s">
        <v>395</v>
      </c>
      <c r="C119" t="s">
        <v>396</v>
      </c>
      <c r="D119" t="s">
        <v>19</v>
      </c>
      <c r="E119" t="s">
        <v>613</v>
      </c>
      <c r="F119" t="s">
        <v>709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>
        <v>0</v>
      </c>
      <c r="V119" s="35">
        <v>0</v>
      </c>
      <c r="W119" s="35">
        <v>0</v>
      </c>
      <c r="X119" s="35">
        <v>0</v>
      </c>
      <c r="Y119" s="35">
        <v>0</v>
      </c>
      <c r="Z119" s="35">
        <v>0</v>
      </c>
      <c r="AA119" s="35">
        <v>0</v>
      </c>
      <c r="AB119" s="35">
        <v>0</v>
      </c>
      <c r="AC119" s="35">
        <v>0</v>
      </c>
      <c r="AD119" s="35">
        <v>0</v>
      </c>
      <c r="AE119" s="35">
        <v>0</v>
      </c>
      <c r="AF119" s="35">
        <v>0</v>
      </c>
      <c r="AG119" s="35">
        <v>0</v>
      </c>
      <c r="AH119" s="35">
        <v>0</v>
      </c>
      <c r="AI119" s="35">
        <v>0</v>
      </c>
    </row>
    <row r="120" spans="1:35" ht="15.75">
      <c r="A120">
        <v>119</v>
      </c>
      <c r="B120" t="s">
        <v>398</v>
      </c>
      <c r="C120" t="s">
        <v>399</v>
      </c>
      <c r="D120" t="s">
        <v>19</v>
      </c>
      <c r="E120" t="s">
        <v>613</v>
      </c>
      <c r="F120" t="s">
        <v>709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>
        <v>1</v>
      </c>
      <c r="V120" s="35">
        <v>1</v>
      </c>
      <c r="W120" s="35">
        <v>1</v>
      </c>
      <c r="X120" s="35">
        <v>1</v>
      </c>
      <c r="Y120" s="35">
        <v>1</v>
      </c>
      <c r="Z120" s="39">
        <v>1</v>
      </c>
      <c r="AA120" s="39">
        <v>1</v>
      </c>
      <c r="AB120" s="39">
        <v>1</v>
      </c>
      <c r="AC120" s="39">
        <v>1</v>
      </c>
      <c r="AD120" s="39">
        <v>1</v>
      </c>
      <c r="AE120" s="35">
        <v>0</v>
      </c>
      <c r="AF120" s="35">
        <v>0</v>
      </c>
      <c r="AG120" s="35">
        <v>0</v>
      </c>
      <c r="AH120" s="35">
        <v>0</v>
      </c>
      <c r="AI120" s="35">
        <v>0</v>
      </c>
    </row>
    <row r="121" spans="1:35">
      <c r="A121">
        <v>120</v>
      </c>
      <c r="B121" t="s">
        <v>402</v>
      </c>
      <c r="C121" t="s">
        <v>403</v>
      </c>
      <c r="D121" t="s">
        <v>19</v>
      </c>
      <c r="E121" t="s">
        <v>613</v>
      </c>
      <c r="F121" t="s">
        <v>709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>
        <v>0</v>
      </c>
      <c r="V121" s="35">
        <v>0</v>
      </c>
      <c r="W121" s="35">
        <v>0</v>
      </c>
      <c r="X121" s="35">
        <v>0</v>
      </c>
      <c r="Y121" s="35">
        <v>0</v>
      </c>
      <c r="Z121" s="35">
        <v>0</v>
      </c>
      <c r="AA121" s="35">
        <v>0</v>
      </c>
      <c r="AB121" s="35">
        <v>0</v>
      </c>
      <c r="AC121" s="35">
        <v>0</v>
      </c>
      <c r="AD121" s="35">
        <v>0</v>
      </c>
      <c r="AE121" s="35">
        <v>0</v>
      </c>
      <c r="AF121" s="35">
        <v>0</v>
      </c>
      <c r="AG121" s="35">
        <v>0</v>
      </c>
      <c r="AH121" s="35">
        <v>0</v>
      </c>
      <c r="AI121" s="35">
        <v>0</v>
      </c>
    </row>
    <row r="122" spans="1:35">
      <c r="A122">
        <v>121</v>
      </c>
      <c r="B122" t="s">
        <v>405</v>
      </c>
      <c r="C122" t="s">
        <v>406</v>
      </c>
      <c r="D122" t="s">
        <v>19</v>
      </c>
      <c r="E122" t="s">
        <v>613</v>
      </c>
      <c r="F122" t="s">
        <v>709</v>
      </c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>
        <v>0</v>
      </c>
      <c r="V122" s="35">
        <v>0</v>
      </c>
      <c r="W122" s="35">
        <v>0</v>
      </c>
      <c r="X122" s="35">
        <v>0</v>
      </c>
      <c r="Y122" s="35">
        <v>0</v>
      </c>
      <c r="Z122" s="35">
        <v>0</v>
      </c>
      <c r="AA122" s="35">
        <v>0</v>
      </c>
      <c r="AB122" s="35">
        <v>0</v>
      </c>
      <c r="AC122" s="35">
        <v>0</v>
      </c>
      <c r="AD122" s="35">
        <v>0</v>
      </c>
      <c r="AE122" s="35">
        <v>0</v>
      </c>
      <c r="AF122" s="35">
        <v>0</v>
      </c>
      <c r="AG122" s="35">
        <v>0</v>
      </c>
      <c r="AH122" s="35">
        <v>0</v>
      </c>
      <c r="AI122" s="35">
        <v>0</v>
      </c>
    </row>
    <row r="123" spans="1:35">
      <c r="A123">
        <v>122</v>
      </c>
      <c r="B123" s="14" t="s">
        <v>408</v>
      </c>
      <c r="D123" s="14" t="s">
        <v>410</v>
      </c>
      <c r="F123" t="s">
        <v>709</v>
      </c>
      <c r="AG123" s="14"/>
      <c r="AH123" s="14"/>
    </row>
    <row r="124" spans="1:35">
      <c r="A124">
        <v>123</v>
      </c>
      <c r="B124" s="14" t="s">
        <v>412</v>
      </c>
      <c r="D124" s="14" t="s">
        <v>414</v>
      </c>
      <c r="F124" t="s">
        <v>709</v>
      </c>
      <c r="AG124" s="14"/>
      <c r="AH124" s="14"/>
    </row>
    <row r="125" spans="1:35">
      <c r="A125">
        <v>124</v>
      </c>
      <c r="B125" s="14" t="s">
        <v>416</v>
      </c>
      <c r="D125" s="14" t="s">
        <v>418</v>
      </c>
      <c r="F125" t="s">
        <v>709</v>
      </c>
      <c r="AG125" s="14"/>
      <c r="AH125" s="14"/>
    </row>
    <row r="126" spans="1:35">
      <c r="A126">
        <v>125</v>
      </c>
      <c r="B126" s="14" t="s">
        <v>420</v>
      </c>
      <c r="D126" s="14" t="s">
        <v>421</v>
      </c>
      <c r="F126" t="s">
        <v>709</v>
      </c>
      <c r="AG126" s="14"/>
      <c r="AH126" s="14"/>
    </row>
    <row r="127" spans="1:35">
      <c r="A127">
        <v>126</v>
      </c>
      <c r="B127" s="14" t="s">
        <v>423</v>
      </c>
      <c r="D127" s="14" t="s">
        <v>425</v>
      </c>
      <c r="F127" t="s">
        <v>709</v>
      </c>
      <c r="AG127" s="14"/>
      <c r="AH127" s="14"/>
    </row>
    <row r="128" spans="1:35">
      <c r="A128">
        <v>127</v>
      </c>
      <c r="B128" s="14" t="s">
        <v>427</v>
      </c>
      <c r="D128" s="14" t="s">
        <v>428</v>
      </c>
      <c r="F128" t="s">
        <v>709</v>
      </c>
      <c r="AG128" s="14"/>
      <c r="AH128" s="14"/>
    </row>
    <row r="129" spans="1:34">
      <c r="A129">
        <v>128</v>
      </c>
      <c r="B129" s="14" t="s">
        <v>430</v>
      </c>
      <c r="D129" s="14" t="s">
        <v>410</v>
      </c>
      <c r="F129" t="s">
        <v>709</v>
      </c>
      <c r="AG129" s="14"/>
      <c r="AH129" s="14"/>
    </row>
    <row r="130" spans="1:34">
      <c r="A130">
        <v>129</v>
      </c>
      <c r="B130" s="14" t="s">
        <v>431</v>
      </c>
      <c r="D130" s="14" t="s">
        <v>433</v>
      </c>
      <c r="F130" t="s">
        <v>709</v>
      </c>
      <c r="AG130" s="14"/>
      <c r="AH130" s="14"/>
    </row>
    <row r="131" spans="1:34">
      <c r="A131">
        <v>130</v>
      </c>
      <c r="B131" s="14" t="s">
        <v>435</v>
      </c>
      <c r="D131" s="14" t="s">
        <v>410</v>
      </c>
      <c r="F131" t="s">
        <v>709</v>
      </c>
      <c r="AG131" s="14"/>
      <c r="AH131" s="14"/>
    </row>
    <row r="132" spans="1:34">
      <c r="A132">
        <v>131</v>
      </c>
      <c r="B132" s="14" t="s">
        <v>437</v>
      </c>
      <c r="D132" s="14" t="s">
        <v>438</v>
      </c>
      <c r="F132" t="s">
        <v>709</v>
      </c>
      <c r="AG132" s="14"/>
      <c r="AH132" s="14"/>
    </row>
    <row r="133" spans="1:34">
      <c r="A133">
        <v>132</v>
      </c>
      <c r="B133" s="14" t="s">
        <v>440</v>
      </c>
      <c r="D133" s="14" t="s">
        <v>441</v>
      </c>
      <c r="F133" t="s">
        <v>709</v>
      </c>
      <c r="AG133" s="14"/>
      <c r="AH133" s="14"/>
    </row>
    <row r="134" spans="1:34">
      <c r="A134">
        <v>133</v>
      </c>
      <c r="B134" s="14" t="s">
        <v>443</v>
      </c>
      <c r="D134" s="14" t="s">
        <v>445</v>
      </c>
      <c r="F134" t="s">
        <v>709</v>
      </c>
      <c r="AG134" s="14"/>
      <c r="AH134" s="14"/>
    </row>
    <row r="135" spans="1:34">
      <c r="A135">
        <v>134</v>
      </c>
      <c r="B135" s="14" t="s">
        <v>447</v>
      </c>
      <c r="D135" s="14" t="s">
        <v>410</v>
      </c>
      <c r="F135" t="s">
        <v>709</v>
      </c>
      <c r="AG135" s="14"/>
      <c r="AH135" s="14"/>
    </row>
    <row r="136" spans="1:34">
      <c r="A136">
        <v>135</v>
      </c>
      <c r="B136" s="14" t="s">
        <v>449</v>
      </c>
      <c r="D136" s="14" t="s">
        <v>450</v>
      </c>
      <c r="F136" t="s">
        <v>709</v>
      </c>
      <c r="AG136" s="14"/>
      <c r="AH136" s="14"/>
    </row>
    <row r="137" spans="1:34">
      <c r="A137">
        <v>136</v>
      </c>
      <c r="B137" s="14" t="s">
        <v>452</v>
      </c>
      <c r="D137" s="14" t="s">
        <v>453</v>
      </c>
      <c r="F137" t="s">
        <v>709</v>
      </c>
      <c r="AG137" s="14"/>
      <c r="AH137" s="14"/>
    </row>
    <row r="138" spans="1:34">
      <c r="A138">
        <v>137</v>
      </c>
      <c r="B138" s="14" t="s">
        <v>455</v>
      </c>
      <c r="D138" s="14" t="s">
        <v>456</v>
      </c>
      <c r="F138" t="s">
        <v>709</v>
      </c>
      <c r="AG138" s="14"/>
      <c r="AH138" s="14"/>
    </row>
    <row r="139" spans="1:34">
      <c r="A139">
        <v>138</v>
      </c>
      <c r="B139" s="14" t="s">
        <v>458</v>
      </c>
      <c r="D139" s="14" t="s">
        <v>425</v>
      </c>
      <c r="F139" t="s">
        <v>709</v>
      </c>
      <c r="AG139" s="14"/>
      <c r="AH139" s="14"/>
    </row>
    <row r="140" spans="1:34">
      <c r="A140">
        <v>139</v>
      </c>
      <c r="B140" s="14" t="s">
        <v>459</v>
      </c>
      <c r="D140" s="14" t="s">
        <v>461</v>
      </c>
      <c r="F140" t="s">
        <v>709</v>
      </c>
      <c r="AG140" s="14"/>
      <c r="AH140" s="14"/>
    </row>
    <row r="141" spans="1:34">
      <c r="A141">
        <v>140</v>
      </c>
      <c r="B141" s="14" t="s">
        <v>463</v>
      </c>
      <c r="D141" s="14" t="s">
        <v>410</v>
      </c>
      <c r="F141" t="s">
        <v>709</v>
      </c>
      <c r="AG141" s="14"/>
      <c r="AH141" s="14"/>
    </row>
    <row r="142" spans="1:34">
      <c r="A142">
        <v>141</v>
      </c>
      <c r="B142" s="14" t="s">
        <v>464</v>
      </c>
      <c r="D142" s="14" t="s">
        <v>466</v>
      </c>
      <c r="F142" t="s">
        <v>709</v>
      </c>
      <c r="AG142" s="14"/>
      <c r="AH142" s="14"/>
    </row>
    <row r="143" spans="1:34">
      <c r="A143">
        <v>142</v>
      </c>
      <c r="B143" s="14" t="s">
        <v>467</v>
      </c>
      <c r="D143" s="14" t="s">
        <v>468</v>
      </c>
      <c r="F143" t="s">
        <v>709</v>
      </c>
      <c r="AG143" s="14"/>
      <c r="AH143" s="14"/>
    </row>
    <row r="144" spans="1:34">
      <c r="A144">
        <v>143</v>
      </c>
      <c r="B144" s="14" t="s">
        <v>470</v>
      </c>
      <c r="D144" s="14" t="s">
        <v>466</v>
      </c>
      <c r="F144" t="s">
        <v>709</v>
      </c>
      <c r="AG144" s="14"/>
      <c r="AH144" s="14"/>
    </row>
    <row r="145" spans="1:34">
      <c r="A145">
        <v>144</v>
      </c>
      <c r="B145" s="14" t="s">
        <v>472</v>
      </c>
      <c r="D145" s="14" t="s">
        <v>468</v>
      </c>
      <c r="F145" t="s">
        <v>709</v>
      </c>
      <c r="AG145" s="14"/>
      <c r="AH145" s="14"/>
    </row>
    <row r="146" spans="1:34">
      <c r="A146">
        <v>145</v>
      </c>
      <c r="B146" s="14" t="s">
        <v>474</v>
      </c>
      <c r="D146" s="14" t="s">
        <v>418</v>
      </c>
      <c r="F146" t="s">
        <v>709</v>
      </c>
      <c r="AG146" s="14"/>
      <c r="AH146" s="14"/>
    </row>
    <row r="147" spans="1:34">
      <c r="A147">
        <v>146</v>
      </c>
      <c r="B147" s="14" t="s">
        <v>476</v>
      </c>
      <c r="D147" s="14" t="s">
        <v>477</v>
      </c>
      <c r="F147" t="s">
        <v>709</v>
      </c>
      <c r="AG147" s="14"/>
      <c r="AH147" s="14"/>
    </row>
    <row r="148" spans="1:34">
      <c r="A148">
        <v>147</v>
      </c>
      <c r="B148" s="14" t="s">
        <v>476</v>
      </c>
      <c r="D148" s="14" t="s">
        <v>477</v>
      </c>
      <c r="F148" t="s">
        <v>709</v>
      </c>
      <c r="AG148" s="14"/>
      <c r="AH148" s="14"/>
    </row>
    <row r="149" spans="1:34">
      <c r="A149">
        <v>148</v>
      </c>
      <c r="B149" s="14" t="s">
        <v>476</v>
      </c>
      <c r="D149" s="14" t="s">
        <v>477</v>
      </c>
      <c r="F149" t="s">
        <v>709</v>
      </c>
      <c r="AG149" s="14"/>
      <c r="AH149" s="14"/>
    </row>
    <row r="150" spans="1:34">
      <c r="A150">
        <v>149</v>
      </c>
      <c r="B150" s="14" t="s">
        <v>481</v>
      </c>
      <c r="D150" s="14" t="s">
        <v>461</v>
      </c>
      <c r="F150" t="s">
        <v>709</v>
      </c>
      <c r="AG150" s="14"/>
      <c r="AH150" s="14"/>
    </row>
    <row r="151" spans="1:34">
      <c r="A151">
        <v>150</v>
      </c>
      <c r="B151" s="14" t="s">
        <v>483</v>
      </c>
      <c r="D151" s="14" t="s">
        <v>484</v>
      </c>
      <c r="F151" t="s">
        <v>709</v>
      </c>
      <c r="AG151" s="14"/>
      <c r="AH151" s="14"/>
    </row>
    <row r="152" spans="1:34">
      <c r="A152">
        <v>151</v>
      </c>
      <c r="B152" s="14" t="s">
        <v>486</v>
      </c>
      <c r="D152" s="14" t="s">
        <v>487</v>
      </c>
      <c r="F152" t="s">
        <v>709</v>
      </c>
      <c r="AG152" s="14"/>
      <c r="AH152" s="14"/>
    </row>
    <row r="153" spans="1:34">
      <c r="A153">
        <v>152</v>
      </c>
      <c r="B153" s="14" t="s">
        <v>489</v>
      </c>
      <c r="D153" s="14" t="s">
        <v>490</v>
      </c>
      <c r="F153" t="s">
        <v>709</v>
      </c>
      <c r="AG153" s="14"/>
      <c r="AH153" s="14"/>
    </row>
    <row r="154" spans="1:34">
      <c r="A154">
        <v>153</v>
      </c>
      <c r="B154" s="14" t="s">
        <v>489</v>
      </c>
      <c r="D154" s="14" t="s">
        <v>490</v>
      </c>
      <c r="F154" t="s">
        <v>709</v>
      </c>
      <c r="AG154" s="14"/>
      <c r="AH154" s="14"/>
    </row>
    <row r="155" spans="1:34">
      <c r="A155">
        <v>154</v>
      </c>
      <c r="B155" s="14" t="s">
        <v>493</v>
      </c>
      <c r="D155" s="14" t="s">
        <v>484</v>
      </c>
      <c r="F155" t="s">
        <v>709</v>
      </c>
      <c r="AG155" s="14"/>
      <c r="AH155" s="14"/>
    </row>
    <row r="156" spans="1:34">
      <c r="A156">
        <v>155</v>
      </c>
      <c r="B156" s="14" t="s">
        <v>495</v>
      </c>
      <c r="D156" s="14" t="s">
        <v>496</v>
      </c>
      <c r="F156" t="s">
        <v>709</v>
      </c>
      <c r="AG156" s="14"/>
      <c r="AH156" s="14"/>
    </row>
    <row r="157" spans="1:34">
      <c r="A157">
        <v>156</v>
      </c>
      <c r="B157" s="14" t="s">
        <v>498</v>
      </c>
      <c r="D157" s="14" t="s">
        <v>410</v>
      </c>
      <c r="F157" t="s">
        <v>709</v>
      </c>
      <c r="AG157" s="14"/>
      <c r="AH157" s="14"/>
    </row>
    <row r="158" spans="1:34">
      <c r="A158">
        <v>157</v>
      </c>
      <c r="B158" s="14" t="s">
        <v>499</v>
      </c>
      <c r="D158" s="14" t="s">
        <v>500</v>
      </c>
      <c r="F158" t="s">
        <v>709</v>
      </c>
      <c r="AG158" s="14"/>
      <c r="AH158" s="14"/>
    </row>
    <row r="159" spans="1:34">
      <c r="A159">
        <v>158</v>
      </c>
      <c r="B159" s="14" t="s">
        <v>499</v>
      </c>
      <c r="D159" s="14" t="s">
        <v>500</v>
      </c>
      <c r="F159" t="s">
        <v>709</v>
      </c>
      <c r="AG159" s="14"/>
      <c r="AH159" s="14"/>
    </row>
    <row r="160" spans="1:34">
      <c r="A160">
        <v>159</v>
      </c>
      <c r="B160" s="14" t="s">
        <v>499</v>
      </c>
      <c r="D160" s="14" t="s">
        <v>500</v>
      </c>
      <c r="F160" t="s">
        <v>709</v>
      </c>
      <c r="AG160" s="14"/>
      <c r="AH160" s="14"/>
    </row>
    <row r="161" spans="1:34">
      <c r="A161">
        <v>160</v>
      </c>
      <c r="B161" s="14" t="s">
        <v>504</v>
      </c>
      <c r="D161" s="14" t="s">
        <v>490</v>
      </c>
      <c r="F161" t="s">
        <v>709</v>
      </c>
      <c r="AG161" s="14"/>
      <c r="AH161" s="14"/>
    </row>
    <row r="162" spans="1:34">
      <c r="A162">
        <v>161</v>
      </c>
      <c r="B162" s="14" t="s">
        <v>504</v>
      </c>
      <c r="D162" s="14" t="s">
        <v>490</v>
      </c>
      <c r="F162" t="s">
        <v>709</v>
      </c>
      <c r="AG162" s="14"/>
      <c r="AH162" s="14"/>
    </row>
    <row r="163" spans="1:34">
      <c r="A163">
        <v>162</v>
      </c>
      <c r="B163" s="14" t="s">
        <v>504</v>
      </c>
      <c r="D163" s="14" t="s">
        <v>490</v>
      </c>
      <c r="F163" t="s">
        <v>709</v>
      </c>
      <c r="AG163" s="14"/>
      <c r="AH163" s="14"/>
    </row>
    <row r="164" spans="1:34">
      <c r="A164">
        <v>163</v>
      </c>
      <c r="B164" s="14" t="s">
        <v>504</v>
      </c>
      <c r="D164" s="14" t="s">
        <v>490</v>
      </c>
      <c r="F164" t="s">
        <v>709</v>
      </c>
      <c r="AG164" s="14"/>
      <c r="AH164" s="14"/>
    </row>
    <row r="165" spans="1:34">
      <c r="A165">
        <v>164</v>
      </c>
      <c r="B165" s="14" t="s">
        <v>509</v>
      </c>
      <c r="D165" s="14" t="s">
        <v>510</v>
      </c>
      <c r="F165" t="s">
        <v>709</v>
      </c>
      <c r="AG165" s="14"/>
      <c r="AH165" s="14"/>
    </row>
    <row r="166" spans="1:34">
      <c r="A166">
        <v>165</v>
      </c>
      <c r="B166" s="14" t="s">
        <v>512</v>
      </c>
      <c r="D166" s="14" t="s">
        <v>513</v>
      </c>
      <c r="F166" t="s">
        <v>709</v>
      </c>
      <c r="AG166" s="14"/>
      <c r="AH166" s="14"/>
    </row>
    <row r="167" spans="1:34">
      <c r="A167">
        <v>166</v>
      </c>
      <c r="B167" s="14" t="s">
        <v>515</v>
      </c>
      <c r="D167" s="14" t="s">
        <v>500</v>
      </c>
      <c r="F167" t="s">
        <v>709</v>
      </c>
      <c r="AG167" s="14"/>
      <c r="AH167" s="14"/>
    </row>
    <row r="168" spans="1:34">
      <c r="A168">
        <v>167</v>
      </c>
      <c r="B168" s="14" t="s">
        <v>517</v>
      </c>
      <c r="D168" s="14" t="s">
        <v>477</v>
      </c>
      <c r="F168" t="s">
        <v>709</v>
      </c>
      <c r="AG168" s="14"/>
      <c r="AH168" s="14"/>
    </row>
    <row r="169" spans="1:34">
      <c r="A169">
        <v>168</v>
      </c>
      <c r="B169" s="14" t="s">
        <v>519</v>
      </c>
      <c r="D169" s="14" t="s">
        <v>433</v>
      </c>
      <c r="F169" t="s">
        <v>709</v>
      </c>
      <c r="AG169" s="14"/>
      <c r="AH169" s="14"/>
    </row>
    <row r="170" spans="1:34">
      <c r="A170">
        <v>169</v>
      </c>
      <c r="B170" s="14" t="s">
        <v>521</v>
      </c>
      <c r="D170" s="14" t="s">
        <v>468</v>
      </c>
      <c r="F170" t="s">
        <v>709</v>
      </c>
      <c r="AG170" s="14"/>
      <c r="AH170" s="14"/>
    </row>
    <row r="171" spans="1:34">
      <c r="A171">
        <v>170</v>
      </c>
      <c r="B171" s="14" t="s">
        <v>523</v>
      </c>
      <c r="D171" s="14" t="s">
        <v>524</v>
      </c>
      <c r="F171" t="s">
        <v>709</v>
      </c>
      <c r="AG171" s="14"/>
      <c r="AH171" s="14"/>
    </row>
    <row r="172" spans="1:34">
      <c r="A172">
        <v>171</v>
      </c>
      <c r="B172" s="14" t="s">
        <v>526</v>
      </c>
      <c r="D172" s="14" t="s">
        <v>527</v>
      </c>
      <c r="F172" t="s">
        <v>709</v>
      </c>
      <c r="AG172" s="14"/>
      <c r="AH172" s="14"/>
    </row>
    <row r="173" spans="1:34">
      <c r="A173">
        <v>172</v>
      </c>
      <c r="B173" s="14" t="s">
        <v>529</v>
      </c>
      <c r="D173" s="14" t="s">
        <v>468</v>
      </c>
      <c r="F173" t="s">
        <v>709</v>
      </c>
      <c r="AG173" s="14"/>
      <c r="AH173" s="14"/>
    </row>
    <row r="174" spans="1:34">
      <c r="A174">
        <v>173</v>
      </c>
      <c r="B174" s="14" t="s">
        <v>531</v>
      </c>
      <c r="D174" s="14" t="s">
        <v>468</v>
      </c>
      <c r="F174" t="s">
        <v>709</v>
      </c>
      <c r="AG174" s="14"/>
      <c r="AH174" s="14"/>
    </row>
    <row r="175" spans="1:34">
      <c r="A175">
        <v>174</v>
      </c>
      <c r="B175" s="14" t="s">
        <v>533</v>
      </c>
      <c r="D175" s="14" t="s">
        <v>410</v>
      </c>
      <c r="F175" t="s">
        <v>709</v>
      </c>
      <c r="AG175" s="14"/>
      <c r="AH175" s="14"/>
    </row>
    <row r="176" spans="1:34">
      <c r="A176">
        <v>175</v>
      </c>
      <c r="B176" s="14" t="s">
        <v>534</v>
      </c>
      <c r="D176" s="14" t="s">
        <v>468</v>
      </c>
      <c r="F176" t="s">
        <v>709</v>
      </c>
      <c r="AG176" s="14"/>
      <c r="AH176" s="14"/>
    </row>
    <row r="177" spans="1:34">
      <c r="A177">
        <v>176</v>
      </c>
      <c r="B177" s="14" t="s">
        <v>535</v>
      </c>
      <c r="D177" s="14" t="s">
        <v>536</v>
      </c>
      <c r="F177" t="s">
        <v>709</v>
      </c>
      <c r="AG177" s="14"/>
      <c r="AH177" s="14"/>
    </row>
    <row r="178" spans="1:34">
      <c r="A178">
        <v>177</v>
      </c>
      <c r="B178" s="14" t="s">
        <v>538</v>
      </c>
      <c r="D178" s="14" t="s">
        <v>425</v>
      </c>
      <c r="F178" t="s">
        <v>709</v>
      </c>
      <c r="AG178" s="14"/>
      <c r="AH178" s="14"/>
    </row>
    <row r="179" spans="1:34">
      <c r="A179">
        <v>178</v>
      </c>
      <c r="B179" s="14" t="s">
        <v>539</v>
      </c>
      <c r="D179" s="14" t="s">
        <v>410</v>
      </c>
      <c r="F179" t="s">
        <v>709</v>
      </c>
      <c r="AG179" s="14"/>
      <c r="AH179" s="14"/>
    </row>
    <row r="180" spans="1:34">
      <c r="A180">
        <v>179</v>
      </c>
      <c r="B180" s="14" t="s">
        <v>540</v>
      </c>
      <c r="D180" s="14" t="s">
        <v>541</v>
      </c>
      <c r="F180" t="s">
        <v>709</v>
      </c>
      <c r="AG180" s="14"/>
      <c r="AH180" s="14"/>
    </row>
    <row r="181" spans="1:34">
      <c r="A181">
        <v>180</v>
      </c>
      <c r="B181" s="14" t="s">
        <v>540</v>
      </c>
      <c r="D181" s="14" t="s">
        <v>543</v>
      </c>
      <c r="F181" t="s">
        <v>709</v>
      </c>
      <c r="AG181" s="14"/>
      <c r="AH181" s="14"/>
    </row>
    <row r="182" spans="1:34">
      <c r="A182">
        <v>181</v>
      </c>
      <c r="B182" s="14" t="s">
        <v>545</v>
      </c>
      <c r="D182" s="14" t="s">
        <v>546</v>
      </c>
      <c r="F182" t="s">
        <v>709</v>
      </c>
      <c r="AG182" s="14"/>
      <c r="AH182" s="14"/>
    </row>
    <row r="183" spans="1:34">
      <c r="A183">
        <v>182</v>
      </c>
      <c r="B183" s="14" t="s">
        <v>548</v>
      </c>
      <c r="D183" s="14" t="s">
        <v>477</v>
      </c>
      <c r="F183" t="s">
        <v>709</v>
      </c>
      <c r="AG183" s="14"/>
      <c r="AH183" s="14"/>
    </row>
    <row r="184" spans="1:34">
      <c r="A184">
        <v>183</v>
      </c>
      <c r="B184" s="14" t="s">
        <v>550</v>
      </c>
      <c r="D184" s="14" t="s">
        <v>477</v>
      </c>
      <c r="F184" t="s">
        <v>709</v>
      </c>
      <c r="AG184" s="14"/>
      <c r="AH184" s="14"/>
    </row>
    <row r="185" spans="1:34">
      <c r="A185">
        <v>184</v>
      </c>
      <c r="B185" s="14" t="s">
        <v>551</v>
      </c>
      <c r="D185" s="14" t="s">
        <v>552</v>
      </c>
      <c r="F185" t="s">
        <v>709</v>
      </c>
      <c r="AG185" s="14"/>
      <c r="AH185" s="14"/>
    </row>
    <row r="186" spans="1:34">
      <c r="A186">
        <v>185</v>
      </c>
      <c r="B186" s="14" t="s">
        <v>554</v>
      </c>
      <c r="D186" s="14" t="s">
        <v>500</v>
      </c>
      <c r="F186" t="s">
        <v>709</v>
      </c>
      <c r="AG186" s="14"/>
      <c r="AH186" s="14"/>
    </row>
    <row r="187" spans="1:34">
      <c r="A187">
        <v>186</v>
      </c>
      <c r="B187" s="14" t="s">
        <v>556</v>
      </c>
      <c r="D187" s="14" t="s">
        <v>468</v>
      </c>
      <c r="F187" t="s">
        <v>709</v>
      </c>
      <c r="AG187" s="14"/>
      <c r="AH187" s="14"/>
    </row>
    <row r="188" spans="1:34">
      <c r="A188">
        <v>187</v>
      </c>
      <c r="B188" s="14" t="s">
        <v>558</v>
      </c>
      <c r="D188" s="14" t="s">
        <v>524</v>
      </c>
      <c r="F188" t="s">
        <v>709</v>
      </c>
      <c r="AG188" s="14"/>
      <c r="AH188" s="14"/>
    </row>
    <row r="189" spans="1:34">
      <c r="A189">
        <v>188</v>
      </c>
      <c r="B189" s="14" t="s">
        <v>560</v>
      </c>
      <c r="D189" s="14" t="s">
        <v>561</v>
      </c>
      <c r="F189" t="s">
        <v>709</v>
      </c>
      <c r="AG189" s="14"/>
      <c r="AH189" s="14"/>
    </row>
    <row r="190" spans="1:34">
      <c r="A190">
        <v>189</v>
      </c>
      <c r="B190" s="14" t="s">
        <v>563</v>
      </c>
      <c r="D190" s="14" t="s">
        <v>564</v>
      </c>
      <c r="F190" t="s">
        <v>709</v>
      </c>
      <c r="AG190" s="14"/>
      <c r="AH190" s="14"/>
    </row>
    <row r="191" spans="1:34">
      <c r="A191">
        <v>190</v>
      </c>
      <c r="B191" s="14" t="s">
        <v>566</v>
      </c>
      <c r="D191" s="14" t="s">
        <v>466</v>
      </c>
      <c r="F191" t="s">
        <v>709</v>
      </c>
      <c r="AG191" s="14"/>
      <c r="AH191" s="14"/>
    </row>
    <row r="192" spans="1:34">
      <c r="A192">
        <v>191</v>
      </c>
      <c r="B192" s="14" t="s">
        <v>567</v>
      </c>
      <c r="D192" s="14" t="s">
        <v>568</v>
      </c>
      <c r="F192" t="s">
        <v>709</v>
      </c>
      <c r="AG192" s="14"/>
      <c r="AH192" s="14"/>
    </row>
    <row r="193" spans="1:34">
      <c r="A193">
        <v>192</v>
      </c>
      <c r="B193" s="14" t="s">
        <v>570</v>
      </c>
      <c r="D193" s="14" t="s">
        <v>571</v>
      </c>
      <c r="F193" t="s">
        <v>709</v>
      </c>
      <c r="AG193" s="14"/>
      <c r="AH193" s="14"/>
    </row>
    <row r="194" spans="1:34">
      <c r="A194">
        <v>193</v>
      </c>
      <c r="B194" s="14" t="s">
        <v>573</v>
      </c>
      <c r="D194" s="14" t="s">
        <v>524</v>
      </c>
      <c r="F194" t="s">
        <v>709</v>
      </c>
      <c r="AG194" s="14"/>
      <c r="AH194" s="14"/>
    </row>
    <row r="195" spans="1:34">
      <c r="A195">
        <v>194</v>
      </c>
      <c r="B195" s="14" t="s">
        <v>575</v>
      </c>
      <c r="D195" s="14" t="s">
        <v>468</v>
      </c>
      <c r="F195" t="s">
        <v>709</v>
      </c>
      <c r="AG195" s="14"/>
      <c r="AH195" s="14"/>
    </row>
    <row r="196" spans="1:34">
      <c r="A196">
        <v>195</v>
      </c>
      <c r="B196" s="14" t="s">
        <v>577</v>
      </c>
      <c r="D196" s="14" t="s">
        <v>410</v>
      </c>
      <c r="F196" t="s">
        <v>709</v>
      </c>
      <c r="AG196" s="14"/>
      <c r="AH196" s="14"/>
    </row>
    <row r="197" spans="1:34">
      <c r="A197">
        <v>196</v>
      </c>
      <c r="B197" s="14" t="s">
        <v>577</v>
      </c>
      <c r="D197" s="14" t="s">
        <v>410</v>
      </c>
      <c r="F197" t="s">
        <v>709</v>
      </c>
      <c r="AG197" s="14"/>
      <c r="AH197" s="14"/>
    </row>
    <row r="198" spans="1:34">
      <c r="A198">
        <v>197</v>
      </c>
      <c r="B198" s="14" t="s">
        <v>579</v>
      </c>
      <c r="D198" s="14" t="s">
        <v>580</v>
      </c>
      <c r="F198" t="s">
        <v>709</v>
      </c>
      <c r="AG198" s="14"/>
      <c r="AH198" s="14"/>
    </row>
    <row r="199" spans="1:34">
      <c r="A199">
        <v>198</v>
      </c>
      <c r="B199" s="14" t="s">
        <v>582</v>
      </c>
      <c r="D199" s="14" t="s">
        <v>583</v>
      </c>
      <c r="F199" t="s">
        <v>709</v>
      </c>
      <c r="AG199" s="14"/>
      <c r="AH199" s="14"/>
    </row>
    <row r="200" spans="1:34">
      <c r="A200">
        <v>199</v>
      </c>
      <c r="B200" s="14" t="s">
        <v>584</v>
      </c>
      <c r="D200" s="14" t="s">
        <v>490</v>
      </c>
      <c r="F200" t="s">
        <v>709</v>
      </c>
      <c r="AG200" s="14"/>
      <c r="AH200" s="14"/>
    </row>
    <row r="201" spans="1:34">
      <c r="A201">
        <v>200</v>
      </c>
      <c r="B201" s="14" t="s">
        <v>586</v>
      </c>
      <c r="D201" s="14" t="s">
        <v>587</v>
      </c>
      <c r="F201" t="s">
        <v>709</v>
      </c>
      <c r="AG201" s="14"/>
      <c r="AH201" s="14"/>
    </row>
    <row r="202" spans="1:34">
      <c r="A202">
        <v>201</v>
      </c>
      <c r="B202" s="14" t="s">
        <v>589</v>
      </c>
      <c r="D202" s="14" t="s">
        <v>590</v>
      </c>
      <c r="F202" t="s">
        <v>709</v>
      </c>
      <c r="AG202" s="14"/>
      <c r="AH202" s="14"/>
    </row>
    <row r="203" spans="1:34">
      <c r="A203">
        <v>202</v>
      </c>
      <c r="B203" s="14" t="s">
        <v>592</v>
      </c>
      <c r="D203" s="14" t="s">
        <v>466</v>
      </c>
      <c r="F203" t="s">
        <v>709</v>
      </c>
      <c r="AG203" s="14"/>
      <c r="AH203" s="14"/>
    </row>
    <row r="204" spans="1:34">
      <c r="A204">
        <v>203</v>
      </c>
      <c r="B204" s="14" t="s">
        <v>593</v>
      </c>
      <c r="D204" s="14" t="s">
        <v>510</v>
      </c>
      <c r="F204" t="s">
        <v>709</v>
      </c>
      <c r="AG204" s="14"/>
      <c r="AH204" s="14"/>
    </row>
    <row r="205" spans="1:34">
      <c r="A205">
        <v>204</v>
      </c>
      <c r="B205" s="14" t="s">
        <v>593</v>
      </c>
      <c r="D205" s="14" t="s">
        <v>510</v>
      </c>
      <c r="F205" t="s">
        <v>709</v>
      </c>
      <c r="AG205" s="14"/>
      <c r="AH205" s="14"/>
    </row>
    <row r="206" spans="1:34">
      <c r="A206">
        <v>205</v>
      </c>
      <c r="B206" s="14" t="s">
        <v>593</v>
      </c>
      <c r="D206" s="14" t="s">
        <v>541</v>
      </c>
      <c r="F206" t="s">
        <v>709</v>
      </c>
      <c r="AG206" s="14"/>
      <c r="AH206" s="14"/>
    </row>
    <row r="207" spans="1:34">
      <c r="A207">
        <v>206</v>
      </c>
      <c r="B207" s="14" t="s">
        <v>597</v>
      </c>
      <c r="D207" s="14" t="s">
        <v>598</v>
      </c>
      <c r="F207" t="s">
        <v>709</v>
      </c>
      <c r="AG207" s="14"/>
      <c r="AH207" s="14"/>
    </row>
    <row r="208" spans="1:34">
      <c r="A208">
        <v>207</v>
      </c>
      <c r="B208" s="14" t="s">
        <v>600</v>
      </c>
      <c r="D208" s="14" t="s">
        <v>500</v>
      </c>
      <c r="F208" t="s">
        <v>709</v>
      </c>
      <c r="AG208" s="14"/>
      <c r="AH208" s="14"/>
    </row>
    <row r="209" spans="1:34">
      <c r="A209">
        <v>208</v>
      </c>
      <c r="B209" s="14" t="s">
        <v>602</v>
      </c>
      <c r="D209" s="14" t="s">
        <v>500</v>
      </c>
      <c r="F209" t="s">
        <v>709</v>
      </c>
      <c r="AG209" s="14"/>
      <c r="AH209" s="14"/>
    </row>
    <row r="210" spans="1:34">
      <c r="A210">
        <v>209</v>
      </c>
      <c r="B210" s="14" t="s">
        <v>604</v>
      </c>
      <c r="D210" s="14" t="s">
        <v>421</v>
      </c>
      <c r="F210" t="s">
        <v>709</v>
      </c>
      <c r="AG210" s="14"/>
      <c r="AH210" s="14"/>
    </row>
    <row r="211" spans="1:34">
      <c r="A211">
        <v>210</v>
      </c>
      <c r="B211" s="14" t="s">
        <v>605</v>
      </c>
      <c r="D211" s="14" t="s">
        <v>468</v>
      </c>
      <c r="F211" t="s">
        <v>709</v>
      </c>
      <c r="AG211" s="14"/>
      <c r="AH211" s="14"/>
    </row>
    <row r="212" spans="1:34">
      <c r="A212">
        <v>211</v>
      </c>
      <c r="B212" s="14" t="s">
        <v>607</v>
      </c>
      <c r="D212" s="14" t="s">
        <v>510</v>
      </c>
      <c r="F212" t="s">
        <v>709</v>
      </c>
      <c r="AG212" s="14"/>
      <c r="AH212" s="14"/>
    </row>
    <row r="213" spans="1:34">
      <c r="A213">
        <v>212</v>
      </c>
      <c r="B213" s="14" t="s">
        <v>609</v>
      </c>
      <c r="D213" s="14" t="s">
        <v>477</v>
      </c>
      <c r="F213" t="s">
        <v>709</v>
      </c>
      <c r="AG213" s="14"/>
      <c r="AH213" s="14"/>
    </row>
    <row r="214" spans="1:34">
      <c r="A214">
        <v>213</v>
      </c>
      <c r="B214" s="14" t="s">
        <v>610</v>
      </c>
      <c r="D214" s="14" t="s">
        <v>477</v>
      </c>
      <c r="F214" t="s">
        <v>709</v>
      </c>
      <c r="AG214" s="14"/>
      <c r="AH214" s="14"/>
    </row>
    <row r="215" spans="1:34">
      <c r="A215">
        <v>214</v>
      </c>
      <c r="B215" s="14" t="s">
        <v>611</v>
      </c>
      <c r="D215" s="14" t="s">
        <v>418</v>
      </c>
      <c r="F215" t="s">
        <v>709</v>
      </c>
      <c r="AG215" s="14"/>
      <c r="AH215" s="14"/>
    </row>
    <row r="216" spans="1:34">
      <c r="A216">
        <v>215</v>
      </c>
      <c r="AG216" s="14"/>
      <c r="AH216" s="14"/>
    </row>
    <row r="217" spans="1:34">
      <c r="A217">
        <v>216</v>
      </c>
      <c r="AG217" s="14"/>
      <c r="AH217" s="14"/>
    </row>
    <row r="218" spans="1:34">
      <c r="A218">
        <v>217</v>
      </c>
      <c r="AG218" s="14"/>
      <c r="AH218" s="14"/>
    </row>
    <row r="219" spans="1:34">
      <c r="A219">
        <v>218</v>
      </c>
      <c r="AG219" s="14"/>
      <c r="AH219" s="14"/>
    </row>
    <row r="220" spans="1:34">
      <c r="A220">
        <v>219</v>
      </c>
      <c r="AG220" s="14"/>
      <c r="AH220" s="14"/>
    </row>
    <row r="221" spans="1:34">
      <c r="A221">
        <v>220</v>
      </c>
      <c r="AG221" s="14"/>
      <c r="AH221" s="14"/>
    </row>
    <row r="222" spans="1:34">
      <c r="A222">
        <v>221</v>
      </c>
      <c r="AG222" s="14"/>
      <c r="AH222" s="14"/>
    </row>
    <row r="223" spans="1:34">
      <c r="A223">
        <v>222</v>
      </c>
      <c r="AG223" s="14"/>
      <c r="AH223" s="14"/>
    </row>
    <row r="224" spans="1:34">
      <c r="A224">
        <v>223</v>
      </c>
      <c r="AG224" s="14"/>
      <c r="AH224" s="14"/>
    </row>
    <row r="225" spans="1:34">
      <c r="A225">
        <v>224</v>
      </c>
      <c r="AG225" s="14"/>
      <c r="AH225" s="14"/>
    </row>
    <row r="226" spans="1:34">
      <c r="A226">
        <v>225</v>
      </c>
      <c r="AG226" s="14"/>
      <c r="AH226" s="14"/>
    </row>
    <row r="227" spans="1:34">
      <c r="A227">
        <v>226</v>
      </c>
      <c r="AG227" s="14"/>
      <c r="AH227" s="14"/>
    </row>
    <row r="228" spans="1:34">
      <c r="A228">
        <v>227</v>
      </c>
      <c r="AG228" s="14"/>
      <c r="AH228" s="14"/>
    </row>
    <row r="229" spans="1:34">
      <c r="A229">
        <v>228</v>
      </c>
      <c r="AG229" s="14"/>
      <c r="AH229" s="14"/>
    </row>
    <row r="230" spans="1:34">
      <c r="A230">
        <v>229</v>
      </c>
      <c r="AG230" s="14"/>
      <c r="AH230" s="14"/>
    </row>
    <row r="231" spans="1:34">
      <c r="A231">
        <v>230</v>
      </c>
      <c r="AG231" s="14"/>
      <c r="AH231" s="14"/>
    </row>
    <row r="232" spans="1:34">
      <c r="A232">
        <v>231</v>
      </c>
      <c r="AG232" s="14"/>
      <c r="AH232" s="14"/>
    </row>
    <row r="233" spans="1:34">
      <c r="A233">
        <v>232</v>
      </c>
      <c r="AG233" s="14"/>
      <c r="AH233" s="14"/>
    </row>
    <row r="234" spans="1:34">
      <c r="A234">
        <v>233</v>
      </c>
      <c r="AG234" s="14"/>
      <c r="AH234" s="14"/>
    </row>
    <row r="235" spans="1:34">
      <c r="A235">
        <v>234</v>
      </c>
      <c r="AG235" s="14"/>
      <c r="AH235" s="14"/>
    </row>
    <row r="236" spans="1:34">
      <c r="A236">
        <v>235</v>
      </c>
      <c r="AG236" s="14"/>
      <c r="AH236" s="14"/>
    </row>
    <row r="237" spans="1:34">
      <c r="A237">
        <v>236</v>
      </c>
      <c r="AG237" s="14"/>
      <c r="AH237" s="14"/>
    </row>
    <row r="238" spans="1:34">
      <c r="A238">
        <v>237</v>
      </c>
      <c r="AG238" s="14"/>
      <c r="AH238" s="14"/>
    </row>
    <row r="239" spans="1:34">
      <c r="A239">
        <v>238</v>
      </c>
      <c r="AG239" s="14"/>
      <c r="AH239" s="14"/>
    </row>
    <row r="240" spans="1:34">
      <c r="A240">
        <v>239</v>
      </c>
      <c r="AG240" s="14"/>
      <c r="AH240" s="14"/>
    </row>
    <row r="241" spans="1:34">
      <c r="A241">
        <v>240</v>
      </c>
      <c r="AG241" s="14"/>
      <c r="AH241" s="14"/>
    </row>
    <row r="242" spans="1:34">
      <c r="A242">
        <v>241</v>
      </c>
      <c r="AG242" s="14"/>
      <c r="AH242" s="14"/>
    </row>
    <row r="243" spans="1:34">
      <c r="A243">
        <v>242</v>
      </c>
      <c r="AG243" s="14"/>
      <c r="AH243" s="14"/>
    </row>
    <row r="244" spans="1:34">
      <c r="A244">
        <v>243</v>
      </c>
      <c r="AG244" s="14"/>
      <c r="AH244" s="14"/>
    </row>
    <row r="245" spans="1:34">
      <c r="A245">
        <v>244</v>
      </c>
      <c r="AG245" s="14"/>
      <c r="AH245" s="14"/>
    </row>
    <row r="246" spans="1:34">
      <c r="A246">
        <v>245</v>
      </c>
      <c r="AG246" s="14"/>
      <c r="AH246" s="14"/>
    </row>
    <row r="247" spans="1:34">
      <c r="A247">
        <v>246</v>
      </c>
      <c r="AG247" s="14"/>
      <c r="AH247" s="14"/>
    </row>
    <row r="248" spans="1:34">
      <c r="A248">
        <v>247</v>
      </c>
      <c r="AG248" s="14"/>
      <c r="AH248" s="14"/>
    </row>
    <row r="249" spans="1:34">
      <c r="A249">
        <v>248</v>
      </c>
      <c r="AG249" s="14"/>
      <c r="AH249" s="14"/>
    </row>
    <row r="250" spans="1:34">
      <c r="A250">
        <v>249</v>
      </c>
      <c r="AG250" s="14"/>
      <c r="AH250" s="14"/>
    </row>
    <row r="251" spans="1:34">
      <c r="A251">
        <v>250</v>
      </c>
      <c r="AG251" s="14"/>
      <c r="AH251" s="14"/>
    </row>
    <row r="252" spans="1:34">
      <c r="A252">
        <v>251</v>
      </c>
      <c r="AG252" s="14"/>
      <c r="AH252" s="14"/>
    </row>
    <row r="253" spans="1:34">
      <c r="A253">
        <v>252</v>
      </c>
      <c r="AG253" s="14"/>
      <c r="AH253" s="14"/>
    </row>
    <row r="254" spans="1:34">
      <c r="A254">
        <v>253</v>
      </c>
      <c r="AG254" s="14"/>
      <c r="AH254" s="14"/>
    </row>
    <row r="255" spans="1:34">
      <c r="A255">
        <v>254</v>
      </c>
      <c r="AG255" s="14"/>
      <c r="AH255" s="14"/>
    </row>
    <row r="256" spans="1:34">
      <c r="A256">
        <v>255</v>
      </c>
      <c r="AG256" s="14"/>
      <c r="AH256" s="14"/>
    </row>
    <row r="257" spans="1:34">
      <c r="A257">
        <v>256</v>
      </c>
      <c r="AG257" s="14"/>
      <c r="AH257" s="14"/>
    </row>
    <row r="258" spans="1:34">
      <c r="A258">
        <v>257</v>
      </c>
      <c r="AG258" s="14"/>
      <c r="AH258" s="14"/>
    </row>
    <row r="259" spans="1:34">
      <c r="A259">
        <v>258</v>
      </c>
      <c r="AG259" s="14"/>
      <c r="AH259" s="14"/>
    </row>
    <row r="260" spans="1:34">
      <c r="A260">
        <v>259</v>
      </c>
      <c r="AG260" s="14"/>
      <c r="AH260" s="14"/>
    </row>
    <row r="261" spans="1:34">
      <c r="A261">
        <v>260</v>
      </c>
      <c r="AG261" s="14"/>
      <c r="AH261" s="14"/>
    </row>
    <row r="262" spans="1:34">
      <c r="A262">
        <v>261</v>
      </c>
      <c r="AG262" s="14"/>
      <c r="AH262" s="14"/>
    </row>
    <row r="263" spans="1:34">
      <c r="A263">
        <v>262</v>
      </c>
      <c r="AG263" s="14"/>
      <c r="AH263" s="14"/>
    </row>
    <row r="264" spans="1:34">
      <c r="A264">
        <v>263</v>
      </c>
      <c r="AG264" s="14"/>
      <c r="AH264" s="14"/>
    </row>
    <row r="265" spans="1:34">
      <c r="A265">
        <v>264</v>
      </c>
      <c r="AG265" s="14"/>
      <c r="AH265" s="14"/>
    </row>
    <row r="266" spans="1:34">
      <c r="A266">
        <v>265</v>
      </c>
      <c r="AG266" s="14"/>
      <c r="AH266" s="14"/>
    </row>
    <row r="267" spans="1:34">
      <c r="A267">
        <v>266</v>
      </c>
      <c r="AG267" s="14"/>
      <c r="AH267" s="14"/>
    </row>
    <row r="268" spans="1:34">
      <c r="A268">
        <v>267</v>
      </c>
      <c r="AG268" s="14"/>
      <c r="AH268" s="14"/>
    </row>
    <row r="269" spans="1:34">
      <c r="A269">
        <v>268</v>
      </c>
      <c r="AG269" s="14"/>
      <c r="AH269" s="14"/>
    </row>
    <row r="270" spans="1:34">
      <c r="A270">
        <v>269</v>
      </c>
      <c r="AG270" s="14"/>
      <c r="AH270" s="14"/>
    </row>
    <row r="271" spans="1:34">
      <c r="A271">
        <v>270</v>
      </c>
      <c r="AG271" s="14"/>
      <c r="AH271" s="14"/>
    </row>
    <row r="272" spans="1:34">
      <c r="A272">
        <v>271</v>
      </c>
      <c r="AG272" s="14"/>
      <c r="AH272" s="14"/>
    </row>
    <row r="273" spans="1:34">
      <c r="A273">
        <v>272</v>
      </c>
      <c r="AG273" s="14"/>
      <c r="AH273" s="14"/>
    </row>
    <row r="274" spans="1:34">
      <c r="A274">
        <v>273</v>
      </c>
      <c r="AG274" s="14"/>
      <c r="AH274" s="14"/>
    </row>
    <row r="275" spans="1:34">
      <c r="A275">
        <v>274</v>
      </c>
      <c r="AG275" s="14"/>
      <c r="AH275" s="14"/>
    </row>
    <row r="276" spans="1:34">
      <c r="A276">
        <v>275</v>
      </c>
      <c r="AG276" s="14"/>
      <c r="AH276" s="14"/>
    </row>
    <row r="277" spans="1:34">
      <c r="A277">
        <v>276</v>
      </c>
      <c r="AG277" s="14"/>
      <c r="AH277" s="14"/>
    </row>
    <row r="278" spans="1:34">
      <c r="A278">
        <v>277</v>
      </c>
      <c r="AG278" s="14"/>
      <c r="AH278" s="14"/>
    </row>
    <row r="279" spans="1:34">
      <c r="A279">
        <v>278</v>
      </c>
      <c r="AG279" s="14"/>
      <c r="AH279" s="14"/>
    </row>
    <row r="280" spans="1:34">
      <c r="A280">
        <v>279</v>
      </c>
      <c r="AG280" s="14"/>
      <c r="AH280" s="14"/>
    </row>
    <row r="281" spans="1:34">
      <c r="A281">
        <v>280</v>
      </c>
      <c r="AG281" s="14"/>
      <c r="AH281" s="14"/>
    </row>
    <row r="282" spans="1:34">
      <c r="A282">
        <v>281</v>
      </c>
      <c r="AG282" s="14"/>
      <c r="AH282" s="14"/>
    </row>
    <row r="283" spans="1:34">
      <c r="A283">
        <v>282</v>
      </c>
      <c r="AG283" s="14"/>
      <c r="AH283" s="14"/>
    </row>
    <row r="284" spans="1:34">
      <c r="A284">
        <v>283</v>
      </c>
      <c r="AG284" s="14"/>
      <c r="AH284" s="14"/>
    </row>
    <row r="285" spans="1:34">
      <c r="A285">
        <v>284</v>
      </c>
      <c r="AG285" s="14"/>
      <c r="AH285" s="14"/>
    </row>
    <row r="286" spans="1:34">
      <c r="A286">
        <v>285</v>
      </c>
      <c r="AG286" s="14"/>
      <c r="AH286" s="14"/>
    </row>
    <row r="287" spans="1:34">
      <c r="A287">
        <v>286</v>
      </c>
      <c r="AG287" s="14"/>
      <c r="AH287" s="14"/>
    </row>
    <row r="288" spans="1:34">
      <c r="A288">
        <v>287</v>
      </c>
      <c r="AG288" s="14"/>
      <c r="AH288" s="14"/>
    </row>
    <row r="289" spans="1:34">
      <c r="A289">
        <v>288</v>
      </c>
      <c r="AG289" s="14"/>
      <c r="AH289" s="14"/>
    </row>
    <row r="290" spans="1:34">
      <c r="A290">
        <v>289</v>
      </c>
      <c r="AG290" s="14"/>
      <c r="AH290" s="14"/>
    </row>
    <row r="291" spans="1:34">
      <c r="A291">
        <v>290</v>
      </c>
      <c r="AG291" s="14"/>
      <c r="AH291" s="14"/>
    </row>
    <row r="292" spans="1:34">
      <c r="A292">
        <v>291</v>
      </c>
      <c r="AG292" s="14"/>
      <c r="AH292" s="14"/>
    </row>
    <row r="293" spans="1:34">
      <c r="A293">
        <v>292</v>
      </c>
      <c r="AG293" s="14"/>
      <c r="AH293" s="14"/>
    </row>
    <row r="294" spans="1:34">
      <c r="A294">
        <v>293</v>
      </c>
      <c r="AG294" s="14"/>
      <c r="AH294" s="14"/>
    </row>
    <row r="295" spans="1:34">
      <c r="A295">
        <v>294</v>
      </c>
      <c r="AG295" s="14"/>
      <c r="AH295" s="14"/>
    </row>
    <row r="296" spans="1:34">
      <c r="A296">
        <v>295</v>
      </c>
      <c r="AG296" s="14"/>
      <c r="AH296" s="14"/>
    </row>
    <row r="297" spans="1:34">
      <c r="A297">
        <v>296</v>
      </c>
      <c r="AG297" s="14"/>
      <c r="AH297" s="14"/>
    </row>
    <row r="298" spans="1:34">
      <c r="A298">
        <v>297</v>
      </c>
      <c r="AG298" s="14"/>
      <c r="AH298" s="14"/>
    </row>
    <row r="299" spans="1:34">
      <c r="A299">
        <v>298</v>
      </c>
      <c r="AG299" s="14"/>
      <c r="AH299" s="14"/>
    </row>
    <row r="300" spans="1:34">
      <c r="A300">
        <v>299</v>
      </c>
      <c r="AG300" s="14"/>
      <c r="AH300" s="14"/>
    </row>
    <row r="301" spans="1:34">
      <c r="A301">
        <v>300</v>
      </c>
      <c r="AG301" s="14"/>
      <c r="AH301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"/>
  <sheetViews>
    <sheetView workbookViewId="0"/>
  </sheetViews>
  <sheetFormatPr defaultColWidth="12.7109375" defaultRowHeight="15"/>
  <sheetData>
    <row r="1" spans="1:31" ht="18.75">
      <c r="A1" s="40" t="s">
        <v>9</v>
      </c>
      <c r="B1" s="12" t="s">
        <v>646</v>
      </c>
      <c r="C1" s="12" t="s">
        <v>647</v>
      </c>
      <c r="D1" s="12" t="s">
        <v>648</v>
      </c>
      <c r="E1" s="12" t="s">
        <v>649</v>
      </c>
      <c r="F1" s="12" t="s">
        <v>650</v>
      </c>
      <c r="G1" s="12" t="s">
        <v>651</v>
      </c>
      <c r="H1" s="12" t="s">
        <v>652</v>
      </c>
      <c r="I1" s="12" t="s">
        <v>653</v>
      </c>
      <c r="J1" s="12" t="s">
        <v>654</v>
      </c>
      <c r="K1" s="12" t="s">
        <v>655</v>
      </c>
      <c r="L1" s="12" t="s">
        <v>656</v>
      </c>
      <c r="M1" s="12" t="s">
        <v>657</v>
      </c>
      <c r="N1" s="12" t="s">
        <v>658</v>
      </c>
      <c r="O1" s="12" t="s">
        <v>659</v>
      </c>
      <c r="P1" s="12" t="s">
        <v>660</v>
      </c>
      <c r="Q1" s="12" t="s">
        <v>661</v>
      </c>
      <c r="R1" s="12" t="s">
        <v>662</v>
      </c>
      <c r="S1" s="12" t="s">
        <v>663</v>
      </c>
      <c r="T1" s="12" t="s">
        <v>664</v>
      </c>
      <c r="U1" s="12" t="s">
        <v>665</v>
      </c>
      <c r="V1" s="12" t="s">
        <v>666</v>
      </c>
      <c r="W1" s="12" t="s">
        <v>667</v>
      </c>
      <c r="X1" s="12" t="s">
        <v>668</v>
      </c>
      <c r="Y1" s="12" t="s">
        <v>669</v>
      </c>
      <c r="Z1" s="12" t="s">
        <v>670</v>
      </c>
      <c r="AA1" s="12" t="s">
        <v>671</v>
      </c>
      <c r="AB1" s="12" t="s">
        <v>672</v>
      </c>
      <c r="AC1" s="12" t="s">
        <v>673</v>
      </c>
      <c r="AD1" s="12" t="s">
        <v>741</v>
      </c>
      <c r="AE1" s="13" t="s">
        <v>742</v>
      </c>
    </row>
    <row r="2" spans="1:31" ht="15.75">
      <c r="A2" s="9" t="s">
        <v>21</v>
      </c>
      <c r="B2" t="s">
        <v>743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2"/>
      <c r="X2" s="42"/>
      <c r="Y2" s="42"/>
      <c r="Z2" s="42"/>
      <c r="AA2" s="43">
        <v>2.8495575221238942</v>
      </c>
      <c r="AB2" s="43">
        <v>2.8495575221238942</v>
      </c>
      <c r="AC2" s="43">
        <v>2.8495575221238942</v>
      </c>
      <c r="AD2" s="43">
        <v>2.8495575221238942</v>
      </c>
      <c r="AE2" s="43">
        <v>2.8495575221238942</v>
      </c>
    </row>
    <row r="3" spans="1:31" ht="15.75">
      <c r="A3" s="9" t="s">
        <v>30</v>
      </c>
      <c r="B3" t="s">
        <v>743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2"/>
      <c r="X3" s="42"/>
      <c r="Y3" s="42"/>
      <c r="Z3" s="42"/>
      <c r="AA3" s="43">
        <v>2.0353982300884956</v>
      </c>
      <c r="AB3" s="43">
        <v>2.0353982300884956</v>
      </c>
      <c r="AC3" s="43">
        <v>2.0353982300884956</v>
      </c>
      <c r="AD3" s="43">
        <v>2.0353982300884956</v>
      </c>
      <c r="AE3" s="43">
        <v>2.0353982300884956</v>
      </c>
    </row>
    <row r="4" spans="1:31" ht="15.75">
      <c r="A4" s="9" t="s">
        <v>36</v>
      </c>
      <c r="B4" t="s">
        <v>743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2"/>
      <c r="X4" s="42"/>
      <c r="Y4" s="42"/>
      <c r="Z4" s="42"/>
      <c r="AA4" s="43">
        <v>1.6725663716814161</v>
      </c>
      <c r="AB4" s="43">
        <v>1.6725663716814161</v>
      </c>
      <c r="AC4" s="43">
        <v>1.6725663716814161</v>
      </c>
      <c r="AD4" s="43">
        <v>1.6725663716814161</v>
      </c>
      <c r="AE4" s="43">
        <v>1.6725663716814161</v>
      </c>
    </row>
    <row r="5" spans="1:31" ht="15.75">
      <c r="A5" s="9" t="s">
        <v>43</v>
      </c>
      <c r="B5" t="s">
        <v>743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  <c r="X5" s="42"/>
      <c r="Y5" s="42"/>
      <c r="Z5" s="42"/>
      <c r="AA5" s="43">
        <v>2.3982300884955756</v>
      </c>
      <c r="AB5" s="43">
        <v>1.6460176991150446</v>
      </c>
      <c r="AC5" s="43">
        <v>1.6460176991150446</v>
      </c>
      <c r="AD5" s="43">
        <v>2.3805309734513278</v>
      </c>
      <c r="AE5" s="43">
        <v>2.3805309734513278</v>
      </c>
    </row>
    <row r="6" spans="1:31" ht="15.75">
      <c r="A6" s="9" t="s">
        <v>48</v>
      </c>
      <c r="B6" t="s">
        <v>743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2"/>
      <c r="X6" s="42"/>
      <c r="Y6" s="42"/>
      <c r="Z6" s="42"/>
      <c r="AA6" s="43">
        <v>1.4159292035398232</v>
      </c>
      <c r="AB6" s="43">
        <v>1.4159292035398232</v>
      </c>
      <c r="AC6" s="43">
        <v>1.4159292035398232</v>
      </c>
      <c r="AD6" s="43">
        <v>1.4159292035398232</v>
      </c>
      <c r="AE6" s="43">
        <v>1.4159292035398232</v>
      </c>
    </row>
    <row r="7" spans="1:31" ht="15.75">
      <c r="A7" s="9" t="s">
        <v>51</v>
      </c>
      <c r="B7" t="s">
        <v>743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2"/>
      <c r="X7" s="42"/>
      <c r="Y7" s="42"/>
      <c r="Z7" s="42"/>
      <c r="AA7" s="43">
        <v>1.9911504424778763</v>
      </c>
      <c r="AB7" s="43">
        <v>1.9911504424778763</v>
      </c>
      <c r="AC7" s="43">
        <v>1.9911504424778763</v>
      </c>
      <c r="AD7" s="43">
        <v>1.9911504424778763</v>
      </c>
      <c r="AE7" s="43">
        <v>1.9911504424778763</v>
      </c>
    </row>
    <row r="8" spans="1:31" ht="15.75">
      <c r="A8" s="9" t="s">
        <v>55</v>
      </c>
      <c r="B8" t="s">
        <v>743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2"/>
      <c r="X8" s="42"/>
      <c r="Y8" s="42"/>
      <c r="Z8" s="42"/>
      <c r="AA8" s="43">
        <v>2</v>
      </c>
      <c r="AB8" s="43">
        <v>2</v>
      </c>
      <c r="AC8" s="43">
        <v>2</v>
      </c>
      <c r="AD8" s="43">
        <v>2</v>
      </c>
      <c r="AE8" s="43">
        <v>2</v>
      </c>
    </row>
    <row r="9" spans="1:31" ht="15.75">
      <c r="A9" s="9" t="s">
        <v>62</v>
      </c>
      <c r="B9" t="s">
        <v>743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2"/>
      <c r="X9" s="42"/>
      <c r="Y9" s="42"/>
      <c r="Z9" s="42"/>
      <c r="AA9" s="43">
        <v>2.9292035398230092</v>
      </c>
      <c r="AB9" s="43">
        <v>2.9292035398230092</v>
      </c>
      <c r="AC9" s="43">
        <v>2.9292035398230092</v>
      </c>
      <c r="AD9" s="43">
        <v>2.9292035398230092</v>
      </c>
      <c r="AE9" s="43">
        <v>2.9292035398230092</v>
      </c>
    </row>
    <row r="10" spans="1:31" ht="15.75">
      <c r="A10" s="9" t="s">
        <v>81</v>
      </c>
      <c r="B10" t="s">
        <v>743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2"/>
      <c r="X10" s="42"/>
      <c r="Y10" s="42"/>
      <c r="Z10" s="42"/>
      <c r="AA10" s="43">
        <v>2.0530973451327434</v>
      </c>
      <c r="AB10" s="43">
        <v>1.7787610619469025</v>
      </c>
      <c r="AC10" s="43">
        <v>1.7787610619469025</v>
      </c>
      <c r="AD10" s="43">
        <v>1.7787610619469025</v>
      </c>
      <c r="AE10" s="43">
        <v>1.7787610619469025</v>
      </c>
    </row>
    <row r="11" spans="1:31" ht="15.75">
      <c r="A11" s="9" t="s">
        <v>92</v>
      </c>
      <c r="B11" t="s">
        <v>743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2"/>
      <c r="X11" s="42"/>
      <c r="Y11" s="42"/>
      <c r="Z11" s="42"/>
      <c r="AA11" s="43">
        <v>2.1681415929203545</v>
      </c>
      <c r="AB11" s="43">
        <v>2.1681415929203545</v>
      </c>
      <c r="AC11" s="43">
        <v>2.1681415929203545</v>
      </c>
      <c r="AD11" s="43">
        <v>2.1681415929203545</v>
      </c>
      <c r="AE11" s="43">
        <v>2.1681415929203545</v>
      </c>
    </row>
    <row r="12" spans="1:31" ht="15.75">
      <c r="A12" s="9" t="s">
        <v>109</v>
      </c>
      <c r="B12" t="s">
        <v>743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2"/>
      <c r="X12" s="42"/>
      <c r="Y12" s="42"/>
      <c r="Z12" s="42"/>
      <c r="AA12" s="43">
        <v>1.2123893805309736</v>
      </c>
      <c r="AB12" s="43">
        <v>1.2123893805309736</v>
      </c>
      <c r="AC12" s="43">
        <v>1.2123893805309736</v>
      </c>
      <c r="AD12" s="43">
        <v>1.2123893805309736</v>
      </c>
      <c r="AE12" s="43">
        <v>1.2123893805309736</v>
      </c>
    </row>
    <row r="13" spans="1:31" ht="15.75">
      <c r="A13" s="9" t="s">
        <v>116</v>
      </c>
      <c r="B13" t="s">
        <v>743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2"/>
      <c r="X13" s="42"/>
      <c r="Y13" s="42"/>
      <c r="Z13" s="42"/>
      <c r="AA13" s="43">
        <v>2.5309734513274336</v>
      </c>
      <c r="AB13" s="43">
        <v>2.5309734513274336</v>
      </c>
      <c r="AC13" s="43">
        <v>2.5309734513274336</v>
      </c>
      <c r="AD13" s="43">
        <v>2.5309734513274336</v>
      </c>
      <c r="AE13" s="43">
        <v>2.5309734513274336</v>
      </c>
    </row>
    <row r="14" spans="1:31" ht="15.75">
      <c r="A14" s="9" t="s">
        <v>136</v>
      </c>
      <c r="B14" t="s">
        <v>743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2"/>
      <c r="X14" s="42"/>
      <c r="Y14" s="42"/>
      <c r="Z14" s="42"/>
      <c r="AA14" s="43">
        <v>2.8938053097345136</v>
      </c>
      <c r="AB14" s="43">
        <v>2.7699115044247788</v>
      </c>
      <c r="AC14" s="43">
        <v>2.7699115044247788</v>
      </c>
      <c r="AD14" s="43">
        <v>2.7699115044247788</v>
      </c>
      <c r="AE14" s="43">
        <v>2.7699115044247788</v>
      </c>
    </row>
    <row r="15" spans="1:31" ht="15.75">
      <c r="A15" s="9" t="s">
        <v>147</v>
      </c>
      <c r="B15" t="s">
        <v>743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2"/>
      <c r="X15" s="42"/>
      <c r="Y15" s="42"/>
      <c r="Z15" s="42"/>
      <c r="AA15" s="43">
        <v>2.2389380530973453</v>
      </c>
      <c r="AB15" s="43">
        <v>2.2389380530973453</v>
      </c>
      <c r="AC15" s="43">
        <v>2.2389380530973453</v>
      </c>
      <c r="AD15" s="43">
        <v>2.2389380530973453</v>
      </c>
      <c r="AE15" s="43">
        <v>2.2389380530973453</v>
      </c>
    </row>
    <row r="16" spans="1:31" ht="15.75">
      <c r="A16" s="9" t="s">
        <v>191</v>
      </c>
      <c r="B16" t="s">
        <v>743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2"/>
      <c r="X16" s="42"/>
      <c r="Y16" s="42"/>
      <c r="Z16" s="42"/>
      <c r="AA16" s="43">
        <v>2.6548672566371683</v>
      </c>
      <c r="AB16" s="43">
        <v>2.5044247787610621</v>
      </c>
      <c r="AC16" s="43">
        <v>2.5044247787610621</v>
      </c>
      <c r="AD16" s="43">
        <v>2.5044247787610621</v>
      </c>
      <c r="AE16" s="43">
        <v>2.5044247787610621</v>
      </c>
    </row>
    <row r="17" spans="1:31" ht="15.75">
      <c r="A17" s="9" t="s">
        <v>208</v>
      </c>
      <c r="B17" t="s">
        <v>743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2"/>
      <c r="X17" s="42"/>
      <c r="Y17" s="42"/>
      <c r="Z17" s="42"/>
      <c r="AA17" s="43">
        <v>2.1238938053097347</v>
      </c>
      <c r="AB17" s="43">
        <v>2.1238938053097347</v>
      </c>
      <c r="AC17" s="43">
        <v>2.1238938053097347</v>
      </c>
      <c r="AD17" s="43">
        <v>2.1238938053097347</v>
      </c>
      <c r="AE17" s="43">
        <v>2.1238938053097347</v>
      </c>
    </row>
    <row r="18" spans="1:31" ht="15.75">
      <c r="A18" s="9" t="s">
        <v>238</v>
      </c>
      <c r="B18" t="s">
        <v>743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2"/>
      <c r="X18" s="42"/>
      <c r="Y18" s="42"/>
      <c r="Z18" s="42"/>
      <c r="AA18" s="43">
        <v>1.4424778761061947</v>
      </c>
      <c r="AB18" s="43">
        <v>1.4424778761061947</v>
      </c>
      <c r="AC18" s="43">
        <v>1.4424778761061947</v>
      </c>
      <c r="AD18" s="43">
        <v>1.4424778761061947</v>
      </c>
      <c r="AE18" s="43">
        <v>1.4424778761061947</v>
      </c>
    </row>
    <row r="19" spans="1:31" ht="15.75">
      <c r="A19" s="9" t="s">
        <v>246</v>
      </c>
      <c r="B19" t="s">
        <v>743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2"/>
      <c r="X19" s="42"/>
      <c r="Y19" s="42"/>
      <c r="Z19" s="42"/>
      <c r="AA19" s="43">
        <v>1.7168141592920354</v>
      </c>
      <c r="AB19" s="43">
        <v>1.7168141592920354</v>
      </c>
      <c r="AC19" s="43">
        <v>1.7168141592920354</v>
      </c>
      <c r="AD19" s="43">
        <v>1.7168141592920354</v>
      </c>
      <c r="AE19" s="43">
        <v>1.7168141592920354</v>
      </c>
    </row>
    <row r="20" spans="1:31" ht="15.75">
      <c r="A20" s="9" t="s">
        <v>380</v>
      </c>
      <c r="B20" t="s">
        <v>743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2"/>
      <c r="X20" s="42"/>
      <c r="Y20" s="42"/>
      <c r="Z20" s="42"/>
      <c r="AA20" s="43">
        <v>2.610619469026549</v>
      </c>
      <c r="AB20" s="43">
        <v>2.610619469026549</v>
      </c>
      <c r="AC20" s="43">
        <v>2.610619469026549</v>
      </c>
      <c r="AD20" s="43">
        <v>2.610619469026549</v>
      </c>
      <c r="AE20" s="43">
        <v>2.610619469026549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selection activeCell="L15" sqref="L15"/>
    </sheetView>
  </sheetViews>
  <sheetFormatPr defaultRowHeight="15"/>
  <sheetData>
    <row r="1" spans="1:33" ht="18.75">
      <c r="A1" s="40" t="s">
        <v>744</v>
      </c>
      <c r="B1" s="40" t="s">
        <v>745</v>
      </c>
      <c r="C1" s="40" t="s">
        <v>746</v>
      </c>
      <c r="D1" s="12" t="s">
        <v>646</v>
      </c>
      <c r="E1" s="12" t="s">
        <v>647</v>
      </c>
      <c r="F1" s="12" t="s">
        <v>648</v>
      </c>
      <c r="G1" s="12" t="s">
        <v>649</v>
      </c>
      <c r="H1" s="12" t="s">
        <v>650</v>
      </c>
      <c r="I1" s="12" t="s">
        <v>651</v>
      </c>
      <c r="J1" s="12" t="s">
        <v>652</v>
      </c>
      <c r="K1" s="12" t="s">
        <v>653</v>
      </c>
      <c r="L1" s="12" t="s">
        <v>654</v>
      </c>
      <c r="M1" s="12" t="s">
        <v>655</v>
      </c>
      <c r="N1" s="12" t="s">
        <v>656</v>
      </c>
      <c r="O1" s="12" t="s">
        <v>657</v>
      </c>
      <c r="P1" s="12" t="s">
        <v>658</v>
      </c>
      <c r="Q1" s="12" t="s">
        <v>659</v>
      </c>
      <c r="R1" s="12" t="s">
        <v>660</v>
      </c>
      <c r="S1" s="12" t="s">
        <v>661</v>
      </c>
      <c r="T1" s="12" t="s">
        <v>662</v>
      </c>
      <c r="U1" s="12" t="s">
        <v>663</v>
      </c>
      <c r="V1" s="12" t="s">
        <v>664</v>
      </c>
      <c r="W1" s="12" t="s">
        <v>665</v>
      </c>
      <c r="X1" s="12" t="s">
        <v>666</v>
      </c>
      <c r="Y1" s="12" t="s">
        <v>667</v>
      </c>
      <c r="Z1" s="12" t="s">
        <v>668</v>
      </c>
      <c r="AA1" s="12" t="s">
        <v>669</v>
      </c>
      <c r="AB1" s="12" t="s">
        <v>670</v>
      </c>
      <c r="AC1" s="12" t="s">
        <v>671</v>
      </c>
      <c r="AD1" s="12" t="s">
        <v>672</v>
      </c>
      <c r="AE1" s="12" t="s">
        <v>673</v>
      </c>
      <c r="AF1" s="12" t="s">
        <v>674</v>
      </c>
      <c r="AG1" s="13" t="s">
        <v>742</v>
      </c>
    </row>
    <row r="2" spans="1:33" ht="15.75">
      <c r="A2" s="42">
        <v>78000</v>
      </c>
      <c r="B2" s="9" t="s">
        <v>21</v>
      </c>
      <c r="C2" s="44">
        <v>0.15</v>
      </c>
      <c r="D2" t="s">
        <v>747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10">
        <v>54652</v>
      </c>
      <c r="V2" s="45">
        <f>U2</f>
        <v>54652</v>
      </c>
      <c r="W2" s="45">
        <f>V2</f>
        <v>54652</v>
      </c>
      <c r="X2" s="45">
        <f>W2</f>
        <v>54652</v>
      </c>
      <c r="Y2" s="10">
        <v>60372</v>
      </c>
      <c r="Z2" s="45">
        <f>Y2</f>
        <v>60372</v>
      </c>
      <c r="AA2" s="45">
        <f>Z2</f>
        <v>60372</v>
      </c>
      <c r="AB2" s="45">
        <f>AA2</f>
        <v>60372</v>
      </c>
      <c r="AC2" s="10">
        <f>AB2*110%</f>
        <v>66409.200000000012</v>
      </c>
      <c r="AD2" s="45">
        <f>AC2</f>
        <v>66409.200000000012</v>
      </c>
      <c r="AE2" s="45">
        <f>AD2</f>
        <v>66409.200000000012</v>
      </c>
      <c r="AF2" s="45">
        <f>AE2</f>
        <v>66409.200000000012</v>
      </c>
      <c r="AG2" s="45">
        <f>AF2</f>
        <v>66409.200000000012</v>
      </c>
    </row>
    <row r="3" spans="1:33" ht="15.75">
      <c r="A3" s="42">
        <v>90000</v>
      </c>
      <c r="B3" s="9" t="s">
        <v>30</v>
      </c>
      <c r="C3" s="44">
        <v>0.15</v>
      </c>
      <c r="D3" t="s">
        <v>747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10">
        <v>60656</v>
      </c>
      <c r="V3" s="45">
        <f t="shared" ref="V3:X18" si="0">U3</f>
        <v>60656</v>
      </c>
      <c r="W3" s="45">
        <f t="shared" si="0"/>
        <v>60656</v>
      </c>
      <c r="X3" s="45">
        <f t="shared" si="0"/>
        <v>60656</v>
      </c>
      <c r="Y3" s="10">
        <v>69880</v>
      </c>
      <c r="Z3" s="45">
        <f t="shared" ref="Z3:AB18" si="1">Y3</f>
        <v>69880</v>
      </c>
      <c r="AA3" s="45">
        <f t="shared" si="1"/>
        <v>69880</v>
      </c>
      <c r="AB3" s="45">
        <f t="shared" si="1"/>
        <v>69880</v>
      </c>
      <c r="AC3" s="10">
        <f t="shared" ref="AC3:AC20" si="2">AB3*110%</f>
        <v>76868</v>
      </c>
      <c r="AD3" s="45">
        <f t="shared" ref="AD3:AG20" si="3">AC3</f>
        <v>76868</v>
      </c>
      <c r="AE3" s="45">
        <f t="shared" si="3"/>
        <v>76868</v>
      </c>
      <c r="AF3" s="45">
        <f t="shared" si="3"/>
        <v>76868</v>
      </c>
      <c r="AG3" s="45">
        <f t="shared" si="3"/>
        <v>76868</v>
      </c>
    </row>
    <row r="4" spans="1:33" ht="15.75">
      <c r="A4" s="42">
        <v>90000</v>
      </c>
      <c r="B4" s="9" t="s">
        <v>36</v>
      </c>
      <c r="C4" s="44">
        <v>0.15</v>
      </c>
      <c r="D4" t="s">
        <v>747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10">
        <v>60148</v>
      </c>
      <c r="V4" s="45">
        <f t="shared" si="0"/>
        <v>60148</v>
      </c>
      <c r="W4" s="45">
        <f t="shared" si="0"/>
        <v>60148</v>
      </c>
      <c r="X4" s="45">
        <f t="shared" si="0"/>
        <v>60148</v>
      </c>
      <c r="Y4" s="10">
        <v>69812</v>
      </c>
      <c r="Z4" s="45">
        <f t="shared" si="1"/>
        <v>69812</v>
      </c>
      <c r="AA4" s="45">
        <f t="shared" si="1"/>
        <v>69812</v>
      </c>
      <c r="AB4" s="45">
        <f t="shared" si="1"/>
        <v>69812</v>
      </c>
      <c r="AC4" s="10">
        <f t="shared" si="2"/>
        <v>76793.200000000012</v>
      </c>
      <c r="AD4" s="45">
        <f t="shared" si="3"/>
        <v>76793.200000000012</v>
      </c>
      <c r="AE4" s="45">
        <f t="shared" si="3"/>
        <v>76793.200000000012</v>
      </c>
      <c r="AF4" s="45">
        <f t="shared" si="3"/>
        <v>76793.200000000012</v>
      </c>
      <c r="AG4" s="45">
        <f t="shared" si="3"/>
        <v>76793.200000000012</v>
      </c>
    </row>
    <row r="5" spans="1:33" ht="15.75">
      <c r="A5" s="42">
        <v>78000</v>
      </c>
      <c r="B5" s="9" t="s">
        <v>43</v>
      </c>
      <c r="C5" s="44">
        <v>0</v>
      </c>
      <c r="D5" t="s">
        <v>747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10">
        <v>59132</v>
      </c>
      <c r="V5" s="45">
        <f t="shared" si="0"/>
        <v>59132</v>
      </c>
      <c r="W5" s="45">
        <f t="shared" si="0"/>
        <v>59132</v>
      </c>
      <c r="X5" s="45">
        <f t="shared" si="0"/>
        <v>59132</v>
      </c>
      <c r="Y5" s="10">
        <v>68308</v>
      </c>
      <c r="Z5" s="45">
        <f t="shared" si="1"/>
        <v>68308</v>
      </c>
      <c r="AA5" s="45">
        <f t="shared" si="1"/>
        <v>68308</v>
      </c>
      <c r="AB5" s="45">
        <f t="shared" si="1"/>
        <v>68308</v>
      </c>
      <c r="AC5" s="10">
        <f t="shared" si="2"/>
        <v>75138.8</v>
      </c>
      <c r="AD5" s="45">
        <f t="shared" si="3"/>
        <v>75138.8</v>
      </c>
      <c r="AE5" s="45">
        <f t="shared" si="3"/>
        <v>75138.8</v>
      </c>
      <c r="AF5" s="45">
        <f t="shared" si="3"/>
        <v>75138.8</v>
      </c>
      <c r="AG5" s="45">
        <f t="shared" si="3"/>
        <v>75138.8</v>
      </c>
    </row>
    <row r="6" spans="1:33" ht="15.75">
      <c r="A6" s="42">
        <v>66000</v>
      </c>
      <c r="B6" s="9" t="s">
        <v>48</v>
      </c>
      <c r="C6" s="44">
        <v>0</v>
      </c>
      <c r="D6" t="s">
        <v>747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10">
        <v>59388</v>
      </c>
      <c r="V6" s="45">
        <f t="shared" si="0"/>
        <v>59388</v>
      </c>
      <c r="W6" s="45">
        <f t="shared" si="0"/>
        <v>59388</v>
      </c>
      <c r="X6" s="45">
        <f t="shared" si="0"/>
        <v>59388</v>
      </c>
      <c r="Y6" s="10">
        <v>63948</v>
      </c>
      <c r="Z6" s="45">
        <f t="shared" si="1"/>
        <v>63948</v>
      </c>
      <c r="AA6" s="45">
        <f t="shared" si="1"/>
        <v>63948</v>
      </c>
      <c r="AB6" s="45">
        <f t="shared" si="1"/>
        <v>63948</v>
      </c>
      <c r="AC6" s="10">
        <f t="shared" si="2"/>
        <v>70342.8</v>
      </c>
      <c r="AD6" s="45">
        <f t="shared" si="3"/>
        <v>70342.8</v>
      </c>
      <c r="AE6" s="45">
        <f t="shared" si="3"/>
        <v>70342.8</v>
      </c>
      <c r="AF6" s="45">
        <f t="shared" si="3"/>
        <v>70342.8</v>
      </c>
      <c r="AG6" s="45">
        <f t="shared" si="3"/>
        <v>70342.8</v>
      </c>
    </row>
    <row r="7" spans="1:33" ht="15.75">
      <c r="A7" s="42">
        <v>66000</v>
      </c>
      <c r="B7" s="9" t="s">
        <v>51</v>
      </c>
      <c r="C7" s="44">
        <v>0.1</v>
      </c>
      <c r="D7" t="s">
        <v>747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10">
        <v>46856</v>
      </c>
      <c r="V7" s="45">
        <f t="shared" si="0"/>
        <v>46856</v>
      </c>
      <c r="W7" s="45">
        <f t="shared" si="0"/>
        <v>46856</v>
      </c>
      <c r="X7" s="45">
        <f t="shared" si="0"/>
        <v>46856</v>
      </c>
      <c r="Y7" s="10">
        <v>52472</v>
      </c>
      <c r="Z7" s="45">
        <f t="shared" si="1"/>
        <v>52472</v>
      </c>
      <c r="AA7" s="45">
        <f t="shared" si="1"/>
        <v>52472</v>
      </c>
      <c r="AB7" s="45">
        <f t="shared" si="1"/>
        <v>52472</v>
      </c>
      <c r="AC7" s="10">
        <f t="shared" si="2"/>
        <v>57719.200000000004</v>
      </c>
      <c r="AD7" s="45">
        <f t="shared" si="3"/>
        <v>57719.200000000004</v>
      </c>
      <c r="AE7" s="45">
        <f t="shared" si="3"/>
        <v>57719.200000000004</v>
      </c>
      <c r="AF7" s="45">
        <f t="shared" si="3"/>
        <v>57719.200000000004</v>
      </c>
      <c r="AG7" s="45">
        <f t="shared" si="3"/>
        <v>57719.200000000004</v>
      </c>
    </row>
    <row r="8" spans="1:33" ht="15.75">
      <c r="A8" s="42">
        <v>66000</v>
      </c>
      <c r="B8" s="9" t="s">
        <v>55</v>
      </c>
      <c r="C8" s="44">
        <v>0.1</v>
      </c>
      <c r="D8" t="s">
        <v>747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10">
        <v>48876</v>
      </c>
      <c r="V8" s="45">
        <f t="shared" si="0"/>
        <v>48876</v>
      </c>
      <c r="W8" s="45">
        <f t="shared" si="0"/>
        <v>48876</v>
      </c>
      <c r="X8" s="45">
        <f t="shared" si="0"/>
        <v>48876</v>
      </c>
      <c r="Y8" s="10">
        <v>53208</v>
      </c>
      <c r="Z8" s="45">
        <f t="shared" si="1"/>
        <v>53208</v>
      </c>
      <c r="AA8" s="45">
        <f t="shared" si="1"/>
        <v>53208</v>
      </c>
      <c r="AB8" s="45">
        <f t="shared" si="1"/>
        <v>53208</v>
      </c>
      <c r="AC8" s="10">
        <f t="shared" si="2"/>
        <v>58528.800000000003</v>
      </c>
      <c r="AD8" s="45">
        <f t="shared" si="3"/>
        <v>58528.800000000003</v>
      </c>
      <c r="AE8" s="45">
        <f t="shared" si="3"/>
        <v>58528.800000000003</v>
      </c>
      <c r="AF8" s="45">
        <f t="shared" si="3"/>
        <v>58528.800000000003</v>
      </c>
      <c r="AG8" s="45">
        <f t="shared" si="3"/>
        <v>58528.800000000003</v>
      </c>
    </row>
    <row r="9" spans="1:33" ht="15.75">
      <c r="A9" s="42">
        <v>78000</v>
      </c>
      <c r="B9" s="9" t="s">
        <v>62</v>
      </c>
      <c r="C9" s="44">
        <v>0.15</v>
      </c>
      <c r="D9" t="s">
        <v>747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10">
        <v>54032</v>
      </c>
      <c r="V9" s="45">
        <f t="shared" si="0"/>
        <v>54032</v>
      </c>
      <c r="W9" s="45">
        <f t="shared" si="0"/>
        <v>54032</v>
      </c>
      <c r="X9" s="45">
        <f t="shared" si="0"/>
        <v>54032</v>
      </c>
      <c r="Y9" s="10">
        <v>61856</v>
      </c>
      <c r="Z9" s="45">
        <f t="shared" si="1"/>
        <v>61856</v>
      </c>
      <c r="AA9" s="45">
        <f t="shared" si="1"/>
        <v>61856</v>
      </c>
      <c r="AB9" s="45">
        <f t="shared" si="1"/>
        <v>61856</v>
      </c>
      <c r="AC9" s="10">
        <f t="shared" si="2"/>
        <v>68041.600000000006</v>
      </c>
      <c r="AD9" s="45">
        <f t="shared" si="3"/>
        <v>68041.600000000006</v>
      </c>
      <c r="AE9" s="45">
        <f t="shared" si="3"/>
        <v>68041.600000000006</v>
      </c>
      <c r="AF9" s="45">
        <f t="shared" si="3"/>
        <v>68041.600000000006</v>
      </c>
      <c r="AG9" s="45">
        <f t="shared" si="3"/>
        <v>68041.600000000006</v>
      </c>
    </row>
    <row r="10" spans="1:33" ht="15.75">
      <c r="A10" s="42">
        <v>66000</v>
      </c>
      <c r="B10" s="9" t="s">
        <v>81</v>
      </c>
      <c r="C10" s="44">
        <v>-0.1</v>
      </c>
      <c r="D10" t="s">
        <v>747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10">
        <v>65744</v>
      </c>
      <c r="V10" s="45">
        <f t="shared" si="0"/>
        <v>65744</v>
      </c>
      <c r="W10" s="45">
        <f t="shared" si="0"/>
        <v>65744</v>
      </c>
      <c r="X10" s="45">
        <f t="shared" si="0"/>
        <v>65744</v>
      </c>
      <c r="Y10" s="10">
        <v>69464</v>
      </c>
      <c r="Z10" s="45">
        <f t="shared" si="1"/>
        <v>69464</v>
      </c>
      <c r="AA10" s="45">
        <f t="shared" si="1"/>
        <v>69464</v>
      </c>
      <c r="AB10" s="45">
        <f t="shared" si="1"/>
        <v>69464</v>
      </c>
      <c r="AC10" s="10">
        <f t="shared" si="2"/>
        <v>76410.400000000009</v>
      </c>
      <c r="AD10" s="45">
        <f t="shared" si="3"/>
        <v>76410.400000000009</v>
      </c>
      <c r="AE10" s="45">
        <f t="shared" si="3"/>
        <v>76410.400000000009</v>
      </c>
      <c r="AF10" s="45">
        <f t="shared" si="3"/>
        <v>76410.400000000009</v>
      </c>
      <c r="AG10" s="45">
        <f t="shared" si="3"/>
        <v>76410.400000000009</v>
      </c>
    </row>
    <row r="11" spans="1:33" ht="15.75">
      <c r="A11" s="42">
        <v>66000</v>
      </c>
      <c r="B11" s="9" t="s">
        <v>92</v>
      </c>
      <c r="C11" s="44">
        <v>-0.05</v>
      </c>
      <c r="D11" t="s">
        <v>747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10">
        <v>58552</v>
      </c>
      <c r="V11" s="45">
        <f t="shared" si="0"/>
        <v>58552</v>
      </c>
      <c r="W11" s="45">
        <f t="shared" si="0"/>
        <v>58552</v>
      </c>
      <c r="X11" s="45">
        <f t="shared" si="0"/>
        <v>58552</v>
      </c>
      <c r="Y11" s="10">
        <v>64968</v>
      </c>
      <c r="Z11" s="45">
        <f t="shared" si="1"/>
        <v>64968</v>
      </c>
      <c r="AA11" s="45">
        <f t="shared" si="1"/>
        <v>64968</v>
      </c>
      <c r="AB11" s="45">
        <f t="shared" si="1"/>
        <v>64968</v>
      </c>
      <c r="AC11" s="10">
        <f t="shared" si="2"/>
        <v>71464.800000000003</v>
      </c>
      <c r="AD11" s="45">
        <f t="shared" si="3"/>
        <v>71464.800000000003</v>
      </c>
      <c r="AE11" s="45">
        <f t="shared" si="3"/>
        <v>71464.800000000003</v>
      </c>
      <c r="AF11" s="45">
        <f t="shared" si="3"/>
        <v>71464.800000000003</v>
      </c>
      <c r="AG11" s="45">
        <f t="shared" si="3"/>
        <v>71464.800000000003</v>
      </c>
    </row>
    <row r="12" spans="1:33" ht="15.75">
      <c r="A12" s="42">
        <v>90000</v>
      </c>
      <c r="B12" s="9" t="s">
        <v>109</v>
      </c>
      <c r="C12" s="44">
        <v>0.15</v>
      </c>
      <c r="D12" t="s">
        <v>747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10">
        <v>66524</v>
      </c>
      <c r="V12" s="45">
        <f t="shared" si="0"/>
        <v>66524</v>
      </c>
      <c r="W12" s="45">
        <f t="shared" si="0"/>
        <v>66524</v>
      </c>
      <c r="X12" s="45">
        <f t="shared" si="0"/>
        <v>66524</v>
      </c>
      <c r="Y12" s="10">
        <v>71904</v>
      </c>
      <c r="Z12" s="45">
        <f t="shared" si="1"/>
        <v>71904</v>
      </c>
      <c r="AA12" s="45">
        <f t="shared" si="1"/>
        <v>71904</v>
      </c>
      <c r="AB12" s="45">
        <f t="shared" si="1"/>
        <v>71904</v>
      </c>
      <c r="AC12" s="10">
        <f t="shared" si="2"/>
        <v>79094.400000000009</v>
      </c>
      <c r="AD12" s="45">
        <f t="shared" si="3"/>
        <v>79094.400000000009</v>
      </c>
      <c r="AE12" s="45">
        <f t="shared" si="3"/>
        <v>79094.400000000009</v>
      </c>
      <c r="AF12" s="45">
        <f t="shared" si="3"/>
        <v>79094.400000000009</v>
      </c>
      <c r="AG12" s="45">
        <f t="shared" si="3"/>
        <v>79094.400000000009</v>
      </c>
    </row>
    <row r="13" spans="1:33" ht="15.75">
      <c r="A13" s="42">
        <v>66000</v>
      </c>
      <c r="B13" s="9" t="s">
        <v>116</v>
      </c>
      <c r="C13" s="44">
        <v>-0.1</v>
      </c>
      <c r="D13" t="s">
        <v>747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10">
        <v>59132</v>
      </c>
      <c r="V13" s="45">
        <f t="shared" si="0"/>
        <v>59132</v>
      </c>
      <c r="W13" s="45">
        <f t="shared" si="0"/>
        <v>59132</v>
      </c>
      <c r="X13" s="45">
        <f t="shared" si="0"/>
        <v>59132</v>
      </c>
      <c r="Y13" s="10">
        <v>64880</v>
      </c>
      <c r="Z13" s="45">
        <f t="shared" si="1"/>
        <v>64880</v>
      </c>
      <c r="AA13" s="45">
        <f t="shared" si="1"/>
        <v>64880</v>
      </c>
      <c r="AB13" s="45">
        <f t="shared" si="1"/>
        <v>64880</v>
      </c>
      <c r="AC13" s="10">
        <f t="shared" si="2"/>
        <v>71368</v>
      </c>
      <c r="AD13" s="45">
        <f t="shared" si="3"/>
        <v>71368</v>
      </c>
      <c r="AE13" s="45">
        <f t="shared" si="3"/>
        <v>71368</v>
      </c>
      <c r="AF13" s="45">
        <f t="shared" si="3"/>
        <v>71368</v>
      </c>
      <c r="AG13" s="45">
        <f t="shared" si="3"/>
        <v>71368</v>
      </c>
    </row>
    <row r="14" spans="1:33" ht="15.75">
      <c r="A14" s="42">
        <v>78000</v>
      </c>
      <c r="B14" s="9" t="s">
        <v>136</v>
      </c>
      <c r="C14" s="44">
        <v>-0.05</v>
      </c>
      <c r="D14" t="s">
        <v>747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10">
        <v>61456</v>
      </c>
      <c r="V14" s="45">
        <f t="shared" si="0"/>
        <v>61456</v>
      </c>
      <c r="W14" s="45">
        <f t="shared" si="0"/>
        <v>61456</v>
      </c>
      <c r="X14" s="45">
        <f t="shared" si="0"/>
        <v>61456</v>
      </c>
      <c r="Y14" s="10">
        <v>74068</v>
      </c>
      <c r="Z14" s="45">
        <f t="shared" si="1"/>
        <v>74068</v>
      </c>
      <c r="AA14" s="45">
        <f t="shared" si="1"/>
        <v>74068</v>
      </c>
      <c r="AB14" s="45">
        <f t="shared" si="1"/>
        <v>74068</v>
      </c>
      <c r="AC14" s="10">
        <f t="shared" si="2"/>
        <v>81474.8</v>
      </c>
      <c r="AD14" s="45">
        <f t="shared" si="3"/>
        <v>81474.8</v>
      </c>
      <c r="AE14" s="45">
        <f t="shared" si="3"/>
        <v>81474.8</v>
      </c>
      <c r="AF14" s="45">
        <f t="shared" si="3"/>
        <v>81474.8</v>
      </c>
      <c r="AG14" s="45">
        <f t="shared" si="3"/>
        <v>81474.8</v>
      </c>
    </row>
    <row r="15" spans="1:33" ht="15.75">
      <c r="A15" s="42">
        <v>66000</v>
      </c>
      <c r="B15" s="9" t="s">
        <v>147</v>
      </c>
      <c r="C15" s="44">
        <v>-0.1</v>
      </c>
      <c r="D15" t="s">
        <v>747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10">
        <v>58212</v>
      </c>
      <c r="V15" s="45">
        <f t="shared" si="0"/>
        <v>58212</v>
      </c>
      <c r="W15" s="45">
        <f t="shared" si="0"/>
        <v>58212</v>
      </c>
      <c r="X15" s="45">
        <f t="shared" si="0"/>
        <v>58212</v>
      </c>
      <c r="Y15" s="10">
        <v>66092</v>
      </c>
      <c r="Z15" s="45">
        <f t="shared" si="1"/>
        <v>66092</v>
      </c>
      <c r="AA15" s="45">
        <f t="shared" si="1"/>
        <v>66092</v>
      </c>
      <c r="AB15" s="45">
        <f t="shared" si="1"/>
        <v>66092</v>
      </c>
      <c r="AC15" s="10">
        <f t="shared" si="2"/>
        <v>72701.200000000012</v>
      </c>
      <c r="AD15" s="45">
        <f t="shared" si="3"/>
        <v>72701.200000000012</v>
      </c>
      <c r="AE15" s="45">
        <f t="shared" si="3"/>
        <v>72701.200000000012</v>
      </c>
      <c r="AF15" s="45">
        <f t="shared" si="3"/>
        <v>72701.200000000012</v>
      </c>
      <c r="AG15" s="45">
        <f t="shared" si="3"/>
        <v>72701.200000000012</v>
      </c>
    </row>
    <row r="16" spans="1:33" ht="15.75">
      <c r="A16" s="42">
        <v>78000</v>
      </c>
      <c r="B16" s="9" t="s">
        <v>191</v>
      </c>
      <c r="C16" s="44">
        <v>-0.1</v>
      </c>
      <c r="D16" t="s">
        <v>747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10">
        <v>57340</v>
      </c>
      <c r="V16" s="45">
        <f t="shared" si="0"/>
        <v>57340</v>
      </c>
      <c r="W16" s="45">
        <f t="shared" si="0"/>
        <v>57340</v>
      </c>
      <c r="X16" s="45">
        <f t="shared" si="0"/>
        <v>57340</v>
      </c>
      <c r="Y16" s="10">
        <v>63244</v>
      </c>
      <c r="Z16" s="45">
        <f t="shared" si="1"/>
        <v>63244</v>
      </c>
      <c r="AA16" s="45">
        <f t="shared" si="1"/>
        <v>63244</v>
      </c>
      <c r="AB16" s="45">
        <f t="shared" si="1"/>
        <v>63244</v>
      </c>
      <c r="AC16" s="10">
        <f t="shared" si="2"/>
        <v>69568.400000000009</v>
      </c>
      <c r="AD16" s="45">
        <f t="shared" si="3"/>
        <v>69568.400000000009</v>
      </c>
      <c r="AE16" s="45">
        <f t="shared" si="3"/>
        <v>69568.400000000009</v>
      </c>
      <c r="AF16" s="45">
        <f t="shared" si="3"/>
        <v>69568.400000000009</v>
      </c>
      <c r="AG16" s="45">
        <f t="shared" si="3"/>
        <v>69568.400000000009</v>
      </c>
    </row>
    <row r="17" spans="1:33" ht="15.75">
      <c r="A17" s="42">
        <v>66000</v>
      </c>
      <c r="B17" s="9" t="s">
        <v>208</v>
      </c>
      <c r="C17" s="44">
        <v>-0.08</v>
      </c>
      <c r="D17" t="s">
        <v>747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10">
        <v>58480</v>
      </c>
      <c r="V17" s="45">
        <f t="shared" si="0"/>
        <v>58480</v>
      </c>
      <c r="W17" s="45">
        <f t="shared" si="0"/>
        <v>58480</v>
      </c>
      <c r="X17" s="45">
        <f t="shared" si="0"/>
        <v>58480</v>
      </c>
      <c r="Y17" s="10">
        <v>65360</v>
      </c>
      <c r="Z17" s="45">
        <f t="shared" si="1"/>
        <v>65360</v>
      </c>
      <c r="AA17" s="45">
        <f t="shared" si="1"/>
        <v>65360</v>
      </c>
      <c r="AB17" s="45">
        <f t="shared" si="1"/>
        <v>65360</v>
      </c>
      <c r="AC17" s="10">
        <f t="shared" si="2"/>
        <v>71896</v>
      </c>
      <c r="AD17" s="45">
        <f t="shared" si="3"/>
        <v>71896</v>
      </c>
      <c r="AE17" s="45">
        <f t="shared" si="3"/>
        <v>71896</v>
      </c>
      <c r="AF17" s="45">
        <f t="shared" si="3"/>
        <v>71896</v>
      </c>
      <c r="AG17" s="45">
        <f t="shared" si="3"/>
        <v>71896</v>
      </c>
    </row>
    <row r="18" spans="1:33" ht="15.75">
      <c r="A18" s="42">
        <v>66000</v>
      </c>
      <c r="B18" s="9" t="s">
        <v>238</v>
      </c>
      <c r="C18" s="44">
        <v>0</v>
      </c>
      <c r="D18" t="s">
        <v>747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10">
        <v>56272</v>
      </c>
      <c r="V18" s="45">
        <f t="shared" si="0"/>
        <v>56272</v>
      </c>
      <c r="W18" s="45">
        <f t="shared" si="0"/>
        <v>56272</v>
      </c>
      <c r="X18" s="45">
        <f t="shared" si="0"/>
        <v>56272</v>
      </c>
      <c r="Y18" s="10">
        <v>62084</v>
      </c>
      <c r="Z18" s="45">
        <f t="shared" si="1"/>
        <v>62084</v>
      </c>
      <c r="AA18" s="45">
        <f t="shared" si="1"/>
        <v>62084</v>
      </c>
      <c r="AB18" s="45">
        <f t="shared" si="1"/>
        <v>62084</v>
      </c>
      <c r="AC18" s="10">
        <f t="shared" si="2"/>
        <v>68292.400000000009</v>
      </c>
      <c r="AD18" s="45">
        <f t="shared" si="3"/>
        <v>68292.400000000009</v>
      </c>
      <c r="AE18" s="45">
        <f t="shared" si="3"/>
        <v>68292.400000000009</v>
      </c>
      <c r="AF18" s="45">
        <f t="shared" si="3"/>
        <v>68292.400000000009</v>
      </c>
      <c r="AG18" s="45">
        <f t="shared" si="3"/>
        <v>68292.400000000009</v>
      </c>
    </row>
    <row r="19" spans="1:33" ht="15.75">
      <c r="A19" s="42">
        <v>78000</v>
      </c>
      <c r="B19" s="9" t="s">
        <v>246</v>
      </c>
      <c r="C19" s="44">
        <v>0.05</v>
      </c>
      <c r="D19" t="s">
        <v>747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10">
        <v>59944</v>
      </c>
      <c r="V19" s="45">
        <f t="shared" ref="V19:X20" si="4">U19</f>
        <v>59944</v>
      </c>
      <c r="W19" s="45">
        <f t="shared" si="4"/>
        <v>59944</v>
      </c>
      <c r="X19" s="45">
        <f t="shared" si="4"/>
        <v>59944</v>
      </c>
      <c r="Y19" s="10">
        <v>66488</v>
      </c>
      <c r="Z19" s="45">
        <f t="shared" ref="Z19:AB20" si="5">Y19</f>
        <v>66488</v>
      </c>
      <c r="AA19" s="45">
        <f t="shared" si="5"/>
        <v>66488</v>
      </c>
      <c r="AB19" s="45">
        <f t="shared" si="5"/>
        <v>66488</v>
      </c>
      <c r="AC19" s="10">
        <f t="shared" si="2"/>
        <v>73136.800000000003</v>
      </c>
      <c r="AD19" s="45">
        <f t="shared" si="3"/>
        <v>73136.800000000003</v>
      </c>
      <c r="AE19" s="45">
        <f t="shared" si="3"/>
        <v>73136.800000000003</v>
      </c>
      <c r="AF19" s="45">
        <f t="shared" si="3"/>
        <v>73136.800000000003</v>
      </c>
      <c r="AG19" s="45">
        <f t="shared" si="3"/>
        <v>73136.800000000003</v>
      </c>
    </row>
    <row r="20" spans="1:33" ht="15.75">
      <c r="A20" s="42">
        <v>78000</v>
      </c>
      <c r="B20" s="9" t="s">
        <v>380</v>
      </c>
      <c r="C20" s="44">
        <v>0</v>
      </c>
      <c r="D20" t="s">
        <v>747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10">
        <v>61816</v>
      </c>
      <c r="V20" s="45">
        <f t="shared" si="4"/>
        <v>61816</v>
      </c>
      <c r="W20" s="45">
        <f t="shared" si="4"/>
        <v>61816</v>
      </c>
      <c r="X20" s="45">
        <f t="shared" si="4"/>
        <v>61816</v>
      </c>
      <c r="Y20" s="10">
        <v>69252</v>
      </c>
      <c r="Z20" s="45">
        <f t="shared" si="5"/>
        <v>69252</v>
      </c>
      <c r="AA20" s="45">
        <f t="shared" si="5"/>
        <v>69252</v>
      </c>
      <c r="AB20" s="45">
        <f t="shared" si="5"/>
        <v>69252</v>
      </c>
      <c r="AC20" s="10">
        <f t="shared" si="2"/>
        <v>76177.200000000012</v>
      </c>
      <c r="AD20" s="45">
        <f t="shared" si="3"/>
        <v>76177.200000000012</v>
      </c>
      <c r="AE20" s="45">
        <f t="shared" si="3"/>
        <v>76177.200000000012</v>
      </c>
      <c r="AF20" s="45">
        <f t="shared" si="3"/>
        <v>76177.200000000012</v>
      </c>
      <c r="AG20" s="45">
        <f t="shared" si="3"/>
        <v>76177.200000000012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"/>
  <sheetViews>
    <sheetView workbookViewId="0">
      <selection activeCell="L12" sqref="L12"/>
    </sheetView>
  </sheetViews>
  <sheetFormatPr defaultRowHeight="15"/>
  <sheetData>
    <row r="1" spans="1:32" ht="18.75">
      <c r="A1" s="15" t="s">
        <v>7</v>
      </c>
      <c r="B1" s="15" t="s">
        <v>15</v>
      </c>
      <c r="C1" s="12" t="s">
        <v>646</v>
      </c>
      <c r="D1" s="12" t="s">
        <v>647</v>
      </c>
      <c r="E1" s="12" t="s">
        <v>648</v>
      </c>
      <c r="F1" s="12" t="s">
        <v>649</v>
      </c>
      <c r="G1" s="12" t="s">
        <v>650</v>
      </c>
      <c r="H1" s="12" t="s">
        <v>651</v>
      </c>
      <c r="I1" s="12" t="s">
        <v>652</v>
      </c>
      <c r="J1" s="12" t="s">
        <v>653</v>
      </c>
      <c r="K1" s="12" t="s">
        <v>654</v>
      </c>
      <c r="L1" s="12" t="s">
        <v>655</v>
      </c>
      <c r="M1" s="12" t="s">
        <v>656</v>
      </c>
      <c r="N1" s="12" t="s">
        <v>657</v>
      </c>
      <c r="O1" s="12" t="s">
        <v>658</v>
      </c>
      <c r="P1" s="12" t="s">
        <v>659</v>
      </c>
      <c r="Q1" s="12" t="s">
        <v>660</v>
      </c>
      <c r="R1" s="12" t="s">
        <v>661</v>
      </c>
      <c r="S1" s="12" t="s">
        <v>662</v>
      </c>
      <c r="T1" s="12" t="s">
        <v>663</v>
      </c>
      <c r="U1" s="12" t="s">
        <v>664</v>
      </c>
      <c r="V1" s="12" t="s">
        <v>665</v>
      </c>
      <c r="W1" s="12" t="s">
        <v>666</v>
      </c>
      <c r="X1" s="12" t="s">
        <v>667</v>
      </c>
      <c r="Y1" s="12" t="s">
        <v>668</v>
      </c>
      <c r="Z1" s="12" t="s">
        <v>669</v>
      </c>
      <c r="AA1" s="12" t="s">
        <v>670</v>
      </c>
      <c r="AB1" s="12" t="s">
        <v>671</v>
      </c>
      <c r="AC1" s="12" t="s">
        <v>672</v>
      </c>
      <c r="AD1" s="12" t="s">
        <v>673</v>
      </c>
      <c r="AE1" s="12" t="s">
        <v>674</v>
      </c>
      <c r="AF1" s="13" t="s">
        <v>0</v>
      </c>
    </row>
    <row r="2" spans="1:32" ht="15.75">
      <c r="A2" s="16" t="s">
        <v>410</v>
      </c>
      <c r="B2" s="17" t="s">
        <v>616</v>
      </c>
      <c r="C2" s="18" t="s">
        <v>675</v>
      </c>
      <c r="D2" s="21">
        <v>1.008</v>
      </c>
      <c r="E2" s="21">
        <v>1.0209999999999999</v>
      </c>
      <c r="F2" s="21">
        <v>1.0389999999999999</v>
      </c>
      <c r="G2" s="21">
        <v>1.0640000000000001</v>
      </c>
      <c r="H2" s="21">
        <v>1.1120000000000001</v>
      </c>
      <c r="I2" s="21">
        <v>1.0880000000000001</v>
      </c>
      <c r="J2" s="21">
        <v>1.087</v>
      </c>
      <c r="K2" s="21">
        <v>1.1519999999999999</v>
      </c>
      <c r="L2" s="21">
        <v>1.2390000000000001</v>
      </c>
      <c r="M2" s="21">
        <v>1.2290000000000001</v>
      </c>
      <c r="N2" s="21">
        <v>1.306</v>
      </c>
      <c r="O2" s="21">
        <v>1.325</v>
      </c>
      <c r="P2" s="21">
        <v>1.3859999999999999</v>
      </c>
      <c r="Q2" s="21">
        <v>1.2882543209876542</v>
      </c>
      <c r="R2" s="22">
        <v>1.3029999999999999</v>
      </c>
      <c r="S2" s="22">
        <v>1.3350097826086955</v>
      </c>
      <c r="T2" s="22">
        <v>1.3238099999999997</v>
      </c>
      <c r="U2" s="22">
        <v>1.3480000000000001</v>
      </c>
      <c r="V2" s="22">
        <v>1.2549999999999999</v>
      </c>
      <c r="W2" s="22">
        <v>1.27033152173913</v>
      </c>
      <c r="X2" s="22">
        <v>1.258</v>
      </c>
      <c r="Y2" s="22">
        <v>1.2909999999999999</v>
      </c>
      <c r="Z2" s="22">
        <v>1.3069999999999999</v>
      </c>
      <c r="AA2" s="22">
        <v>1.3160000000000001</v>
      </c>
      <c r="AB2" s="22">
        <v>1.329</v>
      </c>
      <c r="AC2" s="22">
        <v>1.3380000000000001</v>
      </c>
      <c r="AD2" s="22">
        <v>1.32</v>
      </c>
      <c r="AE2" s="23">
        <v>1.32</v>
      </c>
      <c r="AF2" s="23">
        <v>1.32</v>
      </c>
    </row>
    <row r="3" spans="1:32" ht="15.75">
      <c r="A3" s="19" t="s">
        <v>477</v>
      </c>
      <c r="B3" s="17" t="s">
        <v>629</v>
      </c>
      <c r="C3" s="18" t="s">
        <v>676</v>
      </c>
      <c r="D3" s="21">
        <v>1</v>
      </c>
      <c r="E3" s="21">
        <v>1</v>
      </c>
      <c r="F3" s="21">
        <v>1</v>
      </c>
      <c r="G3" s="21">
        <v>1</v>
      </c>
      <c r="H3" s="21">
        <v>1</v>
      </c>
      <c r="I3" s="21">
        <v>1</v>
      </c>
      <c r="J3" s="21">
        <v>1</v>
      </c>
      <c r="K3" s="21">
        <v>1</v>
      </c>
      <c r="L3" s="21">
        <v>1</v>
      </c>
      <c r="M3" s="21">
        <v>1</v>
      </c>
      <c r="N3" s="21">
        <v>1</v>
      </c>
      <c r="O3" s="21">
        <v>1</v>
      </c>
      <c r="P3" s="21">
        <v>1</v>
      </c>
      <c r="Q3" s="21">
        <v>1</v>
      </c>
      <c r="R3" s="22">
        <v>1</v>
      </c>
      <c r="S3" s="22">
        <v>1</v>
      </c>
      <c r="T3" s="22">
        <v>1</v>
      </c>
      <c r="U3" s="22">
        <v>1</v>
      </c>
      <c r="V3" s="22">
        <v>1</v>
      </c>
      <c r="W3" s="22">
        <v>1</v>
      </c>
      <c r="X3" s="22">
        <v>1</v>
      </c>
      <c r="Y3" s="22">
        <v>1</v>
      </c>
      <c r="Z3" s="22">
        <v>1</v>
      </c>
      <c r="AA3" s="22">
        <v>1</v>
      </c>
      <c r="AB3" s="22">
        <v>1</v>
      </c>
      <c r="AC3" s="22">
        <v>1</v>
      </c>
      <c r="AD3" s="22">
        <v>1</v>
      </c>
      <c r="AE3" s="23">
        <v>1</v>
      </c>
      <c r="AF3" s="23">
        <v>1</v>
      </c>
    </row>
    <row r="4" spans="1:32" ht="15.75">
      <c r="A4" s="16" t="s">
        <v>441</v>
      </c>
      <c r="B4" s="17" t="s">
        <v>623</v>
      </c>
      <c r="C4" s="18" t="s">
        <v>677</v>
      </c>
      <c r="D4" s="21">
        <v>5.0129999999999999</v>
      </c>
      <c r="E4" s="21">
        <v>5.2380000000000004</v>
      </c>
      <c r="F4" s="21">
        <v>5.5810000000000004</v>
      </c>
      <c r="G4" s="21">
        <v>6.0659999999999998</v>
      </c>
      <c r="H4" s="21">
        <v>7.5949999999999998</v>
      </c>
      <c r="I4" s="21">
        <v>8.0540000000000003</v>
      </c>
      <c r="J4" s="21">
        <v>8.2919999999999998</v>
      </c>
      <c r="K4" s="21">
        <v>8.5129999999999999</v>
      </c>
      <c r="L4" s="21">
        <v>8.6869999999999994</v>
      </c>
      <c r="M4" s="21">
        <v>8.9580000000000002</v>
      </c>
      <c r="N4" s="21">
        <v>9.2530000000000001</v>
      </c>
      <c r="O4" s="21">
        <v>10.157999999999999</v>
      </c>
      <c r="P4" s="21">
        <v>14.449</v>
      </c>
      <c r="Q4" s="21">
        <v>14.218</v>
      </c>
      <c r="R4" s="22">
        <v>14.943</v>
      </c>
      <c r="S4" s="22">
        <v>15.462</v>
      </c>
      <c r="T4" s="22">
        <v>15.673</v>
      </c>
      <c r="U4" s="22">
        <v>15.737</v>
      </c>
      <c r="V4" s="22">
        <v>17.286000000000001</v>
      </c>
      <c r="W4" s="22">
        <v>17.544</v>
      </c>
      <c r="X4" s="22">
        <v>19.678999999999998</v>
      </c>
      <c r="Y4" s="22">
        <v>23.5</v>
      </c>
      <c r="Z4" s="22">
        <v>31.91</v>
      </c>
      <c r="AA4" s="22">
        <v>37.106999999999999</v>
      </c>
      <c r="AB4" s="22">
        <v>39.006</v>
      </c>
      <c r="AC4" s="22">
        <v>43.91</v>
      </c>
      <c r="AD4" s="22">
        <v>50.345999999999997</v>
      </c>
      <c r="AE4" s="23">
        <v>50.345999999999997</v>
      </c>
      <c r="AF4" s="23">
        <v>50.345999999999997</v>
      </c>
    </row>
    <row r="5" spans="1:32" ht="15.75">
      <c r="A5" s="19" t="s">
        <v>418</v>
      </c>
      <c r="B5" s="17" t="s">
        <v>618</v>
      </c>
      <c r="C5" s="18" t="s">
        <v>678</v>
      </c>
      <c r="D5" s="21">
        <v>1.998</v>
      </c>
      <c r="E5" s="21">
        <v>2.0539999999999998</v>
      </c>
      <c r="F5" s="21">
        <v>2.2879999999999998</v>
      </c>
      <c r="G5" s="21">
        <v>2.347</v>
      </c>
      <c r="H5" s="21">
        <v>2.3410000000000002</v>
      </c>
      <c r="I5" s="21">
        <v>2.2429999999999999</v>
      </c>
      <c r="J5" s="21">
        <v>2.262</v>
      </c>
      <c r="K5" s="21">
        <v>2.548</v>
      </c>
      <c r="L5" s="21">
        <v>2.84</v>
      </c>
      <c r="M5" s="21">
        <v>3.113</v>
      </c>
      <c r="N5" s="21">
        <v>3.4940000000000002</v>
      </c>
      <c r="O5" s="21">
        <v>3.8279999999999998</v>
      </c>
      <c r="P5" s="21">
        <v>3.9540000000000002</v>
      </c>
      <c r="Q5" s="21">
        <v>3.524</v>
      </c>
      <c r="R5" s="22">
        <v>3.2469999999999999</v>
      </c>
      <c r="S5" s="22">
        <v>3.2970000000000002</v>
      </c>
      <c r="T5" s="22">
        <v>3.1429999999999998</v>
      </c>
      <c r="U5" s="22">
        <v>3.202</v>
      </c>
      <c r="V5" s="22">
        <v>3.1640000000000001</v>
      </c>
      <c r="W5" s="22">
        <v>3.2509999999999999</v>
      </c>
      <c r="X5" s="22">
        <v>3.2330000000000001</v>
      </c>
      <c r="Y5" s="22">
        <v>3.6059999999999999</v>
      </c>
      <c r="Z5" s="22">
        <v>3.9409999999999998</v>
      </c>
      <c r="AA5" s="22">
        <v>3.7970000000000002</v>
      </c>
      <c r="AB5" s="22">
        <v>3.77</v>
      </c>
      <c r="AC5" s="22">
        <v>3.9209999999999998</v>
      </c>
      <c r="AD5" s="22">
        <v>3.972</v>
      </c>
      <c r="AE5" s="23">
        <v>3.972</v>
      </c>
      <c r="AF5" s="23">
        <v>3.972</v>
      </c>
    </row>
    <row r="6" spans="1:32" ht="15.75">
      <c r="A6" s="16" t="s">
        <v>541</v>
      </c>
      <c r="B6" s="17" t="s">
        <v>620</v>
      </c>
      <c r="C6" s="18" t="s">
        <v>679</v>
      </c>
      <c r="D6" s="21">
        <v>0.75780000000000003</v>
      </c>
      <c r="E6" s="21">
        <v>0.76559999999999995</v>
      </c>
      <c r="F6" s="21">
        <v>0.75460000000000005</v>
      </c>
      <c r="G6" s="21">
        <v>0.73450000000000004</v>
      </c>
      <c r="H6" s="21">
        <v>0.7298</v>
      </c>
      <c r="I6" s="21">
        <v>0.72909999999999997</v>
      </c>
      <c r="J6" s="21">
        <v>0.75490000000000002</v>
      </c>
      <c r="K6" s="21">
        <v>0.80089999999999995</v>
      </c>
      <c r="L6" s="21">
        <v>0.88849999999999996</v>
      </c>
      <c r="M6" s="21">
        <v>0.90380000000000005</v>
      </c>
      <c r="N6" s="21">
        <v>0.89900000000000002</v>
      </c>
      <c r="O6" s="21">
        <v>0.91349999999999998</v>
      </c>
      <c r="P6" s="21">
        <v>0.90590000000000004</v>
      </c>
      <c r="Q6" s="21">
        <v>0.88560000000000005</v>
      </c>
      <c r="R6" s="22">
        <v>0.89590000000000003</v>
      </c>
      <c r="S6" s="22">
        <v>0.92820000000000003</v>
      </c>
      <c r="T6" s="22">
        <v>0.93869999999999998</v>
      </c>
      <c r="U6" s="22">
        <v>0.90839999999999999</v>
      </c>
      <c r="V6" s="22">
        <v>0.85099999999999998</v>
      </c>
      <c r="W6" s="22">
        <v>0.84909999999999997</v>
      </c>
      <c r="X6" s="22">
        <v>0.81399999999999995</v>
      </c>
      <c r="Y6" s="22">
        <v>0.83960000000000001</v>
      </c>
      <c r="Z6" s="22">
        <v>0.86</v>
      </c>
      <c r="AA6" s="22">
        <v>0.87660000000000005</v>
      </c>
      <c r="AB6" s="22">
        <v>0.88039999999999996</v>
      </c>
      <c r="AC6" s="22">
        <v>0.8901</v>
      </c>
      <c r="AD6" s="22">
        <v>0.89959999999999996</v>
      </c>
      <c r="AE6" s="23">
        <v>0.89959999999999996</v>
      </c>
      <c r="AF6" s="23">
        <v>0.89959999999999996</v>
      </c>
    </row>
    <row r="7" spans="1:32" ht="15.75">
      <c r="A7" s="16" t="s">
        <v>510</v>
      </c>
      <c r="B7" s="17" t="s">
        <v>620</v>
      </c>
      <c r="C7" s="18" t="s">
        <v>679</v>
      </c>
      <c r="D7" s="21">
        <v>0.75780000000000003</v>
      </c>
      <c r="E7" s="21">
        <v>0.76559999999999995</v>
      </c>
      <c r="F7" s="21">
        <v>0.75460000000000005</v>
      </c>
      <c r="G7" s="21">
        <v>0.73450000000000004</v>
      </c>
      <c r="H7" s="21">
        <v>0.7298</v>
      </c>
      <c r="I7" s="21">
        <v>0.72909999999999997</v>
      </c>
      <c r="J7" s="21">
        <v>0.75490000000000002</v>
      </c>
      <c r="K7" s="21">
        <v>0.80089999999999995</v>
      </c>
      <c r="L7" s="21">
        <v>0.88849999999999996</v>
      </c>
      <c r="M7" s="21">
        <v>0.90380000000000005</v>
      </c>
      <c r="N7" s="21">
        <v>0.89900000000000002</v>
      </c>
      <c r="O7" s="21">
        <v>0.91349999999999998</v>
      </c>
      <c r="P7" s="21">
        <v>0.90590000000000004</v>
      </c>
      <c r="Q7" s="21">
        <v>0.88560000000000005</v>
      </c>
      <c r="R7" s="22">
        <v>0.89590000000000003</v>
      </c>
      <c r="S7" s="22">
        <v>0.92820000000000003</v>
      </c>
      <c r="T7" s="22">
        <v>0.93869999999999998</v>
      </c>
      <c r="U7" s="22">
        <v>0.90839999999999999</v>
      </c>
      <c r="V7" s="22">
        <v>0.85099999999999998</v>
      </c>
      <c r="W7" s="22">
        <v>0.84909999999999997</v>
      </c>
      <c r="X7" s="22">
        <v>0.81399999999999995</v>
      </c>
      <c r="Y7" s="22">
        <v>0.83960000000000001</v>
      </c>
      <c r="Z7" s="22">
        <v>0.86</v>
      </c>
      <c r="AA7" s="22">
        <v>0.87660000000000005</v>
      </c>
      <c r="AB7" s="22">
        <v>0.88039999999999996</v>
      </c>
      <c r="AC7" s="22">
        <v>0.8901</v>
      </c>
      <c r="AD7" s="22">
        <v>0.89959999999999996</v>
      </c>
      <c r="AE7" s="23">
        <v>0.89959999999999996</v>
      </c>
      <c r="AF7" s="23">
        <v>0.89959999999999996</v>
      </c>
    </row>
    <row r="8" spans="1:32" ht="15.75">
      <c r="A8" s="16" t="s">
        <v>453</v>
      </c>
      <c r="B8" s="17" t="s">
        <v>620</v>
      </c>
      <c r="C8" s="18" t="s">
        <v>679</v>
      </c>
      <c r="D8" s="21">
        <v>0.75780000000000003</v>
      </c>
      <c r="E8" s="21">
        <v>0.76559999999999995</v>
      </c>
      <c r="F8" s="21">
        <v>0.75460000000000005</v>
      </c>
      <c r="G8" s="21">
        <v>0.73450000000000004</v>
      </c>
      <c r="H8" s="21">
        <v>0.7298</v>
      </c>
      <c r="I8" s="21">
        <v>0.72909999999999997</v>
      </c>
      <c r="J8" s="21">
        <v>0.75490000000000002</v>
      </c>
      <c r="K8" s="21">
        <v>0.80089999999999995</v>
      </c>
      <c r="L8" s="21">
        <v>0.88849999999999996</v>
      </c>
      <c r="M8" s="21">
        <v>0.90380000000000005</v>
      </c>
      <c r="N8" s="21">
        <v>0.89900000000000002</v>
      </c>
      <c r="O8" s="21">
        <v>0.91349999999999998</v>
      </c>
      <c r="P8" s="21">
        <v>0.90590000000000004</v>
      </c>
      <c r="Q8" s="21">
        <v>0.88560000000000005</v>
      </c>
      <c r="R8" s="22">
        <v>0.89590000000000003</v>
      </c>
      <c r="S8" s="22">
        <v>0.92820000000000003</v>
      </c>
      <c r="T8" s="22">
        <v>0.93869999999999998</v>
      </c>
      <c r="U8" s="22">
        <v>0.90839999999999999</v>
      </c>
      <c r="V8" s="22">
        <v>0.85099999999999998</v>
      </c>
      <c r="W8" s="22">
        <v>0.84909999999999997</v>
      </c>
      <c r="X8" s="22">
        <v>0.81399999999999995</v>
      </c>
      <c r="Y8" s="22">
        <v>0.83960000000000001</v>
      </c>
      <c r="Z8" s="22">
        <v>0.86</v>
      </c>
      <c r="AA8" s="22">
        <v>0.87660000000000005</v>
      </c>
      <c r="AB8" s="22">
        <v>0.88039999999999996</v>
      </c>
      <c r="AC8" s="22">
        <v>0.8901</v>
      </c>
      <c r="AD8" s="22">
        <v>0.89959999999999996</v>
      </c>
      <c r="AE8" s="23">
        <v>0.89959999999999996</v>
      </c>
      <c r="AF8" s="23">
        <v>0.89959999999999996</v>
      </c>
    </row>
    <row r="9" spans="1:32" ht="15.75">
      <c r="A9" s="16" t="s">
        <v>524</v>
      </c>
      <c r="B9" s="17" t="s">
        <v>636</v>
      </c>
      <c r="C9" s="18" t="s">
        <v>680</v>
      </c>
      <c r="D9" s="21">
        <v>127.16</v>
      </c>
      <c r="E9" s="21">
        <v>120.499</v>
      </c>
      <c r="F9" s="21">
        <v>121.035</v>
      </c>
      <c r="G9" s="21">
        <v>119.77</v>
      </c>
      <c r="H9" s="21">
        <v>114.268</v>
      </c>
      <c r="I9" s="21">
        <v>112.878</v>
      </c>
      <c r="J9" s="21">
        <v>116.43899999999999</v>
      </c>
      <c r="K9" s="21">
        <v>123.226</v>
      </c>
      <c r="L9" s="21">
        <v>133.53700000000001</v>
      </c>
      <c r="M9" s="21">
        <v>133.43899999999999</v>
      </c>
      <c r="N9" s="21">
        <v>131.274</v>
      </c>
      <c r="O9" s="21">
        <v>129.15799999999999</v>
      </c>
      <c r="P9" s="21">
        <v>128.23500000000001</v>
      </c>
      <c r="Q9" s="21">
        <v>123.604</v>
      </c>
      <c r="R9" s="22">
        <v>118.20099999999999</v>
      </c>
      <c r="S9" s="22">
        <v>113.105</v>
      </c>
      <c r="T9" s="22">
        <v>111.758</v>
      </c>
      <c r="U9" s="22">
        <v>104.56</v>
      </c>
      <c r="V9" s="22">
        <v>105.666</v>
      </c>
      <c r="W9" s="22">
        <v>104.84099999999999</v>
      </c>
      <c r="X9" s="22">
        <v>101.11199999999999</v>
      </c>
      <c r="Y9" s="22">
        <v>103.504</v>
      </c>
      <c r="Z9" s="22">
        <v>108.158</v>
      </c>
      <c r="AA9" s="22">
        <v>120.244</v>
      </c>
      <c r="AB9" s="22">
        <v>119.80800000000001</v>
      </c>
      <c r="AC9" s="22">
        <v>122.684</v>
      </c>
      <c r="AD9" s="22">
        <v>124.441</v>
      </c>
      <c r="AE9" s="23">
        <v>124.441</v>
      </c>
      <c r="AF9" s="23">
        <v>124.441</v>
      </c>
    </row>
    <row r="10" spans="1:32" ht="15.75">
      <c r="A10" s="16" t="s">
        <v>428</v>
      </c>
      <c r="B10" s="17" t="s">
        <v>620</v>
      </c>
      <c r="C10" s="18" t="s">
        <v>679</v>
      </c>
      <c r="D10" s="21">
        <v>0.75780000000000003</v>
      </c>
      <c r="E10" s="21">
        <v>0.76559999999999995</v>
      </c>
      <c r="F10" s="21">
        <v>0.75460000000000005</v>
      </c>
      <c r="G10" s="21">
        <v>0.73450000000000004</v>
      </c>
      <c r="H10" s="21">
        <v>0.7298</v>
      </c>
      <c r="I10" s="21">
        <v>0.72909999999999997</v>
      </c>
      <c r="J10" s="21">
        <v>0.75490000000000002</v>
      </c>
      <c r="K10" s="21">
        <v>0.80089999999999995</v>
      </c>
      <c r="L10" s="21">
        <v>0.88849999999999996</v>
      </c>
      <c r="M10" s="21">
        <v>0.90380000000000005</v>
      </c>
      <c r="N10" s="21">
        <v>0.89900000000000002</v>
      </c>
      <c r="O10" s="21">
        <v>0.91349999999999998</v>
      </c>
      <c r="P10" s="21">
        <v>0.90590000000000004</v>
      </c>
      <c r="Q10" s="21">
        <v>0.88560000000000005</v>
      </c>
      <c r="R10" s="22">
        <v>0.89590000000000003</v>
      </c>
      <c r="S10" s="22">
        <v>0.92820000000000003</v>
      </c>
      <c r="T10" s="22">
        <v>0.93869999999999998</v>
      </c>
      <c r="U10" s="22">
        <v>0.90839999999999999</v>
      </c>
      <c r="V10" s="22">
        <v>0.85099999999999998</v>
      </c>
      <c r="W10" s="22">
        <v>0.84909999999999997</v>
      </c>
      <c r="X10" s="22">
        <v>0.81399999999999995</v>
      </c>
      <c r="Y10" s="22">
        <v>0.83960000000000001</v>
      </c>
      <c r="Z10" s="22">
        <v>0.86</v>
      </c>
      <c r="AA10" s="22">
        <v>0.87660000000000005</v>
      </c>
      <c r="AB10" s="22">
        <v>0.88039999999999996</v>
      </c>
      <c r="AC10" s="22">
        <v>0.8901</v>
      </c>
      <c r="AD10" s="22">
        <v>0.89959999999999996</v>
      </c>
      <c r="AE10" s="23">
        <v>0.89959999999999996</v>
      </c>
      <c r="AF10" s="23">
        <v>0.89959999999999996</v>
      </c>
    </row>
    <row r="11" spans="1:32" ht="15.75">
      <c r="A11" s="16" t="s">
        <v>490</v>
      </c>
      <c r="B11" s="17" t="s">
        <v>632</v>
      </c>
      <c r="C11" s="18" t="s">
        <v>681</v>
      </c>
      <c r="D11" s="21">
        <v>5.6317000000000004</v>
      </c>
      <c r="E11" s="21">
        <v>5.8289</v>
      </c>
      <c r="F11" s="21">
        <v>5.9869000000000003</v>
      </c>
      <c r="G11" s="21">
        <v>6.0570000000000004</v>
      </c>
      <c r="H11" s="21">
        <v>6.0922000000000001</v>
      </c>
      <c r="I11" s="21">
        <v>5.9863999999999997</v>
      </c>
      <c r="J11" s="21">
        <v>6.2474999999999996</v>
      </c>
      <c r="K11" s="21">
        <v>6.8956</v>
      </c>
      <c r="L11" s="21">
        <v>7.7575000000000003</v>
      </c>
      <c r="M11" s="21">
        <v>7.7506000000000004</v>
      </c>
      <c r="N11" s="21">
        <v>8.2203999999999997</v>
      </c>
      <c r="O11" s="21">
        <v>8.5372000000000003</v>
      </c>
      <c r="P11" s="21">
        <v>8.625</v>
      </c>
      <c r="Q11" s="21">
        <v>8.2531999999999996</v>
      </c>
      <c r="R11" s="22">
        <v>8.3233999999999995</v>
      </c>
      <c r="S11" s="22">
        <v>8.3907000000000007</v>
      </c>
      <c r="T11" s="22">
        <v>8.4390999999999998</v>
      </c>
      <c r="U11" s="22">
        <v>8.5153999999999996</v>
      </c>
      <c r="V11" s="22">
        <v>7.9573</v>
      </c>
      <c r="W11" s="22">
        <v>8.1653000000000002</v>
      </c>
      <c r="X11" s="22">
        <v>7.8423999999999996</v>
      </c>
      <c r="Y11" s="22">
        <v>8.0246999999999993</v>
      </c>
      <c r="Z11" s="22">
        <v>8.2408000000000001</v>
      </c>
      <c r="AA11" s="22">
        <v>8.4566999999999997</v>
      </c>
      <c r="AB11" s="22">
        <v>8.5779999999999994</v>
      </c>
      <c r="AC11" s="22">
        <v>8.6478999999999999</v>
      </c>
      <c r="AD11" s="22">
        <v>8.8605</v>
      </c>
      <c r="AE11" s="23">
        <v>8.8605</v>
      </c>
      <c r="AF11" s="23">
        <v>8.8605</v>
      </c>
    </row>
    <row r="12" spans="1:32" ht="15.75">
      <c r="A12" s="16" t="s">
        <v>425</v>
      </c>
      <c r="B12" s="17" t="s">
        <v>620</v>
      </c>
      <c r="C12" s="18" t="s">
        <v>679</v>
      </c>
      <c r="D12" s="21">
        <v>0.75780000000000003</v>
      </c>
      <c r="E12" s="21">
        <v>0.76559999999999995</v>
      </c>
      <c r="F12" s="21">
        <v>0.75460000000000005</v>
      </c>
      <c r="G12" s="21">
        <v>0.73450000000000004</v>
      </c>
      <c r="H12" s="21">
        <v>0.7298</v>
      </c>
      <c r="I12" s="21">
        <v>0.72909999999999997</v>
      </c>
      <c r="J12" s="21">
        <v>0.75490000000000002</v>
      </c>
      <c r="K12" s="21">
        <v>0.80089999999999995</v>
      </c>
      <c r="L12" s="21">
        <v>0.88849999999999996</v>
      </c>
      <c r="M12" s="21">
        <v>0.90380000000000005</v>
      </c>
      <c r="N12" s="21">
        <v>0.89900000000000002</v>
      </c>
      <c r="O12" s="21">
        <v>0.91349999999999998</v>
      </c>
      <c r="P12" s="21">
        <v>0.90590000000000004</v>
      </c>
      <c r="Q12" s="21">
        <v>0.88560000000000005</v>
      </c>
      <c r="R12" s="22">
        <v>0.89590000000000003</v>
      </c>
      <c r="S12" s="22">
        <v>0.92820000000000003</v>
      </c>
      <c r="T12" s="22">
        <v>0.93869999999999998</v>
      </c>
      <c r="U12" s="22">
        <v>0.90839999999999999</v>
      </c>
      <c r="V12" s="22">
        <v>0.85099999999999998</v>
      </c>
      <c r="W12" s="22">
        <v>0.84909999999999997</v>
      </c>
      <c r="X12" s="22">
        <v>0.81399999999999995</v>
      </c>
      <c r="Y12" s="22">
        <v>0.83960000000000001</v>
      </c>
      <c r="Z12" s="22">
        <v>0.86</v>
      </c>
      <c r="AA12" s="22">
        <v>0.87660000000000005</v>
      </c>
      <c r="AB12" s="22">
        <v>0.88039999999999996</v>
      </c>
      <c r="AC12" s="22">
        <v>0.8901</v>
      </c>
      <c r="AD12" s="22">
        <v>0.89959999999999996</v>
      </c>
      <c r="AE12" s="23">
        <v>0.89959999999999996</v>
      </c>
      <c r="AF12" s="23">
        <v>0.89959999999999996</v>
      </c>
    </row>
    <row r="13" spans="1:32" ht="15.75">
      <c r="A13" s="16" t="s">
        <v>536</v>
      </c>
      <c r="B13" s="17" t="s">
        <v>638</v>
      </c>
      <c r="C13" s="18" t="s">
        <v>682</v>
      </c>
      <c r="D13" s="21">
        <v>6.4367000000000001</v>
      </c>
      <c r="E13" s="21">
        <v>6.5593000000000004</v>
      </c>
      <c r="F13" s="21">
        <v>6.5472000000000001</v>
      </c>
      <c r="G13" s="21">
        <v>6.5084</v>
      </c>
      <c r="H13" s="21">
        <v>6.4615999999999998</v>
      </c>
      <c r="I13" s="21">
        <v>6.6017999999999999</v>
      </c>
      <c r="J13" s="21">
        <v>6.9481000000000002</v>
      </c>
      <c r="K13" s="21">
        <v>7.4359000000000002</v>
      </c>
      <c r="L13" s="21">
        <v>8.3346</v>
      </c>
      <c r="M13" s="21">
        <v>8.4129000000000005</v>
      </c>
      <c r="N13" s="21">
        <v>8.4804999999999993</v>
      </c>
      <c r="O13" s="21">
        <v>8.5000999999999998</v>
      </c>
      <c r="P13" s="21">
        <v>8.4460999999999995</v>
      </c>
      <c r="Q13" s="21">
        <v>8.2172000000000001</v>
      </c>
      <c r="R13" s="22">
        <v>8.5230999999999995</v>
      </c>
      <c r="S13" s="22">
        <v>9.0562000000000005</v>
      </c>
      <c r="T13" s="22">
        <v>8.9265000000000008</v>
      </c>
      <c r="U13" s="22">
        <v>8.8004999999999995</v>
      </c>
      <c r="V13" s="22">
        <v>8.1327999999999996</v>
      </c>
      <c r="W13" s="22">
        <v>8.3148999999999997</v>
      </c>
      <c r="X13" s="22">
        <v>8.1166</v>
      </c>
      <c r="Y13" s="22">
        <v>8.6783000000000001</v>
      </c>
      <c r="Z13" s="22">
        <v>8.9467999999999996</v>
      </c>
      <c r="AA13" s="22">
        <v>9.0488999999999997</v>
      </c>
      <c r="AB13" s="22">
        <v>9.1708999999999996</v>
      </c>
      <c r="AC13" s="22">
        <v>9.4484999999999992</v>
      </c>
      <c r="AD13" s="22">
        <v>9.5889000000000006</v>
      </c>
      <c r="AE13" s="23">
        <v>9.5889000000000006</v>
      </c>
      <c r="AF13" s="23">
        <v>9.5889000000000006</v>
      </c>
    </row>
    <row r="14" spans="1:32" ht="15.75">
      <c r="A14" s="16" t="s">
        <v>496</v>
      </c>
      <c r="B14" s="17" t="s">
        <v>633</v>
      </c>
      <c r="C14" s="18" t="s">
        <v>683</v>
      </c>
      <c r="D14" s="21">
        <v>1.7854000000000001</v>
      </c>
      <c r="E14" s="21">
        <v>1.8391</v>
      </c>
      <c r="F14" s="21">
        <v>1.9688000000000001</v>
      </c>
      <c r="G14" s="21">
        <v>2.0251999999999999</v>
      </c>
      <c r="H14" s="21">
        <v>2.2141999999999999</v>
      </c>
      <c r="I14" s="21">
        <v>2.1116000000000001</v>
      </c>
      <c r="J14" s="21">
        <v>2.1637</v>
      </c>
      <c r="K14" s="21">
        <v>2.2625999999999999</v>
      </c>
      <c r="L14" s="21">
        <v>2.4643000000000002</v>
      </c>
      <c r="M14" s="21">
        <v>2.6648999999999998</v>
      </c>
      <c r="N14" s="21">
        <v>2.8555999999999999</v>
      </c>
      <c r="O14" s="21">
        <v>2.9076</v>
      </c>
      <c r="P14" s="21">
        <v>2.9413999999999998</v>
      </c>
      <c r="Q14" s="21">
        <v>2.8980000000000001</v>
      </c>
      <c r="R14" s="22">
        <v>2.9666000000000001</v>
      </c>
      <c r="S14" s="22">
        <v>3.2936999999999999</v>
      </c>
      <c r="T14" s="22">
        <v>3.6943999999999999</v>
      </c>
      <c r="U14" s="22">
        <v>3.5773000000000001</v>
      </c>
      <c r="V14" s="22">
        <v>3.5129000000000001</v>
      </c>
      <c r="W14" s="22">
        <v>3.8018000000000001</v>
      </c>
      <c r="X14" s="22">
        <v>3.8172000000000001</v>
      </c>
      <c r="Y14" s="22">
        <v>4.3737000000000004</v>
      </c>
      <c r="Z14" s="22">
        <v>5.6589999999999998</v>
      </c>
      <c r="AA14" s="22">
        <v>5.4995000000000003</v>
      </c>
      <c r="AB14" s="22">
        <v>5.3643000000000001</v>
      </c>
      <c r="AC14" s="22">
        <v>5.8728999999999996</v>
      </c>
      <c r="AD14" s="22">
        <v>5.6749999999999998</v>
      </c>
      <c r="AE14" s="23">
        <v>5.6749999999999998</v>
      </c>
      <c r="AF14" s="23">
        <v>5.6749999999999998</v>
      </c>
    </row>
    <row r="15" spans="1:32" ht="15.75">
      <c r="A15" s="16" t="s">
        <v>543</v>
      </c>
      <c r="B15" s="17" t="s">
        <v>639</v>
      </c>
      <c r="C15" s="18" t="s">
        <v>684</v>
      </c>
      <c r="D15" s="21">
        <v>0.64459999999999995</v>
      </c>
      <c r="E15" s="21">
        <v>0.65110000000000001</v>
      </c>
      <c r="F15" s="21">
        <v>0.64490000000000003</v>
      </c>
      <c r="G15" s="21">
        <v>0.61750000000000005</v>
      </c>
      <c r="H15" s="21">
        <v>0.60429999999999995</v>
      </c>
      <c r="I15" s="21">
        <v>0.59409999999999996</v>
      </c>
      <c r="J15" s="21">
        <v>0.59909999999999997</v>
      </c>
      <c r="K15" s="21">
        <v>0.63190000000000002</v>
      </c>
      <c r="L15" s="21">
        <v>0.6603</v>
      </c>
      <c r="M15" s="21">
        <v>0.65249999999999997</v>
      </c>
      <c r="N15" s="21">
        <v>0.64559999999999995</v>
      </c>
      <c r="O15" s="21">
        <v>0.65949999999999998</v>
      </c>
      <c r="P15" s="21">
        <v>0.69840000000000002</v>
      </c>
      <c r="Q15" s="21">
        <v>0.69720000000000004</v>
      </c>
      <c r="R15" s="22">
        <v>0.76149999999999995</v>
      </c>
      <c r="S15" s="22">
        <v>0.80549999999999999</v>
      </c>
      <c r="T15" s="22">
        <v>0.80700000000000005</v>
      </c>
      <c r="U15" s="22">
        <v>0.78139999999999998</v>
      </c>
      <c r="V15" s="22">
        <v>0.76439999999999997</v>
      </c>
      <c r="W15" s="22">
        <v>0.75329999999999997</v>
      </c>
      <c r="X15" s="22">
        <v>0.71879999999999999</v>
      </c>
      <c r="Y15" s="22">
        <v>0.73570000000000002</v>
      </c>
      <c r="Z15" s="22">
        <v>0.76739999999999997</v>
      </c>
      <c r="AA15" s="22">
        <v>0.77759999999999996</v>
      </c>
      <c r="AB15" s="22">
        <v>0.76790000000000003</v>
      </c>
      <c r="AC15" s="22">
        <v>0.77810000000000001</v>
      </c>
      <c r="AD15" s="22">
        <v>0.8115</v>
      </c>
      <c r="AE15" s="23">
        <v>0.8115</v>
      </c>
      <c r="AF15" s="23">
        <v>0.8115</v>
      </c>
    </row>
    <row r="16" spans="1:32" ht="15.75">
      <c r="A16" s="16" t="s">
        <v>450</v>
      </c>
      <c r="B16" s="17" t="s">
        <v>625</v>
      </c>
      <c r="C16" s="18" t="s">
        <v>685</v>
      </c>
      <c r="D16" s="21">
        <v>1.4851948051948101</v>
      </c>
      <c r="E16" s="21">
        <v>1.5014473684210532</v>
      </c>
      <c r="F16" s="21">
        <v>1.48</v>
      </c>
      <c r="G16" s="21">
        <v>1.4388372093023258</v>
      </c>
      <c r="H16" s="21">
        <v>1.43044444444444</v>
      </c>
      <c r="I16" s="21">
        <v>1.42977777777778</v>
      </c>
      <c r="J16" s="21">
        <v>1.4793478260869561</v>
      </c>
      <c r="K16" s="21">
        <v>1.5639726027397249</v>
      </c>
      <c r="L16" s="21">
        <v>1.7424418604651155</v>
      </c>
      <c r="M16" s="21">
        <v>1.76844444444444</v>
      </c>
      <c r="N16" s="21">
        <v>1.7590000000000003</v>
      </c>
      <c r="O16" s="21">
        <v>1.7867391304347799</v>
      </c>
      <c r="P16" s="21">
        <v>1.7735555555555569</v>
      </c>
      <c r="Q16" s="21">
        <v>1.7314814814814805</v>
      </c>
      <c r="R16" s="22">
        <v>1.7541538461538457</v>
      </c>
      <c r="S16" s="22">
        <v>1.8170886075949364</v>
      </c>
      <c r="T16" s="22">
        <v>1.8382894736842104</v>
      </c>
      <c r="U16" s="22">
        <v>1.7807692307692309</v>
      </c>
      <c r="V16" s="22">
        <v>1.6674358974358972</v>
      </c>
      <c r="W16" s="22">
        <v>1.6628205128205127</v>
      </c>
      <c r="X16" s="22">
        <v>1.5935999999999997</v>
      </c>
      <c r="Y16" s="22">
        <v>0.73570000000000002</v>
      </c>
      <c r="Z16" s="22">
        <v>1.677755102040817</v>
      </c>
      <c r="AA16" s="22">
        <v>1.7163291139240504</v>
      </c>
      <c r="AB16" s="22">
        <v>1.7240259740259734</v>
      </c>
      <c r="AC16" s="22">
        <v>1.7433766233766228</v>
      </c>
      <c r="AD16" s="22">
        <v>1.7611392405063286</v>
      </c>
      <c r="AE16" s="23">
        <v>1.7611392405063286</v>
      </c>
      <c r="AF16" s="23">
        <v>1.7611392405063286</v>
      </c>
    </row>
    <row r="17" spans="1:32" ht="15.75">
      <c r="A17" s="16" t="s">
        <v>590</v>
      </c>
      <c r="B17" s="17" t="s">
        <v>620</v>
      </c>
      <c r="C17" s="18" t="s">
        <v>679</v>
      </c>
      <c r="D17" s="21">
        <v>0.75780000000000003</v>
      </c>
      <c r="E17" s="21">
        <v>0.76559999999999995</v>
      </c>
      <c r="F17" s="21">
        <v>0.75460000000000005</v>
      </c>
      <c r="G17" s="21">
        <v>0.73450000000000004</v>
      </c>
      <c r="H17" s="21">
        <v>0.7298</v>
      </c>
      <c r="I17" s="21">
        <v>0.72909999999999997</v>
      </c>
      <c r="J17" s="21">
        <v>0.75490000000000002</v>
      </c>
      <c r="K17" s="21">
        <v>0.80089999999999995</v>
      </c>
      <c r="L17" s="21">
        <v>0.88849999999999996</v>
      </c>
      <c r="M17" s="21">
        <v>0.90380000000000005</v>
      </c>
      <c r="N17" s="21">
        <v>0.89900000000000002</v>
      </c>
      <c r="O17" s="21">
        <v>0.91349999999999998</v>
      </c>
      <c r="P17" s="21">
        <v>0.90590000000000004</v>
      </c>
      <c r="Q17" s="21">
        <v>0.88560000000000005</v>
      </c>
      <c r="R17" s="22">
        <v>0.89590000000000003</v>
      </c>
      <c r="S17" s="22">
        <v>0.92820000000000003</v>
      </c>
      <c r="T17" s="22">
        <v>0.93869999999999998</v>
      </c>
      <c r="U17" s="22">
        <v>0.90839999999999999</v>
      </c>
      <c r="V17" s="22">
        <v>0.85099999999999998</v>
      </c>
      <c r="W17" s="22">
        <v>0.84909999999999997</v>
      </c>
      <c r="X17" s="22">
        <v>0.81399999999999995</v>
      </c>
      <c r="Y17" s="22">
        <v>0.83960000000000001</v>
      </c>
      <c r="Z17" s="22">
        <v>0.86</v>
      </c>
      <c r="AA17" s="22">
        <v>0.87660000000000005</v>
      </c>
      <c r="AB17" s="22">
        <v>0.88039999999999996</v>
      </c>
      <c r="AC17" s="22">
        <v>0.8901</v>
      </c>
      <c r="AD17" s="22">
        <v>0.89959999999999996</v>
      </c>
      <c r="AE17" s="23">
        <v>0.89959999999999996</v>
      </c>
      <c r="AF17" s="23">
        <v>0.89959999999999996</v>
      </c>
    </row>
    <row r="18" spans="1:32" ht="15.75">
      <c r="A18" s="16" t="s">
        <v>580</v>
      </c>
      <c r="B18" s="17" t="s">
        <v>620</v>
      </c>
      <c r="C18" s="18" t="s">
        <v>679</v>
      </c>
      <c r="D18" s="21">
        <v>0.75780000000000003</v>
      </c>
      <c r="E18" s="21">
        <v>0.76559999999999995</v>
      </c>
      <c r="F18" s="21">
        <v>0.75460000000000005</v>
      </c>
      <c r="G18" s="21">
        <v>0.73450000000000004</v>
      </c>
      <c r="H18" s="21">
        <v>0.7298</v>
      </c>
      <c r="I18" s="21">
        <v>0.72909999999999997</v>
      </c>
      <c r="J18" s="21">
        <v>0.75490000000000002</v>
      </c>
      <c r="K18" s="21">
        <v>0.80089999999999995</v>
      </c>
      <c r="L18" s="21">
        <v>0.88849999999999996</v>
      </c>
      <c r="M18" s="21">
        <v>0.90380000000000005</v>
      </c>
      <c r="N18" s="21">
        <v>0.89900000000000002</v>
      </c>
      <c r="O18" s="21">
        <v>0.91349999999999998</v>
      </c>
      <c r="P18" s="21">
        <v>0.90590000000000004</v>
      </c>
      <c r="Q18" s="21">
        <v>0.88560000000000005</v>
      </c>
      <c r="R18" s="22">
        <v>0.89590000000000003</v>
      </c>
      <c r="S18" s="22">
        <v>0.92820000000000003</v>
      </c>
      <c r="T18" s="22">
        <v>0.93869999999999998</v>
      </c>
      <c r="U18" s="22">
        <v>0.90839999999999999</v>
      </c>
      <c r="V18" s="22">
        <v>0.85099999999999998</v>
      </c>
      <c r="W18" s="22">
        <v>0.84909999999999997</v>
      </c>
      <c r="X18" s="22">
        <v>0.81399999999999995</v>
      </c>
      <c r="Y18" s="22">
        <v>0.83960000000000001</v>
      </c>
      <c r="Z18" s="22">
        <v>0.86</v>
      </c>
      <c r="AA18" s="22">
        <v>0.87660000000000005</v>
      </c>
      <c r="AB18" s="22">
        <v>0.88039999999999996</v>
      </c>
      <c r="AC18" s="22">
        <v>0.8901</v>
      </c>
      <c r="AD18" s="22">
        <v>0.89959999999999996</v>
      </c>
      <c r="AE18" s="23">
        <v>0.89959999999999996</v>
      </c>
      <c r="AF18" s="23">
        <v>0.89959999999999996</v>
      </c>
    </row>
    <row r="19" spans="1:32" ht="15.75">
      <c r="A19" s="16" t="s">
        <v>527</v>
      </c>
      <c r="B19" s="17" t="s">
        <v>637</v>
      </c>
      <c r="C19" s="18" t="s">
        <v>686</v>
      </c>
      <c r="D19" s="21">
        <v>84.597999999999999</v>
      </c>
      <c r="E19" s="21">
        <v>85.807000000000002</v>
      </c>
      <c r="F19" s="21">
        <v>86.161000000000001</v>
      </c>
      <c r="G19" s="21">
        <v>83.96</v>
      </c>
      <c r="H19" s="21">
        <v>84.430999999999997</v>
      </c>
      <c r="I19" s="21">
        <v>84.254000000000005</v>
      </c>
      <c r="J19" s="21">
        <v>88.664000000000001</v>
      </c>
      <c r="K19" s="21">
        <v>96.358000000000004</v>
      </c>
      <c r="L19" s="21">
        <v>107.84099999999999</v>
      </c>
      <c r="M19" s="21">
        <v>108.77200000000001</v>
      </c>
      <c r="N19" s="21">
        <v>108.07299999999999</v>
      </c>
      <c r="O19" s="21">
        <v>110.44199999999999</v>
      </c>
      <c r="P19" s="21">
        <v>111.32</v>
      </c>
      <c r="Q19" s="21">
        <v>108.961</v>
      </c>
      <c r="R19" s="22">
        <v>110.443</v>
      </c>
      <c r="S19" s="22">
        <v>114.4</v>
      </c>
      <c r="T19" s="22">
        <v>116.26900000000001</v>
      </c>
      <c r="U19" s="22">
        <v>111.56100000000001</v>
      </c>
      <c r="V19" s="22">
        <v>101.872</v>
      </c>
      <c r="W19" s="22">
        <v>101.06699999999999</v>
      </c>
      <c r="X19" s="22">
        <v>96.367999999999995</v>
      </c>
      <c r="Y19" s="22">
        <v>99.179000000000002</v>
      </c>
      <c r="Z19" s="22">
        <v>101.569</v>
      </c>
      <c r="AA19" s="22">
        <v>103.732</v>
      </c>
      <c r="AB19" s="22">
        <v>104.063</v>
      </c>
      <c r="AC19" s="22">
        <v>104.97</v>
      </c>
      <c r="AD19" s="22">
        <v>105.854</v>
      </c>
      <c r="AE19" s="23">
        <v>105.854</v>
      </c>
      <c r="AF19" s="23">
        <v>105.854</v>
      </c>
    </row>
    <row r="20" spans="1:32" ht="15.75">
      <c r="A20" s="16" t="s">
        <v>438</v>
      </c>
      <c r="B20" s="17" t="s">
        <v>622</v>
      </c>
      <c r="C20" s="18" t="s">
        <v>687</v>
      </c>
      <c r="D20" s="21">
        <v>3.3229000000000002</v>
      </c>
      <c r="E20" s="21">
        <v>3.3656000000000001</v>
      </c>
      <c r="F20" s="21">
        <v>3.3504</v>
      </c>
      <c r="G20" s="21">
        <v>3.2690000000000001</v>
      </c>
      <c r="H20" s="21">
        <v>3.2850000000000001</v>
      </c>
      <c r="I20" s="21">
        <v>3.2263999999999999</v>
      </c>
      <c r="J20" s="21">
        <v>3.3325999999999998</v>
      </c>
      <c r="K20" s="21">
        <v>3.5522</v>
      </c>
      <c r="L20" s="21">
        <v>3.9546999999999999</v>
      </c>
      <c r="M20" s="21">
        <v>4.0148999999999999</v>
      </c>
      <c r="N20" s="21">
        <v>3.9805999999999999</v>
      </c>
      <c r="O20" s="21">
        <v>4.0736999999999997</v>
      </c>
      <c r="P20" s="21">
        <v>4.0701999999999998</v>
      </c>
      <c r="Q20" s="21">
        <v>3.984</v>
      </c>
      <c r="R20" s="22">
        <v>3.9990000000000001</v>
      </c>
      <c r="S20" s="22">
        <v>4.1843000000000004</v>
      </c>
      <c r="T20" s="22">
        <v>4.2447999999999997</v>
      </c>
      <c r="U20" s="22">
        <v>4.1359000000000004</v>
      </c>
      <c r="V20" s="22">
        <v>3.8990999999999998</v>
      </c>
      <c r="W20" s="22">
        <v>3.9220000000000002</v>
      </c>
      <c r="X20" s="22">
        <v>3.7890999999999999</v>
      </c>
      <c r="Y20" s="22">
        <v>3.9074</v>
      </c>
      <c r="Z20" s="22">
        <v>3.9950999999999999</v>
      </c>
      <c r="AA20" s="22">
        <v>4.0837000000000003</v>
      </c>
      <c r="AB20" s="22">
        <v>4.1700999999999997</v>
      </c>
      <c r="AC20" s="22">
        <v>4.2256999999999998</v>
      </c>
      <c r="AD20" s="22">
        <v>4.2553999999999998</v>
      </c>
      <c r="AE20" s="23">
        <v>4.2553999999999998</v>
      </c>
      <c r="AF20" s="23">
        <v>4.2553999999999998</v>
      </c>
    </row>
    <row r="21" spans="1:32" ht="15.75">
      <c r="A21" s="16" t="s">
        <v>461</v>
      </c>
      <c r="B21" s="17" t="s">
        <v>627</v>
      </c>
      <c r="C21" s="18" t="s">
        <v>688</v>
      </c>
      <c r="D21" s="21">
        <v>30.427</v>
      </c>
      <c r="E21" s="21">
        <v>31.536000000000001</v>
      </c>
      <c r="F21" s="21">
        <v>32.783000000000001</v>
      </c>
      <c r="G21" s="21">
        <v>32.848999999999997</v>
      </c>
      <c r="H21" s="21">
        <v>36.307000000000002</v>
      </c>
      <c r="I21" s="21">
        <v>34.966999999999999</v>
      </c>
      <c r="J21" s="21">
        <v>36.311</v>
      </c>
      <c r="K21" s="21">
        <v>47.942</v>
      </c>
      <c r="L21" s="21">
        <v>63.194000000000003</v>
      </c>
      <c r="M21" s="21">
        <v>52.573999999999998</v>
      </c>
      <c r="N21" s="21">
        <v>62.926000000000002</v>
      </c>
      <c r="O21" s="21">
        <v>65.135000000000005</v>
      </c>
      <c r="P21" s="21">
        <v>75.873999999999995</v>
      </c>
      <c r="Q21" s="21">
        <v>65.999580246913581</v>
      </c>
      <c r="R21" s="22">
        <v>64.701999999999998</v>
      </c>
      <c r="S21" s="22">
        <v>63.071420652173927</v>
      </c>
      <c r="T21" s="22">
        <v>58.733123333333353</v>
      </c>
      <c r="U21" s="22">
        <v>56.96</v>
      </c>
      <c r="V21" s="22">
        <v>59.031999999999996</v>
      </c>
      <c r="W21" s="22">
        <v>58.423646739130447</v>
      </c>
      <c r="X21" s="22">
        <v>56.768000000000001</v>
      </c>
      <c r="Y21" s="22">
        <v>61.960999999999999</v>
      </c>
      <c r="Z21" s="22">
        <v>65.08</v>
      </c>
      <c r="AA21" s="22">
        <v>66.319000000000003</v>
      </c>
      <c r="AB21" s="22">
        <v>65.936999999999998</v>
      </c>
      <c r="AC21" s="22">
        <v>64.534999999999997</v>
      </c>
      <c r="AD21" s="22">
        <v>64.668000000000006</v>
      </c>
      <c r="AE21" s="23">
        <v>64.668000000000006</v>
      </c>
      <c r="AF21" s="23">
        <v>64.668000000000006</v>
      </c>
    </row>
    <row r="22" spans="1:32" ht="15.75">
      <c r="A22" s="16" t="s">
        <v>564</v>
      </c>
      <c r="B22" s="17" t="s">
        <v>642</v>
      </c>
      <c r="C22" s="18" t="s">
        <v>689</v>
      </c>
      <c r="D22" s="21">
        <v>150.72499999999999</v>
      </c>
      <c r="E22" s="21">
        <v>151.196</v>
      </c>
      <c r="F22" s="21">
        <v>153.00899999999999</v>
      </c>
      <c r="G22" s="21">
        <v>153.892</v>
      </c>
      <c r="H22" s="21">
        <v>170.511</v>
      </c>
      <c r="I22" s="21">
        <v>182.709</v>
      </c>
      <c r="J22" s="21">
        <v>182.55099999999999</v>
      </c>
      <c r="K22" s="21">
        <v>181.67599999999999</v>
      </c>
      <c r="L22" s="21">
        <v>184.84</v>
      </c>
      <c r="M22" s="21">
        <v>185.95400000000001</v>
      </c>
      <c r="N22" s="21">
        <v>218.715</v>
      </c>
      <c r="O22" s="21">
        <v>301.834</v>
      </c>
      <c r="P22" s="21">
        <v>355.48599999999999</v>
      </c>
      <c r="Q22" s="21">
        <v>335.565</v>
      </c>
      <c r="R22" s="22">
        <v>341.50299999999999</v>
      </c>
      <c r="S22" s="22">
        <v>335.31299999999999</v>
      </c>
      <c r="T22" s="22">
        <v>322.19799999999998</v>
      </c>
      <c r="U22" s="22">
        <v>315.27999999999997</v>
      </c>
      <c r="V22" s="22">
        <v>333.13499999999999</v>
      </c>
      <c r="W22" s="22">
        <v>334.39499999999998</v>
      </c>
      <c r="X22" s="22">
        <v>323.29599999999999</v>
      </c>
      <c r="Y22" s="22">
        <v>330.35300000000001</v>
      </c>
      <c r="Z22" s="22">
        <v>356.48899999999998</v>
      </c>
      <c r="AA22" s="22">
        <v>370.49200000000002</v>
      </c>
      <c r="AB22" s="22">
        <v>378.11799999999999</v>
      </c>
      <c r="AC22" s="22">
        <v>380.67399999999998</v>
      </c>
      <c r="AD22" s="22">
        <v>386.05599999999998</v>
      </c>
      <c r="AE22" s="23">
        <v>386.05599999999998</v>
      </c>
      <c r="AF22" s="23">
        <v>386.05599999999998</v>
      </c>
    </row>
    <row r="23" spans="1:32" ht="15.75">
      <c r="A23" s="16" t="s">
        <v>468</v>
      </c>
      <c r="B23" s="17" t="s">
        <v>627</v>
      </c>
      <c r="C23" s="18" t="s">
        <v>688</v>
      </c>
      <c r="D23" s="21">
        <v>30.427</v>
      </c>
      <c r="E23" s="21">
        <v>31.536000000000001</v>
      </c>
      <c r="F23" s="21">
        <v>32.783000000000001</v>
      </c>
      <c r="G23" s="21">
        <v>32.848999999999997</v>
      </c>
      <c r="H23" s="21">
        <v>36.307000000000002</v>
      </c>
      <c r="I23" s="21">
        <v>34.966999999999999</v>
      </c>
      <c r="J23" s="21">
        <v>36.311</v>
      </c>
      <c r="K23" s="21">
        <v>47.942</v>
      </c>
      <c r="L23" s="21">
        <v>63.194000000000003</v>
      </c>
      <c r="M23" s="21">
        <v>52.573999999999998</v>
      </c>
      <c r="N23" s="21">
        <v>62.926000000000002</v>
      </c>
      <c r="O23" s="21">
        <v>65.135000000000005</v>
      </c>
      <c r="P23" s="21">
        <v>75.873999999999995</v>
      </c>
      <c r="Q23" s="21">
        <v>65.999580246913581</v>
      </c>
      <c r="R23" s="22">
        <v>64.701999999999998</v>
      </c>
      <c r="S23" s="22">
        <v>63.071420652173927</v>
      </c>
      <c r="T23" s="22">
        <v>58.733123333333353</v>
      </c>
      <c r="U23" s="22">
        <v>56.96</v>
      </c>
      <c r="V23" s="22">
        <v>59.031999999999996</v>
      </c>
      <c r="W23" s="22">
        <v>58.423646739130447</v>
      </c>
      <c r="X23" s="22">
        <v>56.768000000000001</v>
      </c>
      <c r="Y23" s="22">
        <v>61.960999999999999</v>
      </c>
      <c r="Z23" s="22">
        <v>65.08</v>
      </c>
      <c r="AA23" s="22">
        <v>66.319000000000003</v>
      </c>
      <c r="AB23" s="22">
        <v>65.936999999999998</v>
      </c>
      <c r="AC23" s="22">
        <v>64.534999999999997</v>
      </c>
      <c r="AD23" s="22">
        <v>64.668000000000006</v>
      </c>
      <c r="AE23" s="23">
        <v>64.668000000000006</v>
      </c>
      <c r="AF23" s="23">
        <v>64.668000000000006</v>
      </c>
    </row>
    <row r="24" spans="1:32" ht="15.75">
      <c r="A24" s="16" t="s">
        <v>587</v>
      </c>
      <c r="B24" s="17" t="s">
        <v>627</v>
      </c>
      <c r="C24" s="18" t="s">
        <v>688</v>
      </c>
      <c r="D24" s="21">
        <v>30.427</v>
      </c>
      <c r="E24" s="21">
        <v>31.536000000000001</v>
      </c>
      <c r="F24" s="21">
        <v>32.783000000000001</v>
      </c>
      <c r="G24" s="21">
        <v>32.848999999999997</v>
      </c>
      <c r="H24" s="21">
        <v>36.307000000000002</v>
      </c>
      <c r="I24" s="21">
        <v>34.966999999999999</v>
      </c>
      <c r="J24" s="21">
        <v>36.311</v>
      </c>
      <c r="K24" s="21">
        <v>47.942</v>
      </c>
      <c r="L24" s="21">
        <v>63.194000000000003</v>
      </c>
      <c r="M24" s="21">
        <v>52.573999999999998</v>
      </c>
      <c r="N24" s="21">
        <v>62.926000000000002</v>
      </c>
      <c r="O24" s="21">
        <v>65.135000000000005</v>
      </c>
      <c r="P24" s="21">
        <v>75.873999999999995</v>
      </c>
      <c r="Q24" s="21">
        <v>65.999580246913581</v>
      </c>
      <c r="R24" s="22">
        <v>64.701999999999998</v>
      </c>
      <c r="S24" s="22">
        <v>63.071420652173927</v>
      </c>
      <c r="T24" s="22">
        <v>58.733123333333353</v>
      </c>
      <c r="U24" s="22">
        <v>56.96</v>
      </c>
      <c r="V24" s="22">
        <v>59.031999999999996</v>
      </c>
      <c r="W24" s="22">
        <v>58.423646739130447</v>
      </c>
      <c r="X24" s="22">
        <v>56.768000000000001</v>
      </c>
      <c r="Y24" s="22">
        <v>61.960999999999999</v>
      </c>
      <c r="Z24" s="22">
        <v>65.08</v>
      </c>
      <c r="AA24" s="22">
        <v>66.319000000000003</v>
      </c>
      <c r="AB24" s="22">
        <v>65.936999999999998</v>
      </c>
      <c r="AC24" s="22">
        <v>64.534999999999997</v>
      </c>
      <c r="AD24" s="22">
        <v>64.668000000000006</v>
      </c>
      <c r="AE24" s="23">
        <v>64.668000000000006</v>
      </c>
      <c r="AF24" s="23">
        <v>64.668000000000006</v>
      </c>
    </row>
    <row r="25" spans="1:32" ht="15.75">
      <c r="A25" s="16" t="s">
        <v>445</v>
      </c>
      <c r="B25" s="17" t="s">
        <v>624</v>
      </c>
      <c r="C25" s="18" t="s">
        <v>676</v>
      </c>
      <c r="D25" s="21">
        <v>1</v>
      </c>
      <c r="E25" s="21">
        <v>1</v>
      </c>
      <c r="F25" s="21">
        <v>1</v>
      </c>
      <c r="G25" s="21">
        <v>1</v>
      </c>
      <c r="H25" s="21">
        <v>1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2">
        <v>1</v>
      </c>
      <c r="S25" s="22">
        <v>1</v>
      </c>
      <c r="T25" s="22">
        <v>1</v>
      </c>
      <c r="U25" s="22">
        <v>1</v>
      </c>
      <c r="V25" s="22">
        <v>1</v>
      </c>
      <c r="W25" s="22">
        <v>1</v>
      </c>
      <c r="X25" s="22">
        <v>1</v>
      </c>
      <c r="Y25" s="22">
        <v>1</v>
      </c>
      <c r="Z25" s="22">
        <v>1</v>
      </c>
      <c r="AA25" s="22">
        <v>1</v>
      </c>
      <c r="AB25" s="22">
        <v>1</v>
      </c>
      <c r="AC25" s="22">
        <v>1</v>
      </c>
      <c r="AD25" s="22">
        <v>1</v>
      </c>
      <c r="AE25" s="23">
        <v>1</v>
      </c>
      <c r="AF25" s="23">
        <v>1</v>
      </c>
    </row>
    <row r="26" spans="1:32" ht="15.75">
      <c r="A26" s="16" t="s">
        <v>487</v>
      </c>
      <c r="B26" s="17" t="s">
        <v>631</v>
      </c>
      <c r="C26" s="18" t="s">
        <v>690</v>
      </c>
      <c r="D26" s="21">
        <v>6.6867000000000001</v>
      </c>
      <c r="E26" s="21">
        <v>6.9485000000000001</v>
      </c>
      <c r="F26" s="21">
        <v>6.9673999999999996</v>
      </c>
      <c r="G26" s="21">
        <v>6.8936000000000002</v>
      </c>
      <c r="H26" s="21">
        <v>6.9611000000000001</v>
      </c>
      <c r="I26" s="21">
        <v>7.0454999999999997</v>
      </c>
      <c r="J26" s="21">
        <v>7.1501000000000001</v>
      </c>
      <c r="K26" s="21">
        <v>7.1501000000000001</v>
      </c>
      <c r="L26" s="21">
        <v>7.5049000000000001</v>
      </c>
      <c r="M26" s="21">
        <v>7.6291000000000002</v>
      </c>
      <c r="N26" s="21">
        <v>7.8228999999999997</v>
      </c>
      <c r="O26" s="21">
        <v>7.8853999999999997</v>
      </c>
      <c r="P26" s="21">
        <v>8.0391999999999992</v>
      </c>
      <c r="Q26" s="21">
        <v>8.8800000000000008</v>
      </c>
      <c r="R26" s="22">
        <v>8.8800000000000008</v>
      </c>
      <c r="S26" s="22">
        <v>14.5365</v>
      </c>
      <c r="T26" s="22">
        <v>17.7791</v>
      </c>
      <c r="U26" s="22">
        <v>18.092500000000001</v>
      </c>
      <c r="V26" s="22">
        <v>17.773399999999999</v>
      </c>
      <c r="W26" s="22">
        <v>17.706600000000002</v>
      </c>
      <c r="X26" s="22">
        <v>17.666599999999999</v>
      </c>
      <c r="Y26" s="22">
        <v>17.784300000000002</v>
      </c>
      <c r="Z26" s="22">
        <v>17.889099999999999</v>
      </c>
      <c r="AA26" s="22">
        <v>17.9101</v>
      </c>
      <c r="AB26" s="22">
        <v>17.611000000000001</v>
      </c>
      <c r="AC26" s="22">
        <v>17.007100000000001</v>
      </c>
      <c r="AD26" s="22">
        <v>16.528700000000001</v>
      </c>
      <c r="AE26" s="23">
        <v>16.528700000000001</v>
      </c>
      <c r="AF26" s="23">
        <v>16.528700000000001</v>
      </c>
    </row>
    <row r="27" spans="1:32" ht="15.75">
      <c r="A27" s="16" t="s">
        <v>598</v>
      </c>
      <c r="B27" s="17" t="s">
        <v>624</v>
      </c>
      <c r="C27" s="18" t="s">
        <v>676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3">
        <v>1</v>
      </c>
      <c r="AF27" s="23">
        <v>1</v>
      </c>
    </row>
    <row r="28" spans="1:32" ht="15.75">
      <c r="A28" s="16" t="s">
        <v>552</v>
      </c>
      <c r="B28" s="17" t="s">
        <v>626</v>
      </c>
      <c r="C28" s="18" t="s">
        <v>691</v>
      </c>
      <c r="D28" s="21">
        <v>8.9529999999999994</v>
      </c>
      <c r="E28" s="21">
        <v>9.4169999999999998</v>
      </c>
      <c r="F28" s="21">
        <v>9.9960000000000004</v>
      </c>
      <c r="G28" s="21">
        <v>10.368</v>
      </c>
      <c r="H28" s="21">
        <v>10.773</v>
      </c>
      <c r="I28" s="21">
        <v>10.667999999999999</v>
      </c>
      <c r="J28" s="21">
        <v>10.728</v>
      </c>
      <c r="K28" s="21">
        <v>11.481999999999999</v>
      </c>
      <c r="L28" s="21">
        <v>11.728999999999999</v>
      </c>
      <c r="M28" s="21">
        <v>12.074999999999999</v>
      </c>
      <c r="N28" s="21">
        <v>12.911</v>
      </c>
      <c r="O28" s="21">
        <v>14.042</v>
      </c>
      <c r="P28" s="21">
        <v>15.928000000000001</v>
      </c>
      <c r="Q28" s="21">
        <v>15.018565432098763</v>
      </c>
      <c r="R28" s="22">
        <v>14.15</v>
      </c>
      <c r="S28" s="22">
        <v>13.924003260869565</v>
      </c>
      <c r="T28" s="22">
        <v>13.221585555555556</v>
      </c>
      <c r="U28" s="22">
        <v>13.226000000000001</v>
      </c>
      <c r="V28" s="22">
        <v>13.151</v>
      </c>
      <c r="W28" s="22">
        <v>13.622673913043483</v>
      </c>
      <c r="X28" s="22">
        <v>11.98</v>
      </c>
      <c r="Y28" s="22">
        <v>12.638999999999999</v>
      </c>
      <c r="Z28" s="22">
        <v>14.061</v>
      </c>
      <c r="AA28" s="22">
        <v>14.275</v>
      </c>
      <c r="AB28" s="22">
        <v>14.022</v>
      </c>
      <c r="AC28" s="22">
        <v>14.375</v>
      </c>
      <c r="AD28" s="22">
        <v>14.696</v>
      </c>
      <c r="AE28" s="23">
        <v>14.696</v>
      </c>
      <c r="AF28" s="23">
        <v>14.696</v>
      </c>
    </row>
    <row r="29" spans="1:32" ht="15.75">
      <c r="A29" s="16" t="s">
        <v>456</v>
      </c>
      <c r="B29" s="17" t="s">
        <v>626</v>
      </c>
      <c r="C29" s="18" t="s">
        <v>691</v>
      </c>
      <c r="D29" s="21">
        <v>8.9529999999999994</v>
      </c>
      <c r="E29" s="21">
        <v>9.4169999999999998</v>
      </c>
      <c r="F29" s="21">
        <v>9.9960000000000004</v>
      </c>
      <c r="G29" s="21">
        <v>10.368</v>
      </c>
      <c r="H29" s="21">
        <v>10.773</v>
      </c>
      <c r="I29" s="21">
        <v>10.667999999999999</v>
      </c>
      <c r="J29" s="21">
        <v>10.728</v>
      </c>
      <c r="K29" s="21">
        <v>11.481999999999999</v>
      </c>
      <c r="L29" s="21">
        <v>11.728999999999999</v>
      </c>
      <c r="M29" s="21">
        <v>12.074999999999999</v>
      </c>
      <c r="N29" s="21">
        <v>12.911</v>
      </c>
      <c r="O29" s="21">
        <v>14.042</v>
      </c>
      <c r="P29" s="21">
        <v>15.928000000000001</v>
      </c>
      <c r="Q29" s="21">
        <v>15.018565432098763</v>
      </c>
      <c r="R29" s="22">
        <v>14.15</v>
      </c>
      <c r="S29" s="22">
        <v>13.924003260869565</v>
      </c>
      <c r="T29" s="22">
        <v>13.221585555555556</v>
      </c>
      <c r="U29" s="22">
        <v>13.226000000000001</v>
      </c>
      <c r="V29" s="22">
        <v>13.151</v>
      </c>
      <c r="W29" s="22">
        <v>13.622673913043483</v>
      </c>
      <c r="X29" s="22">
        <v>11.98</v>
      </c>
      <c r="Y29" s="22">
        <v>12.638999999999999</v>
      </c>
      <c r="Z29" s="22">
        <v>14.061</v>
      </c>
      <c r="AA29" s="22">
        <v>14.275</v>
      </c>
      <c r="AB29" s="22">
        <v>14.022</v>
      </c>
      <c r="AC29" s="22">
        <v>14.375</v>
      </c>
      <c r="AD29" s="22">
        <v>14.696</v>
      </c>
      <c r="AE29" s="23">
        <v>14.696</v>
      </c>
      <c r="AF29" s="23">
        <v>14.696</v>
      </c>
    </row>
    <row r="30" spans="1:32" ht="15.75">
      <c r="A30" s="16" t="s">
        <v>414</v>
      </c>
      <c r="B30" s="17" t="s">
        <v>617</v>
      </c>
      <c r="C30" s="18" t="s">
        <v>692</v>
      </c>
      <c r="D30" s="21">
        <v>0.377</v>
      </c>
      <c r="E30" s="21">
        <v>0.377</v>
      </c>
      <c r="F30" s="21">
        <v>0.377</v>
      </c>
      <c r="G30" s="21">
        <v>0.377</v>
      </c>
      <c r="H30" s="21">
        <v>0.377</v>
      </c>
      <c r="I30" s="21">
        <v>0.377</v>
      </c>
      <c r="J30" s="21">
        <v>0.377</v>
      </c>
      <c r="K30" s="21">
        <v>0.377</v>
      </c>
      <c r="L30" s="21">
        <v>0.377</v>
      </c>
      <c r="M30" s="21">
        <v>0.377</v>
      </c>
      <c r="N30" s="21">
        <v>0.37719999999999998</v>
      </c>
      <c r="O30" s="21">
        <v>0.37709999999999999</v>
      </c>
      <c r="P30" s="21">
        <v>0.37690000000000001</v>
      </c>
      <c r="Q30" s="24">
        <v>0.377</v>
      </c>
      <c r="R30" s="22">
        <v>0.37709999999999999</v>
      </c>
      <c r="S30" s="22">
        <v>0.377</v>
      </c>
      <c r="T30" s="22">
        <v>0.377</v>
      </c>
      <c r="U30" s="22">
        <v>0.37709999999999999</v>
      </c>
      <c r="V30" s="22">
        <v>0.37709999999999999</v>
      </c>
      <c r="W30" s="22">
        <v>0.37719999999999998</v>
      </c>
      <c r="X30" s="22">
        <v>0.377</v>
      </c>
      <c r="Y30" s="22">
        <v>0.37759999999999999</v>
      </c>
      <c r="Z30" s="22">
        <v>0.37769999999999998</v>
      </c>
      <c r="AA30" s="22">
        <v>0.377</v>
      </c>
      <c r="AB30" s="22">
        <v>0.377</v>
      </c>
      <c r="AC30" s="22">
        <v>0.377</v>
      </c>
      <c r="AD30" s="22">
        <v>0.377</v>
      </c>
      <c r="AE30" s="23">
        <v>0.377</v>
      </c>
      <c r="AF30" s="23">
        <v>0.377</v>
      </c>
    </row>
    <row r="31" spans="1:32" ht="15.75">
      <c r="A31" s="16" t="s">
        <v>433</v>
      </c>
      <c r="B31" s="17" t="s">
        <v>621</v>
      </c>
      <c r="C31" s="18" t="s">
        <v>693</v>
      </c>
      <c r="D31" s="21">
        <v>12278.27</v>
      </c>
      <c r="E31" s="21">
        <v>12278.5</v>
      </c>
      <c r="F31" s="21">
        <v>23982</v>
      </c>
      <c r="G31" s="21">
        <v>24839.84</v>
      </c>
      <c r="H31" s="21">
        <v>24930.5</v>
      </c>
      <c r="I31" s="21">
        <v>25545.89</v>
      </c>
      <c r="J31" s="21">
        <v>26367.93</v>
      </c>
      <c r="K31" s="21">
        <v>26811.37</v>
      </c>
      <c r="L31" s="21">
        <v>27631.64</v>
      </c>
      <c r="M31" s="21">
        <v>28621.599999999999</v>
      </c>
      <c r="N31" s="21">
        <v>29745.7</v>
      </c>
      <c r="O31" s="21">
        <v>30002.81</v>
      </c>
      <c r="P31" s="21">
        <v>30191.69</v>
      </c>
      <c r="Q31" s="21">
        <v>30383.47</v>
      </c>
      <c r="R31" s="22">
        <v>31045.86</v>
      </c>
      <c r="S31" s="22">
        <v>31914.67</v>
      </c>
      <c r="T31" s="22">
        <v>32390.11</v>
      </c>
      <c r="U31" s="22">
        <v>32449.02</v>
      </c>
      <c r="V31" s="22">
        <v>33000.839999999997</v>
      </c>
      <c r="W31" s="22">
        <v>35014.78</v>
      </c>
      <c r="X31" s="22">
        <v>37038.11</v>
      </c>
      <c r="Y31" s="22">
        <v>41695.519999999997</v>
      </c>
      <c r="Z31" s="22">
        <v>42592.12</v>
      </c>
      <c r="AA31" s="22">
        <v>42000</v>
      </c>
      <c r="AB31" s="22">
        <v>42000</v>
      </c>
      <c r="AC31" s="22">
        <v>42000</v>
      </c>
      <c r="AD31" s="22">
        <v>42000</v>
      </c>
      <c r="AE31" s="23">
        <v>42000</v>
      </c>
      <c r="AF31" s="23">
        <v>42000</v>
      </c>
    </row>
    <row r="32" spans="1:32" ht="15.75">
      <c r="A32" s="16" t="s">
        <v>583</v>
      </c>
      <c r="B32" s="17" t="s">
        <v>645</v>
      </c>
      <c r="C32" s="18" t="s">
        <v>694</v>
      </c>
      <c r="D32" s="21">
        <v>0.38500000000000001</v>
      </c>
      <c r="E32" s="21">
        <v>0.38500000000000001</v>
      </c>
      <c r="F32" s="21">
        <v>0.38500000000000001</v>
      </c>
      <c r="G32" s="21">
        <v>0.38500000000000001</v>
      </c>
      <c r="H32" s="21">
        <v>0.38500000000000001</v>
      </c>
      <c r="I32" s="21">
        <v>0.38500000000000001</v>
      </c>
      <c r="J32" s="21">
        <v>0.38500000000000001</v>
      </c>
      <c r="K32" s="21">
        <v>0.38500000000000001</v>
      </c>
      <c r="L32" s="21">
        <v>0.38500000000000001</v>
      </c>
      <c r="M32" s="21">
        <v>0.38500000000000001</v>
      </c>
      <c r="N32" s="21">
        <v>0.3851</v>
      </c>
      <c r="O32" s="21">
        <v>0.3851</v>
      </c>
      <c r="P32" s="21">
        <v>0.38500000000000001</v>
      </c>
      <c r="Q32" s="21">
        <v>0.38500000000000001</v>
      </c>
      <c r="R32" s="22">
        <v>0.38500000000000001</v>
      </c>
      <c r="S32" s="22">
        <v>0.38500000000000001</v>
      </c>
      <c r="T32" s="22">
        <v>0.3851</v>
      </c>
      <c r="U32" s="22">
        <v>0.3851</v>
      </c>
      <c r="V32" s="22">
        <v>0.3851</v>
      </c>
      <c r="W32" s="22">
        <v>0.38500000000000001</v>
      </c>
      <c r="X32" s="22">
        <v>0.38500000000000001</v>
      </c>
      <c r="Y32" s="22">
        <v>0.38500000000000001</v>
      </c>
      <c r="Z32" s="22">
        <v>0.38500000000000001</v>
      </c>
      <c r="AA32" s="22">
        <v>0.38500000000000001</v>
      </c>
      <c r="AB32" s="22">
        <v>0.38500000000000001</v>
      </c>
      <c r="AC32" s="22">
        <v>0.38500000000000001</v>
      </c>
      <c r="AD32" s="22">
        <v>0.38500000000000001</v>
      </c>
      <c r="AE32" s="23">
        <v>0.38500000000000001</v>
      </c>
      <c r="AF32" s="23">
        <v>0.38500000000000001</v>
      </c>
    </row>
    <row r="33" spans="1:32" ht="15.75">
      <c r="A33" s="16" t="s">
        <v>571</v>
      </c>
      <c r="B33" s="17" t="s">
        <v>644</v>
      </c>
      <c r="C33" s="18" t="s">
        <v>695</v>
      </c>
      <c r="D33" s="21">
        <v>3.6406999999999998</v>
      </c>
      <c r="E33" s="21">
        <v>3.6408999999999998</v>
      </c>
      <c r="F33" s="21">
        <v>3.6410999999999998</v>
      </c>
      <c r="G33" s="21">
        <v>3.641</v>
      </c>
      <c r="H33" s="21">
        <v>3.6415000000000002</v>
      </c>
      <c r="I33" s="21">
        <v>3.6408</v>
      </c>
      <c r="J33" s="21">
        <v>3.6410999999999998</v>
      </c>
      <c r="K33" s="21">
        <v>3.6415000000000002</v>
      </c>
      <c r="L33" s="21">
        <v>3.6414</v>
      </c>
      <c r="M33" s="21">
        <v>3.6404000000000001</v>
      </c>
      <c r="N33" s="21">
        <v>3.6413000000000002</v>
      </c>
      <c r="O33" s="21">
        <v>3.6408</v>
      </c>
      <c r="P33" s="21">
        <v>3.6413000000000002</v>
      </c>
      <c r="Q33" s="21">
        <v>3.6408</v>
      </c>
      <c r="R33" s="22">
        <v>3.6413000000000002</v>
      </c>
      <c r="S33" s="22">
        <v>3.6413000000000002</v>
      </c>
      <c r="T33" s="22">
        <v>3.6412</v>
      </c>
      <c r="U33" s="22">
        <v>3.6528</v>
      </c>
      <c r="V33" s="22">
        <v>3.6736</v>
      </c>
      <c r="W33" s="22">
        <v>3.6978</v>
      </c>
      <c r="X33" s="22">
        <v>3.6417999999999999</v>
      </c>
      <c r="Y33" s="22">
        <v>3.6410999999999998</v>
      </c>
      <c r="Z33" s="22">
        <v>3.6410999999999998</v>
      </c>
      <c r="AA33" s="22">
        <v>3.6410999999999998</v>
      </c>
      <c r="AB33" s="22">
        <v>3.6412</v>
      </c>
      <c r="AC33" s="22">
        <v>3.6425000000000001</v>
      </c>
      <c r="AD33" s="22">
        <v>3.6442000000000001</v>
      </c>
      <c r="AE33" s="23">
        <v>3.6442000000000001</v>
      </c>
      <c r="AF33" s="23">
        <v>3.6442000000000001</v>
      </c>
    </row>
    <row r="34" spans="1:32" ht="15.75">
      <c r="A34" s="16" t="s">
        <v>484</v>
      </c>
      <c r="B34" s="17" t="s">
        <v>630</v>
      </c>
      <c r="C34" s="18" t="s">
        <v>696</v>
      </c>
      <c r="D34" s="21">
        <v>3.673</v>
      </c>
      <c r="E34" s="21">
        <v>3.673</v>
      </c>
      <c r="F34" s="21">
        <v>3.673</v>
      </c>
      <c r="G34" s="21">
        <v>3.673</v>
      </c>
      <c r="H34" s="21">
        <v>3.673</v>
      </c>
      <c r="I34" s="21">
        <v>3.673</v>
      </c>
      <c r="J34" s="21">
        <v>3.673</v>
      </c>
      <c r="K34" s="21">
        <v>3.673</v>
      </c>
      <c r="L34" s="21">
        <v>3.673</v>
      </c>
      <c r="M34" s="21">
        <v>3.673</v>
      </c>
      <c r="N34" s="21">
        <v>3.6728999999999998</v>
      </c>
      <c r="O34" s="21">
        <v>3.6728999999999998</v>
      </c>
      <c r="P34" s="21">
        <v>3.6728999999999998</v>
      </c>
      <c r="Q34" s="21">
        <v>3.673</v>
      </c>
      <c r="R34" s="22">
        <v>3.673</v>
      </c>
      <c r="S34" s="22">
        <v>3.673</v>
      </c>
      <c r="T34" s="22">
        <v>3.6728999999999998</v>
      </c>
      <c r="U34" s="22">
        <v>3.6728999999999998</v>
      </c>
      <c r="V34" s="22">
        <v>3.673</v>
      </c>
      <c r="W34" s="22">
        <v>3.6728999999999998</v>
      </c>
      <c r="X34" s="22">
        <v>3.673</v>
      </c>
      <c r="Y34" s="22">
        <v>3.6730999999999998</v>
      </c>
      <c r="Z34" s="22">
        <v>3.6732</v>
      </c>
      <c r="AA34" s="22">
        <v>3.6730999999999998</v>
      </c>
      <c r="AB34" s="22">
        <v>3.6730999999999998</v>
      </c>
      <c r="AC34" s="22">
        <v>3.6730999999999998</v>
      </c>
      <c r="AD34" s="22">
        <v>3.6730999999999998</v>
      </c>
      <c r="AE34" s="23">
        <v>3.6730999999999998</v>
      </c>
      <c r="AF34" s="23">
        <v>3.6730999999999998</v>
      </c>
    </row>
    <row r="35" spans="1:32" ht="15.75">
      <c r="A35" s="16" t="s">
        <v>546</v>
      </c>
      <c r="B35" s="17" t="s">
        <v>640</v>
      </c>
      <c r="C35" s="18" t="s">
        <v>697</v>
      </c>
      <c r="D35" s="21">
        <v>3.7503000000000002</v>
      </c>
      <c r="E35" s="21">
        <v>3.7502</v>
      </c>
      <c r="F35" s="21">
        <v>3.7504</v>
      </c>
      <c r="G35" s="21">
        <v>3.7504</v>
      </c>
      <c r="H35" s="21">
        <v>3.7504</v>
      </c>
      <c r="I35" s="21">
        <v>3.7505000000000002</v>
      </c>
      <c r="J35" s="21">
        <v>3.7505000000000002</v>
      </c>
      <c r="K35" s="21">
        <v>3.7522000000000002</v>
      </c>
      <c r="L35" s="21">
        <v>3.7526999999999999</v>
      </c>
      <c r="M35" s="21">
        <v>3.7503000000000002</v>
      </c>
      <c r="N35" s="21">
        <v>3.7503000000000002</v>
      </c>
      <c r="O35" s="21">
        <v>3.7507999999999999</v>
      </c>
      <c r="P35" s="21">
        <v>3.7507000000000001</v>
      </c>
      <c r="Q35" s="21">
        <v>3.7503000000000002</v>
      </c>
      <c r="R35" s="22">
        <v>3.7507000000000001</v>
      </c>
      <c r="S35" s="22">
        <v>3.7507999999999999</v>
      </c>
      <c r="T35" s="22">
        <v>3.7504</v>
      </c>
      <c r="U35" s="22">
        <v>3.7503000000000002</v>
      </c>
      <c r="V35" s="22">
        <v>3.7502</v>
      </c>
      <c r="W35" s="22">
        <v>3.7503000000000002</v>
      </c>
      <c r="X35" s="22">
        <v>3.7503000000000002</v>
      </c>
      <c r="Y35" s="22">
        <v>3.7503000000000002</v>
      </c>
      <c r="Z35" s="22">
        <v>3.7505000000000002</v>
      </c>
      <c r="AA35" s="22">
        <v>3.7513999999999998</v>
      </c>
      <c r="AB35" s="22">
        <v>3.7505000000000002</v>
      </c>
      <c r="AC35" s="22">
        <v>3.7503000000000002</v>
      </c>
      <c r="AD35" s="22">
        <v>3.7507999999999999</v>
      </c>
      <c r="AE35" s="23">
        <v>3.7507999999999999</v>
      </c>
      <c r="AF35" s="23">
        <v>3.7507999999999999</v>
      </c>
    </row>
    <row r="36" spans="1:32" ht="15.75">
      <c r="A36" s="16" t="s">
        <v>500</v>
      </c>
      <c r="B36" s="17" t="s">
        <v>634</v>
      </c>
      <c r="C36" s="18" t="s">
        <v>698</v>
      </c>
      <c r="D36" s="21">
        <v>54.179000000000002</v>
      </c>
      <c r="E36" s="21">
        <v>55.828000000000003</v>
      </c>
      <c r="F36" s="21">
        <v>62.087000000000003</v>
      </c>
      <c r="G36" s="21">
        <v>61.994999999999997</v>
      </c>
      <c r="H36" s="21">
        <v>61.756</v>
      </c>
      <c r="I36" s="21">
        <v>59.808999999999997</v>
      </c>
      <c r="J36" s="21">
        <v>60.578000000000003</v>
      </c>
      <c r="K36" s="21">
        <v>61.951000000000001</v>
      </c>
      <c r="L36" s="21">
        <v>62.23</v>
      </c>
      <c r="M36" s="21">
        <v>63.378999999999998</v>
      </c>
      <c r="N36" s="21">
        <v>64.951999999999998</v>
      </c>
      <c r="O36" s="21">
        <v>65.888999999999996</v>
      </c>
      <c r="P36" s="21">
        <v>67.47</v>
      </c>
      <c r="Q36" s="21">
        <v>66.882999999999996</v>
      </c>
      <c r="R36" s="22">
        <v>66.930999999999997</v>
      </c>
      <c r="S36" s="22">
        <v>67.418999999999997</v>
      </c>
      <c r="T36" s="22">
        <v>66.933999999999997</v>
      </c>
      <c r="U36" s="22">
        <v>64.477999999999994</v>
      </c>
      <c r="V36" s="22">
        <v>64.287000000000006</v>
      </c>
      <c r="W36" s="22">
        <v>64.722999999999999</v>
      </c>
      <c r="X36" s="22">
        <v>64.361999999999995</v>
      </c>
      <c r="Y36" s="22">
        <v>67.022000000000006</v>
      </c>
      <c r="Z36" s="22">
        <v>70.106999999999999</v>
      </c>
      <c r="AA36" s="22">
        <v>72.076999999999998</v>
      </c>
      <c r="AB36" s="22">
        <v>70.45</v>
      </c>
      <c r="AC36" s="22">
        <v>69.539000000000001</v>
      </c>
      <c r="AD36" s="22">
        <v>70.394999999999996</v>
      </c>
      <c r="AE36" s="23">
        <v>70.394999999999996</v>
      </c>
      <c r="AF36" s="23">
        <v>70.394999999999996</v>
      </c>
    </row>
    <row r="37" spans="1:32" ht="15.75">
      <c r="A37" s="16" t="s">
        <v>568</v>
      </c>
      <c r="B37" s="17" t="s">
        <v>643</v>
      </c>
      <c r="C37" s="18" t="s">
        <v>699</v>
      </c>
      <c r="D37" s="21">
        <v>3.0808</v>
      </c>
      <c r="E37" s="21">
        <v>3.0686</v>
      </c>
      <c r="F37" s="21">
        <v>3.2179000000000002</v>
      </c>
      <c r="G37" s="21">
        <v>3.2086000000000001</v>
      </c>
      <c r="H37" s="21">
        <v>3.2976999999999999</v>
      </c>
      <c r="I37" s="21">
        <v>3.2347999999999999</v>
      </c>
      <c r="J37" s="21">
        <v>3.1920000000000002</v>
      </c>
      <c r="K37" s="21">
        <v>3.3656999999999999</v>
      </c>
      <c r="L37" s="21">
        <v>3.6206999999999998</v>
      </c>
      <c r="M37" s="21">
        <v>3.6587999999999998</v>
      </c>
      <c r="N37" s="21">
        <v>4.0566000000000004</v>
      </c>
      <c r="O37" s="21">
        <v>4.2828999999999997</v>
      </c>
      <c r="P37" s="21">
        <v>4.1920999999999999</v>
      </c>
      <c r="Q37" s="21">
        <v>4.0083000000000002</v>
      </c>
      <c r="R37" s="22">
        <v>4.05</v>
      </c>
      <c r="S37" s="22">
        <v>4.3261000000000003</v>
      </c>
      <c r="T37" s="22">
        <v>4.4459999999999997</v>
      </c>
      <c r="U37" s="22">
        <v>4.3303000000000003</v>
      </c>
      <c r="V37" s="22">
        <v>4.2628000000000004</v>
      </c>
      <c r="W37" s="22">
        <v>4.1596000000000002</v>
      </c>
      <c r="X37" s="22">
        <v>3.9247999999999998</v>
      </c>
      <c r="Y37" s="22">
        <v>3.9497</v>
      </c>
      <c r="Z37" s="22">
        <v>4.0930999999999997</v>
      </c>
      <c r="AA37" s="22">
        <v>4.1715999999999998</v>
      </c>
      <c r="AB37" s="22">
        <v>4.0926</v>
      </c>
      <c r="AC37" s="22">
        <v>4.1483999999999996</v>
      </c>
      <c r="AD37" s="22">
        <v>4.1646999999999998</v>
      </c>
      <c r="AE37" s="23">
        <v>4.1646999999999998</v>
      </c>
      <c r="AF37" s="23">
        <v>4.1646999999999998</v>
      </c>
    </row>
    <row r="38" spans="1:32" ht="15.75">
      <c r="A38" s="16" t="s">
        <v>513</v>
      </c>
      <c r="B38" s="17" t="s">
        <v>635</v>
      </c>
      <c r="C38" s="18" t="s">
        <v>700</v>
      </c>
      <c r="D38" s="21">
        <v>9686.4306493506465</v>
      </c>
      <c r="E38" s="21">
        <v>9787.2822857142874</v>
      </c>
      <c r="F38" s="21">
        <v>10618.585492957745</v>
      </c>
      <c r="G38" s="21">
        <v>11672.833720930232</v>
      </c>
      <c r="H38" s="21">
        <v>11845.145555555557</v>
      </c>
      <c r="I38" s="21">
        <v>11628.590333333337</v>
      </c>
      <c r="J38" s="21">
        <v>11772.93152173913</v>
      </c>
      <c r="K38" s="21">
        <v>12191.87424657534</v>
      </c>
      <c r="L38" s="21">
        <v>12815.189534883719</v>
      </c>
      <c r="M38" s="21">
        <v>13121.330111111105</v>
      </c>
      <c r="N38" s="21">
        <v>13842.753111111109</v>
      </c>
      <c r="O38" s="21">
        <v>13770.243043478264</v>
      </c>
      <c r="P38" s="21">
        <v>13512.318461538467</v>
      </c>
      <c r="Q38" s="21">
        <v>13318.761978021979</v>
      </c>
      <c r="R38" s="22">
        <v>13121.11446153846</v>
      </c>
      <c r="S38" s="22">
        <v>13250.8</v>
      </c>
      <c r="T38" s="22">
        <v>13349.2</v>
      </c>
      <c r="U38" s="22">
        <v>13310.6</v>
      </c>
      <c r="V38" s="22">
        <v>13332.7</v>
      </c>
      <c r="W38" s="22">
        <v>13537.8</v>
      </c>
      <c r="X38" s="22">
        <v>13579.2</v>
      </c>
      <c r="Y38" s="22">
        <v>13953.6</v>
      </c>
      <c r="Z38" s="22">
        <v>14605</v>
      </c>
      <c r="AA38" s="22">
        <v>14787.6</v>
      </c>
      <c r="AB38" s="22">
        <v>14135.4</v>
      </c>
      <c r="AC38" s="22">
        <v>14251.5</v>
      </c>
      <c r="AD38" s="22">
        <v>14120.2</v>
      </c>
      <c r="AE38" s="23">
        <v>14120.2</v>
      </c>
      <c r="AF38" s="23">
        <v>14120.2</v>
      </c>
    </row>
    <row r="39" spans="1:32" ht="15.75">
      <c r="A39" s="16" t="s">
        <v>19</v>
      </c>
      <c r="B39" s="17" t="s">
        <v>614</v>
      </c>
      <c r="C39" s="18" t="s">
        <v>701</v>
      </c>
      <c r="D39" s="21">
        <v>6.2240000000000002</v>
      </c>
      <c r="E39" s="21">
        <v>6.1559999999999997</v>
      </c>
      <c r="F39" s="21">
        <v>6.125</v>
      </c>
      <c r="G39" s="21">
        <v>6.0940000000000003</v>
      </c>
      <c r="H39" s="21">
        <v>6.0919999999999996</v>
      </c>
      <c r="I39" s="21">
        <v>6.2329999999999997</v>
      </c>
      <c r="J39" s="21">
        <v>6.1669999999999998</v>
      </c>
      <c r="K39" s="21">
        <v>6.1486000000000001</v>
      </c>
      <c r="L39" s="21">
        <v>6.2380000000000004</v>
      </c>
      <c r="M39" s="21">
        <v>6.2060000000000004</v>
      </c>
      <c r="N39" s="21">
        <v>6.2960000000000003</v>
      </c>
      <c r="O39" s="21">
        <v>6.3739999999999997</v>
      </c>
      <c r="P39" s="21">
        <v>6.5510000000000002</v>
      </c>
      <c r="Q39" s="21">
        <v>6.5220000000000002</v>
      </c>
      <c r="R39" s="22">
        <v>6.6669999999999998</v>
      </c>
      <c r="S39" s="22">
        <v>6.8330000000000002</v>
      </c>
      <c r="T39" s="22">
        <v>6.8890000000000002</v>
      </c>
      <c r="U39" s="22">
        <v>6.867</v>
      </c>
      <c r="V39" s="22">
        <v>6.6769999999999996</v>
      </c>
      <c r="W39" s="22">
        <v>6.6130000000000004</v>
      </c>
      <c r="X39" s="22">
        <v>6.3689999999999998</v>
      </c>
      <c r="Y39" s="22">
        <v>6.3789999999999996</v>
      </c>
      <c r="Z39" s="22">
        <v>6.8019999999999996</v>
      </c>
      <c r="AA39" s="22">
        <v>6.92</v>
      </c>
      <c r="AB39" s="22">
        <v>6.7489999999999997</v>
      </c>
      <c r="AC39" s="22">
        <v>6.8220000000000001</v>
      </c>
      <c r="AD39" s="22">
        <v>7.0117000000000003</v>
      </c>
      <c r="AE39" s="23">
        <v>7.0117000000000003</v>
      </c>
      <c r="AF39" s="23">
        <v>7</v>
      </c>
    </row>
    <row r="40" spans="1:32" ht="15.75">
      <c r="A40" s="16" t="s">
        <v>466</v>
      </c>
      <c r="B40" s="17" t="s">
        <v>628</v>
      </c>
      <c r="C40" s="18" t="s">
        <v>702</v>
      </c>
      <c r="D40" s="21">
        <v>0.96283458501829389</v>
      </c>
      <c r="E40" s="21">
        <v>1.0096930533117934</v>
      </c>
      <c r="F40" s="21">
        <v>1.0922992900054616</v>
      </c>
      <c r="G40" s="21">
        <v>1.0783996549121104</v>
      </c>
      <c r="H40" s="21">
        <v>1.1353315168029063</v>
      </c>
      <c r="I40" s="21">
        <v>1.0718113612004287</v>
      </c>
      <c r="J40" s="21">
        <v>1.0813148788927336</v>
      </c>
      <c r="K40" s="21">
        <v>1.1701380762930025</v>
      </c>
      <c r="L40" s="21">
        <v>1.2690355329949239</v>
      </c>
      <c r="M40" s="21">
        <v>1.2953367875647668</v>
      </c>
      <c r="N40" s="21">
        <v>1.3740000000000001</v>
      </c>
      <c r="O40" s="21">
        <v>1.39</v>
      </c>
      <c r="P40" s="21">
        <v>1.399999440000224</v>
      </c>
      <c r="Q40" s="21">
        <v>1.3422818791946309</v>
      </c>
      <c r="R40" s="22">
        <v>1.321</v>
      </c>
      <c r="S40" s="22">
        <v>1.3360000000000001</v>
      </c>
      <c r="T40" s="22">
        <v>1.32</v>
      </c>
      <c r="U40" s="22">
        <v>1.3340000000000001</v>
      </c>
      <c r="V40" s="22">
        <v>1.2674271229404308</v>
      </c>
      <c r="W40" s="22">
        <v>1.302</v>
      </c>
      <c r="X40" s="22">
        <v>1.2669999999999999</v>
      </c>
      <c r="Y40" s="22">
        <v>1.3220000000000001</v>
      </c>
      <c r="Z40" s="22">
        <v>1.367</v>
      </c>
      <c r="AA40" s="22">
        <v>1.3919999999999999</v>
      </c>
      <c r="AB40" s="22">
        <v>1.4039999999999999</v>
      </c>
      <c r="AC40" s="22">
        <v>1.4285714285714286</v>
      </c>
      <c r="AD40" s="22">
        <v>1.4590000000000001</v>
      </c>
      <c r="AE40" s="23">
        <v>1.4590000000000001</v>
      </c>
      <c r="AF40" s="23">
        <v>1.4590000000000001</v>
      </c>
    </row>
    <row r="41" spans="1:32" ht="15.75">
      <c r="A41" s="16" t="s">
        <v>561</v>
      </c>
      <c r="B41" s="17" t="s">
        <v>641</v>
      </c>
      <c r="C41" s="18" t="s">
        <v>703</v>
      </c>
      <c r="D41" s="21">
        <v>1.1976047904191618</v>
      </c>
      <c r="E41" s="21">
        <v>1.2106537530266344</v>
      </c>
      <c r="F41" s="21">
        <v>1.2531328320802004</v>
      </c>
      <c r="G41" s="21">
        <v>1.2165450121654502</v>
      </c>
      <c r="H41" s="21">
        <v>1.1764705882352942</v>
      </c>
      <c r="I41" s="21">
        <v>1.1668611435239207</v>
      </c>
      <c r="J41" s="21">
        <v>1.1806375442739079</v>
      </c>
      <c r="K41" s="21">
        <v>1.287001287001287</v>
      </c>
      <c r="L41" s="21">
        <v>1.3297872340425532</v>
      </c>
      <c r="M41" s="21">
        <v>1.3586956521739131</v>
      </c>
      <c r="N41" s="21">
        <v>1.5319999999999998</v>
      </c>
      <c r="O41" s="21">
        <v>1.506024096385542</v>
      </c>
      <c r="P41" s="21">
        <v>1.5105740181268881</v>
      </c>
      <c r="Q41" s="21">
        <v>1.4534180962713161</v>
      </c>
      <c r="R41" s="22">
        <v>1.3869625520110958</v>
      </c>
      <c r="S41" s="22">
        <v>1.4072013647364201</v>
      </c>
      <c r="T41" s="22">
        <v>1.4059999999999999</v>
      </c>
      <c r="U41" s="22">
        <v>1.4249073810202337</v>
      </c>
      <c r="V41" s="22">
        <v>1.367</v>
      </c>
      <c r="W41" s="22">
        <v>1.4359999999999999</v>
      </c>
      <c r="X41" s="22">
        <v>1.3736263736263736</v>
      </c>
      <c r="Y41" s="22">
        <v>1.419</v>
      </c>
      <c r="Z41" s="22">
        <v>1.4961101137043686</v>
      </c>
      <c r="AA41" s="22">
        <v>1.494</v>
      </c>
      <c r="AB41" s="22">
        <v>1.4670000000000001</v>
      </c>
      <c r="AC41" s="22">
        <v>1.5105740181268881</v>
      </c>
      <c r="AD41" s="22">
        <v>1.542</v>
      </c>
      <c r="AE41" s="23">
        <v>1.542</v>
      </c>
      <c r="AF41" s="23">
        <v>1.542</v>
      </c>
    </row>
    <row r="42" spans="1:32" ht="15.75">
      <c r="A42" s="16" t="s">
        <v>421</v>
      </c>
      <c r="B42" s="20" t="s">
        <v>619</v>
      </c>
      <c r="C42" s="18" t="s">
        <v>704</v>
      </c>
      <c r="D42" s="21">
        <v>5.3324675324675397</v>
      </c>
      <c r="E42" s="21">
        <v>6.29</v>
      </c>
      <c r="F42" s="21">
        <v>6.29</v>
      </c>
      <c r="G42" s="21">
        <v>6.29</v>
      </c>
      <c r="H42" s="21">
        <v>6.29</v>
      </c>
      <c r="I42" s="21">
        <v>6.29</v>
      </c>
      <c r="J42" s="21">
        <v>6.2922826086956558</v>
      </c>
      <c r="K42" s="21">
        <v>6.2968493150685001</v>
      </c>
      <c r="L42" s="21">
        <v>6.35</v>
      </c>
      <c r="M42" s="21">
        <v>6.35</v>
      </c>
      <c r="N42" s="21">
        <v>6.35</v>
      </c>
      <c r="O42" s="21">
        <v>6.35</v>
      </c>
      <c r="P42" s="21">
        <v>6.35</v>
      </c>
      <c r="Q42" s="21">
        <v>9.9512087912088063</v>
      </c>
      <c r="R42" s="22">
        <v>9.9735384615384746</v>
      </c>
      <c r="S42" s="22">
        <v>9.9750000000000139</v>
      </c>
      <c r="T42" s="22">
        <v>9.9753623188405918</v>
      </c>
      <c r="U42" s="22">
        <v>9.9730952380952544</v>
      </c>
      <c r="V42" s="22">
        <v>9.9732530120482092</v>
      </c>
      <c r="W42" s="22">
        <v>9.9730379746835602</v>
      </c>
      <c r="X42" s="22">
        <v>21249.288999999993</v>
      </c>
      <c r="Y42" s="22">
        <v>70323.335555555561</v>
      </c>
      <c r="Z42" s="25">
        <v>70323.335555555561</v>
      </c>
      <c r="AA42" s="25">
        <v>70323.335555555561</v>
      </c>
      <c r="AB42" s="25">
        <v>70323.335555555561</v>
      </c>
      <c r="AC42" s="25">
        <v>70323.335555555561</v>
      </c>
      <c r="AD42" s="25">
        <v>70323.335555555561</v>
      </c>
      <c r="AE42" s="23">
        <v>70323.335555555561</v>
      </c>
      <c r="AF42" s="23">
        <v>70323.335555555561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301"/>
  <sheetViews>
    <sheetView workbookViewId="0">
      <selection activeCell="F1" sqref="F1"/>
    </sheetView>
  </sheetViews>
  <sheetFormatPr defaultRowHeight="15"/>
  <sheetData>
    <row r="1" spans="2:35" ht="56.25">
      <c r="B1" s="12" t="s">
        <v>1</v>
      </c>
      <c r="C1" s="12" t="s">
        <v>2</v>
      </c>
      <c r="D1" s="12" t="s">
        <v>7</v>
      </c>
      <c r="E1" s="12" t="s">
        <v>646</v>
      </c>
      <c r="F1" s="26" t="s">
        <v>705</v>
      </c>
      <c r="G1" s="12" t="s">
        <v>647</v>
      </c>
      <c r="H1" s="12" t="s">
        <v>648</v>
      </c>
      <c r="I1" s="12" t="s">
        <v>649</v>
      </c>
      <c r="J1" s="12" t="s">
        <v>650</v>
      </c>
      <c r="K1" s="12" t="s">
        <v>651</v>
      </c>
      <c r="L1" s="12" t="s">
        <v>652</v>
      </c>
      <c r="M1" s="12" t="s">
        <v>653</v>
      </c>
      <c r="N1" s="12" t="s">
        <v>654</v>
      </c>
      <c r="O1" s="12" t="s">
        <v>655</v>
      </c>
      <c r="P1" s="12" t="s">
        <v>656</v>
      </c>
      <c r="Q1" s="12" t="s">
        <v>657</v>
      </c>
      <c r="R1" s="12" t="s">
        <v>658</v>
      </c>
      <c r="S1" s="12" t="s">
        <v>659</v>
      </c>
      <c r="T1" s="12" t="s">
        <v>660</v>
      </c>
      <c r="U1" s="12" t="s">
        <v>661</v>
      </c>
      <c r="V1" s="12" t="s">
        <v>662</v>
      </c>
      <c r="W1" s="12" t="s">
        <v>663</v>
      </c>
      <c r="X1" s="12" t="s">
        <v>664</v>
      </c>
      <c r="Y1" s="12" t="s">
        <v>665</v>
      </c>
      <c r="Z1" s="12" t="s">
        <v>666</v>
      </c>
      <c r="AA1" s="12" t="s">
        <v>667</v>
      </c>
      <c r="AB1" s="12" t="s">
        <v>668</v>
      </c>
      <c r="AC1" s="12" t="s">
        <v>669</v>
      </c>
      <c r="AD1" s="12" t="s">
        <v>670</v>
      </c>
      <c r="AE1" s="12" t="s">
        <v>671</v>
      </c>
      <c r="AF1" s="12" t="s">
        <v>672</v>
      </c>
      <c r="AG1" s="12" t="s">
        <v>673</v>
      </c>
      <c r="AH1" s="12" t="s">
        <v>674</v>
      </c>
      <c r="AI1" s="13" t="s">
        <v>0</v>
      </c>
    </row>
    <row r="2" spans="2:35">
      <c r="B2">
        <v>1</v>
      </c>
      <c r="C2" t="s">
        <v>16</v>
      </c>
      <c r="D2" t="s">
        <v>19</v>
      </c>
      <c r="E2" t="s">
        <v>706</v>
      </c>
      <c r="F2" s="27">
        <v>2015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300</v>
      </c>
      <c r="P2" s="28">
        <v>300</v>
      </c>
      <c r="Q2" s="28">
        <v>300</v>
      </c>
      <c r="R2" s="28">
        <v>300</v>
      </c>
      <c r="S2" s="28">
        <v>300</v>
      </c>
      <c r="T2" s="28">
        <v>300</v>
      </c>
      <c r="U2" s="28">
        <v>300</v>
      </c>
      <c r="V2" s="28">
        <v>300</v>
      </c>
      <c r="W2" s="28">
        <v>400</v>
      </c>
      <c r="X2" s="28">
        <v>400</v>
      </c>
      <c r="Y2" s="28">
        <v>400</v>
      </c>
      <c r="Z2" s="28">
        <v>400</v>
      </c>
      <c r="AA2" s="28">
        <v>450</v>
      </c>
      <c r="AB2" s="28">
        <v>450</v>
      </c>
      <c r="AC2" s="28">
        <v>450</v>
      </c>
      <c r="AD2" s="28">
        <v>450</v>
      </c>
      <c r="AE2" s="28">
        <v>450</v>
      </c>
      <c r="AF2" s="28">
        <v>450</v>
      </c>
      <c r="AG2" s="28">
        <v>450</v>
      </c>
      <c r="AH2" s="29">
        <f>AG2</f>
        <v>450</v>
      </c>
      <c r="AI2" s="29">
        <f>AH2</f>
        <v>450</v>
      </c>
    </row>
    <row r="3" spans="2:35">
      <c r="B3">
        <v>2</v>
      </c>
      <c r="C3" t="s">
        <v>23</v>
      </c>
      <c r="D3" t="s">
        <v>19</v>
      </c>
      <c r="E3" t="s">
        <v>706</v>
      </c>
      <c r="F3" s="27">
        <v>2003</v>
      </c>
      <c r="G3" s="28">
        <v>200</v>
      </c>
      <c r="H3" s="28">
        <v>200</v>
      </c>
      <c r="I3" s="28">
        <v>200</v>
      </c>
      <c r="J3" s="28">
        <v>200</v>
      </c>
      <c r="K3" s="28">
        <v>200</v>
      </c>
      <c r="L3" s="28">
        <v>200</v>
      </c>
      <c r="M3" s="28">
        <v>200</v>
      </c>
      <c r="N3" s="28">
        <v>200</v>
      </c>
      <c r="O3" s="28">
        <v>200</v>
      </c>
      <c r="P3" s="28">
        <v>200</v>
      </c>
      <c r="Q3" s="28">
        <v>200</v>
      </c>
      <c r="R3" s="28">
        <v>200</v>
      </c>
      <c r="S3" s="28">
        <v>200</v>
      </c>
      <c r="T3" s="28">
        <v>200</v>
      </c>
      <c r="U3" s="28">
        <v>200</v>
      </c>
      <c r="V3" s="28">
        <v>200</v>
      </c>
      <c r="W3" s="28">
        <v>200</v>
      </c>
      <c r="X3" s="28">
        <v>200</v>
      </c>
      <c r="Y3" s="28">
        <v>200</v>
      </c>
      <c r="Z3" s="28">
        <v>200</v>
      </c>
      <c r="AA3" s="28">
        <v>200</v>
      </c>
      <c r="AB3" s="28">
        <v>200</v>
      </c>
      <c r="AC3" s="28">
        <v>200</v>
      </c>
      <c r="AD3" s="28">
        <v>200</v>
      </c>
      <c r="AE3" s="28">
        <v>200</v>
      </c>
      <c r="AF3" s="28">
        <v>200</v>
      </c>
      <c r="AG3" s="28">
        <v>200</v>
      </c>
      <c r="AH3" s="29">
        <f t="shared" ref="AH3:AI66" si="0">AG3</f>
        <v>200</v>
      </c>
      <c r="AI3" s="29">
        <f t="shared" si="0"/>
        <v>200</v>
      </c>
    </row>
    <row r="4" spans="2:35">
      <c r="B4">
        <v>3</v>
      </c>
      <c r="C4" t="s">
        <v>26</v>
      </c>
      <c r="D4" t="s">
        <v>19</v>
      </c>
      <c r="E4" t="s">
        <v>706</v>
      </c>
      <c r="F4" s="27">
        <v>2001</v>
      </c>
      <c r="G4" s="28">
        <v>507</v>
      </c>
      <c r="H4" s="28">
        <v>507</v>
      </c>
      <c r="I4" s="28">
        <v>507</v>
      </c>
      <c r="J4" s="28">
        <v>507</v>
      </c>
      <c r="K4" s="28">
        <v>507</v>
      </c>
      <c r="L4" s="28">
        <v>507</v>
      </c>
      <c r="M4" s="28">
        <v>507</v>
      </c>
      <c r="N4" s="28">
        <v>507</v>
      </c>
      <c r="O4" s="28">
        <v>557</v>
      </c>
      <c r="P4" s="28">
        <v>557</v>
      </c>
      <c r="Q4" s="28">
        <v>557</v>
      </c>
      <c r="R4" s="28">
        <v>557</v>
      </c>
      <c r="S4" s="28">
        <v>557</v>
      </c>
      <c r="T4" s="28">
        <v>557</v>
      </c>
      <c r="U4" s="28">
        <v>557</v>
      </c>
      <c r="V4" s="28">
        <v>557</v>
      </c>
      <c r="W4" s="28">
        <v>557</v>
      </c>
      <c r="X4" s="28">
        <v>557</v>
      </c>
      <c r="Y4" s="28">
        <v>557</v>
      </c>
      <c r="Z4" s="28">
        <v>557</v>
      </c>
      <c r="AA4" s="28">
        <v>557</v>
      </c>
      <c r="AB4" s="28">
        <v>557</v>
      </c>
      <c r="AC4" s="28">
        <v>557</v>
      </c>
      <c r="AD4" s="28">
        <v>557</v>
      </c>
      <c r="AE4" s="28">
        <v>557</v>
      </c>
      <c r="AF4" s="28">
        <v>557</v>
      </c>
      <c r="AG4" s="28">
        <v>557</v>
      </c>
      <c r="AH4" s="29">
        <f t="shared" si="0"/>
        <v>557</v>
      </c>
      <c r="AI4" s="29">
        <f t="shared" si="0"/>
        <v>557</v>
      </c>
    </row>
    <row r="5" spans="2:35">
      <c r="B5">
        <v>4</v>
      </c>
      <c r="C5" t="s">
        <v>32</v>
      </c>
      <c r="D5" t="s">
        <v>19</v>
      </c>
      <c r="E5" t="s">
        <v>706</v>
      </c>
      <c r="F5" s="27">
        <v>2001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125</v>
      </c>
      <c r="X5" s="28">
        <v>125</v>
      </c>
      <c r="Y5" s="28">
        <v>125</v>
      </c>
      <c r="Z5" s="28">
        <v>125</v>
      </c>
      <c r="AA5" s="28">
        <v>125</v>
      </c>
      <c r="AB5" s="28">
        <v>125</v>
      </c>
      <c r="AC5" s="28">
        <v>125</v>
      </c>
      <c r="AD5" s="28">
        <v>125</v>
      </c>
      <c r="AE5" s="28">
        <v>125</v>
      </c>
      <c r="AF5" s="28">
        <v>125</v>
      </c>
      <c r="AG5" s="28">
        <v>125</v>
      </c>
      <c r="AH5" s="29">
        <f t="shared" si="0"/>
        <v>125</v>
      </c>
      <c r="AI5" s="29">
        <f t="shared" si="0"/>
        <v>125</v>
      </c>
    </row>
    <row r="6" spans="2:35">
      <c r="B6">
        <v>5</v>
      </c>
      <c r="C6" t="s">
        <v>38</v>
      </c>
      <c r="D6" t="s">
        <v>19</v>
      </c>
      <c r="E6" t="s">
        <v>706</v>
      </c>
      <c r="F6" s="27">
        <v>2006</v>
      </c>
      <c r="G6" s="28">
        <v>219</v>
      </c>
      <c r="H6" s="28">
        <v>219</v>
      </c>
      <c r="I6" s="28">
        <v>219</v>
      </c>
      <c r="J6" s="28">
        <v>219</v>
      </c>
      <c r="K6" s="28">
        <v>219</v>
      </c>
      <c r="L6" s="28">
        <v>219</v>
      </c>
      <c r="M6" s="28">
        <v>219</v>
      </c>
      <c r="N6" s="28">
        <v>219</v>
      </c>
      <c r="O6" s="28">
        <v>219</v>
      </c>
      <c r="P6" s="28">
        <v>219</v>
      </c>
      <c r="Q6" s="28">
        <v>219</v>
      </c>
      <c r="R6" s="28">
        <v>219</v>
      </c>
      <c r="S6" s="28">
        <v>219</v>
      </c>
      <c r="T6" s="28">
        <v>219</v>
      </c>
      <c r="U6" s="28">
        <v>219</v>
      </c>
      <c r="V6" s="28">
        <v>219</v>
      </c>
      <c r="W6" s="28">
        <v>219</v>
      </c>
      <c r="X6" s="28">
        <v>219</v>
      </c>
      <c r="Y6" s="28">
        <v>219</v>
      </c>
      <c r="Z6" s="28">
        <v>219</v>
      </c>
      <c r="AA6" s="28">
        <v>219</v>
      </c>
      <c r="AB6" s="28">
        <v>219</v>
      </c>
      <c r="AC6" s="28">
        <v>219</v>
      </c>
      <c r="AD6" s="28">
        <v>219</v>
      </c>
      <c r="AE6" s="28">
        <v>219</v>
      </c>
      <c r="AF6" s="28">
        <v>219</v>
      </c>
      <c r="AG6" s="28">
        <v>219</v>
      </c>
      <c r="AH6" s="29">
        <f t="shared" si="0"/>
        <v>219</v>
      </c>
      <c r="AI6" s="29">
        <f t="shared" si="0"/>
        <v>219</v>
      </c>
    </row>
    <row r="7" spans="2:35">
      <c r="B7">
        <v>6</v>
      </c>
      <c r="C7" t="s">
        <v>41</v>
      </c>
      <c r="D7" t="s">
        <v>19</v>
      </c>
      <c r="E7" t="s">
        <v>706</v>
      </c>
      <c r="F7" s="27">
        <v>1958</v>
      </c>
      <c r="G7" s="28">
        <v>430</v>
      </c>
      <c r="H7" s="28">
        <v>430</v>
      </c>
      <c r="I7" s="28">
        <v>430</v>
      </c>
      <c r="J7" s="28">
        <v>430</v>
      </c>
      <c r="K7" s="28">
        <v>430</v>
      </c>
      <c r="L7" s="28">
        <v>430</v>
      </c>
      <c r="M7" s="28">
        <v>430</v>
      </c>
      <c r="N7" s="28">
        <v>430</v>
      </c>
      <c r="O7" s="28">
        <v>430</v>
      </c>
      <c r="P7" s="28">
        <v>430</v>
      </c>
      <c r="Q7" s="28">
        <v>430</v>
      </c>
      <c r="R7" s="28">
        <v>430</v>
      </c>
      <c r="S7" s="28">
        <v>430</v>
      </c>
      <c r="T7" s="28">
        <v>430</v>
      </c>
      <c r="U7" s="28">
        <v>430</v>
      </c>
      <c r="V7" s="28">
        <v>430</v>
      </c>
      <c r="W7" s="28">
        <v>430</v>
      </c>
      <c r="X7" s="28">
        <v>430</v>
      </c>
      <c r="Y7" s="28">
        <v>430</v>
      </c>
      <c r="Z7" s="28">
        <v>430</v>
      </c>
      <c r="AA7" s="28">
        <v>430</v>
      </c>
      <c r="AB7" s="28">
        <v>430</v>
      </c>
      <c r="AC7" s="28">
        <v>430</v>
      </c>
      <c r="AD7" s="28">
        <v>430</v>
      </c>
      <c r="AE7" s="28">
        <v>430</v>
      </c>
      <c r="AF7" s="28">
        <v>430</v>
      </c>
      <c r="AG7" s="28">
        <v>430</v>
      </c>
      <c r="AH7" s="29">
        <f t="shared" si="0"/>
        <v>430</v>
      </c>
      <c r="AI7" s="29">
        <f t="shared" si="0"/>
        <v>430</v>
      </c>
    </row>
    <row r="8" spans="2:35">
      <c r="B8">
        <v>7</v>
      </c>
      <c r="C8" t="s">
        <v>44</v>
      </c>
      <c r="D8" t="s">
        <v>19</v>
      </c>
      <c r="E8" t="s">
        <v>706</v>
      </c>
      <c r="F8" s="27">
        <v>1974</v>
      </c>
      <c r="G8" s="28">
        <v>520</v>
      </c>
      <c r="H8" s="28">
        <v>520</v>
      </c>
      <c r="I8" s="28">
        <v>520</v>
      </c>
      <c r="J8" s="28">
        <v>520</v>
      </c>
      <c r="K8" s="28">
        <v>520</v>
      </c>
      <c r="L8" s="28">
        <v>520</v>
      </c>
      <c r="M8" s="28">
        <v>520</v>
      </c>
      <c r="N8" s="28">
        <v>520</v>
      </c>
      <c r="O8" s="28">
        <v>520</v>
      </c>
      <c r="P8" s="28">
        <v>520</v>
      </c>
      <c r="Q8" s="28">
        <v>520</v>
      </c>
      <c r="R8" s="28">
        <v>520</v>
      </c>
      <c r="S8" s="28">
        <v>520</v>
      </c>
      <c r="T8" s="28">
        <v>520</v>
      </c>
      <c r="U8" s="28">
        <v>520</v>
      </c>
      <c r="V8" s="28">
        <v>520</v>
      </c>
      <c r="W8" s="28">
        <v>520</v>
      </c>
      <c r="X8" s="28">
        <v>520</v>
      </c>
      <c r="Y8" s="28">
        <v>520</v>
      </c>
      <c r="Z8" s="28">
        <v>520</v>
      </c>
      <c r="AA8" s="28">
        <v>520</v>
      </c>
      <c r="AB8" s="28">
        <v>520</v>
      </c>
      <c r="AC8" s="28">
        <v>520</v>
      </c>
      <c r="AD8" s="28">
        <v>520</v>
      </c>
      <c r="AE8" s="28">
        <v>520</v>
      </c>
      <c r="AF8" s="28">
        <v>520</v>
      </c>
      <c r="AG8" s="28">
        <v>520</v>
      </c>
      <c r="AH8" s="29">
        <f t="shared" si="0"/>
        <v>520</v>
      </c>
      <c r="AI8" s="29">
        <f t="shared" si="0"/>
        <v>520</v>
      </c>
    </row>
    <row r="9" spans="2:35">
      <c r="B9">
        <v>8</v>
      </c>
      <c r="C9" t="s">
        <v>46</v>
      </c>
      <c r="D9" t="s">
        <v>19</v>
      </c>
      <c r="E9" t="s">
        <v>706</v>
      </c>
      <c r="F9" s="27">
        <v>1987</v>
      </c>
      <c r="G9" s="28">
        <v>400</v>
      </c>
      <c r="H9" s="28">
        <v>400</v>
      </c>
      <c r="I9" s="28">
        <v>400</v>
      </c>
      <c r="J9" s="28">
        <v>400</v>
      </c>
      <c r="K9" s="28">
        <v>400</v>
      </c>
      <c r="L9" s="28">
        <v>400</v>
      </c>
      <c r="M9" s="28">
        <v>400</v>
      </c>
      <c r="N9" s="28">
        <v>400</v>
      </c>
      <c r="O9" s="28">
        <v>400</v>
      </c>
      <c r="P9" s="28">
        <v>400</v>
      </c>
      <c r="Q9" s="28">
        <v>400</v>
      </c>
      <c r="R9" s="28">
        <v>400</v>
      </c>
      <c r="S9" s="28">
        <v>400</v>
      </c>
      <c r="T9" s="28">
        <v>400</v>
      </c>
      <c r="U9" s="28">
        <v>400</v>
      </c>
      <c r="V9" s="28">
        <v>400</v>
      </c>
      <c r="W9" s="28">
        <v>400</v>
      </c>
      <c r="X9" s="28">
        <v>400</v>
      </c>
      <c r="Y9" s="28">
        <v>400</v>
      </c>
      <c r="Z9" s="28">
        <v>400</v>
      </c>
      <c r="AA9" s="28">
        <v>400</v>
      </c>
      <c r="AB9" s="28">
        <v>400</v>
      </c>
      <c r="AC9" s="28">
        <v>400</v>
      </c>
      <c r="AD9" s="28">
        <v>400</v>
      </c>
      <c r="AE9" s="28">
        <v>400</v>
      </c>
      <c r="AF9" s="28">
        <v>400</v>
      </c>
      <c r="AG9" s="28">
        <v>400</v>
      </c>
      <c r="AH9" s="29">
        <f t="shared" si="0"/>
        <v>400</v>
      </c>
      <c r="AI9" s="29">
        <f t="shared" si="0"/>
        <v>400</v>
      </c>
    </row>
    <row r="10" spans="2:35">
      <c r="B10">
        <v>9</v>
      </c>
      <c r="C10" t="s">
        <v>49</v>
      </c>
      <c r="D10" t="s">
        <v>19</v>
      </c>
      <c r="E10" t="s">
        <v>706</v>
      </c>
      <c r="F10" s="27"/>
      <c r="G10" s="28">
        <v>20</v>
      </c>
      <c r="H10" s="28">
        <v>20</v>
      </c>
      <c r="I10" s="28">
        <v>20</v>
      </c>
      <c r="J10" s="28">
        <v>20</v>
      </c>
      <c r="K10" s="28">
        <v>20</v>
      </c>
      <c r="L10" s="28">
        <v>20</v>
      </c>
      <c r="M10" s="28">
        <v>20</v>
      </c>
      <c r="N10" s="28">
        <v>20</v>
      </c>
      <c r="O10" s="28">
        <v>20</v>
      </c>
      <c r="P10" s="28">
        <v>20</v>
      </c>
      <c r="Q10" s="28">
        <v>20</v>
      </c>
      <c r="R10" s="28">
        <v>20</v>
      </c>
      <c r="S10" s="28">
        <v>20</v>
      </c>
      <c r="T10" s="28">
        <v>20</v>
      </c>
      <c r="U10" s="28">
        <v>20</v>
      </c>
      <c r="V10" s="28">
        <v>20</v>
      </c>
      <c r="W10" s="28">
        <v>20</v>
      </c>
      <c r="X10" s="28">
        <v>20</v>
      </c>
      <c r="Y10" s="28">
        <v>20</v>
      </c>
      <c r="Z10" s="28">
        <v>20</v>
      </c>
      <c r="AA10" s="28">
        <v>20</v>
      </c>
      <c r="AB10" s="28">
        <v>20</v>
      </c>
      <c r="AC10" s="28">
        <v>20</v>
      </c>
      <c r="AD10" s="28">
        <v>20</v>
      </c>
      <c r="AE10" s="28">
        <v>20</v>
      </c>
      <c r="AF10" s="28">
        <v>20</v>
      </c>
      <c r="AG10" s="28">
        <v>20</v>
      </c>
      <c r="AH10" s="29">
        <f t="shared" si="0"/>
        <v>20</v>
      </c>
      <c r="AI10" s="29">
        <f t="shared" si="0"/>
        <v>20</v>
      </c>
    </row>
    <row r="11" spans="2:35">
      <c r="B11">
        <v>10</v>
      </c>
      <c r="C11" t="s">
        <v>52</v>
      </c>
      <c r="D11" t="s">
        <v>19</v>
      </c>
      <c r="E11" t="s">
        <v>706</v>
      </c>
      <c r="F11" s="27">
        <v>2018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500</v>
      </c>
      <c r="AD11" s="28">
        <v>500</v>
      </c>
      <c r="AE11" s="28">
        <v>500</v>
      </c>
      <c r="AF11" s="28">
        <v>500</v>
      </c>
      <c r="AG11" s="28">
        <v>500</v>
      </c>
      <c r="AH11" s="29">
        <f t="shared" si="0"/>
        <v>500</v>
      </c>
      <c r="AI11" s="29">
        <f t="shared" si="0"/>
        <v>500</v>
      </c>
    </row>
    <row r="12" spans="2:35">
      <c r="B12">
        <v>11</v>
      </c>
      <c r="C12" t="s">
        <v>56</v>
      </c>
      <c r="D12" t="s">
        <v>19</v>
      </c>
      <c r="E12" t="s">
        <v>706</v>
      </c>
      <c r="F12" s="27">
        <v>2003</v>
      </c>
      <c r="G12" s="28">
        <v>350</v>
      </c>
      <c r="H12" s="28">
        <v>350</v>
      </c>
      <c r="I12" s="28">
        <v>350</v>
      </c>
      <c r="J12" s="28">
        <v>350</v>
      </c>
      <c r="K12" s="28">
        <v>350</v>
      </c>
      <c r="L12" s="28">
        <v>350</v>
      </c>
      <c r="M12" s="28">
        <v>350</v>
      </c>
      <c r="N12" s="28">
        <v>350</v>
      </c>
      <c r="O12" s="28">
        <v>350</v>
      </c>
      <c r="P12" s="28">
        <v>350</v>
      </c>
      <c r="Q12" s="28">
        <v>350</v>
      </c>
      <c r="R12" s="28">
        <v>350</v>
      </c>
      <c r="S12" s="28">
        <v>430</v>
      </c>
      <c r="T12" s="28">
        <v>430</v>
      </c>
      <c r="U12" s="28">
        <v>430</v>
      </c>
      <c r="V12" s="28">
        <v>430</v>
      </c>
      <c r="W12" s="28">
        <v>430</v>
      </c>
      <c r="X12" s="28">
        <v>430</v>
      </c>
      <c r="Y12" s="28">
        <v>430</v>
      </c>
      <c r="Z12" s="28">
        <v>430</v>
      </c>
      <c r="AA12" s="28">
        <v>430</v>
      </c>
      <c r="AB12" s="28">
        <v>430</v>
      </c>
      <c r="AC12" s="28">
        <v>430</v>
      </c>
      <c r="AD12" s="28">
        <v>430</v>
      </c>
      <c r="AE12" s="28">
        <v>430</v>
      </c>
      <c r="AF12" s="28">
        <v>430</v>
      </c>
      <c r="AG12" s="28">
        <v>430</v>
      </c>
      <c r="AH12" s="29">
        <f t="shared" si="0"/>
        <v>430</v>
      </c>
      <c r="AI12" s="29">
        <f t="shared" si="0"/>
        <v>430</v>
      </c>
    </row>
    <row r="13" spans="2:35">
      <c r="B13">
        <v>12</v>
      </c>
      <c r="C13" t="s">
        <v>59</v>
      </c>
      <c r="D13" t="s">
        <v>19</v>
      </c>
      <c r="E13" t="s">
        <v>706</v>
      </c>
      <c r="F13" s="27">
        <v>2003</v>
      </c>
      <c r="G13" s="28">
        <v>350</v>
      </c>
      <c r="H13" s="28">
        <v>350</v>
      </c>
      <c r="I13" s="28">
        <v>350</v>
      </c>
      <c r="J13" s="28">
        <v>350</v>
      </c>
      <c r="K13" s="28">
        <v>350</v>
      </c>
      <c r="L13" s="28">
        <v>350</v>
      </c>
      <c r="M13" s="28">
        <v>350</v>
      </c>
      <c r="N13" s="28">
        <v>350</v>
      </c>
      <c r="O13" s="28">
        <v>350</v>
      </c>
      <c r="P13" s="28">
        <v>350</v>
      </c>
      <c r="Q13" s="28">
        <v>350</v>
      </c>
      <c r="R13" s="28">
        <v>350</v>
      </c>
      <c r="S13" s="28">
        <v>350</v>
      </c>
      <c r="T13" s="28">
        <v>350</v>
      </c>
      <c r="U13" s="28">
        <v>350</v>
      </c>
      <c r="V13" s="28">
        <v>350</v>
      </c>
      <c r="W13" s="28">
        <v>350</v>
      </c>
      <c r="X13" s="28">
        <v>350</v>
      </c>
      <c r="Y13" s="28">
        <v>350</v>
      </c>
      <c r="Z13" s="28">
        <v>350</v>
      </c>
      <c r="AA13" s="28">
        <v>350</v>
      </c>
      <c r="AB13" s="28">
        <v>350</v>
      </c>
      <c r="AC13" s="28">
        <v>350</v>
      </c>
      <c r="AD13" s="28">
        <v>350</v>
      </c>
      <c r="AE13" s="28">
        <v>350</v>
      </c>
      <c r="AF13" s="28">
        <v>350</v>
      </c>
      <c r="AG13" s="28">
        <v>350</v>
      </c>
      <c r="AH13" s="29">
        <f t="shared" si="0"/>
        <v>350</v>
      </c>
      <c r="AI13" s="29">
        <f t="shared" si="0"/>
        <v>350</v>
      </c>
    </row>
    <row r="14" spans="2:35">
      <c r="B14">
        <v>13</v>
      </c>
      <c r="C14" t="s">
        <v>63</v>
      </c>
      <c r="D14" t="s">
        <v>19</v>
      </c>
      <c r="E14" t="s">
        <v>706</v>
      </c>
      <c r="F14" s="27">
        <v>2005</v>
      </c>
      <c r="G14" s="28">
        <v>220</v>
      </c>
      <c r="H14" s="28">
        <v>220</v>
      </c>
      <c r="I14" s="28">
        <v>220</v>
      </c>
      <c r="J14" s="28">
        <v>220</v>
      </c>
      <c r="K14" s="28">
        <v>220</v>
      </c>
      <c r="L14" s="28">
        <v>220</v>
      </c>
      <c r="M14" s="28">
        <v>220</v>
      </c>
      <c r="N14" s="28">
        <v>220</v>
      </c>
      <c r="O14" s="28">
        <v>220</v>
      </c>
      <c r="P14" s="28">
        <v>220</v>
      </c>
      <c r="Q14" s="28">
        <v>220</v>
      </c>
      <c r="R14" s="28">
        <v>220</v>
      </c>
      <c r="S14" s="28">
        <v>340</v>
      </c>
      <c r="T14" s="28">
        <v>340</v>
      </c>
      <c r="U14" s="28">
        <v>340</v>
      </c>
      <c r="V14" s="28">
        <v>340</v>
      </c>
      <c r="W14" s="28">
        <v>340</v>
      </c>
      <c r="X14" s="28">
        <v>340</v>
      </c>
      <c r="Y14" s="28">
        <v>340</v>
      </c>
      <c r="Z14" s="28">
        <v>340</v>
      </c>
      <c r="AA14" s="28">
        <v>340</v>
      </c>
      <c r="AB14" s="28">
        <v>340</v>
      </c>
      <c r="AC14" s="28">
        <v>340</v>
      </c>
      <c r="AD14" s="28">
        <v>340</v>
      </c>
      <c r="AE14" s="28">
        <v>340</v>
      </c>
      <c r="AF14" s="28">
        <v>340</v>
      </c>
      <c r="AG14" s="28">
        <v>340</v>
      </c>
      <c r="AH14" s="29">
        <f t="shared" si="0"/>
        <v>340</v>
      </c>
      <c r="AI14" s="29">
        <f t="shared" si="0"/>
        <v>340</v>
      </c>
    </row>
    <row r="15" spans="2:35">
      <c r="B15">
        <v>14</v>
      </c>
      <c r="C15" t="s">
        <v>66</v>
      </c>
      <c r="D15" t="s">
        <v>19</v>
      </c>
      <c r="E15" t="s">
        <v>706</v>
      </c>
      <c r="F15" s="27">
        <v>2015</v>
      </c>
      <c r="G15" s="28">
        <v>300</v>
      </c>
      <c r="H15" s="28">
        <v>300</v>
      </c>
      <c r="I15" s="28">
        <v>300</v>
      </c>
      <c r="J15" s="28">
        <v>300</v>
      </c>
      <c r="K15" s="28">
        <v>300</v>
      </c>
      <c r="L15" s="28">
        <v>300</v>
      </c>
      <c r="M15" s="28">
        <v>300</v>
      </c>
      <c r="N15" s="28">
        <v>300</v>
      </c>
      <c r="O15" s="28">
        <v>300</v>
      </c>
      <c r="P15" s="28">
        <v>300</v>
      </c>
      <c r="Q15" s="28">
        <v>300</v>
      </c>
      <c r="R15" s="28">
        <v>300</v>
      </c>
      <c r="S15" s="28">
        <v>300</v>
      </c>
      <c r="T15" s="28">
        <v>300</v>
      </c>
      <c r="U15" s="28">
        <v>300</v>
      </c>
      <c r="V15" s="28">
        <v>300</v>
      </c>
      <c r="W15" s="28">
        <v>300</v>
      </c>
      <c r="X15" s="28">
        <v>300</v>
      </c>
      <c r="Y15" s="28">
        <v>300</v>
      </c>
      <c r="Z15" s="28">
        <v>300</v>
      </c>
      <c r="AA15" s="28">
        <v>300</v>
      </c>
      <c r="AB15" s="28">
        <v>300</v>
      </c>
      <c r="AC15" s="28">
        <v>300</v>
      </c>
      <c r="AD15" s="28">
        <v>300</v>
      </c>
      <c r="AE15" s="28">
        <v>300</v>
      </c>
      <c r="AF15" s="28">
        <v>300</v>
      </c>
      <c r="AG15" s="28">
        <v>300</v>
      </c>
      <c r="AH15" s="29">
        <f t="shared" si="0"/>
        <v>300</v>
      </c>
      <c r="AI15" s="29">
        <f t="shared" si="0"/>
        <v>300</v>
      </c>
    </row>
    <row r="16" spans="2:35">
      <c r="B16">
        <v>15</v>
      </c>
      <c r="C16" t="s">
        <v>69</v>
      </c>
      <c r="D16" t="s">
        <v>19</v>
      </c>
      <c r="E16" t="s">
        <v>706</v>
      </c>
      <c r="F16" s="27">
        <v>1970</v>
      </c>
      <c r="G16" s="28">
        <v>300</v>
      </c>
      <c r="H16" s="28">
        <v>300</v>
      </c>
      <c r="I16" s="28">
        <v>300</v>
      </c>
      <c r="J16" s="28">
        <v>300</v>
      </c>
      <c r="K16" s="28">
        <v>300</v>
      </c>
      <c r="L16" s="28">
        <v>300</v>
      </c>
      <c r="M16" s="28">
        <v>300</v>
      </c>
      <c r="N16" s="28">
        <v>300</v>
      </c>
      <c r="O16" s="28">
        <v>300</v>
      </c>
      <c r="P16" s="28">
        <v>300</v>
      </c>
      <c r="Q16" s="28">
        <v>300</v>
      </c>
      <c r="R16" s="28">
        <v>300</v>
      </c>
      <c r="S16" s="28">
        <v>300</v>
      </c>
      <c r="T16" s="28">
        <v>300</v>
      </c>
      <c r="U16" s="28">
        <v>300</v>
      </c>
      <c r="V16" s="28">
        <v>300</v>
      </c>
      <c r="W16" s="28">
        <v>300</v>
      </c>
      <c r="X16" s="28">
        <v>300</v>
      </c>
      <c r="Y16" s="28">
        <v>300</v>
      </c>
      <c r="Z16" s="28">
        <v>300</v>
      </c>
      <c r="AA16" s="28">
        <v>300</v>
      </c>
      <c r="AB16" s="28">
        <v>300</v>
      </c>
      <c r="AC16" s="28">
        <v>300</v>
      </c>
      <c r="AD16" s="28">
        <v>300</v>
      </c>
      <c r="AE16" s="28">
        <v>300</v>
      </c>
      <c r="AF16" s="28">
        <v>300</v>
      </c>
      <c r="AG16" s="28">
        <v>300</v>
      </c>
      <c r="AH16" s="29">
        <f t="shared" si="0"/>
        <v>300</v>
      </c>
      <c r="AI16" s="29">
        <f t="shared" si="0"/>
        <v>300</v>
      </c>
    </row>
    <row r="17" spans="2:35">
      <c r="B17">
        <v>16</v>
      </c>
      <c r="C17" t="s">
        <v>71</v>
      </c>
      <c r="D17" t="s">
        <v>19</v>
      </c>
      <c r="E17" t="s">
        <v>706</v>
      </c>
      <c r="F17" s="27">
        <v>2005</v>
      </c>
      <c r="G17" s="28">
        <v>300</v>
      </c>
      <c r="H17" s="28">
        <v>300</v>
      </c>
      <c r="I17" s="28">
        <v>300</v>
      </c>
      <c r="J17" s="28">
        <v>300</v>
      </c>
      <c r="K17" s="28">
        <v>300</v>
      </c>
      <c r="L17" s="28">
        <v>300</v>
      </c>
      <c r="M17" s="28">
        <v>300</v>
      </c>
      <c r="N17" s="28">
        <v>300</v>
      </c>
      <c r="O17" s="28">
        <v>300</v>
      </c>
      <c r="P17" s="28">
        <v>300</v>
      </c>
      <c r="Q17" s="28">
        <v>300</v>
      </c>
      <c r="R17" s="28">
        <v>300</v>
      </c>
      <c r="S17" s="28">
        <v>300</v>
      </c>
      <c r="T17" s="28">
        <v>300</v>
      </c>
      <c r="U17" s="28">
        <v>300</v>
      </c>
      <c r="V17" s="28">
        <v>300</v>
      </c>
      <c r="W17" s="28">
        <v>300</v>
      </c>
      <c r="X17" s="28">
        <v>300</v>
      </c>
      <c r="Y17" s="28">
        <v>300</v>
      </c>
      <c r="Z17" s="28">
        <v>300</v>
      </c>
      <c r="AA17" s="28">
        <v>300</v>
      </c>
      <c r="AB17" s="28">
        <v>300</v>
      </c>
      <c r="AC17" s="28">
        <v>300</v>
      </c>
      <c r="AD17" s="28">
        <v>300</v>
      </c>
      <c r="AE17" s="28">
        <v>300</v>
      </c>
      <c r="AF17" s="28">
        <v>300</v>
      </c>
      <c r="AG17" s="28">
        <v>300</v>
      </c>
      <c r="AH17" s="29">
        <f t="shared" si="0"/>
        <v>300</v>
      </c>
      <c r="AI17" s="29">
        <f t="shared" si="0"/>
        <v>300</v>
      </c>
    </row>
    <row r="18" spans="2:35">
      <c r="B18">
        <v>17</v>
      </c>
      <c r="C18" t="s">
        <v>74</v>
      </c>
      <c r="D18" t="s">
        <v>19</v>
      </c>
      <c r="E18" t="s">
        <v>706</v>
      </c>
      <c r="F18" s="27">
        <v>2018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100</v>
      </c>
      <c r="AE18" s="28">
        <v>100</v>
      </c>
      <c r="AF18" s="28">
        <v>200</v>
      </c>
      <c r="AG18" s="28">
        <v>350</v>
      </c>
      <c r="AH18" s="29">
        <f t="shared" si="0"/>
        <v>350</v>
      </c>
      <c r="AI18" s="29">
        <f t="shared" si="0"/>
        <v>350</v>
      </c>
    </row>
    <row r="19" spans="2:35">
      <c r="B19">
        <v>18</v>
      </c>
      <c r="C19" t="s">
        <v>77</v>
      </c>
      <c r="D19" t="s">
        <v>19</v>
      </c>
      <c r="E19" t="s">
        <v>706</v>
      </c>
      <c r="F19" s="27">
        <v>2013</v>
      </c>
      <c r="G19" s="28">
        <v>330</v>
      </c>
      <c r="H19" s="28">
        <v>330</v>
      </c>
      <c r="I19" s="28">
        <v>330</v>
      </c>
      <c r="J19" s="28">
        <v>330</v>
      </c>
      <c r="K19" s="28">
        <v>330</v>
      </c>
      <c r="L19" s="28">
        <v>330</v>
      </c>
      <c r="M19" s="28">
        <v>330</v>
      </c>
      <c r="N19" s="28">
        <v>330</v>
      </c>
      <c r="O19" s="28">
        <v>330</v>
      </c>
      <c r="P19" s="28">
        <v>330</v>
      </c>
      <c r="Q19" s="28">
        <v>330</v>
      </c>
      <c r="R19" s="28">
        <v>330</v>
      </c>
      <c r="S19" s="28">
        <v>330</v>
      </c>
      <c r="T19" s="28">
        <v>330</v>
      </c>
      <c r="U19" s="28">
        <v>330</v>
      </c>
      <c r="V19" s="28">
        <v>330</v>
      </c>
      <c r="W19" s="28">
        <v>330</v>
      </c>
      <c r="X19" s="28">
        <v>330</v>
      </c>
      <c r="Y19" s="28">
        <v>330</v>
      </c>
      <c r="Z19" s="28">
        <v>330</v>
      </c>
      <c r="AA19" s="28">
        <v>330</v>
      </c>
      <c r="AB19" s="28">
        <v>330</v>
      </c>
      <c r="AC19" s="28">
        <v>330</v>
      </c>
      <c r="AD19" s="28">
        <v>330</v>
      </c>
      <c r="AE19" s="28">
        <v>330</v>
      </c>
      <c r="AF19" s="28">
        <v>330</v>
      </c>
      <c r="AG19" s="28">
        <v>330</v>
      </c>
      <c r="AH19" s="29">
        <f t="shared" si="0"/>
        <v>330</v>
      </c>
      <c r="AI19" s="29">
        <f t="shared" si="0"/>
        <v>330</v>
      </c>
    </row>
    <row r="20" spans="2:35">
      <c r="B20">
        <v>19</v>
      </c>
      <c r="C20" t="s">
        <v>82</v>
      </c>
      <c r="D20" t="s">
        <v>19</v>
      </c>
      <c r="E20" t="s">
        <v>706</v>
      </c>
      <c r="F20" s="27">
        <v>2010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160</v>
      </c>
      <c r="AB20" s="28">
        <v>160</v>
      </c>
      <c r="AC20" s="28">
        <v>160</v>
      </c>
      <c r="AD20" s="28">
        <v>160</v>
      </c>
      <c r="AE20" s="28">
        <v>160</v>
      </c>
      <c r="AF20" s="28">
        <v>160</v>
      </c>
      <c r="AG20" s="28">
        <v>160</v>
      </c>
      <c r="AH20" s="29">
        <f t="shared" si="0"/>
        <v>160</v>
      </c>
      <c r="AI20" s="29">
        <f t="shared" si="0"/>
        <v>160</v>
      </c>
    </row>
    <row r="21" spans="2:35">
      <c r="B21">
        <v>20</v>
      </c>
      <c r="C21" t="s">
        <v>86</v>
      </c>
      <c r="D21" t="s">
        <v>19</v>
      </c>
      <c r="E21" t="s">
        <v>706</v>
      </c>
      <c r="F21" s="27">
        <v>2015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100</v>
      </c>
      <c r="P21" s="28">
        <v>100</v>
      </c>
      <c r="Q21" s="28">
        <v>100</v>
      </c>
      <c r="R21" s="28">
        <v>100</v>
      </c>
      <c r="S21" s="28">
        <v>100</v>
      </c>
      <c r="T21" s="28">
        <v>100</v>
      </c>
      <c r="U21" s="28">
        <v>100</v>
      </c>
      <c r="V21" s="28">
        <v>100</v>
      </c>
      <c r="W21" s="28">
        <v>100</v>
      </c>
      <c r="X21" s="28">
        <v>100</v>
      </c>
      <c r="Y21" s="28">
        <v>100</v>
      </c>
      <c r="Z21" s="28">
        <v>100</v>
      </c>
      <c r="AA21" s="28">
        <v>100</v>
      </c>
      <c r="AB21" s="28">
        <v>100</v>
      </c>
      <c r="AC21" s="28">
        <v>100</v>
      </c>
      <c r="AD21" s="28">
        <v>100</v>
      </c>
      <c r="AE21" s="28">
        <v>100</v>
      </c>
      <c r="AF21" s="28">
        <v>100</v>
      </c>
      <c r="AG21" s="28">
        <v>100</v>
      </c>
      <c r="AH21" s="29">
        <f t="shared" si="0"/>
        <v>100</v>
      </c>
      <c r="AI21" s="29">
        <f t="shared" si="0"/>
        <v>100</v>
      </c>
    </row>
    <row r="22" spans="2:35">
      <c r="B22">
        <v>21</v>
      </c>
      <c r="C22" t="s">
        <v>89</v>
      </c>
      <c r="D22" t="s">
        <v>19</v>
      </c>
      <c r="E22" t="s">
        <v>706</v>
      </c>
      <c r="F22" s="27">
        <v>2002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100</v>
      </c>
      <c r="AB22" s="28">
        <v>100</v>
      </c>
      <c r="AC22" s="28">
        <v>100</v>
      </c>
      <c r="AD22" s="28">
        <v>200</v>
      </c>
      <c r="AE22" s="28">
        <v>300</v>
      </c>
      <c r="AF22" s="28">
        <v>400</v>
      </c>
      <c r="AG22" s="28">
        <v>400</v>
      </c>
      <c r="AH22" s="29">
        <f t="shared" si="0"/>
        <v>400</v>
      </c>
      <c r="AI22" s="29">
        <f t="shared" si="0"/>
        <v>400</v>
      </c>
    </row>
    <row r="23" spans="2:35">
      <c r="B23">
        <v>22</v>
      </c>
      <c r="C23" t="s">
        <v>93</v>
      </c>
      <c r="D23" t="s">
        <v>19</v>
      </c>
      <c r="E23" t="s">
        <v>706</v>
      </c>
      <c r="F23" s="27">
        <v>2009</v>
      </c>
      <c r="G23" s="28">
        <v>420</v>
      </c>
      <c r="H23" s="28">
        <v>420</v>
      </c>
      <c r="I23" s="28">
        <v>420</v>
      </c>
      <c r="J23" s="28">
        <v>420</v>
      </c>
      <c r="K23" s="28">
        <v>420</v>
      </c>
      <c r="L23" s="28">
        <v>420</v>
      </c>
      <c r="M23" s="28">
        <v>420</v>
      </c>
      <c r="N23" s="28">
        <v>420</v>
      </c>
      <c r="O23" s="28">
        <v>420</v>
      </c>
      <c r="P23" s="28">
        <v>420</v>
      </c>
      <c r="Q23" s="28">
        <v>420</v>
      </c>
      <c r="R23" s="28">
        <v>420</v>
      </c>
      <c r="S23" s="28">
        <v>420</v>
      </c>
      <c r="T23" s="28">
        <v>420</v>
      </c>
      <c r="U23" s="28">
        <v>420</v>
      </c>
      <c r="V23" s="28">
        <v>420</v>
      </c>
      <c r="W23" s="28">
        <v>420</v>
      </c>
      <c r="X23" s="28">
        <v>420</v>
      </c>
      <c r="Y23" s="28">
        <v>420</v>
      </c>
      <c r="Z23" s="28">
        <v>420</v>
      </c>
      <c r="AA23" s="28">
        <v>420</v>
      </c>
      <c r="AB23" s="28">
        <v>420</v>
      </c>
      <c r="AC23" s="28">
        <v>420</v>
      </c>
      <c r="AD23" s="28">
        <v>420</v>
      </c>
      <c r="AE23" s="28">
        <v>420</v>
      </c>
      <c r="AF23" s="28">
        <v>420</v>
      </c>
      <c r="AG23" s="28">
        <v>420</v>
      </c>
      <c r="AH23" s="29">
        <f t="shared" si="0"/>
        <v>420</v>
      </c>
      <c r="AI23" s="29">
        <f t="shared" si="0"/>
        <v>420</v>
      </c>
    </row>
    <row r="24" spans="2:35">
      <c r="B24">
        <v>23</v>
      </c>
      <c r="C24" t="s">
        <v>97</v>
      </c>
      <c r="D24" t="s">
        <v>19</v>
      </c>
      <c r="E24" t="s">
        <v>706</v>
      </c>
      <c r="F24" s="27">
        <v>2015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100</v>
      </c>
      <c r="AE24" s="28">
        <v>162.5</v>
      </c>
      <c r="AF24" s="28">
        <v>162.5</v>
      </c>
      <c r="AG24" s="28">
        <v>162.5</v>
      </c>
      <c r="AH24" s="29">
        <f t="shared" si="0"/>
        <v>162.5</v>
      </c>
      <c r="AI24" s="29">
        <f t="shared" si="0"/>
        <v>162.5</v>
      </c>
    </row>
    <row r="25" spans="2:35">
      <c r="B25">
        <v>24</v>
      </c>
      <c r="C25" t="s">
        <v>100</v>
      </c>
      <c r="D25" t="s">
        <v>19</v>
      </c>
      <c r="E25" t="s">
        <v>706</v>
      </c>
      <c r="F25" s="27">
        <v>1995</v>
      </c>
      <c r="G25" s="28">
        <v>330</v>
      </c>
      <c r="H25" s="28">
        <v>330</v>
      </c>
      <c r="I25" s="28">
        <v>330</v>
      </c>
      <c r="J25" s="28">
        <v>330</v>
      </c>
      <c r="K25" s="28">
        <v>330</v>
      </c>
      <c r="L25" s="28">
        <v>330</v>
      </c>
      <c r="M25" s="28">
        <v>330</v>
      </c>
      <c r="N25" s="28">
        <v>330</v>
      </c>
      <c r="O25" s="28">
        <v>330</v>
      </c>
      <c r="P25" s="28">
        <v>330</v>
      </c>
      <c r="Q25" s="28">
        <v>330</v>
      </c>
      <c r="R25" s="28">
        <v>330</v>
      </c>
      <c r="S25" s="28">
        <v>330</v>
      </c>
      <c r="T25" s="28">
        <v>330</v>
      </c>
      <c r="U25" s="28">
        <v>330</v>
      </c>
      <c r="V25" s="28">
        <v>330</v>
      </c>
      <c r="W25" s="28">
        <v>330</v>
      </c>
      <c r="X25" s="28">
        <v>330</v>
      </c>
      <c r="Y25" s="28">
        <v>330</v>
      </c>
      <c r="Z25" s="28">
        <v>330</v>
      </c>
      <c r="AA25" s="28">
        <v>130</v>
      </c>
      <c r="AB25" s="28">
        <v>130</v>
      </c>
      <c r="AC25" s="28">
        <v>130</v>
      </c>
      <c r="AD25" s="28">
        <v>130</v>
      </c>
      <c r="AE25" s="28">
        <v>130</v>
      </c>
      <c r="AF25" s="28">
        <v>130</v>
      </c>
      <c r="AG25" s="28">
        <v>130</v>
      </c>
      <c r="AH25" s="29">
        <f t="shared" si="0"/>
        <v>130</v>
      </c>
      <c r="AI25" s="29">
        <f t="shared" si="0"/>
        <v>130</v>
      </c>
    </row>
    <row r="26" spans="2:35">
      <c r="B26">
        <v>25</v>
      </c>
      <c r="C26" t="s">
        <v>103</v>
      </c>
      <c r="D26" t="s">
        <v>19</v>
      </c>
      <c r="E26" t="s">
        <v>706</v>
      </c>
      <c r="F26" s="27">
        <v>2004</v>
      </c>
      <c r="G26" s="28">
        <v>850</v>
      </c>
      <c r="H26" s="28">
        <v>850</v>
      </c>
      <c r="I26" s="28">
        <v>850</v>
      </c>
      <c r="J26" s="28">
        <v>850</v>
      </c>
      <c r="K26" s="28">
        <v>850</v>
      </c>
      <c r="L26" s="28">
        <v>850</v>
      </c>
      <c r="M26" s="28">
        <v>850</v>
      </c>
      <c r="N26" s="28">
        <v>850</v>
      </c>
      <c r="O26" s="28">
        <v>850</v>
      </c>
      <c r="P26" s="28">
        <v>850</v>
      </c>
      <c r="Q26" s="28">
        <v>850</v>
      </c>
      <c r="R26" s="28">
        <v>850</v>
      </c>
      <c r="S26" s="28">
        <v>850</v>
      </c>
      <c r="T26" s="28">
        <v>850</v>
      </c>
      <c r="U26" s="28">
        <v>850</v>
      </c>
      <c r="V26" s="28">
        <v>850</v>
      </c>
      <c r="W26" s="28">
        <v>850</v>
      </c>
      <c r="X26" s="28">
        <v>850</v>
      </c>
      <c r="Y26" s="28">
        <v>850</v>
      </c>
      <c r="Z26" s="28">
        <v>850</v>
      </c>
      <c r="AA26" s="28">
        <v>1100</v>
      </c>
      <c r="AB26" s="28">
        <v>1100</v>
      </c>
      <c r="AC26" s="28">
        <v>1100</v>
      </c>
      <c r="AD26" s="28">
        <v>1100</v>
      </c>
      <c r="AE26" s="28">
        <v>1250</v>
      </c>
      <c r="AF26" s="28">
        <v>1250</v>
      </c>
      <c r="AG26" s="28">
        <v>1250</v>
      </c>
      <c r="AH26" s="29">
        <f t="shared" si="0"/>
        <v>1250</v>
      </c>
      <c r="AI26" s="29">
        <f t="shared" si="0"/>
        <v>1250</v>
      </c>
    </row>
    <row r="27" spans="2:35">
      <c r="B27">
        <v>26</v>
      </c>
      <c r="C27" t="s">
        <v>107</v>
      </c>
      <c r="D27" t="s">
        <v>19</v>
      </c>
      <c r="E27" t="s">
        <v>706</v>
      </c>
      <c r="F27" s="27">
        <v>2011</v>
      </c>
      <c r="G27" s="28">
        <v>800</v>
      </c>
      <c r="H27" s="28">
        <v>800</v>
      </c>
      <c r="I27" s="28">
        <v>800</v>
      </c>
      <c r="J27" s="28">
        <v>800</v>
      </c>
      <c r="K27" s="28">
        <v>800</v>
      </c>
      <c r="L27" s="28">
        <v>800</v>
      </c>
      <c r="M27" s="28">
        <v>800</v>
      </c>
      <c r="N27" s="28">
        <v>800</v>
      </c>
      <c r="O27" s="28">
        <v>1200</v>
      </c>
      <c r="P27" s="28">
        <v>1200</v>
      </c>
      <c r="Q27" s="28">
        <v>1200</v>
      </c>
      <c r="R27" s="28">
        <v>1200</v>
      </c>
      <c r="S27" s="28">
        <v>1400</v>
      </c>
      <c r="T27" s="28">
        <v>1400</v>
      </c>
      <c r="U27" s="28">
        <v>1400</v>
      </c>
      <c r="V27" s="28">
        <v>1400</v>
      </c>
      <c r="W27" s="28">
        <v>1400</v>
      </c>
      <c r="X27" s="28">
        <v>1400</v>
      </c>
      <c r="Y27" s="28">
        <v>1400</v>
      </c>
      <c r="Z27" s="28">
        <v>1400</v>
      </c>
      <c r="AA27" s="28">
        <v>1400</v>
      </c>
      <c r="AB27" s="28">
        <v>1400</v>
      </c>
      <c r="AC27" s="28">
        <v>1400</v>
      </c>
      <c r="AD27" s="28">
        <v>1400</v>
      </c>
      <c r="AE27" s="28">
        <v>800</v>
      </c>
      <c r="AF27" s="28">
        <v>800</v>
      </c>
      <c r="AG27" s="28">
        <v>800</v>
      </c>
      <c r="AH27" s="29">
        <f t="shared" si="0"/>
        <v>800</v>
      </c>
      <c r="AI27" s="29">
        <f t="shared" si="0"/>
        <v>800</v>
      </c>
    </row>
    <row r="28" spans="2:35">
      <c r="B28">
        <v>27</v>
      </c>
      <c r="C28" t="s">
        <v>110</v>
      </c>
      <c r="D28" t="s">
        <v>19</v>
      </c>
      <c r="E28" t="s">
        <v>706</v>
      </c>
      <c r="F28" s="27">
        <v>2005</v>
      </c>
      <c r="G28" s="28">
        <v>70</v>
      </c>
      <c r="H28" s="28">
        <v>70</v>
      </c>
      <c r="I28" s="28">
        <v>70</v>
      </c>
      <c r="J28" s="28">
        <v>70</v>
      </c>
      <c r="K28" s="28">
        <v>70</v>
      </c>
      <c r="L28" s="28">
        <v>70</v>
      </c>
      <c r="M28" s="28">
        <v>70</v>
      </c>
      <c r="N28" s="28">
        <v>70</v>
      </c>
      <c r="O28" s="28">
        <v>70</v>
      </c>
      <c r="P28" s="28">
        <v>70</v>
      </c>
      <c r="Q28" s="28">
        <v>70</v>
      </c>
      <c r="R28" s="28">
        <v>70</v>
      </c>
      <c r="S28" s="28">
        <v>70</v>
      </c>
      <c r="T28" s="28">
        <v>70</v>
      </c>
      <c r="U28" s="28">
        <v>70</v>
      </c>
      <c r="V28" s="28">
        <v>70</v>
      </c>
      <c r="W28" s="28">
        <v>70</v>
      </c>
      <c r="X28" s="28">
        <v>70</v>
      </c>
      <c r="Y28" s="28">
        <v>70</v>
      </c>
      <c r="Z28" s="28">
        <v>70</v>
      </c>
      <c r="AA28" s="28">
        <v>70</v>
      </c>
      <c r="AB28" s="28">
        <v>70</v>
      </c>
      <c r="AC28" s="28">
        <v>70</v>
      </c>
      <c r="AD28" s="28">
        <v>70</v>
      </c>
      <c r="AE28" s="28">
        <v>0</v>
      </c>
      <c r="AF28" s="28">
        <v>0</v>
      </c>
      <c r="AG28" s="28">
        <v>0</v>
      </c>
      <c r="AH28" s="29">
        <f t="shared" si="0"/>
        <v>0</v>
      </c>
      <c r="AI28" s="29">
        <f t="shared" si="0"/>
        <v>0</v>
      </c>
    </row>
    <row r="29" spans="2:35">
      <c r="B29">
        <v>28</v>
      </c>
      <c r="C29" t="s">
        <v>113</v>
      </c>
      <c r="D29" t="s">
        <v>19</v>
      </c>
      <c r="E29" t="s">
        <v>706</v>
      </c>
      <c r="F29" s="27">
        <v>1958</v>
      </c>
      <c r="G29" s="28">
        <v>148</v>
      </c>
      <c r="H29" s="28">
        <v>148</v>
      </c>
      <c r="I29" s="28">
        <v>148</v>
      </c>
      <c r="J29" s="28">
        <v>148</v>
      </c>
      <c r="K29" s="28">
        <v>148</v>
      </c>
      <c r="L29" s="28">
        <v>148</v>
      </c>
      <c r="M29" s="28">
        <v>148</v>
      </c>
      <c r="N29" s="28">
        <v>148</v>
      </c>
      <c r="O29" s="28">
        <v>148</v>
      </c>
      <c r="P29" s="28">
        <v>148</v>
      </c>
      <c r="Q29" s="28">
        <v>148</v>
      </c>
      <c r="R29" s="28">
        <v>148</v>
      </c>
      <c r="S29" s="28">
        <v>148</v>
      </c>
      <c r="T29" s="28">
        <v>148</v>
      </c>
      <c r="U29" s="28">
        <v>148</v>
      </c>
      <c r="V29" s="28">
        <v>148</v>
      </c>
      <c r="W29" s="28">
        <v>148</v>
      </c>
      <c r="X29" s="28">
        <v>148</v>
      </c>
      <c r="Y29" s="28">
        <v>148</v>
      </c>
      <c r="Z29" s="28">
        <v>148</v>
      </c>
      <c r="AA29" s="28">
        <v>148</v>
      </c>
      <c r="AB29" s="28">
        <v>148</v>
      </c>
      <c r="AC29" s="28">
        <v>148</v>
      </c>
      <c r="AD29" s="28">
        <v>148</v>
      </c>
      <c r="AE29" s="28">
        <v>148</v>
      </c>
      <c r="AF29" s="28">
        <v>75</v>
      </c>
      <c r="AG29" s="28">
        <v>75</v>
      </c>
      <c r="AH29" s="29">
        <f t="shared" si="0"/>
        <v>75</v>
      </c>
      <c r="AI29" s="29">
        <f t="shared" si="0"/>
        <v>75</v>
      </c>
    </row>
    <row r="30" spans="2:35">
      <c r="B30">
        <v>29</v>
      </c>
      <c r="C30" t="s">
        <v>117</v>
      </c>
      <c r="D30" t="s">
        <v>19</v>
      </c>
      <c r="E30" t="s">
        <v>706</v>
      </c>
      <c r="F30" s="27">
        <v>1995</v>
      </c>
      <c r="G30" s="28">
        <v>50</v>
      </c>
      <c r="H30" s="28">
        <v>50</v>
      </c>
      <c r="I30" s="28">
        <v>50</v>
      </c>
      <c r="J30" s="28">
        <v>50</v>
      </c>
      <c r="K30" s="28">
        <v>50</v>
      </c>
      <c r="L30" s="28">
        <v>50</v>
      </c>
      <c r="M30" s="28">
        <v>50</v>
      </c>
      <c r="N30" s="28">
        <v>50</v>
      </c>
      <c r="O30" s="28">
        <v>100</v>
      </c>
      <c r="P30" s="28">
        <v>100</v>
      </c>
      <c r="Q30" s="28">
        <v>100</v>
      </c>
      <c r="R30" s="28">
        <v>100</v>
      </c>
      <c r="S30" s="28">
        <v>100</v>
      </c>
      <c r="T30" s="28">
        <v>100</v>
      </c>
      <c r="U30" s="28">
        <v>100</v>
      </c>
      <c r="V30" s="28">
        <v>100</v>
      </c>
      <c r="W30" s="28">
        <v>100</v>
      </c>
      <c r="X30" s="28">
        <v>100</v>
      </c>
      <c r="Y30" s="28">
        <v>100</v>
      </c>
      <c r="Z30" s="28">
        <v>100</v>
      </c>
      <c r="AA30" s="28">
        <v>100</v>
      </c>
      <c r="AB30" s="28">
        <v>100</v>
      </c>
      <c r="AC30" s="28">
        <v>100</v>
      </c>
      <c r="AD30" s="28">
        <v>100</v>
      </c>
      <c r="AE30" s="28">
        <v>100</v>
      </c>
      <c r="AF30" s="28">
        <v>100</v>
      </c>
      <c r="AG30" s="28">
        <v>100</v>
      </c>
      <c r="AH30" s="29">
        <f t="shared" si="0"/>
        <v>100</v>
      </c>
      <c r="AI30" s="29">
        <f t="shared" si="0"/>
        <v>100</v>
      </c>
    </row>
    <row r="31" spans="2:35">
      <c r="B31">
        <v>30</v>
      </c>
      <c r="C31" t="s">
        <v>121</v>
      </c>
      <c r="D31" t="s">
        <v>19</v>
      </c>
      <c r="E31" t="s">
        <v>706</v>
      </c>
      <c r="F31" s="27">
        <v>2015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100</v>
      </c>
      <c r="AD31" s="28">
        <v>162.5</v>
      </c>
      <c r="AE31" s="28">
        <v>162.5</v>
      </c>
      <c r="AF31" s="28">
        <v>162.5</v>
      </c>
      <c r="AG31" s="28">
        <v>162.5</v>
      </c>
      <c r="AH31" s="29">
        <f t="shared" si="0"/>
        <v>162.5</v>
      </c>
      <c r="AI31" s="29">
        <f t="shared" si="0"/>
        <v>162.5</v>
      </c>
    </row>
    <row r="32" spans="2:35">
      <c r="B32">
        <v>31</v>
      </c>
      <c r="C32" t="s">
        <v>124</v>
      </c>
      <c r="D32" t="s">
        <v>19</v>
      </c>
      <c r="E32" t="s">
        <v>706</v>
      </c>
      <c r="F32" s="27">
        <v>2017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100</v>
      </c>
      <c r="X32" s="28">
        <v>100</v>
      </c>
      <c r="Y32" s="28">
        <v>100</v>
      </c>
      <c r="Z32" s="28">
        <v>100</v>
      </c>
      <c r="AA32" s="28">
        <v>300</v>
      </c>
      <c r="AB32" s="28">
        <v>300</v>
      </c>
      <c r="AC32" s="28">
        <v>300</v>
      </c>
      <c r="AD32" s="28">
        <v>300</v>
      </c>
      <c r="AE32" s="28">
        <v>400</v>
      </c>
      <c r="AF32" s="28">
        <v>400</v>
      </c>
      <c r="AG32" s="28">
        <v>400</v>
      </c>
      <c r="AH32" s="29">
        <f t="shared" si="0"/>
        <v>400</v>
      </c>
      <c r="AI32" s="29">
        <f t="shared" si="0"/>
        <v>400</v>
      </c>
    </row>
    <row r="33" spans="2:35">
      <c r="B33">
        <v>32</v>
      </c>
      <c r="C33" t="s">
        <v>127</v>
      </c>
      <c r="D33" t="s">
        <v>19</v>
      </c>
      <c r="E33" t="s">
        <v>706</v>
      </c>
      <c r="F33" s="27">
        <v>2015</v>
      </c>
      <c r="G33" s="28">
        <v>0</v>
      </c>
      <c r="H33" s="28">
        <v>0</v>
      </c>
      <c r="I33" s="28">
        <v>0</v>
      </c>
      <c r="J33" s="28">
        <v>0</v>
      </c>
      <c r="K33" s="28">
        <v>200</v>
      </c>
      <c r="L33" s="28">
        <v>200</v>
      </c>
      <c r="M33" s="28">
        <v>200</v>
      </c>
      <c r="N33" s="28">
        <v>200</v>
      </c>
      <c r="O33" s="28">
        <v>250</v>
      </c>
      <c r="P33" s="28">
        <v>250</v>
      </c>
      <c r="Q33" s="28">
        <v>250</v>
      </c>
      <c r="R33" s="28">
        <v>250</v>
      </c>
      <c r="S33" s="28">
        <v>250</v>
      </c>
      <c r="T33" s="28">
        <v>250</v>
      </c>
      <c r="U33" s="28">
        <v>250</v>
      </c>
      <c r="V33" s="28">
        <v>250</v>
      </c>
      <c r="W33" s="28">
        <v>250</v>
      </c>
      <c r="X33" s="28">
        <v>250</v>
      </c>
      <c r="Y33" s="28">
        <v>250</v>
      </c>
      <c r="Z33" s="28">
        <v>250</v>
      </c>
      <c r="AA33" s="28">
        <v>250</v>
      </c>
      <c r="AB33" s="28">
        <v>250</v>
      </c>
      <c r="AC33" s="28">
        <v>250</v>
      </c>
      <c r="AD33" s="28">
        <v>250</v>
      </c>
      <c r="AE33" s="28">
        <v>250</v>
      </c>
      <c r="AF33" s="28">
        <v>250</v>
      </c>
      <c r="AG33" s="28">
        <v>250</v>
      </c>
      <c r="AH33" s="29">
        <f t="shared" si="0"/>
        <v>250</v>
      </c>
      <c r="AI33" s="29">
        <f t="shared" si="0"/>
        <v>250</v>
      </c>
    </row>
    <row r="34" spans="2:35">
      <c r="B34">
        <v>33</v>
      </c>
      <c r="C34" t="s">
        <v>130</v>
      </c>
      <c r="D34" t="s">
        <v>19</v>
      </c>
      <c r="E34" t="s">
        <v>706</v>
      </c>
      <c r="F34" s="27">
        <v>1999</v>
      </c>
      <c r="G34" s="28">
        <v>120</v>
      </c>
      <c r="H34" s="28">
        <v>120</v>
      </c>
      <c r="I34" s="28">
        <v>120</v>
      </c>
      <c r="J34" s="28">
        <v>120</v>
      </c>
      <c r="K34" s="28">
        <v>120</v>
      </c>
      <c r="L34" s="28">
        <v>120</v>
      </c>
      <c r="M34" s="28">
        <v>120</v>
      </c>
      <c r="N34" s="28">
        <v>120</v>
      </c>
      <c r="O34" s="28">
        <v>120</v>
      </c>
      <c r="P34" s="28">
        <v>120</v>
      </c>
      <c r="Q34" s="28">
        <v>120</v>
      </c>
      <c r="R34" s="28">
        <v>120</v>
      </c>
      <c r="S34" s="28">
        <v>120</v>
      </c>
      <c r="T34" s="28">
        <v>120</v>
      </c>
      <c r="U34" s="28">
        <v>120</v>
      </c>
      <c r="V34" s="28">
        <v>120</v>
      </c>
      <c r="W34" s="28">
        <v>120</v>
      </c>
      <c r="X34" s="28">
        <v>120</v>
      </c>
      <c r="Y34" s="28">
        <v>120</v>
      </c>
      <c r="Z34" s="28">
        <v>120</v>
      </c>
      <c r="AA34" s="28">
        <v>120</v>
      </c>
      <c r="AB34" s="28">
        <v>120</v>
      </c>
      <c r="AC34" s="28">
        <v>120</v>
      </c>
      <c r="AD34" s="28">
        <v>120</v>
      </c>
      <c r="AE34" s="28">
        <v>120</v>
      </c>
      <c r="AF34" s="28">
        <v>120</v>
      </c>
      <c r="AG34" s="28">
        <v>120</v>
      </c>
      <c r="AH34" s="29">
        <f t="shared" si="0"/>
        <v>120</v>
      </c>
      <c r="AI34" s="29">
        <f t="shared" si="0"/>
        <v>120</v>
      </c>
    </row>
    <row r="35" spans="2:35">
      <c r="B35">
        <v>34</v>
      </c>
      <c r="C35" t="s">
        <v>133</v>
      </c>
      <c r="D35" t="s">
        <v>19</v>
      </c>
      <c r="E35" t="s">
        <v>706</v>
      </c>
      <c r="F35" s="27">
        <v>2002</v>
      </c>
      <c r="G35" s="28">
        <v>200</v>
      </c>
      <c r="H35" s="28">
        <v>200</v>
      </c>
      <c r="I35" s="28">
        <v>200</v>
      </c>
      <c r="J35" s="28">
        <v>200</v>
      </c>
      <c r="K35" s="28">
        <v>200</v>
      </c>
      <c r="L35" s="28">
        <v>200</v>
      </c>
      <c r="M35" s="28">
        <v>200</v>
      </c>
      <c r="N35" s="28">
        <v>200</v>
      </c>
      <c r="O35" s="28">
        <v>200</v>
      </c>
      <c r="P35" s="28">
        <v>200</v>
      </c>
      <c r="Q35" s="28">
        <v>200</v>
      </c>
      <c r="R35" s="28">
        <v>200</v>
      </c>
      <c r="S35" s="28">
        <v>200</v>
      </c>
      <c r="T35" s="28">
        <v>200</v>
      </c>
      <c r="U35" s="28">
        <v>200</v>
      </c>
      <c r="V35" s="28">
        <v>200</v>
      </c>
      <c r="W35" s="28">
        <v>200</v>
      </c>
      <c r="X35" s="28">
        <v>200</v>
      </c>
      <c r="Y35" s="28">
        <v>200</v>
      </c>
      <c r="Z35" s="28">
        <v>200</v>
      </c>
      <c r="AA35" s="28">
        <v>200</v>
      </c>
      <c r="AB35" s="28">
        <v>200</v>
      </c>
      <c r="AC35" s="28">
        <v>200</v>
      </c>
      <c r="AD35" s="28">
        <v>200</v>
      </c>
      <c r="AE35" s="28">
        <v>200</v>
      </c>
      <c r="AF35" s="28">
        <v>200</v>
      </c>
      <c r="AG35" s="28">
        <v>200</v>
      </c>
      <c r="AH35" s="29">
        <f t="shared" si="0"/>
        <v>200</v>
      </c>
      <c r="AI35" s="29">
        <f t="shared" si="0"/>
        <v>200</v>
      </c>
    </row>
    <row r="36" spans="2:35">
      <c r="B36">
        <v>35</v>
      </c>
      <c r="C36" t="s">
        <v>137</v>
      </c>
      <c r="D36" t="s">
        <v>19</v>
      </c>
      <c r="E36" t="s">
        <v>706</v>
      </c>
      <c r="F36" s="27">
        <v>2002</v>
      </c>
      <c r="G36" s="28">
        <v>400</v>
      </c>
      <c r="H36" s="28">
        <v>400</v>
      </c>
      <c r="I36" s="28">
        <v>400</v>
      </c>
      <c r="J36" s="28">
        <v>400</v>
      </c>
      <c r="K36" s="28">
        <v>400</v>
      </c>
      <c r="L36" s="28">
        <v>400</v>
      </c>
      <c r="M36" s="28">
        <v>400</v>
      </c>
      <c r="N36" s="28">
        <v>400</v>
      </c>
      <c r="O36" s="28">
        <v>400</v>
      </c>
      <c r="P36" s="28">
        <v>400</v>
      </c>
      <c r="Q36" s="28">
        <v>400</v>
      </c>
      <c r="R36" s="28">
        <v>400</v>
      </c>
      <c r="S36" s="28">
        <v>400</v>
      </c>
      <c r="T36" s="28">
        <v>400</v>
      </c>
      <c r="U36" s="28">
        <v>400</v>
      </c>
      <c r="V36" s="28">
        <v>400</v>
      </c>
      <c r="W36" s="28">
        <v>400</v>
      </c>
      <c r="X36" s="28">
        <v>400</v>
      </c>
      <c r="Y36" s="28">
        <v>400</v>
      </c>
      <c r="Z36" s="28">
        <v>400</v>
      </c>
      <c r="AA36" s="28">
        <v>480</v>
      </c>
      <c r="AB36" s="28">
        <v>480</v>
      </c>
      <c r="AC36" s="28">
        <v>480</v>
      </c>
      <c r="AD36" s="28">
        <v>480</v>
      </c>
      <c r="AE36" s="28">
        <v>480</v>
      </c>
      <c r="AF36" s="28">
        <v>480</v>
      </c>
      <c r="AG36" s="28">
        <v>480</v>
      </c>
      <c r="AH36" s="29">
        <f t="shared" si="0"/>
        <v>480</v>
      </c>
      <c r="AI36" s="29">
        <f t="shared" si="0"/>
        <v>480</v>
      </c>
    </row>
    <row r="37" spans="2:35">
      <c r="B37">
        <v>36</v>
      </c>
      <c r="C37" t="s">
        <v>140</v>
      </c>
      <c r="D37" t="s">
        <v>19</v>
      </c>
      <c r="E37" t="s">
        <v>706</v>
      </c>
      <c r="F37" s="27">
        <v>2001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150</v>
      </c>
      <c r="T37" s="28">
        <v>150</v>
      </c>
      <c r="U37" s="28">
        <v>150</v>
      </c>
      <c r="V37" s="28">
        <v>150</v>
      </c>
      <c r="W37" s="28">
        <v>150</v>
      </c>
      <c r="X37" s="28">
        <v>150</v>
      </c>
      <c r="Y37" s="28">
        <v>150</v>
      </c>
      <c r="Z37" s="28">
        <v>150</v>
      </c>
      <c r="AA37" s="28">
        <v>150</v>
      </c>
      <c r="AB37" s="28">
        <v>150</v>
      </c>
      <c r="AC37" s="28">
        <v>150</v>
      </c>
      <c r="AD37" s="28">
        <v>150</v>
      </c>
      <c r="AE37" s="28">
        <v>150</v>
      </c>
      <c r="AF37" s="28">
        <v>150</v>
      </c>
      <c r="AG37" s="28">
        <v>150</v>
      </c>
      <c r="AH37" s="29">
        <f t="shared" si="0"/>
        <v>150</v>
      </c>
      <c r="AI37" s="29">
        <f t="shared" si="0"/>
        <v>150</v>
      </c>
    </row>
    <row r="38" spans="2:35">
      <c r="B38">
        <v>37</v>
      </c>
      <c r="C38" t="s">
        <v>143</v>
      </c>
      <c r="D38" t="s">
        <v>19</v>
      </c>
      <c r="E38" t="s">
        <v>706</v>
      </c>
      <c r="F38" s="27">
        <v>1970</v>
      </c>
      <c r="G38" s="28">
        <v>150</v>
      </c>
      <c r="H38" s="28">
        <v>150</v>
      </c>
      <c r="I38" s="28">
        <v>150</v>
      </c>
      <c r="J38" s="28">
        <v>150</v>
      </c>
      <c r="K38" s="28">
        <v>150</v>
      </c>
      <c r="L38" s="28">
        <v>150</v>
      </c>
      <c r="M38" s="28">
        <v>150</v>
      </c>
      <c r="N38" s="28">
        <v>150</v>
      </c>
      <c r="O38" s="28">
        <v>150</v>
      </c>
      <c r="P38" s="28">
        <v>150</v>
      </c>
      <c r="Q38" s="28">
        <v>150</v>
      </c>
      <c r="R38" s="28">
        <v>150</v>
      </c>
      <c r="S38" s="28">
        <v>150</v>
      </c>
      <c r="T38" s="28">
        <v>150</v>
      </c>
      <c r="U38" s="28">
        <v>150</v>
      </c>
      <c r="V38" s="28">
        <v>150</v>
      </c>
      <c r="W38" s="28">
        <v>150</v>
      </c>
      <c r="X38" s="28">
        <v>150</v>
      </c>
      <c r="Y38" s="28">
        <v>150</v>
      </c>
      <c r="Z38" s="28">
        <v>150</v>
      </c>
      <c r="AA38" s="28">
        <v>150</v>
      </c>
      <c r="AB38" s="28">
        <v>150</v>
      </c>
      <c r="AC38" s="28">
        <v>150</v>
      </c>
      <c r="AD38" s="28">
        <v>150</v>
      </c>
      <c r="AE38" s="28">
        <v>150</v>
      </c>
      <c r="AF38" s="28">
        <v>150</v>
      </c>
      <c r="AG38" s="28">
        <v>150</v>
      </c>
      <c r="AH38" s="29">
        <f t="shared" si="0"/>
        <v>150</v>
      </c>
      <c r="AI38" s="29">
        <f t="shared" si="0"/>
        <v>150</v>
      </c>
    </row>
    <row r="39" spans="2:35">
      <c r="B39">
        <v>38</v>
      </c>
      <c r="C39" t="s">
        <v>148</v>
      </c>
      <c r="D39" t="s">
        <v>19</v>
      </c>
      <c r="E39" t="s">
        <v>706</v>
      </c>
      <c r="F39" s="27">
        <v>1997</v>
      </c>
      <c r="G39" s="28">
        <v>300</v>
      </c>
      <c r="H39" s="28">
        <v>300</v>
      </c>
      <c r="I39" s="28">
        <v>300</v>
      </c>
      <c r="J39" s="28">
        <v>300</v>
      </c>
      <c r="K39" s="28">
        <v>300</v>
      </c>
      <c r="L39" s="28">
        <v>300</v>
      </c>
      <c r="M39" s="28">
        <v>300</v>
      </c>
      <c r="N39" s="28">
        <v>300</v>
      </c>
      <c r="O39" s="28">
        <v>300</v>
      </c>
      <c r="P39" s="28">
        <v>300</v>
      </c>
      <c r="Q39" s="28">
        <v>300</v>
      </c>
      <c r="R39" s="28">
        <v>300</v>
      </c>
      <c r="S39" s="28">
        <v>300</v>
      </c>
      <c r="T39" s="28">
        <v>300</v>
      </c>
      <c r="U39" s="28">
        <v>300</v>
      </c>
      <c r="V39" s="28">
        <v>300</v>
      </c>
      <c r="W39" s="28">
        <v>300</v>
      </c>
      <c r="X39" s="28">
        <v>300</v>
      </c>
      <c r="Y39" s="28">
        <v>300</v>
      </c>
      <c r="Z39" s="28">
        <v>280</v>
      </c>
      <c r="AA39" s="28">
        <v>280</v>
      </c>
      <c r="AB39" s="28">
        <v>280</v>
      </c>
      <c r="AC39" s="28">
        <v>280</v>
      </c>
      <c r="AD39" s="28">
        <v>280</v>
      </c>
      <c r="AE39" s="28">
        <v>280</v>
      </c>
      <c r="AF39" s="28">
        <v>280</v>
      </c>
      <c r="AG39" s="28">
        <v>280</v>
      </c>
      <c r="AH39" s="29">
        <f t="shared" si="0"/>
        <v>280</v>
      </c>
      <c r="AI39" s="29">
        <f t="shared" si="0"/>
        <v>280</v>
      </c>
    </row>
    <row r="40" spans="2:35">
      <c r="B40">
        <v>39</v>
      </c>
      <c r="C40" t="s">
        <v>151</v>
      </c>
      <c r="D40" t="s">
        <v>19</v>
      </c>
      <c r="E40" t="s">
        <v>706</v>
      </c>
      <c r="F40" s="27">
        <v>1997</v>
      </c>
      <c r="G40" s="28">
        <v>320</v>
      </c>
      <c r="H40" s="28">
        <v>320</v>
      </c>
      <c r="I40" s="28">
        <v>320</v>
      </c>
      <c r="J40" s="28">
        <v>320</v>
      </c>
      <c r="K40" s="28">
        <v>320</v>
      </c>
      <c r="L40" s="28">
        <v>320</v>
      </c>
      <c r="M40" s="28">
        <v>320</v>
      </c>
      <c r="N40" s="28">
        <v>320</v>
      </c>
      <c r="O40" s="28">
        <v>320</v>
      </c>
      <c r="P40" s="28">
        <v>320</v>
      </c>
      <c r="Q40" s="28">
        <v>320</v>
      </c>
      <c r="R40" s="28">
        <v>320</v>
      </c>
      <c r="S40" s="28">
        <v>320</v>
      </c>
      <c r="T40" s="28">
        <v>320</v>
      </c>
      <c r="U40" s="28">
        <v>320</v>
      </c>
      <c r="V40" s="28">
        <v>320</v>
      </c>
      <c r="W40" s="28">
        <v>320</v>
      </c>
      <c r="X40" s="28">
        <v>320</v>
      </c>
      <c r="Y40" s="28">
        <v>320</v>
      </c>
      <c r="Z40" s="28">
        <v>300</v>
      </c>
      <c r="AA40" s="28">
        <v>300</v>
      </c>
      <c r="AB40" s="28">
        <v>300</v>
      </c>
      <c r="AC40" s="28">
        <v>300</v>
      </c>
      <c r="AD40" s="28">
        <v>300</v>
      </c>
      <c r="AE40" s="28">
        <v>300</v>
      </c>
      <c r="AF40" s="28">
        <v>300</v>
      </c>
      <c r="AG40" s="28">
        <v>300</v>
      </c>
      <c r="AH40" s="29">
        <f t="shared" si="0"/>
        <v>300</v>
      </c>
      <c r="AI40" s="29">
        <f t="shared" si="0"/>
        <v>300</v>
      </c>
    </row>
    <row r="41" spans="2:35">
      <c r="B41">
        <v>40</v>
      </c>
      <c r="C41" t="s">
        <v>153</v>
      </c>
      <c r="D41" t="s">
        <v>19</v>
      </c>
      <c r="E41" t="s">
        <v>706</v>
      </c>
      <c r="F41" s="27">
        <v>2002</v>
      </c>
      <c r="G41" s="28">
        <v>240</v>
      </c>
      <c r="H41" s="28">
        <v>240</v>
      </c>
      <c r="I41" s="28">
        <v>240</v>
      </c>
      <c r="J41" s="28">
        <v>240</v>
      </c>
      <c r="K41" s="28">
        <v>240</v>
      </c>
      <c r="L41" s="28">
        <v>240</v>
      </c>
      <c r="M41" s="28">
        <v>240</v>
      </c>
      <c r="N41" s="28">
        <v>240</v>
      </c>
      <c r="O41" s="28">
        <v>240</v>
      </c>
      <c r="P41" s="28">
        <v>240</v>
      </c>
      <c r="Q41" s="28">
        <v>240</v>
      </c>
      <c r="R41" s="28">
        <v>240</v>
      </c>
      <c r="S41" s="28">
        <v>240</v>
      </c>
      <c r="T41" s="28">
        <v>240</v>
      </c>
      <c r="U41" s="28">
        <v>240</v>
      </c>
      <c r="V41" s="28">
        <v>240</v>
      </c>
      <c r="W41" s="28">
        <v>240</v>
      </c>
      <c r="X41" s="28">
        <v>240</v>
      </c>
      <c r="Y41" s="28">
        <v>240</v>
      </c>
      <c r="Z41" s="28">
        <v>240</v>
      </c>
      <c r="AA41" s="28">
        <v>240</v>
      </c>
      <c r="AB41" s="28">
        <v>240</v>
      </c>
      <c r="AC41" s="28">
        <v>240</v>
      </c>
      <c r="AD41" s="28">
        <v>240</v>
      </c>
      <c r="AE41" s="28">
        <v>240</v>
      </c>
      <c r="AF41" s="28">
        <v>240</v>
      </c>
      <c r="AG41" s="28">
        <v>240</v>
      </c>
      <c r="AH41" s="29">
        <f t="shared" si="0"/>
        <v>240</v>
      </c>
      <c r="AI41" s="29">
        <f t="shared" si="0"/>
        <v>240</v>
      </c>
    </row>
    <row r="42" spans="2:35">
      <c r="B42">
        <v>41</v>
      </c>
      <c r="C42" t="s">
        <v>157</v>
      </c>
      <c r="D42" t="s">
        <v>19</v>
      </c>
      <c r="E42" t="s">
        <v>706</v>
      </c>
      <c r="F42" s="27">
        <v>1998</v>
      </c>
      <c r="G42" s="28">
        <v>490</v>
      </c>
      <c r="H42" s="28">
        <v>490</v>
      </c>
      <c r="I42" s="28">
        <v>490</v>
      </c>
      <c r="J42" s="28">
        <v>490</v>
      </c>
      <c r="K42" s="28">
        <v>490</v>
      </c>
      <c r="L42" s="28">
        <v>490</v>
      </c>
      <c r="M42" s="28">
        <v>490</v>
      </c>
      <c r="N42" s="28">
        <v>490</v>
      </c>
      <c r="O42" s="28">
        <v>490</v>
      </c>
      <c r="P42" s="28">
        <v>490</v>
      </c>
      <c r="Q42" s="28">
        <v>490</v>
      </c>
      <c r="R42" s="28">
        <v>490</v>
      </c>
      <c r="S42" s="28">
        <v>490</v>
      </c>
      <c r="T42" s="28">
        <v>490</v>
      </c>
      <c r="U42" s="28">
        <v>490</v>
      </c>
      <c r="V42" s="28">
        <v>490</v>
      </c>
      <c r="W42" s="28">
        <v>490</v>
      </c>
      <c r="X42" s="28">
        <v>490</v>
      </c>
      <c r="Y42" s="28">
        <v>490</v>
      </c>
      <c r="Z42" s="28">
        <v>490</v>
      </c>
      <c r="AA42" s="28">
        <v>490</v>
      </c>
      <c r="AB42" s="28">
        <v>490</v>
      </c>
      <c r="AC42" s="28">
        <v>490</v>
      </c>
      <c r="AD42" s="28">
        <v>490</v>
      </c>
      <c r="AE42" s="28">
        <v>250</v>
      </c>
      <c r="AF42" s="28">
        <v>250</v>
      </c>
      <c r="AG42" s="28">
        <v>250</v>
      </c>
      <c r="AH42" s="29">
        <f t="shared" si="0"/>
        <v>250</v>
      </c>
      <c r="AI42" s="29">
        <f t="shared" si="0"/>
        <v>250</v>
      </c>
    </row>
    <row r="43" spans="2:35">
      <c r="B43">
        <v>42</v>
      </c>
      <c r="C43" t="s">
        <v>161</v>
      </c>
      <c r="D43" t="s">
        <v>19</v>
      </c>
      <c r="E43" t="s">
        <v>706</v>
      </c>
      <c r="F43" s="27">
        <v>2019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150</v>
      </c>
      <c r="AF43" s="28">
        <v>150</v>
      </c>
      <c r="AG43" s="28">
        <v>150</v>
      </c>
      <c r="AH43" s="29">
        <f t="shared" si="0"/>
        <v>150</v>
      </c>
      <c r="AI43" s="29">
        <f t="shared" si="0"/>
        <v>150</v>
      </c>
    </row>
    <row r="44" spans="2:35">
      <c r="B44">
        <v>43</v>
      </c>
      <c r="C44" t="s">
        <v>164</v>
      </c>
      <c r="D44" t="s">
        <v>19</v>
      </c>
      <c r="E44" t="s">
        <v>706</v>
      </c>
      <c r="F44" s="27">
        <v>2007</v>
      </c>
      <c r="G44" s="28">
        <v>600</v>
      </c>
      <c r="H44" s="28">
        <v>600</v>
      </c>
      <c r="I44" s="28">
        <v>600</v>
      </c>
      <c r="J44" s="28">
        <v>600</v>
      </c>
      <c r="K44" s="28">
        <v>600</v>
      </c>
      <c r="L44" s="28">
        <v>600</v>
      </c>
      <c r="M44" s="28">
        <v>600</v>
      </c>
      <c r="N44" s="28">
        <v>600</v>
      </c>
      <c r="O44" s="28">
        <v>600</v>
      </c>
      <c r="P44" s="28">
        <v>600</v>
      </c>
      <c r="Q44" s="28">
        <v>600</v>
      </c>
      <c r="R44" s="28">
        <v>600</v>
      </c>
      <c r="S44" s="28">
        <v>600</v>
      </c>
      <c r="T44" s="28">
        <v>600</v>
      </c>
      <c r="U44" s="28">
        <v>600</v>
      </c>
      <c r="V44" s="28">
        <v>600</v>
      </c>
      <c r="W44" s="28">
        <v>600</v>
      </c>
      <c r="X44" s="28">
        <v>600</v>
      </c>
      <c r="Y44" s="28">
        <v>600</v>
      </c>
      <c r="Z44" s="28">
        <v>600</v>
      </c>
      <c r="AA44" s="28">
        <v>600</v>
      </c>
      <c r="AB44" s="28">
        <v>600</v>
      </c>
      <c r="AC44" s="28">
        <v>600</v>
      </c>
      <c r="AD44" s="28">
        <v>600</v>
      </c>
      <c r="AE44" s="28">
        <v>600</v>
      </c>
      <c r="AF44" s="28">
        <v>600</v>
      </c>
      <c r="AG44" s="28">
        <v>600</v>
      </c>
      <c r="AH44" s="29">
        <f t="shared" si="0"/>
        <v>600</v>
      </c>
      <c r="AI44" s="29">
        <f t="shared" si="0"/>
        <v>600</v>
      </c>
    </row>
    <row r="45" spans="2:35">
      <c r="B45">
        <v>44</v>
      </c>
      <c r="C45" t="s">
        <v>168</v>
      </c>
      <c r="D45" t="s">
        <v>19</v>
      </c>
      <c r="E45" t="s">
        <v>706</v>
      </c>
      <c r="F45" s="27">
        <v>2018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200</v>
      </c>
      <c r="AB45" s="28">
        <v>200</v>
      </c>
      <c r="AC45" s="28">
        <v>200</v>
      </c>
      <c r="AD45" s="28">
        <v>200</v>
      </c>
      <c r="AE45" s="28">
        <v>400</v>
      </c>
      <c r="AF45" s="28">
        <v>400</v>
      </c>
      <c r="AG45" s="28">
        <v>400</v>
      </c>
      <c r="AH45" s="29">
        <f t="shared" si="0"/>
        <v>400</v>
      </c>
      <c r="AI45" s="29">
        <f t="shared" si="0"/>
        <v>400</v>
      </c>
    </row>
    <row r="46" spans="2:35">
      <c r="B46">
        <v>45</v>
      </c>
      <c r="C46" t="s">
        <v>171</v>
      </c>
      <c r="D46" t="s">
        <v>19</v>
      </c>
      <c r="E46" t="s">
        <v>706</v>
      </c>
      <c r="F46" s="27">
        <v>2017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500</v>
      </c>
      <c r="X46" s="28">
        <v>500</v>
      </c>
      <c r="Y46" s="28">
        <v>500</v>
      </c>
      <c r="Z46" s="28">
        <v>500</v>
      </c>
      <c r="AA46" s="28">
        <v>700</v>
      </c>
      <c r="AB46" s="28">
        <v>700</v>
      </c>
      <c r="AC46" s="28">
        <v>700</v>
      </c>
      <c r="AD46" s="28">
        <v>700</v>
      </c>
      <c r="AE46" s="28">
        <v>700</v>
      </c>
      <c r="AF46" s="28">
        <v>700</v>
      </c>
      <c r="AG46" s="28">
        <v>700</v>
      </c>
      <c r="AH46" s="29">
        <f t="shared" si="0"/>
        <v>700</v>
      </c>
      <c r="AI46" s="29">
        <f t="shared" si="0"/>
        <v>700</v>
      </c>
    </row>
    <row r="47" spans="2:35">
      <c r="B47">
        <v>46</v>
      </c>
      <c r="C47" t="s">
        <v>174</v>
      </c>
      <c r="D47" t="s">
        <v>19</v>
      </c>
      <c r="E47" t="s">
        <v>706</v>
      </c>
      <c r="F47" s="27">
        <v>2013</v>
      </c>
      <c r="G47" s="28">
        <v>480</v>
      </c>
      <c r="H47" s="28">
        <v>480</v>
      </c>
      <c r="I47" s="28">
        <v>480</v>
      </c>
      <c r="J47" s="28">
        <v>480</v>
      </c>
      <c r="K47" s="28">
        <v>480</v>
      </c>
      <c r="L47" s="28">
        <v>480</v>
      </c>
      <c r="M47" s="28">
        <v>480</v>
      </c>
      <c r="N47" s="28">
        <v>480</v>
      </c>
      <c r="O47" s="28">
        <v>480</v>
      </c>
      <c r="P47" s="28">
        <v>480</v>
      </c>
      <c r="Q47" s="28">
        <v>480</v>
      </c>
      <c r="R47" s="28">
        <v>480</v>
      </c>
      <c r="S47" s="28">
        <v>930</v>
      </c>
      <c r="T47" s="28">
        <v>930</v>
      </c>
      <c r="U47" s="28">
        <v>930</v>
      </c>
      <c r="V47" s="28">
        <v>930</v>
      </c>
      <c r="W47" s="28">
        <v>1330</v>
      </c>
      <c r="X47" s="28">
        <v>1330</v>
      </c>
      <c r="Y47" s="28">
        <v>1330</v>
      </c>
      <c r="Z47" s="28">
        <v>1330</v>
      </c>
      <c r="AA47" s="28">
        <v>1330</v>
      </c>
      <c r="AB47" s="28">
        <v>1330</v>
      </c>
      <c r="AC47" s="28">
        <v>1330</v>
      </c>
      <c r="AD47" s="28">
        <v>1330</v>
      </c>
      <c r="AE47" s="28">
        <v>1330</v>
      </c>
      <c r="AF47" s="28">
        <v>1330</v>
      </c>
      <c r="AG47" s="28">
        <v>1330</v>
      </c>
      <c r="AH47" s="29">
        <f t="shared" si="0"/>
        <v>1330</v>
      </c>
      <c r="AI47" s="29">
        <f t="shared" si="0"/>
        <v>1330</v>
      </c>
    </row>
    <row r="48" spans="2:35">
      <c r="B48">
        <v>47</v>
      </c>
      <c r="C48" t="s">
        <v>178</v>
      </c>
      <c r="D48" t="s">
        <v>19</v>
      </c>
      <c r="E48" t="s">
        <v>706</v>
      </c>
      <c r="F48" s="27">
        <v>1966</v>
      </c>
      <c r="G48" s="28">
        <v>420</v>
      </c>
      <c r="H48" s="28">
        <v>420</v>
      </c>
      <c r="I48" s="28">
        <v>420</v>
      </c>
      <c r="J48" s="28">
        <v>420</v>
      </c>
      <c r="K48" s="28">
        <v>420</v>
      </c>
      <c r="L48" s="28">
        <v>420</v>
      </c>
      <c r="M48" s="28">
        <v>420</v>
      </c>
      <c r="N48" s="28">
        <v>420</v>
      </c>
      <c r="O48" s="28">
        <v>420</v>
      </c>
      <c r="P48" s="28">
        <v>420</v>
      </c>
      <c r="Q48" s="28">
        <v>420</v>
      </c>
      <c r="R48" s="28">
        <v>420</v>
      </c>
      <c r="S48" s="28">
        <v>420</v>
      </c>
      <c r="T48" s="28">
        <v>420</v>
      </c>
      <c r="U48" s="28">
        <v>420</v>
      </c>
      <c r="V48" s="28">
        <v>420</v>
      </c>
      <c r="W48" s="28">
        <v>420</v>
      </c>
      <c r="X48" s="28">
        <v>420</v>
      </c>
      <c r="Y48" s="28">
        <v>420</v>
      </c>
      <c r="Z48" s="28">
        <v>420</v>
      </c>
      <c r="AA48" s="28">
        <v>420</v>
      </c>
      <c r="AB48" s="28">
        <v>420</v>
      </c>
      <c r="AC48" s="28">
        <v>420</v>
      </c>
      <c r="AD48" s="28">
        <v>420</v>
      </c>
      <c r="AE48" s="28">
        <v>420</v>
      </c>
      <c r="AF48" s="28">
        <v>420</v>
      </c>
      <c r="AG48" s="28">
        <v>420</v>
      </c>
      <c r="AH48" s="29">
        <f t="shared" si="0"/>
        <v>420</v>
      </c>
      <c r="AI48" s="29">
        <f t="shared" si="0"/>
        <v>420</v>
      </c>
    </row>
    <row r="49" spans="2:35">
      <c r="B49">
        <v>48</v>
      </c>
      <c r="C49" t="s">
        <v>181</v>
      </c>
      <c r="D49" t="s">
        <v>19</v>
      </c>
      <c r="E49" t="s">
        <v>706</v>
      </c>
      <c r="F49" s="27">
        <v>2012</v>
      </c>
      <c r="G49" s="28">
        <v>900</v>
      </c>
      <c r="H49" s="28">
        <v>945</v>
      </c>
      <c r="I49" s="28">
        <v>945</v>
      </c>
      <c r="J49" s="28">
        <v>945</v>
      </c>
      <c r="K49" s="28">
        <v>945</v>
      </c>
      <c r="L49" s="28">
        <v>945</v>
      </c>
      <c r="M49" s="28">
        <v>945</v>
      </c>
      <c r="N49" s="28">
        <v>945</v>
      </c>
      <c r="O49" s="28">
        <v>900</v>
      </c>
      <c r="P49" s="28">
        <v>900</v>
      </c>
      <c r="Q49" s="28">
        <v>900</v>
      </c>
      <c r="R49" s="28">
        <v>900</v>
      </c>
      <c r="S49" s="28">
        <v>1350</v>
      </c>
      <c r="T49" s="28">
        <v>1350</v>
      </c>
      <c r="U49" s="28">
        <v>1350</v>
      </c>
      <c r="V49" s="28">
        <v>1350</v>
      </c>
      <c r="W49" s="28">
        <v>1350</v>
      </c>
      <c r="X49" s="28">
        <v>1350</v>
      </c>
      <c r="Y49" s="28">
        <v>1350</v>
      </c>
      <c r="Z49" s="28">
        <v>1350</v>
      </c>
      <c r="AA49" s="28">
        <v>1350</v>
      </c>
      <c r="AB49" s="28">
        <v>1350</v>
      </c>
      <c r="AC49" s="28">
        <v>1350</v>
      </c>
      <c r="AD49" s="28">
        <v>1350</v>
      </c>
      <c r="AE49" s="28">
        <v>1350</v>
      </c>
      <c r="AF49" s="28">
        <v>1350</v>
      </c>
      <c r="AG49" s="28">
        <v>1350</v>
      </c>
      <c r="AH49" s="29">
        <f t="shared" si="0"/>
        <v>1350</v>
      </c>
      <c r="AI49" s="29">
        <f t="shared" si="0"/>
        <v>1350</v>
      </c>
    </row>
    <row r="50" spans="2:35">
      <c r="B50">
        <v>49</v>
      </c>
      <c r="C50" t="s">
        <v>185</v>
      </c>
      <c r="D50" t="s">
        <v>19</v>
      </c>
      <c r="E50" t="s">
        <v>706</v>
      </c>
      <c r="F50" s="27">
        <v>2010</v>
      </c>
      <c r="G50" s="28">
        <v>100</v>
      </c>
      <c r="H50" s="28">
        <v>100</v>
      </c>
      <c r="I50" s="28">
        <v>100</v>
      </c>
      <c r="J50" s="28">
        <v>100</v>
      </c>
      <c r="K50" s="28">
        <v>70</v>
      </c>
      <c r="L50" s="28">
        <v>70</v>
      </c>
      <c r="M50" s="28">
        <v>70</v>
      </c>
      <c r="N50" s="28">
        <v>70</v>
      </c>
      <c r="O50" s="28">
        <v>100</v>
      </c>
      <c r="P50" s="28">
        <v>100</v>
      </c>
      <c r="Q50" s="28">
        <v>100</v>
      </c>
      <c r="R50" s="28">
        <v>100</v>
      </c>
      <c r="S50" s="28">
        <v>100</v>
      </c>
      <c r="T50" s="28">
        <v>100</v>
      </c>
      <c r="U50" s="28">
        <v>100</v>
      </c>
      <c r="V50" s="28">
        <v>100</v>
      </c>
      <c r="W50" s="28">
        <v>100</v>
      </c>
      <c r="X50" s="28">
        <v>100</v>
      </c>
      <c r="Y50" s="28">
        <v>100</v>
      </c>
      <c r="Z50" s="28">
        <v>100</v>
      </c>
      <c r="AA50" s="28">
        <v>100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9">
        <f t="shared" si="0"/>
        <v>0</v>
      </c>
      <c r="AI50" s="29">
        <f t="shared" si="0"/>
        <v>0</v>
      </c>
    </row>
    <row r="51" spans="2:35">
      <c r="B51">
        <v>50</v>
      </c>
      <c r="C51" t="s">
        <v>188</v>
      </c>
      <c r="D51" t="s">
        <v>19</v>
      </c>
      <c r="E51" t="s">
        <v>706</v>
      </c>
      <c r="F51" s="27">
        <v>2003</v>
      </c>
      <c r="G51" s="28">
        <v>140</v>
      </c>
      <c r="H51" s="28">
        <v>140</v>
      </c>
      <c r="I51" s="28">
        <v>140</v>
      </c>
      <c r="J51" s="28">
        <v>140</v>
      </c>
      <c r="K51" s="28">
        <v>70</v>
      </c>
      <c r="L51" s="28">
        <v>70</v>
      </c>
      <c r="M51" s="28">
        <v>70</v>
      </c>
      <c r="N51" s="28">
        <v>70</v>
      </c>
      <c r="O51" s="28">
        <v>140</v>
      </c>
      <c r="P51" s="28">
        <v>140</v>
      </c>
      <c r="Q51" s="28">
        <v>140</v>
      </c>
      <c r="R51" s="28">
        <v>140</v>
      </c>
      <c r="S51" s="28">
        <v>140</v>
      </c>
      <c r="T51" s="28">
        <v>140</v>
      </c>
      <c r="U51" s="28">
        <v>140</v>
      </c>
      <c r="V51" s="28">
        <v>140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9">
        <f t="shared" si="0"/>
        <v>0</v>
      </c>
      <c r="AI51" s="29">
        <f t="shared" si="0"/>
        <v>0</v>
      </c>
    </row>
    <row r="52" spans="2:35">
      <c r="B52">
        <v>51</v>
      </c>
      <c r="C52" t="s">
        <v>192</v>
      </c>
      <c r="D52" t="s">
        <v>19</v>
      </c>
      <c r="E52" t="s">
        <v>706</v>
      </c>
      <c r="F52" s="27">
        <v>2009</v>
      </c>
      <c r="G52" s="28">
        <v>250</v>
      </c>
      <c r="H52" s="28">
        <v>250</v>
      </c>
      <c r="I52" s="28">
        <v>250</v>
      </c>
      <c r="J52" s="28">
        <v>250</v>
      </c>
      <c r="K52" s="28">
        <v>125</v>
      </c>
      <c r="L52" s="28">
        <v>125</v>
      </c>
      <c r="M52" s="28">
        <v>125</v>
      </c>
      <c r="N52" s="28">
        <v>125</v>
      </c>
      <c r="O52" s="28">
        <v>250</v>
      </c>
      <c r="P52" s="28">
        <v>250</v>
      </c>
      <c r="Q52" s="28">
        <v>250</v>
      </c>
      <c r="R52" s="28">
        <v>250</v>
      </c>
      <c r="S52" s="28">
        <v>250</v>
      </c>
      <c r="T52" s="28">
        <v>250</v>
      </c>
      <c r="U52" s="28">
        <v>250</v>
      </c>
      <c r="V52" s="28">
        <v>250</v>
      </c>
      <c r="W52" s="28">
        <v>250</v>
      </c>
      <c r="X52" s="28">
        <v>250</v>
      </c>
      <c r="Y52" s="28">
        <v>250</v>
      </c>
      <c r="Z52" s="28">
        <v>250</v>
      </c>
      <c r="AA52" s="28">
        <v>500</v>
      </c>
      <c r="AB52" s="28">
        <v>500</v>
      </c>
      <c r="AC52" s="28">
        <v>500</v>
      </c>
      <c r="AD52" s="28">
        <v>500</v>
      </c>
      <c r="AE52" s="28">
        <v>450</v>
      </c>
      <c r="AF52" s="28">
        <v>450</v>
      </c>
      <c r="AG52" s="28">
        <v>450</v>
      </c>
      <c r="AH52" s="29">
        <f t="shared" si="0"/>
        <v>450</v>
      </c>
      <c r="AI52" s="29">
        <f t="shared" si="0"/>
        <v>450</v>
      </c>
    </row>
    <row r="53" spans="2:35">
      <c r="B53">
        <v>52</v>
      </c>
      <c r="C53" t="s">
        <v>194</v>
      </c>
      <c r="D53" t="s">
        <v>19</v>
      </c>
      <c r="E53" t="s">
        <v>706</v>
      </c>
      <c r="F53" s="27"/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>
        <v>0</v>
      </c>
      <c r="AH53" s="29">
        <f t="shared" si="0"/>
        <v>0</v>
      </c>
      <c r="AI53" s="29">
        <f t="shared" si="0"/>
        <v>0</v>
      </c>
    </row>
    <row r="54" spans="2:35">
      <c r="B54">
        <v>53</v>
      </c>
      <c r="C54" t="s">
        <v>197</v>
      </c>
      <c r="D54" t="s">
        <v>19</v>
      </c>
      <c r="E54" t="s">
        <v>706</v>
      </c>
      <c r="F54" s="27">
        <v>1995</v>
      </c>
      <c r="G54" s="28">
        <v>350</v>
      </c>
      <c r="H54" s="28">
        <v>350</v>
      </c>
      <c r="I54" s="28">
        <v>350</v>
      </c>
      <c r="J54" s="28">
        <v>350</v>
      </c>
      <c r="K54" s="28">
        <v>175</v>
      </c>
      <c r="L54" s="28">
        <v>175</v>
      </c>
      <c r="M54" s="28">
        <v>175</v>
      </c>
      <c r="N54" s="28">
        <v>175</v>
      </c>
      <c r="O54" s="28">
        <v>350</v>
      </c>
      <c r="P54" s="28">
        <v>350</v>
      </c>
      <c r="Q54" s="28">
        <v>350</v>
      </c>
      <c r="R54" s="28">
        <v>350</v>
      </c>
      <c r="S54" s="28">
        <v>350</v>
      </c>
      <c r="T54" s="28">
        <v>350</v>
      </c>
      <c r="U54" s="28">
        <v>350</v>
      </c>
      <c r="V54" s="28">
        <v>350</v>
      </c>
      <c r="W54" s="28">
        <v>350</v>
      </c>
      <c r="X54" s="28">
        <v>350</v>
      </c>
      <c r="Y54" s="28">
        <v>350</v>
      </c>
      <c r="Z54" s="28">
        <v>350</v>
      </c>
      <c r="AA54" s="28">
        <v>350</v>
      </c>
      <c r="AB54" s="28">
        <v>350</v>
      </c>
      <c r="AC54" s="28">
        <v>350</v>
      </c>
      <c r="AD54" s="28">
        <v>350</v>
      </c>
      <c r="AE54" s="28">
        <v>0</v>
      </c>
      <c r="AF54" s="28">
        <v>0</v>
      </c>
      <c r="AG54" s="28">
        <v>0</v>
      </c>
      <c r="AH54" s="29">
        <f t="shared" si="0"/>
        <v>0</v>
      </c>
      <c r="AI54" s="29">
        <f t="shared" si="0"/>
        <v>0</v>
      </c>
    </row>
    <row r="55" spans="2:35">
      <c r="B55">
        <v>54</v>
      </c>
      <c r="C55" t="s">
        <v>200</v>
      </c>
      <c r="D55" t="s">
        <v>19</v>
      </c>
      <c r="E55" t="s">
        <v>706</v>
      </c>
      <c r="F55" s="27">
        <v>1992</v>
      </c>
      <c r="G55" s="28">
        <v>395</v>
      </c>
      <c r="H55" s="28">
        <v>395</v>
      </c>
      <c r="I55" s="28">
        <v>395</v>
      </c>
      <c r="J55" s="28">
        <v>395</v>
      </c>
      <c r="K55" s="28">
        <v>277</v>
      </c>
      <c r="L55" s="28">
        <v>277</v>
      </c>
      <c r="M55" s="28">
        <v>277</v>
      </c>
      <c r="N55" s="28">
        <v>277</v>
      </c>
      <c r="O55" s="28">
        <v>395</v>
      </c>
      <c r="P55" s="28">
        <v>395</v>
      </c>
      <c r="Q55" s="28">
        <v>395</v>
      </c>
      <c r="R55" s="28">
        <v>395</v>
      </c>
      <c r="S55" s="28">
        <v>395</v>
      </c>
      <c r="T55" s="28">
        <v>395</v>
      </c>
      <c r="U55" s="28">
        <v>395</v>
      </c>
      <c r="V55" s="28">
        <v>395</v>
      </c>
      <c r="W55" s="28">
        <v>395</v>
      </c>
      <c r="X55" s="28">
        <v>395</v>
      </c>
      <c r="Y55" s="28">
        <v>395</v>
      </c>
      <c r="Z55" s="28">
        <v>395</v>
      </c>
      <c r="AA55" s="28">
        <v>395</v>
      </c>
      <c r="AB55" s="28">
        <v>395</v>
      </c>
      <c r="AC55" s="28">
        <v>395</v>
      </c>
      <c r="AD55" s="28">
        <v>395</v>
      </c>
      <c r="AE55" s="28">
        <v>395</v>
      </c>
      <c r="AF55" s="28">
        <v>395</v>
      </c>
      <c r="AG55" s="28">
        <v>395</v>
      </c>
      <c r="AH55" s="29">
        <f t="shared" si="0"/>
        <v>395</v>
      </c>
      <c r="AI55" s="29">
        <f t="shared" si="0"/>
        <v>395</v>
      </c>
    </row>
    <row r="56" spans="2:35">
      <c r="B56">
        <v>55</v>
      </c>
      <c r="C56" t="s">
        <v>203</v>
      </c>
      <c r="D56" t="s">
        <v>19</v>
      </c>
      <c r="E56" t="s">
        <v>706</v>
      </c>
      <c r="F56" s="27">
        <v>2002</v>
      </c>
      <c r="G56" s="28">
        <v>180</v>
      </c>
      <c r="H56" s="28">
        <v>180</v>
      </c>
      <c r="I56" s="28">
        <v>180</v>
      </c>
      <c r="J56" s="28">
        <v>180</v>
      </c>
      <c r="K56" s="28">
        <v>180</v>
      </c>
      <c r="L56" s="28">
        <v>180</v>
      </c>
      <c r="M56" s="28">
        <v>180</v>
      </c>
      <c r="N56" s="28">
        <v>180</v>
      </c>
      <c r="O56" s="28">
        <v>180</v>
      </c>
      <c r="P56" s="28">
        <v>180</v>
      </c>
      <c r="Q56" s="28">
        <v>180</v>
      </c>
      <c r="R56" s="28">
        <v>180</v>
      </c>
      <c r="S56" s="28">
        <v>180</v>
      </c>
      <c r="T56" s="28">
        <v>180</v>
      </c>
      <c r="U56" s="28">
        <v>180</v>
      </c>
      <c r="V56" s="28">
        <v>180</v>
      </c>
      <c r="W56" s="28">
        <v>180</v>
      </c>
      <c r="X56" s="28">
        <v>180</v>
      </c>
      <c r="Y56" s="28">
        <v>180</v>
      </c>
      <c r="Z56" s="28">
        <v>180</v>
      </c>
      <c r="AA56" s="28">
        <v>180</v>
      </c>
      <c r="AB56" s="28">
        <v>180</v>
      </c>
      <c r="AC56" s="28">
        <v>180</v>
      </c>
      <c r="AD56" s="28">
        <v>180</v>
      </c>
      <c r="AE56" s="28">
        <v>180</v>
      </c>
      <c r="AF56" s="28">
        <v>180</v>
      </c>
      <c r="AG56" s="28">
        <v>180</v>
      </c>
      <c r="AH56" s="29">
        <f t="shared" si="0"/>
        <v>180</v>
      </c>
      <c r="AI56" s="29">
        <f t="shared" si="0"/>
        <v>180</v>
      </c>
    </row>
    <row r="57" spans="2:35">
      <c r="B57">
        <v>56</v>
      </c>
      <c r="C57" t="s">
        <v>205</v>
      </c>
      <c r="D57" t="s">
        <v>19</v>
      </c>
      <c r="E57" t="s">
        <v>706</v>
      </c>
      <c r="F57" s="27">
        <v>2002</v>
      </c>
      <c r="G57" s="28">
        <v>100</v>
      </c>
      <c r="H57" s="28">
        <v>100</v>
      </c>
      <c r="I57" s="28">
        <v>100</v>
      </c>
      <c r="J57" s="28">
        <v>100</v>
      </c>
      <c r="K57" s="28">
        <v>50</v>
      </c>
      <c r="L57" s="28">
        <v>50</v>
      </c>
      <c r="M57" s="28">
        <v>50</v>
      </c>
      <c r="N57" s="28">
        <v>50</v>
      </c>
      <c r="O57" s="28">
        <v>50</v>
      </c>
      <c r="P57" s="28">
        <v>50</v>
      </c>
      <c r="Q57" s="28">
        <v>50</v>
      </c>
      <c r="R57" s="28">
        <v>50</v>
      </c>
      <c r="S57" s="28">
        <v>50</v>
      </c>
      <c r="T57" s="28">
        <v>50</v>
      </c>
      <c r="U57" s="28">
        <v>50</v>
      </c>
      <c r="V57" s="28">
        <v>50</v>
      </c>
      <c r="W57" s="28">
        <v>50</v>
      </c>
      <c r="X57" s="28">
        <v>50</v>
      </c>
      <c r="Y57" s="28">
        <v>50</v>
      </c>
      <c r="Z57" s="28">
        <v>50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8">
        <v>0</v>
      </c>
      <c r="AG57" s="28">
        <v>0</v>
      </c>
      <c r="AH57" s="29">
        <f t="shared" si="0"/>
        <v>0</v>
      </c>
      <c r="AI57" s="29">
        <f t="shared" si="0"/>
        <v>0</v>
      </c>
    </row>
    <row r="58" spans="2:35">
      <c r="B58">
        <v>57</v>
      </c>
      <c r="C58" t="s">
        <v>209</v>
      </c>
      <c r="D58" t="s">
        <v>19</v>
      </c>
      <c r="E58" t="s">
        <v>706</v>
      </c>
      <c r="F58" s="27">
        <v>2018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150</v>
      </c>
      <c r="AB58" s="28">
        <v>150</v>
      </c>
      <c r="AC58" s="28">
        <v>150</v>
      </c>
      <c r="AD58" s="28">
        <v>150</v>
      </c>
      <c r="AE58" s="28">
        <v>150</v>
      </c>
      <c r="AF58" s="28">
        <v>150</v>
      </c>
      <c r="AG58" s="28">
        <v>400</v>
      </c>
      <c r="AH58" s="29">
        <f t="shared" si="0"/>
        <v>400</v>
      </c>
      <c r="AI58" s="29">
        <f t="shared" si="0"/>
        <v>400</v>
      </c>
    </row>
    <row r="59" spans="2:35">
      <c r="B59">
        <v>58</v>
      </c>
      <c r="C59" t="s">
        <v>213</v>
      </c>
      <c r="D59" t="s">
        <v>19</v>
      </c>
      <c r="E59" t="s">
        <v>706</v>
      </c>
      <c r="F59" s="27">
        <v>2002</v>
      </c>
      <c r="G59" s="28">
        <v>112</v>
      </c>
      <c r="H59" s="28">
        <v>112</v>
      </c>
      <c r="I59" s="28">
        <v>112</v>
      </c>
      <c r="J59" s="28">
        <v>112</v>
      </c>
      <c r="K59" s="28">
        <v>78</v>
      </c>
      <c r="L59" s="28">
        <v>78</v>
      </c>
      <c r="M59" s="28">
        <v>78</v>
      </c>
      <c r="N59" s="28">
        <v>78</v>
      </c>
      <c r="O59" s="28">
        <v>112</v>
      </c>
      <c r="P59" s="28">
        <v>112</v>
      </c>
      <c r="Q59" s="28">
        <v>112</v>
      </c>
      <c r="R59" s="28">
        <v>112</v>
      </c>
      <c r="S59" s="28">
        <v>112</v>
      </c>
      <c r="T59" s="28">
        <v>112</v>
      </c>
      <c r="U59" s="28">
        <v>112</v>
      </c>
      <c r="V59" s="28">
        <v>112</v>
      </c>
      <c r="W59" s="28">
        <v>112</v>
      </c>
      <c r="X59" s="28">
        <v>112</v>
      </c>
      <c r="Y59" s="28">
        <v>112</v>
      </c>
      <c r="Z59" s="28">
        <v>112</v>
      </c>
      <c r="AA59" s="28">
        <v>200</v>
      </c>
      <c r="AB59" s="28">
        <v>200</v>
      </c>
      <c r="AC59" s="28">
        <v>200</v>
      </c>
      <c r="AD59" s="28">
        <v>200</v>
      </c>
      <c r="AE59" s="28">
        <v>200</v>
      </c>
      <c r="AF59" s="28">
        <v>200</v>
      </c>
      <c r="AG59" s="28">
        <v>200</v>
      </c>
      <c r="AH59" s="29">
        <f t="shared" si="0"/>
        <v>200</v>
      </c>
      <c r="AI59" s="29">
        <f t="shared" si="0"/>
        <v>200</v>
      </c>
    </row>
    <row r="60" spans="2:35">
      <c r="B60">
        <v>59</v>
      </c>
      <c r="C60" t="s">
        <v>217</v>
      </c>
      <c r="D60" t="s">
        <v>19</v>
      </c>
      <c r="E60" t="s">
        <v>706</v>
      </c>
      <c r="F60" s="27">
        <v>2008</v>
      </c>
      <c r="G60" s="28">
        <v>500</v>
      </c>
      <c r="H60" s="28">
        <v>500</v>
      </c>
      <c r="I60" s="28">
        <v>500</v>
      </c>
      <c r="J60" s="28">
        <v>500</v>
      </c>
      <c r="K60" s="28">
        <v>350</v>
      </c>
      <c r="L60" s="28">
        <v>350</v>
      </c>
      <c r="M60" s="28">
        <v>350</v>
      </c>
      <c r="N60" s="28">
        <v>350</v>
      </c>
      <c r="O60" s="28">
        <v>500</v>
      </c>
      <c r="P60" s="28">
        <v>500</v>
      </c>
      <c r="Q60" s="28">
        <v>500</v>
      </c>
      <c r="R60" s="28">
        <v>500</v>
      </c>
      <c r="S60" s="28">
        <v>500</v>
      </c>
      <c r="T60" s="28">
        <v>500</v>
      </c>
      <c r="U60" s="28">
        <v>500</v>
      </c>
      <c r="V60" s="28">
        <v>500</v>
      </c>
      <c r="W60" s="28">
        <v>500</v>
      </c>
      <c r="X60" s="28">
        <v>500</v>
      </c>
      <c r="Y60" s="28">
        <v>500</v>
      </c>
      <c r="Z60" s="28">
        <v>500</v>
      </c>
      <c r="AA60" s="28">
        <v>500</v>
      </c>
      <c r="AB60" s="28">
        <v>500</v>
      </c>
      <c r="AC60" s="28">
        <v>500</v>
      </c>
      <c r="AD60" s="28">
        <v>500</v>
      </c>
      <c r="AE60" s="28">
        <v>500</v>
      </c>
      <c r="AF60" s="28">
        <v>500</v>
      </c>
      <c r="AG60" s="28">
        <v>500</v>
      </c>
      <c r="AH60" s="29">
        <f t="shared" si="0"/>
        <v>500</v>
      </c>
      <c r="AI60" s="29">
        <f t="shared" si="0"/>
        <v>500</v>
      </c>
    </row>
    <row r="61" spans="2:35">
      <c r="B61">
        <v>60</v>
      </c>
      <c r="C61" t="s">
        <v>220</v>
      </c>
      <c r="D61" t="s">
        <v>19</v>
      </c>
      <c r="E61" t="s">
        <v>706</v>
      </c>
      <c r="F61" s="27">
        <v>2011</v>
      </c>
      <c r="G61" s="28">
        <v>400</v>
      </c>
      <c r="H61" s="28">
        <v>400</v>
      </c>
      <c r="I61" s="28">
        <v>400</v>
      </c>
      <c r="J61" s="28">
        <v>400</v>
      </c>
      <c r="K61" s="28">
        <v>240</v>
      </c>
      <c r="L61" s="28">
        <v>240</v>
      </c>
      <c r="M61" s="28">
        <v>240</v>
      </c>
      <c r="N61" s="28">
        <v>240</v>
      </c>
      <c r="O61" s="28">
        <v>400</v>
      </c>
      <c r="P61" s="28">
        <v>400</v>
      </c>
      <c r="Q61" s="28">
        <v>400</v>
      </c>
      <c r="R61" s="28">
        <v>400</v>
      </c>
      <c r="S61" s="28">
        <v>400</v>
      </c>
      <c r="T61" s="28">
        <v>400</v>
      </c>
      <c r="U61" s="28">
        <v>400</v>
      </c>
      <c r="V61" s="28">
        <v>400</v>
      </c>
      <c r="W61" s="28">
        <v>400</v>
      </c>
      <c r="X61" s="28">
        <v>400</v>
      </c>
      <c r="Y61" s="28">
        <v>400</v>
      </c>
      <c r="Z61" s="28">
        <v>400</v>
      </c>
      <c r="AA61" s="28">
        <v>400</v>
      </c>
      <c r="AB61" s="28">
        <v>400</v>
      </c>
      <c r="AC61" s="28">
        <v>400</v>
      </c>
      <c r="AD61" s="28">
        <v>400</v>
      </c>
      <c r="AE61" s="28">
        <v>400</v>
      </c>
      <c r="AF61" s="28">
        <v>400</v>
      </c>
      <c r="AG61" s="28">
        <v>400</v>
      </c>
      <c r="AH61" s="29">
        <f t="shared" si="0"/>
        <v>400</v>
      </c>
      <c r="AI61" s="29">
        <f t="shared" si="0"/>
        <v>400</v>
      </c>
    </row>
    <row r="62" spans="2:35">
      <c r="B62">
        <v>61</v>
      </c>
      <c r="C62" t="s">
        <v>224</v>
      </c>
      <c r="D62" t="s">
        <v>19</v>
      </c>
      <c r="E62" t="s">
        <v>706</v>
      </c>
      <c r="F62" s="27">
        <v>1993</v>
      </c>
      <c r="G62" s="28">
        <v>147</v>
      </c>
      <c r="H62" s="28">
        <v>147</v>
      </c>
      <c r="I62" s="28">
        <v>147</v>
      </c>
      <c r="J62" s="28">
        <v>147</v>
      </c>
      <c r="K62" s="28">
        <v>103</v>
      </c>
      <c r="L62" s="28">
        <v>103</v>
      </c>
      <c r="M62" s="28">
        <v>103</v>
      </c>
      <c r="N62" s="28">
        <v>103</v>
      </c>
      <c r="O62" s="28">
        <v>147</v>
      </c>
      <c r="P62" s="28">
        <v>147</v>
      </c>
      <c r="Q62" s="28">
        <v>147</v>
      </c>
      <c r="R62" s="28">
        <v>147</v>
      </c>
      <c r="S62" s="28">
        <v>147</v>
      </c>
      <c r="T62" s="28">
        <v>147</v>
      </c>
      <c r="U62" s="28">
        <v>147</v>
      </c>
      <c r="V62" s="28">
        <v>147</v>
      </c>
      <c r="W62" s="28">
        <v>147</v>
      </c>
      <c r="X62" s="28">
        <v>147</v>
      </c>
      <c r="Y62" s="28">
        <v>147</v>
      </c>
      <c r="Z62" s="28">
        <v>147</v>
      </c>
      <c r="AA62" s="28">
        <v>147</v>
      </c>
      <c r="AB62" s="28">
        <v>147</v>
      </c>
      <c r="AC62" s="28">
        <v>147</v>
      </c>
      <c r="AD62" s="28">
        <v>147</v>
      </c>
      <c r="AE62" s="28">
        <v>147</v>
      </c>
      <c r="AF62" s="28">
        <v>147</v>
      </c>
      <c r="AG62" s="28">
        <v>147</v>
      </c>
      <c r="AH62" s="29">
        <f t="shared" si="0"/>
        <v>147</v>
      </c>
      <c r="AI62" s="29">
        <f t="shared" si="0"/>
        <v>147</v>
      </c>
    </row>
    <row r="63" spans="2:35">
      <c r="B63">
        <v>62</v>
      </c>
      <c r="C63" t="s">
        <v>227</v>
      </c>
      <c r="D63" t="s">
        <v>19</v>
      </c>
      <c r="E63" t="s">
        <v>706</v>
      </c>
      <c r="F63" s="27">
        <v>2008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9">
        <f t="shared" si="0"/>
        <v>0</v>
      </c>
      <c r="AI63" s="29">
        <f t="shared" si="0"/>
        <v>0</v>
      </c>
    </row>
    <row r="64" spans="2:35">
      <c r="B64">
        <v>63</v>
      </c>
      <c r="C64" t="s">
        <v>230</v>
      </c>
      <c r="D64" t="s">
        <v>19</v>
      </c>
      <c r="E64" t="s">
        <v>706</v>
      </c>
      <c r="F64" s="27">
        <v>2003</v>
      </c>
      <c r="G64" s="28">
        <v>300</v>
      </c>
      <c r="H64" s="28">
        <v>300</v>
      </c>
      <c r="I64" s="28">
        <v>300</v>
      </c>
      <c r="J64" s="28">
        <v>300</v>
      </c>
      <c r="K64" s="28">
        <v>210</v>
      </c>
      <c r="L64" s="28">
        <v>210</v>
      </c>
      <c r="M64" s="28">
        <v>210</v>
      </c>
      <c r="N64" s="28">
        <v>210</v>
      </c>
      <c r="O64" s="28">
        <v>300</v>
      </c>
      <c r="P64" s="28">
        <v>300</v>
      </c>
      <c r="Q64" s="28">
        <v>300</v>
      </c>
      <c r="R64" s="28">
        <v>300</v>
      </c>
      <c r="S64" s="28">
        <v>300</v>
      </c>
      <c r="T64" s="28">
        <v>300</v>
      </c>
      <c r="U64" s="28">
        <v>300</v>
      </c>
      <c r="V64" s="28">
        <v>300</v>
      </c>
      <c r="W64" s="28">
        <v>300</v>
      </c>
      <c r="X64" s="28">
        <v>300</v>
      </c>
      <c r="Y64" s="28">
        <v>300</v>
      </c>
      <c r="Z64" s="28">
        <v>300</v>
      </c>
      <c r="AA64" s="28">
        <v>300</v>
      </c>
      <c r="AB64" s="28">
        <v>300</v>
      </c>
      <c r="AC64" s="28">
        <v>300</v>
      </c>
      <c r="AD64" s="28">
        <v>300</v>
      </c>
      <c r="AE64" s="28">
        <v>300</v>
      </c>
      <c r="AF64" s="28">
        <v>300</v>
      </c>
      <c r="AG64" s="28">
        <v>300</v>
      </c>
      <c r="AH64" s="29">
        <f t="shared" si="0"/>
        <v>300</v>
      </c>
      <c r="AI64" s="29">
        <f t="shared" si="0"/>
        <v>300</v>
      </c>
    </row>
    <row r="65" spans="2:35">
      <c r="B65">
        <v>64</v>
      </c>
      <c r="C65" t="s">
        <v>232</v>
      </c>
      <c r="D65" t="s">
        <v>19</v>
      </c>
      <c r="E65" t="s">
        <v>706</v>
      </c>
      <c r="F65" s="27">
        <v>2013</v>
      </c>
      <c r="G65" s="28">
        <v>350</v>
      </c>
      <c r="H65" s="28">
        <v>350</v>
      </c>
      <c r="I65" s="28">
        <v>350</v>
      </c>
      <c r="J65" s="28">
        <v>350</v>
      </c>
      <c r="K65" s="28">
        <v>350</v>
      </c>
      <c r="L65" s="28">
        <v>350</v>
      </c>
      <c r="M65" s="28">
        <v>350</v>
      </c>
      <c r="N65" s="28">
        <v>350</v>
      </c>
      <c r="O65" s="28">
        <v>240</v>
      </c>
      <c r="P65" s="28">
        <v>240</v>
      </c>
      <c r="Q65" s="28">
        <v>240</v>
      </c>
      <c r="R65" s="28">
        <v>240</v>
      </c>
      <c r="S65" s="28">
        <v>240</v>
      </c>
      <c r="T65" s="28">
        <v>240</v>
      </c>
      <c r="U65" s="28">
        <v>240</v>
      </c>
      <c r="V65" s="28">
        <v>240</v>
      </c>
      <c r="W65" s="28">
        <v>240</v>
      </c>
      <c r="X65" s="28">
        <v>240</v>
      </c>
      <c r="Y65" s="28">
        <v>240</v>
      </c>
      <c r="Z65" s="28">
        <v>240</v>
      </c>
      <c r="AA65" s="28">
        <v>240</v>
      </c>
      <c r="AB65" s="28">
        <v>240</v>
      </c>
      <c r="AC65" s="28">
        <v>240</v>
      </c>
      <c r="AD65" s="28">
        <v>240</v>
      </c>
      <c r="AE65" s="28">
        <v>240</v>
      </c>
      <c r="AF65" s="28">
        <v>240</v>
      </c>
      <c r="AG65" s="28">
        <v>240</v>
      </c>
      <c r="AH65" s="29">
        <f t="shared" si="0"/>
        <v>240</v>
      </c>
      <c r="AI65" s="29">
        <f t="shared" si="0"/>
        <v>240</v>
      </c>
    </row>
    <row r="66" spans="2:35">
      <c r="B66">
        <v>65</v>
      </c>
      <c r="C66" t="s">
        <v>235</v>
      </c>
      <c r="D66" t="s">
        <v>19</v>
      </c>
      <c r="E66" t="s">
        <v>706</v>
      </c>
      <c r="F66" s="27">
        <v>1970</v>
      </c>
      <c r="G66" s="28">
        <v>560</v>
      </c>
      <c r="H66" s="28">
        <v>560</v>
      </c>
      <c r="I66" s="28">
        <v>560</v>
      </c>
      <c r="J66" s="28">
        <v>560</v>
      </c>
      <c r="K66" s="28">
        <v>448</v>
      </c>
      <c r="L66" s="28">
        <v>448</v>
      </c>
      <c r="M66" s="28">
        <v>448</v>
      </c>
      <c r="N66" s="28">
        <v>448</v>
      </c>
      <c r="O66" s="28">
        <v>430</v>
      </c>
      <c r="P66" s="28">
        <v>430</v>
      </c>
      <c r="Q66" s="28">
        <v>430</v>
      </c>
      <c r="R66" s="28">
        <v>430</v>
      </c>
      <c r="S66" s="28">
        <v>430</v>
      </c>
      <c r="T66" s="28">
        <v>430</v>
      </c>
      <c r="U66" s="28">
        <v>430</v>
      </c>
      <c r="V66" s="28">
        <v>430</v>
      </c>
      <c r="W66" s="28">
        <v>430</v>
      </c>
      <c r="X66" s="28">
        <v>430</v>
      </c>
      <c r="Y66" s="28">
        <v>430</v>
      </c>
      <c r="Z66" s="28">
        <v>430</v>
      </c>
      <c r="AA66" s="28">
        <v>430</v>
      </c>
      <c r="AB66" s="28">
        <v>430</v>
      </c>
      <c r="AC66" s="28">
        <v>430</v>
      </c>
      <c r="AD66" s="28">
        <v>430</v>
      </c>
      <c r="AE66" s="28">
        <v>430</v>
      </c>
      <c r="AF66" s="28">
        <v>430</v>
      </c>
      <c r="AG66" s="28">
        <v>430</v>
      </c>
      <c r="AH66" s="29">
        <f t="shared" si="0"/>
        <v>430</v>
      </c>
      <c r="AI66" s="29">
        <f t="shared" si="0"/>
        <v>430</v>
      </c>
    </row>
    <row r="67" spans="2:35">
      <c r="B67">
        <v>66</v>
      </c>
      <c r="C67" t="s">
        <v>239</v>
      </c>
      <c r="D67" t="s">
        <v>19</v>
      </c>
      <c r="E67" t="s">
        <v>706</v>
      </c>
      <c r="F67" s="27">
        <v>2009</v>
      </c>
      <c r="G67" s="28">
        <v>810</v>
      </c>
      <c r="H67" s="28">
        <v>810</v>
      </c>
      <c r="I67" s="28">
        <v>810</v>
      </c>
      <c r="J67" s="28">
        <v>810</v>
      </c>
      <c r="K67" s="28">
        <v>567</v>
      </c>
      <c r="L67" s="28">
        <v>567</v>
      </c>
      <c r="M67" s="28">
        <v>567</v>
      </c>
      <c r="N67" s="28">
        <v>567</v>
      </c>
      <c r="O67" s="28">
        <v>810</v>
      </c>
      <c r="P67" s="28">
        <v>810</v>
      </c>
      <c r="Q67" s="28">
        <v>810</v>
      </c>
      <c r="R67" s="28">
        <v>810</v>
      </c>
      <c r="S67" s="28">
        <v>810</v>
      </c>
      <c r="T67" s="28">
        <v>810</v>
      </c>
      <c r="U67" s="28">
        <v>810</v>
      </c>
      <c r="V67" s="28">
        <v>810</v>
      </c>
      <c r="W67" s="28">
        <v>810</v>
      </c>
      <c r="X67" s="28">
        <v>810</v>
      </c>
      <c r="Y67" s="28">
        <v>810</v>
      </c>
      <c r="Z67" s="28">
        <v>810</v>
      </c>
      <c r="AA67" s="28">
        <v>540</v>
      </c>
      <c r="AB67" s="28">
        <v>540</v>
      </c>
      <c r="AC67" s="28">
        <v>540</v>
      </c>
      <c r="AD67" s="28">
        <v>540</v>
      </c>
      <c r="AE67" s="28">
        <v>540</v>
      </c>
      <c r="AF67" s="28">
        <v>540</v>
      </c>
      <c r="AG67" s="28">
        <v>540</v>
      </c>
      <c r="AH67" s="29">
        <f t="shared" ref="AH67:AI130" si="1">AG67</f>
        <v>540</v>
      </c>
      <c r="AI67" s="29">
        <f t="shared" si="1"/>
        <v>540</v>
      </c>
    </row>
    <row r="68" spans="2:35">
      <c r="B68">
        <v>67</v>
      </c>
      <c r="C68" t="s">
        <v>242</v>
      </c>
      <c r="D68" t="s">
        <v>19</v>
      </c>
      <c r="E68" t="s">
        <v>706</v>
      </c>
      <c r="F68" s="27">
        <v>2015</v>
      </c>
      <c r="G68" s="28">
        <v>0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200</v>
      </c>
      <c r="Q68" s="28">
        <v>200</v>
      </c>
      <c r="R68" s="28">
        <v>200</v>
      </c>
      <c r="S68" s="28">
        <v>200</v>
      </c>
      <c r="T68" s="28">
        <v>200</v>
      </c>
      <c r="U68" s="28">
        <v>200</v>
      </c>
      <c r="V68" s="28">
        <v>200</v>
      </c>
      <c r="W68" s="28">
        <v>200</v>
      </c>
      <c r="X68" s="28">
        <v>200</v>
      </c>
      <c r="Y68" s="28">
        <v>200</v>
      </c>
      <c r="Z68" s="28">
        <v>200</v>
      </c>
      <c r="AA68" s="28">
        <v>200</v>
      </c>
      <c r="AB68" s="28">
        <v>200</v>
      </c>
      <c r="AC68" s="28">
        <v>200</v>
      </c>
      <c r="AD68" s="28">
        <v>200</v>
      </c>
      <c r="AE68" s="28">
        <v>200</v>
      </c>
      <c r="AF68" s="28">
        <v>200</v>
      </c>
      <c r="AG68" s="28">
        <v>200</v>
      </c>
      <c r="AH68" s="29">
        <f t="shared" si="1"/>
        <v>200</v>
      </c>
      <c r="AI68" s="29">
        <f t="shared" si="1"/>
        <v>200</v>
      </c>
    </row>
    <row r="69" spans="2:35">
      <c r="B69">
        <v>68</v>
      </c>
      <c r="C69" t="s">
        <v>247</v>
      </c>
      <c r="D69" t="s">
        <v>19</v>
      </c>
      <c r="E69" t="s">
        <v>706</v>
      </c>
      <c r="F69" s="27">
        <v>2011</v>
      </c>
      <c r="G69" s="28">
        <v>640</v>
      </c>
      <c r="H69" s="28">
        <v>640</v>
      </c>
      <c r="I69" s="28">
        <v>640</v>
      </c>
      <c r="J69" s="28">
        <v>640</v>
      </c>
      <c r="K69" s="28">
        <v>512</v>
      </c>
      <c r="L69" s="28">
        <v>512</v>
      </c>
      <c r="M69" s="28">
        <v>512</v>
      </c>
      <c r="N69" s="28">
        <v>512</v>
      </c>
      <c r="O69" s="28">
        <v>640</v>
      </c>
      <c r="P69" s="28">
        <v>640</v>
      </c>
      <c r="Q69" s="28">
        <v>640</v>
      </c>
      <c r="R69" s="28">
        <v>640</v>
      </c>
      <c r="S69" s="28">
        <v>640</v>
      </c>
      <c r="T69" s="28">
        <v>640</v>
      </c>
      <c r="U69" s="28">
        <v>640</v>
      </c>
      <c r="V69" s="28">
        <v>640</v>
      </c>
      <c r="W69" s="28">
        <v>640</v>
      </c>
      <c r="X69" s="28">
        <v>640</v>
      </c>
      <c r="Y69" s="28">
        <v>640</v>
      </c>
      <c r="Z69" s="28">
        <v>640</v>
      </c>
      <c r="AA69" s="28">
        <v>640</v>
      </c>
      <c r="AB69" s="28">
        <v>640</v>
      </c>
      <c r="AC69" s="28">
        <v>640</v>
      </c>
      <c r="AD69" s="28">
        <v>640</v>
      </c>
      <c r="AE69" s="28">
        <v>640</v>
      </c>
      <c r="AF69" s="28">
        <v>640</v>
      </c>
      <c r="AG69" s="28">
        <v>640</v>
      </c>
      <c r="AH69" s="29">
        <f t="shared" si="1"/>
        <v>640</v>
      </c>
      <c r="AI69" s="29">
        <f t="shared" si="1"/>
        <v>640</v>
      </c>
    </row>
    <row r="70" spans="2:35">
      <c r="B70">
        <v>69</v>
      </c>
      <c r="C70" t="s">
        <v>250</v>
      </c>
      <c r="D70" t="s">
        <v>19</v>
      </c>
      <c r="E70" t="s">
        <v>706</v>
      </c>
      <c r="F70" s="27">
        <v>2000</v>
      </c>
      <c r="G70" s="28">
        <v>200</v>
      </c>
      <c r="H70" s="28">
        <v>200</v>
      </c>
      <c r="I70" s="28">
        <v>200</v>
      </c>
      <c r="J70" s="28">
        <v>200</v>
      </c>
      <c r="K70" s="28">
        <v>100</v>
      </c>
      <c r="L70" s="28">
        <v>100</v>
      </c>
      <c r="M70" s="28">
        <v>100</v>
      </c>
      <c r="N70" s="28">
        <v>100</v>
      </c>
      <c r="O70" s="28">
        <v>200</v>
      </c>
      <c r="P70" s="28">
        <v>200</v>
      </c>
      <c r="Q70" s="28">
        <v>200</v>
      </c>
      <c r="R70" s="28">
        <v>200</v>
      </c>
      <c r="S70" s="28">
        <v>200</v>
      </c>
      <c r="T70" s="28">
        <v>200</v>
      </c>
      <c r="U70" s="28">
        <v>200</v>
      </c>
      <c r="V70" s="28">
        <v>200</v>
      </c>
      <c r="W70" s="28">
        <v>200</v>
      </c>
      <c r="X70" s="28">
        <v>200</v>
      </c>
      <c r="Y70" s="28">
        <v>200</v>
      </c>
      <c r="Z70" s="28">
        <v>200</v>
      </c>
      <c r="AA70" s="28">
        <v>200</v>
      </c>
      <c r="AB70" s="28">
        <v>200</v>
      </c>
      <c r="AC70" s="28">
        <v>200</v>
      </c>
      <c r="AD70" s="28">
        <v>200</v>
      </c>
      <c r="AE70" s="28">
        <v>200</v>
      </c>
      <c r="AF70" s="28">
        <v>200</v>
      </c>
      <c r="AG70" s="28">
        <v>200</v>
      </c>
      <c r="AH70" s="29">
        <f t="shared" si="1"/>
        <v>200</v>
      </c>
      <c r="AI70" s="29">
        <f t="shared" si="1"/>
        <v>200</v>
      </c>
    </row>
    <row r="71" spans="2:35">
      <c r="B71">
        <v>70</v>
      </c>
      <c r="C71" t="s">
        <v>253</v>
      </c>
      <c r="D71" t="s">
        <v>19</v>
      </c>
      <c r="E71" t="s">
        <v>706</v>
      </c>
      <c r="F71" s="27">
        <v>1997</v>
      </c>
      <c r="G71" s="28">
        <v>600</v>
      </c>
      <c r="H71" s="28">
        <v>600</v>
      </c>
      <c r="I71" s="28">
        <v>600</v>
      </c>
      <c r="J71" s="28">
        <v>600</v>
      </c>
      <c r="K71" s="28">
        <v>550</v>
      </c>
      <c r="L71" s="28">
        <v>550</v>
      </c>
      <c r="M71" s="28">
        <v>550</v>
      </c>
      <c r="N71" s="28">
        <v>550</v>
      </c>
      <c r="O71" s="28">
        <v>600</v>
      </c>
      <c r="P71" s="28">
        <v>600</v>
      </c>
      <c r="Q71" s="28">
        <v>600</v>
      </c>
      <c r="R71" s="28">
        <v>600</v>
      </c>
      <c r="S71" s="28">
        <v>600</v>
      </c>
      <c r="T71" s="28">
        <v>600</v>
      </c>
      <c r="U71" s="28">
        <v>600</v>
      </c>
      <c r="V71" s="28">
        <v>600</v>
      </c>
      <c r="W71" s="28">
        <v>600</v>
      </c>
      <c r="X71" s="28">
        <v>600</v>
      </c>
      <c r="Y71" s="28">
        <v>600</v>
      </c>
      <c r="Z71" s="28">
        <v>600</v>
      </c>
      <c r="AA71" s="28">
        <v>600</v>
      </c>
      <c r="AB71" s="28">
        <v>600</v>
      </c>
      <c r="AC71" s="28">
        <v>600</v>
      </c>
      <c r="AD71" s="28">
        <v>600</v>
      </c>
      <c r="AE71" s="28">
        <v>600</v>
      </c>
      <c r="AF71" s="28">
        <v>600</v>
      </c>
      <c r="AG71" s="28">
        <v>600</v>
      </c>
      <c r="AH71" s="29">
        <f t="shared" si="1"/>
        <v>600</v>
      </c>
      <c r="AI71" s="29">
        <f t="shared" si="1"/>
        <v>600</v>
      </c>
    </row>
    <row r="72" spans="2:35">
      <c r="B72">
        <v>71</v>
      </c>
      <c r="C72" t="s">
        <v>256</v>
      </c>
      <c r="D72" t="s">
        <v>19</v>
      </c>
      <c r="E72" t="s">
        <v>706</v>
      </c>
      <c r="F72" s="27">
        <v>1997</v>
      </c>
      <c r="G72" s="28">
        <v>256</v>
      </c>
      <c r="H72" s="28">
        <v>256</v>
      </c>
      <c r="I72" s="28">
        <v>256</v>
      </c>
      <c r="J72" s="28">
        <v>256</v>
      </c>
      <c r="K72" s="28">
        <v>220</v>
      </c>
      <c r="L72" s="28">
        <v>220</v>
      </c>
      <c r="M72" s="28">
        <v>220</v>
      </c>
      <c r="N72" s="28">
        <v>220</v>
      </c>
      <c r="O72" s="28">
        <v>256</v>
      </c>
      <c r="P72" s="28">
        <v>256</v>
      </c>
      <c r="Q72" s="28">
        <v>256</v>
      </c>
      <c r="R72" s="28">
        <v>256</v>
      </c>
      <c r="S72" s="28">
        <v>256</v>
      </c>
      <c r="T72" s="28">
        <v>256</v>
      </c>
      <c r="U72" s="28">
        <v>256</v>
      </c>
      <c r="V72" s="28">
        <v>256</v>
      </c>
      <c r="W72" s="28">
        <v>256</v>
      </c>
      <c r="X72" s="28">
        <v>256</v>
      </c>
      <c r="Y72" s="28">
        <v>256</v>
      </c>
      <c r="Z72" s="28">
        <v>256</v>
      </c>
      <c r="AA72" s="28">
        <v>256</v>
      </c>
      <c r="AB72" s="28">
        <v>256</v>
      </c>
      <c r="AC72" s="28">
        <v>256</v>
      </c>
      <c r="AD72" s="28">
        <v>256</v>
      </c>
      <c r="AE72" s="28">
        <v>256</v>
      </c>
      <c r="AF72" s="28">
        <v>256</v>
      </c>
      <c r="AG72" s="28">
        <v>256</v>
      </c>
      <c r="AH72" s="29">
        <f t="shared" si="1"/>
        <v>256</v>
      </c>
      <c r="AI72" s="29">
        <f t="shared" si="1"/>
        <v>256</v>
      </c>
    </row>
    <row r="73" spans="2:35">
      <c r="B73">
        <v>72</v>
      </c>
      <c r="C73" t="s">
        <v>258</v>
      </c>
      <c r="D73" t="s">
        <v>19</v>
      </c>
      <c r="E73" t="s">
        <v>706</v>
      </c>
      <c r="F73" s="27">
        <v>2006</v>
      </c>
      <c r="G73" s="28">
        <v>220</v>
      </c>
      <c r="H73" s="28">
        <v>220</v>
      </c>
      <c r="I73" s="28">
        <v>220</v>
      </c>
      <c r="J73" s="28">
        <v>220</v>
      </c>
      <c r="K73" s="28">
        <v>154</v>
      </c>
      <c r="L73" s="28">
        <v>154</v>
      </c>
      <c r="M73" s="28">
        <v>154</v>
      </c>
      <c r="N73" s="28">
        <v>154</v>
      </c>
      <c r="O73" s="28">
        <v>220</v>
      </c>
      <c r="P73" s="28">
        <v>220</v>
      </c>
      <c r="Q73" s="28">
        <v>220</v>
      </c>
      <c r="R73" s="28">
        <v>220</v>
      </c>
      <c r="S73" s="28">
        <v>220</v>
      </c>
      <c r="T73" s="28">
        <v>220</v>
      </c>
      <c r="U73" s="28">
        <v>220</v>
      </c>
      <c r="V73" s="28">
        <v>220</v>
      </c>
      <c r="W73" s="28">
        <v>220</v>
      </c>
      <c r="X73" s="28">
        <v>220</v>
      </c>
      <c r="Y73" s="28">
        <v>220</v>
      </c>
      <c r="Z73" s="28">
        <v>220</v>
      </c>
      <c r="AA73" s="28">
        <v>220</v>
      </c>
      <c r="AB73" s="28">
        <v>220</v>
      </c>
      <c r="AC73" s="28">
        <v>220</v>
      </c>
      <c r="AD73" s="28">
        <v>220</v>
      </c>
      <c r="AE73" s="28">
        <v>220</v>
      </c>
      <c r="AF73" s="28">
        <v>220</v>
      </c>
      <c r="AG73" s="28">
        <v>220</v>
      </c>
      <c r="AH73" s="29">
        <f t="shared" si="1"/>
        <v>220</v>
      </c>
      <c r="AI73" s="29">
        <f t="shared" si="1"/>
        <v>220</v>
      </c>
    </row>
    <row r="74" spans="2:35">
      <c r="B74">
        <v>73</v>
      </c>
      <c r="C74" t="s">
        <v>261</v>
      </c>
      <c r="D74" t="s">
        <v>19</v>
      </c>
      <c r="E74" t="s">
        <v>706</v>
      </c>
      <c r="F74" s="27">
        <v>1996</v>
      </c>
      <c r="G74" s="28">
        <v>247</v>
      </c>
      <c r="H74" s="28">
        <v>247</v>
      </c>
      <c r="I74" s="28">
        <v>247</v>
      </c>
      <c r="J74" s="28">
        <v>247</v>
      </c>
      <c r="K74" s="28">
        <v>123.5</v>
      </c>
      <c r="L74" s="28">
        <v>123.5</v>
      </c>
      <c r="M74" s="28">
        <v>123.5</v>
      </c>
      <c r="N74" s="28">
        <v>123.5</v>
      </c>
      <c r="O74" s="28">
        <v>247</v>
      </c>
      <c r="P74" s="28">
        <v>247</v>
      </c>
      <c r="Q74" s="28">
        <v>247</v>
      </c>
      <c r="R74" s="28">
        <v>247</v>
      </c>
      <c r="S74" s="28">
        <v>247</v>
      </c>
      <c r="T74" s="28">
        <v>247</v>
      </c>
      <c r="U74" s="28">
        <v>247</v>
      </c>
      <c r="V74" s="28">
        <v>247</v>
      </c>
      <c r="W74" s="28">
        <v>247</v>
      </c>
      <c r="X74" s="28">
        <v>247</v>
      </c>
      <c r="Y74" s="28">
        <v>247</v>
      </c>
      <c r="Z74" s="28">
        <v>247</v>
      </c>
      <c r="AA74" s="28">
        <v>247</v>
      </c>
      <c r="AB74" s="28">
        <v>247</v>
      </c>
      <c r="AC74" s="28">
        <v>247</v>
      </c>
      <c r="AD74" s="28">
        <v>247</v>
      </c>
      <c r="AE74" s="28">
        <v>247</v>
      </c>
      <c r="AF74" s="28">
        <v>247</v>
      </c>
      <c r="AG74" s="28">
        <v>247</v>
      </c>
      <c r="AH74" s="29">
        <f t="shared" si="1"/>
        <v>247</v>
      </c>
      <c r="AI74" s="29">
        <f t="shared" si="1"/>
        <v>247</v>
      </c>
    </row>
    <row r="75" spans="2:35">
      <c r="B75">
        <v>74</v>
      </c>
      <c r="C75" t="s">
        <v>265</v>
      </c>
      <c r="D75" t="s">
        <v>19</v>
      </c>
      <c r="E75" t="s">
        <v>706</v>
      </c>
      <c r="F75" s="27">
        <v>2008</v>
      </c>
      <c r="G75" s="28">
        <v>250</v>
      </c>
      <c r="H75" s="28">
        <v>250</v>
      </c>
      <c r="I75" s="28">
        <v>250</v>
      </c>
      <c r="J75" s="28">
        <v>250</v>
      </c>
      <c r="K75" s="28">
        <v>250</v>
      </c>
      <c r="L75" s="28">
        <v>250</v>
      </c>
      <c r="M75" s="28">
        <v>250</v>
      </c>
      <c r="N75" s="28">
        <v>250</v>
      </c>
      <c r="O75" s="28">
        <v>500</v>
      </c>
      <c r="P75" s="28">
        <v>500</v>
      </c>
      <c r="Q75" s="28">
        <v>500</v>
      </c>
      <c r="R75" s="28">
        <v>500</v>
      </c>
      <c r="S75" s="28">
        <v>250</v>
      </c>
      <c r="T75" s="28">
        <v>250</v>
      </c>
      <c r="U75" s="28">
        <v>250</v>
      </c>
      <c r="V75" s="28">
        <v>250</v>
      </c>
      <c r="W75" s="28">
        <v>250</v>
      </c>
      <c r="X75" s="28">
        <v>250</v>
      </c>
      <c r="Y75" s="28">
        <v>250</v>
      </c>
      <c r="Z75" s="28">
        <v>250</v>
      </c>
      <c r="AA75" s="28">
        <v>250</v>
      </c>
      <c r="AB75" s="28">
        <v>250</v>
      </c>
      <c r="AC75" s="28">
        <v>250</v>
      </c>
      <c r="AD75" s="28">
        <v>250</v>
      </c>
      <c r="AE75" s="28">
        <v>250</v>
      </c>
      <c r="AF75" s="28">
        <v>250</v>
      </c>
      <c r="AG75" s="28">
        <v>250</v>
      </c>
      <c r="AH75" s="29">
        <f t="shared" si="1"/>
        <v>250</v>
      </c>
      <c r="AI75" s="29">
        <f t="shared" si="1"/>
        <v>250</v>
      </c>
    </row>
    <row r="76" spans="2:35">
      <c r="B76">
        <v>75</v>
      </c>
      <c r="C76" t="s">
        <v>269</v>
      </c>
      <c r="D76" t="s">
        <v>19</v>
      </c>
      <c r="E76" t="s">
        <v>706</v>
      </c>
      <c r="F76" s="27">
        <v>2000</v>
      </c>
      <c r="G76" s="28">
        <v>520</v>
      </c>
      <c r="H76" s="28">
        <v>520</v>
      </c>
      <c r="I76" s="28">
        <v>520</v>
      </c>
      <c r="J76" s="28">
        <v>520</v>
      </c>
      <c r="K76" s="28">
        <v>260</v>
      </c>
      <c r="L76" s="28">
        <v>260</v>
      </c>
      <c r="M76" s="28">
        <v>260</v>
      </c>
      <c r="N76" s="28">
        <v>260</v>
      </c>
      <c r="O76" s="28">
        <v>520</v>
      </c>
      <c r="P76" s="28">
        <v>520</v>
      </c>
      <c r="Q76" s="28">
        <v>520</v>
      </c>
      <c r="R76" s="28">
        <v>520</v>
      </c>
      <c r="S76" s="28">
        <v>520</v>
      </c>
      <c r="T76" s="28">
        <v>520</v>
      </c>
      <c r="U76" s="28">
        <v>520</v>
      </c>
      <c r="V76" s="28">
        <v>520</v>
      </c>
      <c r="W76" s="28">
        <v>520</v>
      </c>
      <c r="X76" s="28">
        <v>520</v>
      </c>
      <c r="Y76" s="28">
        <v>520</v>
      </c>
      <c r="Z76" s="28">
        <v>520</v>
      </c>
      <c r="AA76" s="28">
        <v>520</v>
      </c>
      <c r="AB76" s="28">
        <v>520</v>
      </c>
      <c r="AC76" s="28">
        <v>520</v>
      </c>
      <c r="AD76" s="28">
        <v>520</v>
      </c>
      <c r="AE76" s="28">
        <v>520</v>
      </c>
      <c r="AF76" s="28">
        <v>520</v>
      </c>
      <c r="AG76" s="28">
        <v>520</v>
      </c>
      <c r="AH76" s="29">
        <f t="shared" si="1"/>
        <v>520</v>
      </c>
      <c r="AI76" s="29">
        <f t="shared" si="1"/>
        <v>520</v>
      </c>
    </row>
    <row r="77" spans="2:35">
      <c r="B77">
        <v>76</v>
      </c>
      <c r="C77" t="s">
        <v>273</v>
      </c>
      <c r="D77" t="s">
        <v>19</v>
      </c>
      <c r="E77" t="s">
        <v>706</v>
      </c>
      <c r="F77" s="27">
        <v>2004</v>
      </c>
      <c r="G77" s="28">
        <v>63</v>
      </c>
      <c r="H77" s="28">
        <v>63</v>
      </c>
      <c r="I77" s="28">
        <v>63</v>
      </c>
      <c r="J77" s="28">
        <v>63</v>
      </c>
      <c r="K77" s="28">
        <v>31.5</v>
      </c>
      <c r="L77" s="28">
        <v>31.5</v>
      </c>
      <c r="M77" s="28">
        <v>31.5</v>
      </c>
      <c r="N77" s="28">
        <v>31.5</v>
      </c>
      <c r="O77" s="28">
        <v>63</v>
      </c>
      <c r="P77" s="28">
        <v>63</v>
      </c>
      <c r="Q77" s="28">
        <v>63</v>
      </c>
      <c r="R77" s="28">
        <v>63</v>
      </c>
      <c r="S77" s="28">
        <v>63</v>
      </c>
      <c r="T77" s="28">
        <v>63</v>
      </c>
      <c r="U77" s="28">
        <v>63</v>
      </c>
      <c r="V77" s="28">
        <v>63</v>
      </c>
      <c r="W77" s="28">
        <v>63</v>
      </c>
      <c r="X77" s="28">
        <v>63</v>
      </c>
      <c r="Y77" s="28">
        <v>63</v>
      </c>
      <c r="Z77" s="28">
        <v>63</v>
      </c>
      <c r="AA77" s="28">
        <v>63</v>
      </c>
      <c r="AB77" s="28">
        <v>63</v>
      </c>
      <c r="AC77" s="28">
        <v>63</v>
      </c>
      <c r="AD77" s="28">
        <v>63</v>
      </c>
      <c r="AE77" s="28">
        <v>63</v>
      </c>
      <c r="AF77" s="28">
        <v>63</v>
      </c>
      <c r="AG77" s="28">
        <v>63</v>
      </c>
      <c r="AH77" s="29">
        <f t="shared" si="1"/>
        <v>63</v>
      </c>
      <c r="AI77" s="29">
        <f t="shared" si="1"/>
        <v>63</v>
      </c>
    </row>
    <row r="78" spans="2:35">
      <c r="B78">
        <v>77</v>
      </c>
      <c r="C78" t="s">
        <v>276</v>
      </c>
      <c r="D78" t="s">
        <v>19</v>
      </c>
      <c r="E78" t="s">
        <v>706</v>
      </c>
      <c r="F78" s="27">
        <v>2001</v>
      </c>
      <c r="G78" s="28">
        <v>250</v>
      </c>
      <c r="H78" s="28">
        <v>250</v>
      </c>
      <c r="I78" s="28">
        <v>250</v>
      </c>
      <c r="J78" s="28">
        <v>250</v>
      </c>
      <c r="K78" s="28">
        <v>125</v>
      </c>
      <c r="L78" s="28">
        <v>125</v>
      </c>
      <c r="M78" s="28">
        <v>125</v>
      </c>
      <c r="N78" s="28">
        <v>125</v>
      </c>
      <c r="O78" s="28">
        <v>250</v>
      </c>
      <c r="P78" s="28">
        <v>250</v>
      </c>
      <c r="Q78" s="28">
        <v>250</v>
      </c>
      <c r="R78" s="28">
        <v>250</v>
      </c>
      <c r="S78" s="28">
        <v>250</v>
      </c>
      <c r="T78" s="28">
        <v>250</v>
      </c>
      <c r="U78" s="28">
        <v>250</v>
      </c>
      <c r="V78" s="28">
        <v>250</v>
      </c>
      <c r="W78" s="28">
        <v>250</v>
      </c>
      <c r="X78" s="28">
        <v>250</v>
      </c>
      <c r="Y78" s="28">
        <v>250</v>
      </c>
      <c r="Z78" s="28">
        <v>250</v>
      </c>
      <c r="AA78" s="28">
        <v>250</v>
      </c>
      <c r="AB78" s="28">
        <v>250</v>
      </c>
      <c r="AC78" s="28">
        <v>250</v>
      </c>
      <c r="AD78" s="28">
        <v>250</v>
      </c>
      <c r="AE78" s="28">
        <v>250</v>
      </c>
      <c r="AF78" s="28">
        <v>250</v>
      </c>
      <c r="AG78" s="28">
        <v>250</v>
      </c>
      <c r="AH78" s="29">
        <f t="shared" si="1"/>
        <v>250</v>
      </c>
      <c r="AI78" s="29">
        <f t="shared" si="1"/>
        <v>250</v>
      </c>
    </row>
    <row r="79" spans="2:35">
      <c r="B79">
        <v>78</v>
      </c>
      <c r="C79" t="s">
        <v>278</v>
      </c>
      <c r="D79" t="s">
        <v>19</v>
      </c>
      <c r="E79" t="s">
        <v>706</v>
      </c>
      <c r="F79" s="27">
        <v>2019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250</v>
      </c>
      <c r="AH79" s="29">
        <f t="shared" si="1"/>
        <v>250</v>
      </c>
      <c r="AI79" s="29">
        <f t="shared" si="1"/>
        <v>250</v>
      </c>
    </row>
    <row r="80" spans="2:35">
      <c r="B80">
        <v>79</v>
      </c>
      <c r="C80" t="s">
        <v>280</v>
      </c>
      <c r="D80" t="s">
        <v>19</v>
      </c>
      <c r="E80" t="s">
        <v>706</v>
      </c>
      <c r="F80" s="27">
        <v>2020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8">
        <v>0</v>
      </c>
      <c r="AH80" s="29">
        <f t="shared" si="1"/>
        <v>0</v>
      </c>
      <c r="AI80" s="29">
        <f t="shared" si="1"/>
        <v>0</v>
      </c>
    </row>
    <row r="81" spans="2:35">
      <c r="B81">
        <v>80</v>
      </c>
      <c r="C81" t="s">
        <v>282</v>
      </c>
      <c r="D81" t="s">
        <v>19</v>
      </c>
      <c r="E81" t="s">
        <v>706</v>
      </c>
      <c r="F81" s="27">
        <v>2005</v>
      </c>
      <c r="G81" s="28">
        <v>400</v>
      </c>
      <c r="H81" s="28">
        <v>400</v>
      </c>
      <c r="I81" s="28">
        <v>400</v>
      </c>
      <c r="J81" s="28">
        <v>400</v>
      </c>
      <c r="K81" s="28">
        <v>342</v>
      </c>
      <c r="L81" s="28">
        <v>342</v>
      </c>
      <c r="M81" s="28">
        <v>342</v>
      </c>
      <c r="N81" s="28">
        <v>342</v>
      </c>
      <c r="O81" s="28">
        <v>400</v>
      </c>
      <c r="P81" s="28">
        <v>400</v>
      </c>
      <c r="Q81" s="28">
        <v>400</v>
      </c>
      <c r="R81" s="28">
        <v>400</v>
      </c>
      <c r="S81" s="28">
        <v>400</v>
      </c>
      <c r="T81" s="28">
        <v>400</v>
      </c>
      <c r="U81" s="28">
        <v>400</v>
      </c>
      <c r="V81" s="28">
        <v>400</v>
      </c>
      <c r="W81" s="28">
        <v>400</v>
      </c>
      <c r="X81" s="28">
        <v>400</v>
      </c>
      <c r="Y81" s="28">
        <v>400</v>
      </c>
      <c r="Z81" s="28">
        <v>400</v>
      </c>
      <c r="AA81" s="28">
        <v>400</v>
      </c>
      <c r="AB81" s="28">
        <v>400</v>
      </c>
      <c r="AC81" s="28">
        <v>400</v>
      </c>
      <c r="AD81" s="28">
        <v>400</v>
      </c>
      <c r="AE81" s="28">
        <v>400</v>
      </c>
      <c r="AF81" s="28">
        <v>400</v>
      </c>
      <c r="AG81" s="28">
        <v>400</v>
      </c>
      <c r="AH81" s="29">
        <f t="shared" si="1"/>
        <v>400</v>
      </c>
      <c r="AI81" s="29">
        <f t="shared" si="1"/>
        <v>400</v>
      </c>
    </row>
    <row r="82" spans="2:35">
      <c r="B82">
        <v>81</v>
      </c>
      <c r="C82" t="s">
        <v>285</v>
      </c>
      <c r="D82" t="s">
        <v>19</v>
      </c>
      <c r="E82" t="s">
        <v>706</v>
      </c>
      <c r="F82" s="27">
        <v>2005</v>
      </c>
      <c r="G82" s="28">
        <v>420</v>
      </c>
      <c r="H82" s="28">
        <v>420</v>
      </c>
      <c r="I82" s="28">
        <v>420</v>
      </c>
      <c r="J82" s="28">
        <v>420</v>
      </c>
      <c r="K82" s="28">
        <v>350</v>
      </c>
      <c r="L82" s="28">
        <v>350</v>
      </c>
      <c r="M82" s="28">
        <v>350</v>
      </c>
      <c r="N82" s="28">
        <v>350</v>
      </c>
      <c r="O82" s="28">
        <v>420</v>
      </c>
      <c r="P82" s="28">
        <v>420</v>
      </c>
      <c r="Q82" s="28">
        <v>420</v>
      </c>
      <c r="R82" s="28">
        <v>420</v>
      </c>
      <c r="S82" s="28">
        <v>420</v>
      </c>
      <c r="T82" s="28">
        <v>420</v>
      </c>
      <c r="U82" s="28">
        <v>420</v>
      </c>
      <c r="V82" s="28">
        <v>420</v>
      </c>
      <c r="W82" s="28">
        <v>420</v>
      </c>
      <c r="X82" s="28">
        <v>420</v>
      </c>
      <c r="Y82" s="28">
        <v>420</v>
      </c>
      <c r="Z82" s="28">
        <v>420</v>
      </c>
      <c r="AA82" s="28">
        <v>420</v>
      </c>
      <c r="AB82" s="28">
        <v>420</v>
      </c>
      <c r="AC82" s="28">
        <v>420</v>
      </c>
      <c r="AD82" s="28">
        <v>420</v>
      </c>
      <c r="AE82" s="28">
        <v>420</v>
      </c>
      <c r="AF82" s="28">
        <v>420</v>
      </c>
      <c r="AG82" s="28">
        <v>420</v>
      </c>
      <c r="AH82" s="29">
        <f t="shared" si="1"/>
        <v>420</v>
      </c>
      <c r="AI82" s="29">
        <f t="shared" si="1"/>
        <v>420</v>
      </c>
    </row>
    <row r="83" spans="2:35">
      <c r="B83">
        <v>82</v>
      </c>
      <c r="C83" t="s">
        <v>287</v>
      </c>
      <c r="D83" t="s">
        <v>19</v>
      </c>
      <c r="E83" t="s">
        <v>706</v>
      </c>
      <c r="F83" s="27">
        <v>2011</v>
      </c>
      <c r="G83" s="28">
        <v>420</v>
      </c>
      <c r="H83" s="28">
        <v>420</v>
      </c>
      <c r="I83" s="28">
        <v>420</v>
      </c>
      <c r="J83" s="28">
        <v>420</v>
      </c>
      <c r="K83" s="28">
        <v>350</v>
      </c>
      <c r="L83" s="28">
        <v>350</v>
      </c>
      <c r="M83" s="28">
        <v>350</v>
      </c>
      <c r="N83" s="28">
        <v>350</v>
      </c>
      <c r="O83" s="28">
        <v>420</v>
      </c>
      <c r="P83" s="28">
        <v>420</v>
      </c>
      <c r="Q83" s="28">
        <v>420</v>
      </c>
      <c r="R83" s="28">
        <v>420</v>
      </c>
      <c r="S83" s="28">
        <v>420</v>
      </c>
      <c r="T83" s="28">
        <v>420</v>
      </c>
      <c r="U83" s="28">
        <v>420</v>
      </c>
      <c r="V83" s="28">
        <v>420</v>
      </c>
      <c r="W83" s="28">
        <v>420</v>
      </c>
      <c r="X83" s="28">
        <v>420</v>
      </c>
      <c r="Y83" s="28">
        <v>420</v>
      </c>
      <c r="Z83" s="28">
        <v>420</v>
      </c>
      <c r="AA83" s="28">
        <v>420</v>
      </c>
      <c r="AB83" s="28">
        <v>420</v>
      </c>
      <c r="AC83" s="28">
        <v>420</v>
      </c>
      <c r="AD83" s="28">
        <v>420</v>
      </c>
      <c r="AE83" s="28">
        <v>420</v>
      </c>
      <c r="AF83" s="28">
        <v>420</v>
      </c>
      <c r="AG83" s="28">
        <v>420</v>
      </c>
      <c r="AH83" s="29">
        <f t="shared" si="1"/>
        <v>420</v>
      </c>
      <c r="AI83" s="29">
        <f t="shared" si="1"/>
        <v>420</v>
      </c>
    </row>
    <row r="84" spans="2:35">
      <c r="B84">
        <v>83</v>
      </c>
      <c r="C84" t="s">
        <v>290</v>
      </c>
      <c r="D84" t="s">
        <v>19</v>
      </c>
      <c r="E84" t="s">
        <v>706</v>
      </c>
      <c r="F84" s="27">
        <v>1999</v>
      </c>
      <c r="G84" s="28">
        <v>100</v>
      </c>
      <c r="H84" s="28">
        <v>165</v>
      </c>
      <c r="I84" s="28">
        <v>165</v>
      </c>
      <c r="J84" s="28">
        <v>165</v>
      </c>
      <c r="K84" s="28">
        <v>165</v>
      </c>
      <c r="L84" s="28">
        <v>165</v>
      </c>
      <c r="M84" s="28">
        <v>165</v>
      </c>
      <c r="N84" s="28">
        <v>165</v>
      </c>
      <c r="O84" s="28">
        <v>165</v>
      </c>
      <c r="P84" s="28">
        <v>165</v>
      </c>
      <c r="Q84" s="28">
        <v>165</v>
      </c>
      <c r="R84" s="28">
        <v>165</v>
      </c>
      <c r="S84" s="28">
        <v>165</v>
      </c>
      <c r="T84" s="28">
        <v>165</v>
      </c>
      <c r="U84" s="28">
        <v>165</v>
      </c>
      <c r="V84" s="28">
        <v>165</v>
      </c>
      <c r="W84" s="28">
        <v>165</v>
      </c>
      <c r="X84" s="28">
        <v>165</v>
      </c>
      <c r="Y84" s="28">
        <v>165</v>
      </c>
      <c r="Z84" s="28">
        <v>165</v>
      </c>
      <c r="AA84" s="28">
        <v>165</v>
      </c>
      <c r="AB84" s="28">
        <v>165</v>
      </c>
      <c r="AC84" s="28">
        <v>165</v>
      </c>
      <c r="AD84" s="28">
        <v>0</v>
      </c>
      <c r="AE84" s="28">
        <v>0</v>
      </c>
      <c r="AF84" s="28">
        <v>0</v>
      </c>
      <c r="AG84" s="28">
        <v>0</v>
      </c>
      <c r="AH84" s="29">
        <f t="shared" si="1"/>
        <v>0</v>
      </c>
      <c r="AI84" s="29">
        <f t="shared" si="1"/>
        <v>0</v>
      </c>
    </row>
    <row r="85" spans="2:35">
      <c r="B85">
        <v>84</v>
      </c>
      <c r="C85" t="s">
        <v>292</v>
      </c>
      <c r="D85" t="s">
        <v>19</v>
      </c>
      <c r="E85" t="s">
        <v>706</v>
      </c>
      <c r="F85" s="27"/>
      <c r="G85" s="28">
        <v>230</v>
      </c>
      <c r="H85" s="28">
        <v>100</v>
      </c>
      <c r="I85" s="28">
        <v>100</v>
      </c>
      <c r="J85" s="28">
        <v>100</v>
      </c>
      <c r="K85" s="28">
        <v>100</v>
      </c>
      <c r="L85" s="28">
        <v>100</v>
      </c>
      <c r="M85" s="28">
        <v>100</v>
      </c>
      <c r="N85" s="28">
        <v>100</v>
      </c>
      <c r="O85" s="28">
        <v>100</v>
      </c>
      <c r="P85" s="28">
        <v>100</v>
      </c>
      <c r="Q85" s="28">
        <v>100</v>
      </c>
      <c r="R85" s="28">
        <v>100</v>
      </c>
      <c r="S85" s="28">
        <v>100</v>
      </c>
      <c r="T85" s="28">
        <v>100</v>
      </c>
      <c r="U85" s="28">
        <v>100</v>
      </c>
      <c r="V85" s="28">
        <v>100</v>
      </c>
      <c r="W85" s="28">
        <v>100</v>
      </c>
      <c r="X85" s="28">
        <v>100</v>
      </c>
      <c r="Y85" s="28">
        <v>100</v>
      </c>
      <c r="Z85" s="28">
        <v>100</v>
      </c>
      <c r="AA85" s="28">
        <v>100</v>
      </c>
      <c r="AB85" s="28">
        <v>100</v>
      </c>
      <c r="AC85" s="28">
        <v>100</v>
      </c>
      <c r="AD85" s="28">
        <v>0</v>
      </c>
      <c r="AE85" s="28">
        <v>0</v>
      </c>
      <c r="AF85" s="28">
        <v>0</v>
      </c>
      <c r="AG85" s="28">
        <v>0</v>
      </c>
      <c r="AH85" s="29">
        <f t="shared" si="1"/>
        <v>0</v>
      </c>
      <c r="AI85" s="29">
        <f t="shared" si="1"/>
        <v>0</v>
      </c>
    </row>
    <row r="86" spans="2:35">
      <c r="B86">
        <v>85</v>
      </c>
      <c r="C86" t="s">
        <v>295</v>
      </c>
      <c r="D86" t="s">
        <v>19</v>
      </c>
      <c r="E86" t="s">
        <v>706</v>
      </c>
      <c r="F86" s="27">
        <v>1969</v>
      </c>
      <c r="G86" s="28">
        <v>230</v>
      </c>
      <c r="H86" s="28">
        <v>230</v>
      </c>
      <c r="I86" s="28">
        <v>230</v>
      </c>
      <c r="J86" s="28">
        <v>230</v>
      </c>
      <c r="K86" s="28">
        <v>230</v>
      </c>
      <c r="L86" s="28">
        <v>230</v>
      </c>
      <c r="M86" s="28">
        <v>230</v>
      </c>
      <c r="N86" s="28">
        <v>230</v>
      </c>
      <c r="O86" s="28">
        <v>230</v>
      </c>
      <c r="P86" s="28">
        <v>230</v>
      </c>
      <c r="Q86" s="28">
        <v>230</v>
      </c>
      <c r="R86" s="28">
        <v>230</v>
      </c>
      <c r="S86" s="28">
        <v>230</v>
      </c>
      <c r="T86" s="28">
        <v>230</v>
      </c>
      <c r="U86" s="28">
        <v>230</v>
      </c>
      <c r="V86" s="28">
        <v>230</v>
      </c>
      <c r="W86" s="28">
        <v>230</v>
      </c>
      <c r="X86" s="28">
        <v>230</v>
      </c>
      <c r="Y86" s="28">
        <v>230</v>
      </c>
      <c r="Z86" s="28">
        <v>230</v>
      </c>
      <c r="AA86" s="28">
        <v>230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9">
        <f t="shared" si="1"/>
        <v>0</v>
      </c>
      <c r="AI86" s="29">
        <f t="shared" si="1"/>
        <v>0</v>
      </c>
    </row>
    <row r="87" spans="2:35">
      <c r="B87">
        <v>86</v>
      </c>
      <c r="C87" t="s">
        <v>298</v>
      </c>
      <c r="D87" t="s">
        <v>19</v>
      </c>
      <c r="E87" t="s">
        <v>706</v>
      </c>
      <c r="F87" s="27">
        <v>2002</v>
      </c>
      <c r="G87" s="28">
        <v>1260</v>
      </c>
      <c r="H87" s="28">
        <v>1260</v>
      </c>
      <c r="I87" s="28">
        <v>1260</v>
      </c>
      <c r="J87" s="28">
        <v>1260</v>
      </c>
      <c r="K87" s="28">
        <v>1260</v>
      </c>
      <c r="L87" s="28">
        <v>1260</v>
      </c>
      <c r="M87" s="28">
        <v>1260</v>
      </c>
      <c r="N87" s="28">
        <v>1260</v>
      </c>
      <c r="O87" s="28">
        <v>1260</v>
      </c>
      <c r="P87" s="28">
        <v>1260</v>
      </c>
      <c r="Q87" s="28">
        <v>1260</v>
      </c>
      <c r="R87" s="28">
        <v>1260</v>
      </c>
      <c r="S87" s="28">
        <v>1400</v>
      </c>
      <c r="T87" s="28">
        <v>1400</v>
      </c>
      <c r="U87" s="28">
        <v>1400</v>
      </c>
      <c r="V87" s="28">
        <v>1400</v>
      </c>
      <c r="W87" s="28">
        <v>1400</v>
      </c>
      <c r="X87" s="28">
        <v>1300</v>
      </c>
      <c r="Y87" s="28">
        <v>1260</v>
      </c>
      <c r="Z87" s="28">
        <v>1260</v>
      </c>
      <c r="AA87" s="28">
        <v>1260</v>
      </c>
      <c r="AB87" s="28">
        <v>1260</v>
      </c>
      <c r="AC87" s="28">
        <v>1260</v>
      </c>
      <c r="AD87" s="28">
        <v>1260</v>
      </c>
      <c r="AE87" s="28">
        <v>1260</v>
      </c>
      <c r="AF87" s="28">
        <v>1260</v>
      </c>
      <c r="AG87" s="28">
        <v>1260</v>
      </c>
      <c r="AH87" s="29">
        <f t="shared" si="1"/>
        <v>1260</v>
      </c>
      <c r="AI87" s="29">
        <f t="shared" si="1"/>
        <v>1260</v>
      </c>
    </row>
    <row r="88" spans="2:35">
      <c r="B88">
        <v>87</v>
      </c>
      <c r="C88" t="s">
        <v>302</v>
      </c>
      <c r="D88" t="s">
        <v>19</v>
      </c>
      <c r="E88" t="s">
        <v>706</v>
      </c>
      <c r="F88" s="27">
        <v>2002</v>
      </c>
      <c r="G88" s="28">
        <v>1010</v>
      </c>
      <c r="H88" s="28">
        <v>1010</v>
      </c>
      <c r="I88" s="28">
        <v>1010</v>
      </c>
      <c r="J88" s="28">
        <v>1010</v>
      </c>
      <c r="K88" s="28">
        <v>1010</v>
      </c>
      <c r="L88" s="28">
        <v>1010</v>
      </c>
      <c r="M88" s="28">
        <v>1010</v>
      </c>
      <c r="N88" s="28">
        <v>1010</v>
      </c>
      <c r="O88" s="28">
        <v>1010</v>
      </c>
      <c r="P88" s="28">
        <v>1010</v>
      </c>
      <c r="Q88" s="28">
        <v>1010</v>
      </c>
      <c r="R88" s="28">
        <v>1010</v>
      </c>
      <c r="S88" s="28">
        <v>1300</v>
      </c>
      <c r="T88" s="28">
        <v>1300</v>
      </c>
      <c r="U88" s="28">
        <v>1300</v>
      </c>
      <c r="V88" s="28">
        <v>1300</v>
      </c>
      <c r="W88" s="28">
        <v>1300</v>
      </c>
      <c r="X88" s="28">
        <v>1010</v>
      </c>
      <c r="Y88" s="28">
        <v>1010</v>
      </c>
      <c r="Z88" s="28">
        <v>1010</v>
      </c>
      <c r="AA88" s="28">
        <v>1010</v>
      </c>
      <c r="AB88" s="28">
        <v>1010</v>
      </c>
      <c r="AC88" s="28">
        <v>1010</v>
      </c>
      <c r="AD88" s="28">
        <v>1010</v>
      </c>
      <c r="AE88" s="28">
        <v>1010</v>
      </c>
      <c r="AF88" s="28">
        <v>1010</v>
      </c>
      <c r="AG88" s="28">
        <v>1010</v>
      </c>
      <c r="AH88" s="29">
        <f t="shared" si="1"/>
        <v>1010</v>
      </c>
      <c r="AI88" s="29">
        <f t="shared" si="1"/>
        <v>1010</v>
      </c>
    </row>
    <row r="89" spans="2:35">
      <c r="B89">
        <v>88</v>
      </c>
      <c r="C89" t="s">
        <v>305</v>
      </c>
      <c r="D89" t="s">
        <v>19</v>
      </c>
      <c r="E89" t="s">
        <v>706</v>
      </c>
      <c r="F89" s="27">
        <v>2014</v>
      </c>
      <c r="G89" s="28">
        <v>760</v>
      </c>
      <c r="H89" s="28">
        <v>760</v>
      </c>
      <c r="I89" s="28">
        <v>760</v>
      </c>
      <c r="J89" s="28">
        <v>760</v>
      </c>
      <c r="K89" s="28">
        <v>760</v>
      </c>
      <c r="L89" s="28">
        <v>760</v>
      </c>
      <c r="M89" s="28">
        <v>760</v>
      </c>
      <c r="N89" s="28">
        <v>760</v>
      </c>
      <c r="O89" s="28">
        <v>760</v>
      </c>
      <c r="P89" s="28">
        <v>760</v>
      </c>
      <c r="Q89" s="28">
        <v>760</v>
      </c>
      <c r="R89" s="28">
        <v>760</v>
      </c>
      <c r="S89" s="28">
        <v>800</v>
      </c>
      <c r="T89" s="28">
        <v>800</v>
      </c>
      <c r="U89" s="28">
        <v>800</v>
      </c>
      <c r="V89" s="28">
        <v>800</v>
      </c>
      <c r="W89" s="28">
        <v>800</v>
      </c>
      <c r="X89" s="28">
        <v>760</v>
      </c>
      <c r="Y89" s="28">
        <v>760</v>
      </c>
      <c r="Z89" s="28">
        <v>220</v>
      </c>
      <c r="AA89" s="28">
        <v>220</v>
      </c>
      <c r="AB89" s="28">
        <v>220</v>
      </c>
      <c r="AC89" s="28">
        <v>220</v>
      </c>
      <c r="AD89" s="28">
        <v>220</v>
      </c>
      <c r="AE89" s="28">
        <v>220</v>
      </c>
      <c r="AF89" s="28">
        <v>220</v>
      </c>
      <c r="AG89" s="28">
        <v>220</v>
      </c>
      <c r="AH89" s="29">
        <f t="shared" si="1"/>
        <v>220</v>
      </c>
      <c r="AI89" s="29">
        <f t="shared" si="1"/>
        <v>220</v>
      </c>
    </row>
    <row r="90" spans="2:35">
      <c r="B90">
        <v>89</v>
      </c>
      <c r="C90" t="s">
        <v>308</v>
      </c>
      <c r="D90" t="s">
        <v>19</v>
      </c>
      <c r="E90" t="s">
        <v>706</v>
      </c>
      <c r="F90" s="27">
        <v>2015</v>
      </c>
      <c r="G90" s="28">
        <v>710</v>
      </c>
      <c r="H90" s="28">
        <v>710</v>
      </c>
      <c r="I90" s="28">
        <v>710</v>
      </c>
      <c r="J90" s="28">
        <v>710</v>
      </c>
      <c r="K90" s="28">
        <v>710</v>
      </c>
      <c r="L90" s="28">
        <v>710</v>
      </c>
      <c r="M90" s="28">
        <v>710</v>
      </c>
      <c r="N90" s="28">
        <v>710</v>
      </c>
      <c r="O90" s="28">
        <v>710</v>
      </c>
      <c r="P90" s="28">
        <v>710</v>
      </c>
      <c r="Q90" s="28">
        <v>710</v>
      </c>
      <c r="R90" s="28">
        <v>710</v>
      </c>
      <c r="S90" s="28">
        <v>800</v>
      </c>
      <c r="T90" s="28">
        <v>800</v>
      </c>
      <c r="U90" s="28">
        <v>800</v>
      </c>
      <c r="V90" s="28">
        <v>800</v>
      </c>
      <c r="W90" s="28">
        <v>800</v>
      </c>
      <c r="X90" s="28">
        <v>710</v>
      </c>
      <c r="Y90" s="28">
        <v>710</v>
      </c>
      <c r="Z90" s="28">
        <v>710</v>
      </c>
      <c r="AA90" s="28">
        <v>710</v>
      </c>
      <c r="AB90" s="28">
        <v>710</v>
      </c>
      <c r="AC90" s="28">
        <v>710</v>
      </c>
      <c r="AD90" s="28">
        <v>710</v>
      </c>
      <c r="AE90" s="28">
        <v>710</v>
      </c>
      <c r="AF90" s="28">
        <v>710</v>
      </c>
      <c r="AG90" s="28">
        <v>710</v>
      </c>
      <c r="AH90" s="29">
        <f t="shared" si="1"/>
        <v>710</v>
      </c>
      <c r="AI90" s="29">
        <f t="shared" si="1"/>
        <v>710</v>
      </c>
    </row>
    <row r="91" spans="2:35">
      <c r="B91">
        <v>90</v>
      </c>
      <c r="C91" t="s">
        <v>311</v>
      </c>
      <c r="D91" t="s">
        <v>19</v>
      </c>
      <c r="E91" t="s">
        <v>706</v>
      </c>
      <c r="F91" s="27">
        <v>2016</v>
      </c>
      <c r="G91" s="28">
        <v>670</v>
      </c>
      <c r="H91" s="28">
        <v>670</v>
      </c>
      <c r="I91" s="28">
        <v>670</v>
      </c>
      <c r="J91" s="28">
        <v>670</v>
      </c>
      <c r="K91" s="28">
        <v>670</v>
      </c>
      <c r="L91" s="28">
        <v>670</v>
      </c>
      <c r="M91" s="28">
        <v>670</v>
      </c>
      <c r="N91" s="28">
        <v>670</v>
      </c>
      <c r="O91" s="28">
        <v>670</v>
      </c>
      <c r="P91" s="28">
        <v>670</v>
      </c>
      <c r="Q91" s="28">
        <v>670</v>
      </c>
      <c r="R91" s="28">
        <v>670</v>
      </c>
      <c r="S91" s="28">
        <v>800</v>
      </c>
      <c r="T91" s="28">
        <v>800</v>
      </c>
      <c r="U91" s="28">
        <v>800</v>
      </c>
      <c r="V91" s="28">
        <v>800</v>
      </c>
      <c r="W91" s="28">
        <v>800</v>
      </c>
      <c r="X91" s="28">
        <v>600</v>
      </c>
      <c r="Y91" s="28">
        <v>670</v>
      </c>
      <c r="Z91" s="28">
        <v>670</v>
      </c>
      <c r="AA91" s="28">
        <v>670</v>
      </c>
      <c r="AB91" s="28">
        <v>670</v>
      </c>
      <c r="AC91" s="28">
        <v>670</v>
      </c>
      <c r="AD91" s="28">
        <v>670</v>
      </c>
      <c r="AE91" s="28">
        <v>670</v>
      </c>
      <c r="AF91" s="28">
        <v>670</v>
      </c>
      <c r="AG91" s="28">
        <v>670</v>
      </c>
      <c r="AH91" s="29">
        <f t="shared" si="1"/>
        <v>670</v>
      </c>
      <c r="AI91" s="29">
        <f t="shared" si="1"/>
        <v>670</v>
      </c>
    </row>
    <row r="92" spans="2:35">
      <c r="B92">
        <v>91</v>
      </c>
      <c r="C92" t="s">
        <v>314</v>
      </c>
      <c r="D92" t="s">
        <v>19</v>
      </c>
      <c r="E92" t="s">
        <v>706</v>
      </c>
      <c r="F92" s="27">
        <v>2016</v>
      </c>
      <c r="G92" s="28">
        <v>600</v>
      </c>
      <c r="H92" s="28">
        <v>600</v>
      </c>
      <c r="I92" s="28">
        <v>600</v>
      </c>
      <c r="J92" s="28">
        <v>600</v>
      </c>
      <c r="K92" s="28">
        <v>600</v>
      </c>
      <c r="L92" s="28">
        <v>600</v>
      </c>
      <c r="M92" s="28">
        <v>600</v>
      </c>
      <c r="N92" s="28">
        <v>600</v>
      </c>
      <c r="O92" s="28">
        <v>600</v>
      </c>
      <c r="P92" s="28">
        <v>600</v>
      </c>
      <c r="Q92" s="28">
        <v>600</v>
      </c>
      <c r="R92" s="28">
        <v>600</v>
      </c>
      <c r="S92" s="28">
        <v>800</v>
      </c>
      <c r="T92" s="28">
        <v>800</v>
      </c>
      <c r="U92" s="28">
        <v>800</v>
      </c>
      <c r="V92" s="28">
        <v>800</v>
      </c>
      <c r="W92" s="28">
        <v>800</v>
      </c>
      <c r="X92" s="28">
        <v>600</v>
      </c>
      <c r="Y92" s="28">
        <v>600</v>
      </c>
      <c r="Z92" s="28">
        <v>600</v>
      </c>
      <c r="AA92" s="28">
        <v>600</v>
      </c>
      <c r="AB92" s="28">
        <v>600</v>
      </c>
      <c r="AC92" s="28">
        <v>600</v>
      </c>
      <c r="AD92" s="28">
        <v>600</v>
      </c>
      <c r="AE92" s="28">
        <v>600</v>
      </c>
      <c r="AF92" s="28">
        <v>600</v>
      </c>
      <c r="AG92" s="28">
        <v>600</v>
      </c>
      <c r="AH92" s="29">
        <f t="shared" si="1"/>
        <v>600</v>
      </c>
      <c r="AI92" s="29">
        <f t="shared" si="1"/>
        <v>600</v>
      </c>
    </row>
    <row r="93" spans="2:35">
      <c r="B93">
        <v>92</v>
      </c>
      <c r="C93" t="s">
        <v>317</v>
      </c>
      <c r="D93" t="s">
        <v>19</v>
      </c>
      <c r="E93" t="s">
        <v>706</v>
      </c>
      <c r="F93" s="27">
        <v>2016</v>
      </c>
      <c r="G93" s="28">
        <v>600</v>
      </c>
      <c r="H93" s="28">
        <v>600</v>
      </c>
      <c r="I93" s="28">
        <v>600</v>
      </c>
      <c r="J93" s="28">
        <v>600</v>
      </c>
      <c r="K93" s="28">
        <v>600</v>
      </c>
      <c r="L93" s="28">
        <v>600</v>
      </c>
      <c r="M93" s="28">
        <v>600</v>
      </c>
      <c r="N93" s="28">
        <v>600</v>
      </c>
      <c r="O93" s="28">
        <v>600</v>
      </c>
      <c r="P93" s="28">
        <v>600</v>
      </c>
      <c r="Q93" s="28">
        <v>600</v>
      </c>
      <c r="R93" s="28">
        <v>600</v>
      </c>
      <c r="S93" s="28">
        <v>800</v>
      </c>
      <c r="T93" s="28">
        <v>800</v>
      </c>
      <c r="U93" s="28">
        <v>800</v>
      </c>
      <c r="V93" s="28">
        <v>800</v>
      </c>
      <c r="W93" s="28">
        <v>800</v>
      </c>
      <c r="X93" s="28">
        <v>600</v>
      </c>
      <c r="Y93" s="28">
        <v>600</v>
      </c>
      <c r="Z93" s="28">
        <v>600</v>
      </c>
      <c r="AA93" s="28">
        <v>600</v>
      </c>
      <c r="AB93" s="28">
        <v>600</v>
      </c>
      <c r="AC93" s="28">
        <v>600</v>
      </c>
      <c r="AD93" s="28">
        <v>600</v>
      </c>
      <c r="AE93" s="28">
        <v>600</v>
      </c>
      <c r="AF93" s="28">
        <v>600</v>
      </c>
      <c r="AG93" s="28">
        <v>600</v>
      </c>
      <c r="AH93" s="29">
        <f t="shared" si="1"/>
        <v>600</v>
      </c>
      <c r="AI93" s="29">
        <f t="shared" si="1"/>
        <v>600</v>
      </c>
    </row>
    <row r="94" spans="2:35">
      <c r="B94">
        <v>93</v>
      </c>
      <c r="C94" t="s">
        <v>320</v>
      </c>
      <c r="D94" t="s">
        <v>19</v>
      </c>
      <c r="E94" t="s">
        <v>706</v>
      </c>
      <c r="F94" s="27">
        <v>2017</v>
      </c>
      <c r="G94" s="28">
        <v>600</v>
      </c>
      <c r="H94" s="28">
        <v>600</v>
      </c>
      <c r="I94" s="28">
        <v>600</v>
      </c>
      <c r="J94" s="28">
        <v>600</v>
      </c>
      <c r="K94" s="28">
        <v>600</v>
      </c>
      <c r="L94" s="28">
        <v>600</v>
      </c>
      <c r="M94" s="28">
        <v>600</v>
      </c>
      <c r="N94" s="28">
        <v>600</v>
      </c>
      <c r="O94" s="28">
        <v>600</v>
      </c>
      <c r="P94" s="28">
        <v>600</v>
      </c>
      <c r="Q94" s="28">
        <v>600</v>
      </c>
      <c r="R94" s="28">
        <v>600</v>
      </c>
      <c r="S94" s="28">
        <v>800</v>
      </c>
      <c r="T94" s="28">
        <v>800</v>
      </c>
      <c r="U94" s="28">
        <v>800</v>
      </c>
      <c r="V94" s="28">
        <v>800</v>
      </c>
      <c r="W94" s="28">
        <v>800</v>
      </c>
      <c r="X94" s="28">
        <v>600</v>
      </c>
      <c r="Y94" s="28">
        <v>600</v>
      </c>
      <c r="Z94" s="28">
        <v>600</v>
      </c>
      <c r="AA94" s="28">
        <v>600</v>
      </c>
      <c r="AB94" s="28">
        <v>600</v>
      </c>
      <c r="AC94" s="28">
        <v>600</v>
      </c>
      <c r="AD94" s="28">
        <v>600</v>
      </c>
      <c r="AE94" s="28">
        <v>600</v>
      </c>
      <c r="AF94" s="28">
        <v>600</v>
      </c>
      <c r="AG94" s="28">
        <v>600</v>
      </c>
      <c r="AH94" s="29">
        <f t="shared" si="1"/>
        <v>600</v>
      </c>
      <c r="AI94" s="29">
        <f t="shared" si="1"/>
        <v>600</v>
      </c>
    </row>
    <row r="95" spans="2:35">
      <c r="B95">
        <v>94</v>
      </c>
      <c r="C95" t="s">
        <v>323</v>
      </c>
      <c r="D95" t="s">
        <v>19</v>
      </c>
      <c r="E95" t="s">
        <v>706</v>
      </c>
      <c r="F95" s="27">
        <v>2017</v>
      </c>
      <c r="G95" s="28">
        <v>300</v>
      </c>
      <c r="H95" s="28">
        <v>300</v>
      </c>
      <c r="I95" s="28">
        <v>300</v>
      </c>
      <c r="J95" s="28">
        <v>300</v>
      </c>
      <c r="K95" s="28">
        <v>300</v>
      </c>
      <c r="L95" s="28">
        <v>300</v>
      </c>
      <c r="M95" s="28">
        <v>300</v>
      </c>
      <c r="N95" s="28">
        <v>300</v>
      </c>
      <c r="O95" s="28">
        <v>300</v>
      </c>
      <c r="P95" s="28">
        <v>300</v>
      </c>
      <c r="Q95" s="28">
        <v>300</v>
      </c>
      <c r="R95" s="28">
        <v>300</v>
      </c>
      <c r="S95" s="28">
        <v>400</v>
      </c>
      <c r="T95" s="28">
        <v>400</v>
      </c>
      <c r="U95" s="28">
        <v>400</v>
      </c>
      <c r="V95" s="28">
        <v>400</v>
      </c>
      <c r="W95" s="28">
        <v>400</v>
      </c>
      <c r="X95" s="28">
        <v>300</v>
      </c>
      <c r="Y95" s="28">
        <v>300</v>
      </c>
      <c r="Z95" s="28">
        <v>300</v>
      </c>
      <c r="AA95" s="28">
        <v>300</v>
      </c>
      <c r="AB95" s="28">
        <v>300</v>
      </c>
      <c r="AC95" s="28">
        <v>300</v>
      </c>
      <c r="AD95" s="28">
        <v>300</v>
      </c>
      <c r="AE95" s="28">
        <v>300</v>
      </c>
      <c r="AF95" s="28">
        <v>300</v>
      </c>
      <c r="AG95" s="28">
        <v>300</v>
      </c>
      <c r="AH95" s="29">
        <f t="shared" si="1"/>
        <v>300</v>
      </c>
      <c r="AI95" s="29">
        <f t="shared" si="1"/>
        <v>300</v>
      </c>
    </row>
    <row r="96" spans="2:35">
      <c r="B96">
        <v>95</v>
      </c>
      <c r="C96" t="s">
        <v>326</v>
      </c>
      <c r="D96" t="s">
        <v>19</v>
      </c>
      <c r="E96" t="s">
        <v>706</v>
      </c>
      <c r="F96" s="27">
        <v>2017</v>
      </c>
      <c r="G96" s="28">
        <v>280</v>
      </c>
      <c r="H96" s="28">
        <v>280</v>
      </c>
      <c r="I96" s="28">
        <v>280</v>
      </c>
      <c r="J96" s="28">
        <v>280</v>
      </c>
      <c r="K96" s="28">
        <v>280</v>
      </c>
      <c r="L96" s="28">
        <v>280</v>
      </c>
      <c r="M96" s="28">
        <v>280</v>
      </c>
      <c r="N96" s="28">
        <v>280</v>
      </c>
      <c r="O96" s="28">
        <v>280</v>
      </c>
      <c r="P96" s="28">
        <v>280</v>
      </c>
      <c r="Q96" s="28">
        <v>280</v>
      </c>
      <c r="R96" s="28">
        <v>280</v>
      </c>
      <c r="S96" s="28">
        <v>300</v>
      </c>
      <c r="T96" s="28">
        <v>300</v>
      </c>
      <c r="U96" s="28">
        <v>300</v>
      </c>
      <c r="V96" s="28">
        <v>300</v>
      </c>
      <c r="W96" s="28">
        <v>300</v>
      </c>
      <c r="X96" s="28">
        <v>280</v>
      </c>
      <c r="Y96" s="28">
        <v>280</v>
      </c>
      <c r="Z96" s="28">
        <v>280</v>
      </c>
      <c r="AA96" s="28">
        <v>280</v>
      </c>
      <c r="AB96" s="28">
        <v>280</v>
      </c>
      <c r="AC96" s="28">
        <v>280</v>
      </c>
      <c r="AD96" s="28">
        <v>280</v>
      </c>
      <c r="AE96" s="28">
        <v>280</v>
      </c>
      <c r="AF96" s="28">
        <v>280</v>
      </c>
      <c r="AG96" s="28">
        <v>280</v>
      </c>
      <c r="AH96" s="29">
        <f t="shared" si="1"/>
        <v>280</v>
      </c>
      <c r="AI96" s="29">
        <f t="shared" si="1"/>
        <v>280</v>
      </c>
    </row>
    <row r="97" spans="2:35">
      <c r="B97">
        <v>96</v>
      </c>
      <c r="C97" t="s">
        <v>329</v>
      </c>
      <c r="D97" t="s">
        <v>19</v>
      </c>
      <c r="E97" t="s">
        <v>706</v>
      </c>
      <c r="F97" s="27">
        <v>2017</v>
      </c>
      <c r="G97" s="28">
        <v>210</v>
      </c>
      <c r="H97" s="28">
        <v>210</v>
      </c>
      <c r="I97" s="28">
        <v>210</v>
      </c>
      <c r="J97" s="28">
        <v>210</v>
      </c>
      <c r="K97" s="28">
        <v>210</v>
      </c>
      <c r="L97" s="28">
        <v>210</v>
      </c>
      <c r="M97" s="28">
        <v>210</v>
      </c>
      <c r="N97" s="28">
        <v>210</v>
      </c>
      <c r="O97" s="28">
        <v>210</v>
      </c>
      <c r="P97" s="28">
        <v>210</v>
      </c>
      <c r="Q97" s="28">
        <v>210</v>
      </c>
      <c r="R97" s="28">
        <v>210</v>
      </c>
      <c r="S97" s="28">
        <v>300</v>
      </c>
      <c r="T97" s="28">
        <v>300</v>
      </c>
      <c r="U97" s="28">
        <v>300</v>
      </c>
      <c r="V97" s="28">
        <v>300</v>
      </c>
      <c r="W97" s="28">
        <v>300</v>
      </c>
      <c r="X97" s="28">
        <v>300</v>
      </c>
      <c r="Y97" s="28">
        <v>300</v>
      </c>
      <c r="Z97" s="28">
        <v>210</v>
      </c>
      <c r="AA97" s="28">
        <v>210</v>
      </c>
      <c r="AB97" s="28">
        <v>210</v>
      </c>
      <c r="AC97" s="28">
        <v>210</v>
      </c>
      <c r="AD97" s="28">
        <v>210</v>
      </c>
      <c r="AE97" s="28">
        <v>210</v>
      </c>
      <c r="AF97" s="28">
        <v>210</v>
      </c>
      <c r="AG97" s="28">
        <v>210</v>
      </c>
      <c r="AH97" s="29">
        <f t="shared" si="1"/>
        <v>210</v>
      </c>
      <c r="AI97" s="29">
        <f t="shared" si="1"/>
        <v>210</v>
      </c>
    </row>
    <row r="98" spans="2:35">
      <c r="B98">
        <v>97</v>
      </c>
      <c r="C98" t="s">
        <v>332</v>
      </c>
      <c r="D98" t="s">
        <v>19</v>
      </c>
      <c r="E98" t="s">
        <v>706</v>
      </c>
      <c r="F98" s="27">
        <v>2009</v>
      </c>
      <c r="G98" s="28">
        <v>133</v>
      </c>
      <c r="H98" s="28">
        <v>133</v>
      </c>
      <c r="I98" s="28">
        <v>133</v>
      </c>
      <c r="J98" s="28">
        <v>133</v>
      </c>
      <c r="K98" s="28">
        <v>67</v>
      </c>
      <c r="L98" s="28">
        <v>67</v>
      </c>
      <c r="M98" s="28">
        <v>67</v>
      </c>
      <c r="N98" s="28">
        <v>67</v>
      </c>
      <c r="O98" s="28">
        <v>133</v>
      </c>
      <c r="P98" s="28">
        <v>133</v>
      </c>
      <c r="Q98" s="28">
        <v>133</v>
      </c>
      <c r="R98" s="28">
        <v>133</v>
      </c>
      <c r="S98" s="28">
        <v>133</v>
      </c>
      <c r="T98" s="28">
        <v>133</v>
      </c>
      <c r="U98" s="28">
        <v>133</v>
      </c>
      <c r="V98" s="28">
        <v>133</v>
      </c>
      <c r="W98" s="28">
        <v>133</v>
      </c>
      <c r="X98" s="28">
        <v>133</v>
      </c>
      <c r="Y98" s="28">
        <v>133</v>
      </c>
      <c r="Z98" s="28">
        <v>133</v>
      </c>
      <c r="AA98" s="28">
        <v>133</v>
      </c>
      <c r="AB98" s="28">
        <v>133</v>
      </c>
      <c r="AC98" s="28">
        <v>133</v>
      </c>
      <c r="AD98" s="28">
        <v>133</v>
      </c>
      <c r="AE98" s="28">
        <v>133</v>
      </c>
      <c r="AF98" s="28">
        <v>0</v>
      </c>
      <c r="AG98" s="28">
        <v>0</v>
      </c>
      <c r="AH98" s="29">
        <f t="shared" si="1"/>
        <v>0</v>
      </c>
      <c r="AI98" s="29">
        <f t="shared" si="1"/>
        <v>0</v>
      </c>
    </row>
    <row r="99" spans="2:35">
      <c r="B99">
        <v>98</v>
      </c>
      <c r="C99" t="s">
        <v>336</v>
      </c>
      <c r="D99" t="s">
        <v>19</v>
      </c>
      <c r="E99" t="s">
        <v>706</v>
      </c>
      <c r="F99" s="27">
        <v>2000</v>
      </c>
      <c r="G99" s="28">
        <v>370</v>
      </c>
      <c r="H99" s="28">
        <v>370</v>
      </c>
      <c r="I99" s="28">
        <v>370</v>
      </c>
      <c r="J99" s="28">
        <v>370</v>
      </c>
      <c r="K99" s="28">
        <v>370</v>
      </c>
      <c r="L99" s="28">
        <v>370</v>
      </c>
      <c r="M99" s="28">
        <v>370</v>
      </c>
      <c r="N99" s="28">
        <v>370</v>
      </c>
      <c r="O99" s="28">
        <v>370</v>
      </c>
      <c r="P99" s="28">
        <v>370</v>
      </c>
      <c r="Q99" s="28">
        <v>370</v>
      </c>
      <c r="R99" s="28">
        <v>370</v>
      </c>
      <c r="S99" s="28">
        <v>900</v>
      </c>
      <c r="T99" s="28">
        <v>900</v>
      </c>
      <c r="U99" s="28">
        <v>900</v>
      </c>
      <c r="V99" s="28">
        <v>900</v>
      </c>
      <c r="W99" s="28">
        <v>1400</v>
      </c>
      <c r="X99" s="28">
        <v>1400</v>
      </c>
      <c r="Y99" s="28">
        <v>1400</v>
      </c>
      <c r="Z99" s="28">
        <v>1400</v>
      </c>
      <c r="AA99" s="28">
        <v>1400</v>
      </c>
      <c r="AB99" s="28">
        <v>1400</v>
      </c>
      <c r="AC99" s="28">
        <v>1400</v>
      </c>
      <c r="AD99" s="28">
        <v>1400</v>
      </c>
      <c r="AE99" s="28">
        <v>1400</v>
      </c>
      <c r="AF99" s="28">
        <v>1400</v>
      </c>
      <c r="AG99" s="28">
        <v>1400</v>
      </c>
      <c r="AH99" s="29">
        <f t="shared" si="1"/>
        <v>1400</v>
      </c>
      <c r="AI99" s="29">
        <f t="shared" si="1"/>
        <v>1400</v>
      </c>
    </row>
    <row r="100" spans="2:35">
      <c r="B100">
        <v>99</v>
      </c>
      <c r="C100" t="s">
        <v>338</v>
      </c>
      <c r="D100" t="s">
        <v>19</v>
      </c>
      <c r="E100" t="s">
        <v>706</v>
      </c>
      <c r="F100" s="27">
        <v>2000</v>
      </c>
      <c r="G100" s="28">
        <v>550</v>
      </c>
      <c r="H100" s="28">
        <v>550</v>
      </c>
      <c r="I100" s="28">
        <v>550</v>
      </c>
      <c r="J100" s="28">
        <v>550</v>
      </c>
      <c r="K100" s="28">
        <v>550</v>
      </c>
      <c r="L100" s="28">
        <v>550</v>
      </c>
      <c r="M100" s="28">
        <v>550</v>
      </c>
      <c r="N100" s="28">
        <v>550</v>
      </c>
      <c r="O100" s="28">
        <v>550</v>
      </c>
      <c r="P100" s="28">
        <v>550</v>
      </c>
      <c r="Q100" s="28">
        <v>550</v>
      </c>
      <c r="R100" s="28">
        <v>550</v>
      </c>
      <c r="S100" s="28">
        <v>550</v>
      </c>
      <c r="T100" s="28">
        <v>550</v>
      </c>
      <c r="U100" s="28">
        <v>550</v>
      </c>
      <c r="V100" s="28">
        <v>550</v>
      </c>
      <c r="W100" s="28">
        <v>550</v>
      </c>
      <c r="X100" s="28">
        <v>550</v>
      </c>
      <c r="Y100" s="28">
        <v>550</v>
      </c>
      <c r="Z100" s="28">
        <v>550</v>
      </c>
      <c r="AA100" s="28">
        <v>550</v>
      </c>
      <c r="AB100" s="28">
        <v>550</v>
      </c>
      <c r="AC100" s="28">
        <v>550</v>
      </c>
      <c r="AD100" s="28">
        <v>550</v>
      </c>
      <c r="AE100" s="28">
        <v>550</v>
      </c>
      <c r="AF100" s="28">
        <v>550</v>
      </c>
      <c r="AG100" s="28">
        <v>550</v>
      </c>
      <c r="AH100" s="29">
        <f t="shared" si="1"/>
        <v>550</v>
      </c>
      <c r="AI100" s="29">
        <f t="shared" si="1"/>
        <v>550</v>
      </c>
    </row>
    <row r="101" spans="2:35">
      <c r="B101">
        <v>100</v>
      </c>
      <c r="C101" t="s">
        <v>340</v>
      </c>
      <c r="D101" t="s">
        <v>19</v>
      </c>
      <c r="E101" t="s">
        <v>706</v>
      </c>
      <c r="F101" s="27">
        <v>2007</v>
      </c>
      <c r="G101" s="28">
        <v>320</v>
      </c>
      <c r="H101" s="28">
        <v>320</v>
      </c>
      <c r="I101" s="28">
        <v>320</v>
      </c>
      <c r="J101" s="28">
        <v>320</v>
      </c>
      <c r="K101" s="28">
        <v>320</v>
      </c>
      <c r="L101" s="28">
        <v>320</v>
      </c>
      <c r="M101" s="28">
        <v>320</v>
      </c>
      <c r="N101" s="28">
        <v>320</v>
      </c>
      <c r="O101" s="28">
        <v>320</v>
      </c>
      <c r="P101" s="28">
        <v>320</v>
      </c>
      <c r="Q101" s="28">
        <v>320</v>
      </c>
      <c r="R101" s="28">
        <v>320</v>
      </c>
      <c r="S101" s="28">
        <v>320</v>
      </c>
      <c r="T101" s="28">
        <v>320</v>
      </c>
      <c r="U101" s="28">
        <v>320</v>
      </c>
      <c r="V101" s="28">
        <v>320</v>
      </c>
      <c r="W101" s="28">
        <v>320</v>
      </c>
      <c r="X101" s="28">
        <v>320</v>
      </c>
      <c r="Y101" s="28">
        <v>320</v>
      </c>
      <c r="Z101" s="28">
        <v>320</v>
      </c>
      <c r="AA101" s="28">
        <v>320</v>
      </c>
      <c r="AB101" s="28">
        <v>320</v>
      </c>
      <c r="AC101" s="28">
        <v>320</v>
      </c>
      <c r="AD101" s="28">
        <v>320</v>
      </c>
      <c r="AE101" s="28">
        <v>320</v>
      </c>
      <c r="AF101" s="28">
        <v>320</v>
      </c>
      <c r="AG101" s="28">
        <v>320</v>
      </c>
      <c r="AH101" s="29">
        <f t="shared" si="1"/>
        <v>320</v>
      </c>
      <c r="AI101" s="29">
        <f t="shared" si="1"/>
        <v>320</v>
      </c>
    </row>
    <row r="102" spans="2:35">
      <c r="B102">
        <v>101</v>
      </c>
      <c r="C102" t="s">
        <v>343</v>
      </c>
      <c r="D102" t="s">
        <v>19</v>
      </c>
      <c r="E102" t="s">
        <v>706</v>
      </c>
      <c r="F102" s="27">
        <v>2000</v>
      </c>
      <c r="G102" s="28">
        <v>250</v>
      </c>
      <c r="H102" s="28">
        <v>250</v>
      </c>
      <c r="I102" s="28">
        <v>250</v>
      </c>
      <c r="J102" s="28">
        <v>250</v>
      </c>
      <c r="K102" s="28">
        <v>250</v>
      </c>
      <c r="L102" s="28">
        <v>250</v>
      </c>
      <c r="M102" s="28">
        <v>250</v>
      </c>
      <c r="N102" s="28">
        <v>250</v>
      </c>
      <c r="O102" s="28">
        <v>250</v>
      </c>
      <c r="P102" s="28">
        <v>250</v>
      </c>
      <c r="Q102" s="28">
        <v>250</v>
      </c>
      <c r="R102" s="28">
        <v>250</v>
      </c>
      <c r="S102" s="28">
        <v>250</v>
      </c>
      <c r="T102" s="28">
        <v>250</v>
      </c>
      <c r="U102" s="28">
        <v>250</v>
      </c>
      <c r="V102" s="28">
        <v>250</v>
      </c>
      <c r="W102" s="28">
        <v>250</v>
      </c>
      <c r="X102" s="28">
        <v>250</v>
      </c>
      <c r="Y102" s="28">
        <v>250</v>
      </c>
      <c r="Z102" s="28">
        <v>250</v>
      </c>
      <c r="AA102" s="28">
        <v>250</v>
      </c>
      <c r="AB102" s="28">
        <v>250</v>
      </c>
      <c r="AC102" s="28">
        <v>250</v>
      </c>
      <c r="AD102" s="28">
        <v>250</v>
      </c>
      <c r="AE102" s="28">
        <v>250</v>
      </c>
      <c r="AF102" s="28">
        <v>250</v>
      </c>
      <c r="AG102" s="28">
        <v>250</v>
      </c>
      <c r="AH102" s="29">
        <f t="shared" si="1"/>
        <v>250</v>
      </c>
      <c r="AI102" s="29">
        <f t="shared" si="1"/>
        <v>250</v>
      </c>
    </row>
    <row r="103" spans="2:35">
      <c r="B103">
        <v>102</v>
      </c>
      <c r="C103" t="s">
        <v>345</v>
      </c>
      <c r="D103" t="s">
        <v>19</v>
      </c>
      <c r="E103" t="s">
        <v>706</v>
      </c>
      <c r="F103" s="27">
        <v>2012</v>
      </c>
      <c r="G103" s="28">
        <v>235</v>
      </c>
      <c r="H103" s="28">
        <v>235</v>
      </c>
      <c r="I103" s="28">
        <v>235</v>
      </c>
      <c r="J103" s="28">
        <v>235</v>
      </c>
      <c r="K103" s="28">
        <v>400</v>
      </c>
      <c r="L103" s="28">
        <v>400</v>
      </c>
      <c r="M103" s="28">
        <v>400</v>
      </c>
      <c r="N103" s="28">
        <v>400</v>
      </c>
      <c r="O103" s="28">
        <v>235</v>
      </c>
      <c r="P103" s="28">
        <v>235</v>
      </c>
      <c r="Q103" s="28">
        <v>235</v>
      </c>
      <c r="R103" s="28">
        <v>235</v>
      </c>
      <c r="S103" s="28">
        <v>500</v>
      </c>
      <c r="T103" s="28">
        <v>500</v>
      </c>
      <c r="U103" s="28">
        <v>500</v>
      </c>
      <c r="V103" s="28">
        <v>500</v>
      </c>
      <c r="W103" s="28">
        <v>500</v>
      </c>
      <c r="X103" s="28">
        <v>500</v>
      </c>
      <c r="Y103" s="28">
        <v>500</v>
      </c>
      <c r="Z103" s="28">
        <v>500</v>
      </c>
      <c r="AA103" s="28">
        <v>500</v>
      </c>
      <c r="AB103" s="28">
        <v>500</v>
      </c>
      <c r="AC103" s="28">
        <v>500</v>
      </c>
      <c r="AD103" s="28">
        <v>500</v>
      </c>
      <c r="AE103" s="28">
        <v>500</v>
      </c>
      <c r="AF103" s="28">
        <v>500</v>
      </c>
      <c r="AG103" s="28">
        <v>500</v>
      </c>
      <c r="AH103" s="29">
        <f t="shared" si="1"/>
        <v>500</v>
      </c>
      <c r="AI103" s="29">
        <f t="shared" si="1"/>
        <v>500</v>
      </c>
    </row>
    <row r="104" spans="2:35">
      <c r="B104">
        <v>103</v>
      </c>
      <c r="C104" t="s">
        <v>349</v>
      </c>
      <c r="D104" t="s">
        <v>19</v>
      </c>
      <c r="E104" t="s">
        <v>706</v>
      </c>
      <c r="F104" s="27">
        <v>2010</v>
      </c>
      <c r="G104" s="28">
        <v>1300</v>
      </c>
      <c r="H104" s="28">
        <v>1300</v>
      </c>
      <c r="I104" s="28">
        <v>1300</v>
      </c>
      <c r="J104" s="28">
        <v>1300</v>
      </c>
      <c r="K104" s="28">
        <v>1380</v>
      </c>
      <c r="L104" s="28">
        <v>1380</v>
      </c>
      <c r="M104" s="28">
        <v>1380</v>
      </c>
      <c r="N104" s="28">
        <v>1380</v>
      </c>
      <c r="O104" s="28">
        <v>1300</v>
      </c>
      <c r="P104" s="28">
        <v>1300</v>
      </c>
      <c r="Q104" s="28">
        <v>1300</v>
      </c>
      <c r="R104" s="28">
        <v>1300</v>
      </c>
      <c r="S104" s="28">
        <v>1900</v>
      </c>
      <c r="T104" s="28">
        <v>1900</v>
      </c>
      <c r="U104" s="28">
        <v>1900</v>
      </c>
      <c r="V104" s="28">
        <v>1900</v>
      </c>
      <c r="W104" s="28">
        <v>1900</v>
      </c>
      <c r="X104" s="28">
        <v>1900</v>
      </c>
      <c r="Y104" s="28">
        <v>1900</v>
      </c>
      <c r="Z104" s="28">
        <v>1900</v>
      </c>
      <c r="AA104" s="28">
        <v>1900</v>
      </c>
      <c r="AB104" s="28">
        <v>1900</v>
      </c>
      <c r="AC104" s="28">
        <v>1900</v>
      </c>
      <c r="AD104" s="28">
        <v>1900</v>
      </c>
      <c r="AE104" s="28">
        <v>1900</v>
      </c>
      <c r="AF104" s="28">
        <v>1900</v>
      </c>
      <c r="AG104" s="28">
        <v>1900</v>
      </c>
      <c r="AH104" s="29">
        <f t="shared" si="1"/>
        <v>1900</v>
      </c>
      <c r="AI104" s="29">
        <f t="shared" si="1"/>
        <v>1900</v>
      </c>
    </row>
    <row r="105" spans="2:35">
      <c r="B105">
        <v>104</v>
      </c>
      <c r="C105" t="s">
        <v>352</v>
      </c>
      <c r="D105" t="s">
        <v>19</v>
      </c>
      <c r="E105" t="s">
        <v>706</v>
      </c>
      <c r="F105" s="27">
        <v>2012</v>
      </c>
      <c r="G105" s="28">
        <v>400</v>
      </c>
      <c r="H105" s="28">
        <v>400</v>
      </c>
      <c r="I105" s="28">
        <v>400</v>
      </c>
      <c r="J105" s="28">
        <v>400</v>
      </c>
      <c r="K105" s="28">
        <v>400</v>
      </c>
      <c r="L105" s="28">
        <v>400</v>
      </c>
      <c r="M105" s="28">
        <v>400</v>
      </c>
      <c r="N105" s="28">
        <v>400</v>
      </c>
      <c r="O105" s="28">
        <v>800</v>
      </c>
      <c r="P105" s="28">
        <v>800</v>
      </c>
      <c r="Q105" s="28">
        <v>800</v>
      </c>
      <c r="R105" s="28">
        <v>800</v>
      </c>
      <c r="S105" s="28">
        <v>880</v>
      </c>
      <c r="T105" s="28">
        <v>880</v>
      </c>
      <c r="U105" s="28">
        <v>880</v>
      </c>
      <c r="V105" s="28">
        <v>880</v>
      </c>
      <c r="W105" s="28">
        <v>880</v>
      </c>
      <c r="X105" s="28">
        <v>880</v>
      </c>
      <c r="Y105" s="28">
        <v>880</v>
      </c>
      <c r="Z105" s="28">
        <v>880</v>
      </c>
      <c r="AA105" s="28">
        <v>880</v>
      </c>
      <c r="AB105" s="28">
        <v>880</v>
      </c>
      <c r="AC105" s="28">
        <v>880</v>
      </c>
      <c r="AD105" s="28">
        <v>880</v>
      </c>
      <c r="AE105" s="28">
        <v>880</v>
      </c>
      <c r="AF105" s="28">
        <v>880</v>
      </c>
      <c r="AG105" s="28">
        <v>880</v>
      </c>
      <c r="AH105" s="29">
        <f t="shared" si="1"/>
        <v>880</v>
      </c>
      <c r="AI105" s="29">
        <f t="shared" si="1"/>
        <v>880</v>
      </c>
    </row>
    <row r="106" spans="2:35">
      <c r="B106">
        <v>105</v>
      </c>
      <c r="C106" t="s">
        <v>356</v>
      </c>
      <c r="D106" t="s">
        <v>19</v>
      </c>
      <c r="E106" t="s">
        <v>706</v>
      </c>
      <c r="F106" s="27">
        <v>2011</v>
      </c>
      <c r="G106" s="28">
        <v>800</v>
      </c>
      <c r="H106" s="28">
        <v>800</v>
      </c>
      <c r="I106" s="28">
        <v>800</v>
      </c>
      <c r="J106" s="28">
        <v>800</v>
      </c>
      <c r="K106" s="28">
        <v>800</v>
      </c>
      <c r="L106" s="28">
        <v>800</v>
      </c>
      <c r="M106" s="28">
        <v>800</v>
      </c>
      <c r="N106" s="28">
        <v>800</v>
      </c>
      <c r="O106" s="28">
        <v>800</v>
      </c>
      <c r="P106" s="28">
        <v>800</v>
      </c>
      <c r="Q106" s="28">
        <v>800</v>
      </c>
      <c r="R106" s="28">
        <v>800</v>
      </c>
      <c r="S106" s="28">
        <v>820</v>
      </c>
      <c r="T106" s="28">
        <v>820</v>
      </c>
      <c r="U106" s="28">
        <v>820</v>
      </c>
      <c r="V106" s="28">
        <v>820</v>
      </c>
      <c r="W106" s="28">
        <v>820</v>
      </c>
      <c r="X106" s="28">
        <v>820</v>
      </c>
      <c r="Y106" s="28">
        <v>820</v>
      </c>
      <c r="Z106" s="28">
        <v>820</v>
      </c>
      <c r="AA106" s="28">
        <v>820</v>
      </c>
      <c r="AB106" s="28">
        <v>820</v>
      </c>
      <c r="AC106" s="28">
        <v>820</v>
      </c>
      <c r="AD106" s="28">
        <v>820</v>
      </c>
      <c r="AE106" s="28">
        <v>820</v>
      </c>
      <c r="AF106" s="28">
        <v>820</v>
      </c>
      <c r="AG106" s="28">
        <v>820</v>
      </c>
      <c r="AH106" s="29">
        <f t="shared" si="1"/>
        <v>820</v>
      </c>
      <c r="AI106" s="29">
        <f t="shared" si="1"/>
        <v>820</v>
      </c>
    </row>
    <row r="107" spans="2:35">
      <c r="B107">
        <v>106</v>
      </c>
      <c r="C107" t="s">
        <v>359</v>
      </c>
      <c r="D107" t="s">
        <v>19</v>
      </c>
      <c r="E107" t="s">
        <v>706</v>
      </c>
      <c r="F107" s="27">
        <v>2002</v>
      </c>
      <c r="G107" s="28">
        <v>200</v>
      </c>
      <c r="H107" s="28">
        <v>200</v>
      </c>
      <c r="I107" s="28">
        <v>200</v>
      </c>
      <c r="J107" s="28">
        <v>200</v>
      </c>
      <c r="K107" s="28">
        <v>140</v>
      </c>
      <c r="L107" s="28">
        <v>140</v>
      </c>
      <c r="M107" s="28">
        <v>140</v>
      </c>
      <c r="N107" s="28">
        <v>140</v>
      </c>
      <c r="O107" s="28">
        <v>200</v>
      </c>
      <c r="P107" s="28">
        <v>200</v>
      </c>
      <c r="Q107" s="28">
        <v>200</v>
      </c>
      <c r="R107" s="28">
        <v>200</v>
      </c>
      <c r="S107" s="28">
        <v>200</v>
      </c>
      <c r="T107" s="28">
        <v>200</v>
      </c>
      <c r="U107" s="28">
        <v>200</v>
      </c>
      <c r="V107" s="28">
        <v>200</v>
      </c>
      <c r="W107" s="28">
        <v>200</v>
      </c>
      <c r="X107" s="28">
        <v>200</v>
      </c>
      <c r="Y107" s="28">
        <v>200</v>
      </c>
      <c r="Z107" s="28">
        <v>200</v>
      </c>
      <c r="AA107" s="28">
        <v>200</v>
      </c>
      <c r="AB107" s="28">
        <v>200</v>
      </c>
      <c r="AC107" s="28">
        <v>200</v>
      </c>
      <c r="AD107" s="28">
        <v>200</v>
      </c>
      <c r="AE107" s="28">
        <v>200</v>
      </c>
      <c r="AF107" s="28">
        <v>200</v>
      </c>
      <c r="AG107" s="28">
        <v>250</v>
      </c>
      <c r="AH107" s="29">
        <f t="shared" si="1"/>
        <v>250</v>
      </c>
      <c r="AI107" s="29">
        <f t="shared" si="1"/>
        <v>250</v>
      </c>
    </row>
    <row r="108" spans="2:35">
      <c r="B108">
        <v>107</v>
      </c>
      <c r="C108" t="s">
        <v>362</v>
      </c>
      <c r="D108" t="s">
        <v>19</v>
      </c>
      <c r="E108" t="s">
        <v>706</v>
      </c>
      <c r="F108" s="27">
        <v>2011</v>
      </c>
      <c r="G108" s="28">
        <v>800</v>
      </c>
      <c r="H108" s="28">
        <v>800</v>
      </c>
      <c r="I108" s="28">
        <v>800</v>
      </c>
      <c r="J108" s="28">
        <v>800</v>
      </c>
      <c r="K108" s="28">
        <v>640</v>
      </c>
      <c r="L108" s="28">
        <v>640</v>
      </c>
      <c r="M108" s="28">
        <v>640</v>
      </c>
      <c r="N108" s="28">
        <v>640</v>
      </c>
      <c r="O108" s="28">
        <v>800</v>
      </c>
      <c r="P108" s="28">
        <v>800</v>
      </c>
      <c r="Q108" s="28">
        <v>800</v>
      </c>
      <c r="R108" s="28">
        <v>800</v>
      </c>
      <c r="S108" s="28">
        <v>1600</v>
      </c>
      <c r="T108" s="28">
        <v>1600</v>
      </c>
      <c r="U108" s="28">
        <v>1600</v>
      </c>
      <c r="V108" s="28">
        <v>1600</v>
      </c>
      <c r="W108" s="28">
        <v>1600</v>
      </c>
      <c r="X108" s="28">
        <v>1600</v>
      </c>
      <c r="Y108" s="28">
        <v>1600</v>
      </c>
      <c r="Z108" s="28">
        <v>1600</v>
      </c>
      <c r="AA108" s="28">
        <v>1600</v>
      </c>
      <c r="AB108" s="28">
        <v>1600</v>
      </c>
      <c r="AC108" s="28">
        <v>1600</v>
      </c>
      <c r="AD108" s="28">
        <v>1600</v>
      </c>
      <c r="AE108" s="28">
        <v>1600</v>
      </c>
      <c r="AF108" s="28">
        <v>1600</v>
      </c>
      <c r="AG108" s="28">
        <v>1600</v>
      </c>
      <c r="AH108" s="29">
        <f t="shared" si="1"/>
        <v>1600</v>
      </c>
      <c r="AI108" s="29">
        <f t="shared" si="1"/>
        <v>1600</v>
      </c>
    </row>
    <row r="109" spans="2:35">
      <c r="B109">
        <v>108</v>
      </c>
      <c r="C109" t="s">
        <v>365</v>
      </c>
      <c r="D109" t="s">
        <v>19</v>
      </c>
      <c r="E109" t="s">
        <v>706</v>
      </c>
      <c r="F109" s="27">
        <v>1996</v>
      </c>
      <c r="G109" s="28">
        <v>180</v>
      </c>
      <c r="H109" s="28">
        <v>180</v>
      </c>
      <c r="I109" s="28">
        <v>180</v>
      </c>
      <c r="J109" s="28">
        <v>180</v>
      </c>
      <c r="K109" s="28">
        <v>126</v>
      </c>
      <c r="L109" s="28">
        <v>126</v>
      </c>
      <c r="M109" s="28">
        <v>126</v>
      </c>
      <c r="N109" s="28">
        <v>126</v>
      </c>
      <c r="O109" s="28">
        <v>180</v>
      </c>
      <c r="P109" s="28">
        <v>180</v>
      </c>
      <c r="Q109" s="28">
        <v>180</v>
      </c>
      <c r="R109" s="28">
        <v>180</v>
      </c>
      <c r="S109" s="28">
        <v>180</v>
      </c>
      <c r="T109" s="28">
        <v>180</v>
      </c>
      <c r="U109" s="28">
        <v>180</v>
      </c>
      <c r="V109" s="28">
        <v>180</v>
      </c>
      <c r="W109" s="28">
        <v>180</v>
      </c>
      <c r="X109" s="28">
        <v>180</v>
      </c>
      <c r="Y109" s="28">
        <v>180</v>
      </c>
      <c r="Z109" s="28">
        <v>180</v>
      </c>
      <c r="AA109" s="28">
        <v>180</v>
      </c>
      <c r="AB109" s="28">
        <v>180</v>
      </c>
      <c r="AC109" s="28">
        <v>180</v>
      </c>
      <c r="AD109" s="28">
        <v>180</v>
      </c>
      <c r="AE109" s="28">
        <v>180</v>
      </c>
      <c r="AF109" s="28">
        <v>180</v>
      </c>
      <c r="AG109" s="28">
        <v>180</v>
      </c>
      <c r="AH109" s="29">
        <f t="shared" si="1"/>
        <v>180</v>
      </c>
      <c r="AI109" s="29">
        <f t="shared" si="1"/>
        <v>180</v>
      </c>
    </row>
    <row r="110" spans="2:35">
      <c r="B110">
        <v>109</v>
      </c>
      <c r="C110" t="s">
        <v>369</v>
      </c>
      <c r="D110" t="s">
        <v>19</v>
      </c>
      <c r="E110" t="s">
        <v>706</v>
      </c>
      <c r="F110" s="27">
        <v>2019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150</v>
      </c>
      <c r="AH110" s="29">
        <f t="shared" si="1"/>
        <v>150</v>
      </c>
      <c r="AI110" s="29">
        <f t="shared" si="1"/>
        <v>150</v>
      </c>
    </row>
    <row r="111" spans="2:35">
      <c r="B111">
        <v>110</v>
      </c>
      <c r="C111" t="s">
        <v>372</v>
      </c>
      <c r="D111" t="s">
        <v>19</v>
      </c>
      <c r="E111" t="s">
        <v>706</v>
      </c>
      <c r="F111" s="27">
        <v>2002</v>
      </c>
      <c r="G111" s="28">
        <v>180</v>
      </c>
      <c r="H111" s="28">
        <v>180</v>
      </c>
      <c r="I111" s="28">
        <v>180</v>
      </c>
      <c r="J111" s="28">
        <v>180</v>
      </c>
      <c r="K111" s="28">
        <v>180</v>
      </c>
      <c r="L111" s="28">
        <v>180</v>
      </c>
      <c r="M111" s="28">
        <v>180</v>
      </c>
      <c r="N111" s="28">
        <v>180</v>
      </c>
      <c r="O111" s="28">
        <v>180</v>
      </c>
      <c r="P111" s="28">
        <v>180</v>
      </c>
      <c r="Q111" s="28">
        <v>180</v>
      </c>
      <c r="R111" s="28">
        <v>180</v>
      </c>
      <c r="S111" s="28">
        <v>180</v>
      </c>
      <c r="T111" s="28">
        <v>180</v>
      </c>
      <c r="U111" s="28">
        <v>180</v>
      </c>
      <c r="V111" s="28">
        <v>180</v>
      </c>
      <c r="W111" s="28">
        <v>180</v>
      </c>
      <c r="X111" s="28">
        <v>180</v>
      </c>
      <c r="Y111" s="28">
        <v>180</v>
      </c>
      <c r="Z111" s="28">
        <v>180</v>
      </c>
      <c r="AA111" s="28">
        <v>180</v>
      </c>
      <c r="AB111" s="28">
        <v>180</v>
      </c>
      <c r="AC111" s="28">
        <v>180</v>
      </c>
      <c r="AD111" s="28">
        <v>180</v>
      </c>
      <c r="AE111" s="28">
        <v>180</v>
      </c>
      <c r="AF111" s="28">
        <v>180</v>
      </c>
      <c r="AG111" s="28">
        <v>180</v>
      </c>
      <c r="AH111" s="29">
        <f t="shared" si="1"/>
        <v>180</v>
      </c>
      <c r="AI111" s="29">
        <f t="shared" si="1"/>
        <v>180</v>
      </c>
    </row>
    <row r="112" spans="2:35">
      <c r="B112">
        <v>111</v>
      </c>
      <c r="C112" t="s">
        <v>374</v>
      </c>
      <c r="D112" t="s">
        <v>19</v>
      </c>
      <c r="E112" t="s">
        <v>706</v>
      </c>
      <c r="F112" s="27">
        <v>2000</v>
      </c>
      <c r="G112" s="28">
        <v>13</v>
      </c>
      <c r="H112" s="28">
        <v>13</v>
      </c>
      <c r="I112" s="28">
        <v>13</v>
      </c>
      <c r="J112" s="28">
        <v>13</v>
      </c>
      <c r="K112" s="28">
        <v>9</v>
      </c>
      <c r="L112" s="28">
        <v>9</v>
      </c>
      <c r="M112" s="28">
        <v>9</v>
      </c>
      <c r="N112" s="28">
        <v>9</v>
      </c>
      <c r="O112" s="28">
        <v>13</v>
      </c>
      <c r="P112" s="28">
        <v>13</v>
      </c>
      <c r="Q112" s="28">
        <v>13</v>
      </c>
      <c r="R112" s="28">
        <v>13</v>
      </c>
      <c r="S112" s="28">
        <v>13</v>
      </c>
      <c r="T112" s="28">
        <v>13</v>
      </c>
      <c r="U112" s="28">
        <v>13</v>
      </c>
      <c r="V112" s="28">
        <v>13</v>
      </c>
      <c r="W112" s="28">
        <v>13</v>
      </c>
      <c r="X112" s="28">
        <v>13</v>
      </c>
      <c r="Y112" s="28">
        <v>13</v>
      </c>
      <c r="Z112" s="28">
        <v>13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9">
        <f t="shared" si="1"/>
        <v>0</v>
      </c>
      <c r="AI112" s="29">
        <f t="shared" si="1"/>
        <v>0</v>
      </c>
    </row>
    <row r="113" spans="2:35">
      <c r="B113">
        <v>112</v>
      </c>
      <c r="C113" t="s">
        <v>377</v>
      </c>
      <c r="D113" t="s">
        <v>19</v>
      </c>
      <c r="E113" t="s">
        <v>706</v>
      </c>
      <c r="F113" s="27">
        <v>2015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860</v>
      </c>
      <c r="T113" s="28">
        <v>860</v>
      </c>
      <c r="U113" s="28">
        <v>860</v>
      </c>
      <c r="V113" s="28">
        <v>860</v>
      </c>
      <c r="W113" s="28">
        <v>860</v>
      </c>
      <c r="X113" s="28">
        <v>860</v>
      </c>
      <c r="Y113" s="28">
        <v>860</v>
      </c>
      <c r="Z113" s="28">
        <v>860</v>
      </c>
      <c r="AA113" s="28">
        <v>860</v>
      </c>
      <c r="AB113" s="28">
        <v>860</v>
      </c>
      <c r="AC113" s="28">
        <v>860</v>
      </c>
      <c r="AD113" s="28">
        <v>860</v>
      </c>
      <c r="AE113" s="28">
        <v>860</v>
      </c>
      <c r="AF113" s="28">
        <v>860</v>
      </c>
      <c r="AG113" s="28">
        <v>860</v>
      </c>
      <c r="AH113" s="29">
        <f t="shared" si="1"/>
        <v>860</v>
      </c>
      <c r="AI113" s="29">
        <f t="shared" si="1"/>
        <v>860</v>
      </c>
    </row>
    <row r="114" spans="2:35">
      <c r="B114">
        <v>113</v>
      </c>
      <c r="C114" t="s">
        <v>381</v>
      </c>
      <c r="D114" t="s">
        <v>19</v>
      </c>
      <c r="E114" t="s">
        <v>706</v>
      </c>
      <c r="F114" s="27">
        <v>2006</v>
      </c>
      <c r="G114" s="28">
        <v>160</v>
      </c>
      <c r="H114" s="28">
        <v>160</v>
      </c>
      <c r="I114" s="28">
        <v>160</v>
      </c>
      <c r="J114" s="28">
        <v>160</v>
      </c>
      <c r="K114" s="28">
        <v>80</v>
      </c>
      <c r="L114" s="28">
        <v>80</v>
      </c>
      <c r="M114" s="28">
        <v>80</v>
      </c>
      <c r="N114" s="28">
        <v>80</v>
      </c>
      <c r="O114" s="28">
        <v>160</v>
      </c>
      <c r="P114" s="28">
        <v>160</v>
      </c>
      <c r="Q114" s="28">
        <v>160</v>
      </c>
      <c r="R114" s="28">
        <v>160</v>
      </c>
      <c r="S114" s="28">
        <v>160</v>
      </c>
      <c r="T114" s="28">
        <v>160</v>
      </c>
      <c r="U114" s="28">
        <v>160</v>
      </c>
      <c r="V114" s="28">
        <v>160</v>
      </c>
      <c r="W114" s="28">
        <v>160</v>
      </c>
      <c r="X114" s="28">
        <v>160</v>
      </c>
      <c r="Y114" s="28">
        <v>160</v>
      </c>
      <c r="Z114" s="28">
        <v>160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9">
        <f t="shared" si="1"/>
        <v>0</v>
      </c>
      <c r="AI114" s="29">
        <f t="shared" si="1"/>
        <v>0</v>
      </c>
    </row>
    <row r="115" spans="2:35">
      <c r="B115">
        <v>114</v>
      </c>
      <c r="C115" t="s">
        <v>385</v>
      </c>
      <c r="D115" t="s">
        <v>19</v>
      </c>
      <c r="E115" t="s">
        <v>706</v>
      </c>
      <c r="F115" s="27">
        <v>2019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150</v>
      </c>
      <c r="AH115" s="29">
        <f t="shared" si="1"/>
        <v>150</v>
      </c>
      <c r="AI115" s="29">
        <f t="shared" si="1"/>
        <v>150</v>
      </c>
    </row>
    <row r="116" spans="2:35">
      <c r="B116">
        <v>115</v>
      </c>
      <c r="C116" t="s">
        <v>387</v>
      </c>
      <c r="D116" t="s">
        <v>19</v>
      </c>
      <c r="E116" t="s">
        <v>706</v>
      </c>
      <c r="F116" s="27">
        <v>2019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150</v>
      </c>
      <c r="AH116" s="29">
        <f t="shared" si="1"/>
        <v>150</v>
      </c>
      <c r="AI116" s="29">
        <f t="shared" si="1"/>
        <v>150</v>
      </c>
    </row>
    <row r="117" spans="2:35">
      <c r="B117">
        <v>116</v>
      </c>
      <c r="C117" t="s">
        <v>389</v>
      </c>
      <c r="D117" t="s">
        <v>19</v>
      </c>
      <c r="E117" t="s">
        <v>706</v>
      </c>
      <c r="F117" s="27">
        <v>2003</v>
      </c>
      <c r="G117" s="28">
        <v>40</v>
      </c>
      <c r="H117" s="28">
        <v>40</v>
      </c>
      <c r="I117" s="28">
        <v>40</v>
      </c>
      <c r="J117" s="28">
        <v>40</v>
      </c>
      <c r="K117" s="28">
        <v>20</v>
      </c>
      <c r="L117" s="28">
        <v>20</v>
      </c>
      <c r="M117" s="28">
        <v>20</v>
      </c>
      <c r="N117" s="28">
        <v>20</v>
      </c>
      <c r="O117" s="28">
        <v>40</v>
      </c>
      <c r="P117" s="28">
        <v>40</v>
      </c>
      <c r="Q117" s="28">
        <v>40</v>
      </c>
      <c r="R117" s="28">
        <v>40</v>
      </c>
      <c r="S117" s="28">
        <v>40</v>
      </c>
      <c r="T117" s="28">
        <v>40</v>
      </c>
      <c r="U117" s="28">
        <v>40</v>
      </c>
      <c r="V117" s="28">
        <v>40</v>
      </c>
      <c r="W117" s="28">
        <v>40</v>
      </c>
      <c r="X117" s="28">
        <v>40</v>
      </c>
      <c r="Y117" s="28">
        <v>40</v>
      </c>
      <c r="Z117" s="28">
        <v>40</v>
      </c>
      <c r="AA117" s="28">
        <v>40</v>
      </c>
      <c r="AB117" s="28">
        <v>40</v>
      </c>
      <c r="AC117" s="28">
        <v>40</v>
      </c>
      <c r="AD117" s="28">
        <v>40</v>
      </c>
      <c r="AE117" s="28">
        <v>40</v>
      </c>
      <c r="AF117" s="28">
        <v>40</v>
      </c>
      <c r="AG117" s="28">
        <v>40</v>
      </c>
      <c r="AH117" s="29">
        <f t="shared" si="1"/>
        <v>40</v>
      </c>
      <c r="AI117" s="29">
        <f t="shared" si="1"/>
        <v>40</v>
      </c>
    </row>
    <row r="118" spans="2:35">
      <c r="B118">
        <v>117</v>
      </c>
      <c r="C118" t="s">
        <v>392</v>
      </c>
      <c r="D118" t="s">
        <v>19</v>
      </c>
      <c r="E118" t="s">
        <v>706</v>
      </c>
      <c r="F118" s="27">
        <v>2003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9">
        <f t="shared" si="1"/>
        <v>0</v>
      </c>
      <c r="AI118" s="29">
        <f t="shared" si="1"/>
        <v>0</v>
      </c>
    </row>
    <row r="119" spans="2:35">
      <c r="B119">
        <v>118</v>
      </c>
      <c r="C119" t="s">
        <v>395</v>
      </c>
      <c r="D119" t="s">
        <v>19</v>
      </c>
      <c r="E119" t="s">
        <v>706</v>
      </c>
      <c r="F119" s="27">
        <v>2010</v>
      </c>
      <c r="G119" s="28">
        <v>380</v>
      </c>
      <c r="H119" s="28">
        <v>380</v>
      </c>
      <c r="I119" s="28">
        <v>380</v>
      </c>
      <c r="J119" s="28">
        <v>380</v>
      </c>
      <c r="K119" s="28">
        <v>759</v>
      </c>
      <c r="L119" s="28">
        <v>759</v>
      </c>
      <c r="M119" s="28">
        <v>759</v>
      </c>
      <c r="N119" s="28">
        <v>759</v>
      </c>
      <c r="O119" s="28">
        <v>380</v>
      </c>
      <c r="P119" s="28">
        <v>380</v>
      </c>
      <c r="Q119" s="28">
        <v>380</v>
      </c>
      <c r="R119" s="28">
        <v>380</v>
      </c>
      <c r="S119" s="28">
        <v>380</v>
      </c>
      <c r="T119" s="28">
        <v>380</v>
      </c>
      <c r="U119" s="28">
        <v>380</v>
      </c>
      <c r="V119" s="28">
        <v>380</v>
      </c>
      <c r="W119" s="28">
        <v>380</v>
      </c>
      <c r="X119" s="28">
        <v>380</v>
      </c>
      <c r="Y119" s="28">
        <v>380</v>
      </c>
      <c r="Z119" s="28">
        <v>380</v>
      </c>
      <c r="AA119" s="28">
        <v>330</v>
      </c>
      <c r="AB119" s="28">
        <v>330</v>
      </c>
      <c r="AC119" s="28">
        <v>330</v>
      </c>
      <c r="AD119" s="28">
        <v>330</v>
      </c>
      <c r="AE119" s="28">
        <v>330</v>
      </c>
      <c r="AF119" s="28">
        <v>330</v>
      </c>
      <c r="AG119" s="28">
        <v>330</v>
      </c>
      <c r="AH119" s="29">
        <f t="shared" si="1"/>
        <v>330</v>
      </c>
      <c r="AI119" s="29">
        <f t="shared" si="1"/>
        <v>330</v>
      </c>
    </row>
    <row r="120" spans="2:35">
      <c r="B120">
        <v>119</v>
      </c>
      <c r="C120" t="s">
        <v>398</v>
      </c>
      <c r="D120" t="s">
        <v>19</v>
      </c>
      <c r="E120" t="s">
        <v>706</v>
      </c>
      <c r="F120" s="27">
        <v>2002</v>
      </c>
      <c r="G120" s="28">
        <v>142</v>
      </c>
      <c r="H120" s="28">
        <v>142</v>
      </c>
      <c r="I120" s="28">
        <v>142</v>
      </c>
      <c r="J120" s="28">
        <v>142</v>
      </c>
      <c r="K120" s="28">
        <v>71</v>
      </c>
      <c r="L120" s="28">
        <v>71</v>
      </c>
      <c r="M120" s="28">
        <v>71</v>
      </c>
      <c r="N120" s="28">
        <v>71</v>
      </c>
      <c r="O120" s="28">
        <v>142</v>
      </c>
      <c r="P120" s="28">
        <v>142</v>
      </c>
      <c r="Q120" s="28">
        <v>142</v>
      </c>
      <c r="R120" s="28">
        <v>142</v>
      </c>
      <c r="S120" s="28">
        <v>142</v>
      </c>
      <c r="T120" s="28">
        <v>142</v>
      </c>
      <c r="U120" s="28">
        <v>142</v>
      </c>
      <c r="V120" s="28">
        <v>142</v>
      </c>
      <c r="W120" s="28">
        <v>142</v>
      </c>
      <c r="X120" s="28">
        <v>142</v>
      </c>
      <c r="Y120" s="28">
        <v>142</v>
      </c>
      <c r="Z120" s="28">
        <v>142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9">
        <f t="shared" si="1"/>
        <v>0</v>
      </c>
      <c r="AI120" s="29">
        <f t="shared" si="1"/>
        <v>0</v>
      </c>
    </row>
    <row r="121" spans="2:35">
      <c r="B121">
        <v>120</v>
      </c>
      <c r="C121" t="s">
        <v>402</v>
      </c>
      <c r="D121" t="s">
        <v>19</v>
      </c>
      <c r="E121" t="s">
        <v>706</v>
      </c>
      <c r="F121" s="27">
        <v>1988</v>
      </c>
      <c r="G121" s="28">
        <v>400</v>
      </c>
      <c r="H121" s="28">
        <v>400</v>
      </c>
      <c r="I121" s="28">
        <v>400</v>
      </c>
      <c r="J121" s="28">
        <v>400</v>
      </c>
      <c r="K121" s="28">
        <v>200</v>
      </c>
      <c r="L121" s="28">
        <v>200</v>
      </c>
      <c r="M121" s="28">
        <v>200</v>
      </c>
      <c r="N121" s="28">
        <v>200</v>
      </c>
      <c r="O121" s="28">
        <v>400</v>
      </c>
      <c r="P121" s="28">
        <v>400</v>
      </c>
      <c r="Q121" s="28">
        <v>400</v>
      </c>
      <c r="R121" s="28">
        <v>400</v>
      </c>
      <c r="S121" s="28">
        <v>400</v>
      </c>
      <c r="T121" s="28">
        <v>400</v>
      </c>
      <c r="U121" s="28">
        <v>400</v>
      </c>
      <c r="V121" s="28">
        <v>400</v>
      </c>
      <c r="W121" s="28">
        <v>400</v>
      </c>
      <c r="X121" s="28">
        <v>400</v>
      </c>
      <c r="Y121" s="28">
        <v>400</v>
      </c>
      <c r="Z121" s="28">
        <v>400</v>
      </c>
      <c r="AA121" s="28">
        <v>420</v>
      </c>
      <c r="AB121" s="28">
        <v>420</v>
      </c>
      <c r="AC121" s="28">
        <v>420</v>
      </c>
      <c r="AD121" s="28">
        <v>420</v>
      </c>
      <c r="AE121" s="28">
        <v>420</v>
      </c>
      <c r="AF121" s="28">
        <v>420</v>
      </c>
      <c r="AG121" s="28">
        <v>420</v>
      </c>
      <c r="AH121" s="29">
        <f t="shared" si="1"/>
        <v>420</v>
      </c>
      <c r="AI121" s="29">
        <f t="shared" si="1"/>
        <v>420</v>
      </c>
    </row>
    <row r="122" spans="2:35">
      <c r="B122">
        <v>121</v>
      </c>
      <c r="C122" t="s">
        <v>405</v>
      </c>
      <c r="D122" t="s">
        <v>19</v>
      </c>
      <c r="E122" t="s">
        <v>706</v>
      </c>
      <c r="F122" s="27">
        <v>2003</v>
      </c>
      <c r="G122" s="28">
        <v>130</v>
      </c>
      <c r="H122" s="28">
        <v>130</v>
      </c>
      <c r="I122" s="28">
        <v>130</v>
      </c>
      <c r="J122" s="28">
        <v>130</v>
      </c>
      <c r="K122" s="28">
        <v>65</v>
      </c>
      <c r="L122" s="28">
        <v>65</v>
      </c>
      <c r="M122" s="28">
        <v>65</v>
      </c>
      <c r="N122" s="28">
        <v>65</v>
      </c>
      <c r="O122" s="28">
        <v>130</v>
      </c>
      <c r="P122" s="28">
        <v>130</v>
      </c>
      <c r="Q122" s="28">
        <v>130</v>
      </c>
      <c r="R122" s="28">
        <v>130</v>
      </c>
      <c r="S122" s="28">
        <v>130</v>
      </c>
      <c r="T122" s="28">
        <v>130</v>
      </c>
      <c r="U122" s="28">
        <v>130</v>
      </c>
      <c r="V122" s="28">
        <v>130</v>
      </c>
      <c r="W122" s="28">
        <v>130</v>
      </c>
      <c r="X122" s="28">
        <v>130</v>
      </c>
      <c r="Y122" s="28">
        <v>130</v>
      </c>
      <c r="Z122" s="28">
        <v>130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9">
        <f t="shared" si="1"/>
        <v>0</v>
      </c>
      <c r="AI122" s="29">
        <f t="shared" si="1"/>
        <v>0</v>
      </c>
    </row>
    <row r="123" spans="2:35">
      <c r="B123">
        <v>122</v>
      </c>
      <c r="C123" s="14" t="s">
        <v>408</v>
      </c>
      <c r="D123" s="14" t="s">
        <v>410</v>
      </c>
      <c r="E123" t="s">
        <v>706</v>
      </c>
      <c r="F123" s="27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>
        <v>310</v>
      </c>
      <c r="AH123" s="29">
        <f t="shared" si="1"/>
        <v>310</v>
      </c>
    </row>
    <row r="124" spans="2:35">
      <c r="B124">
        <v>123</v>
      </c>
      <c r="C124" s="14" t="s">
        <v>412</v>
      </c>
      <c r="D124" s="14" t="s">
        <v>414</v>
      </c>
      <c r="E124" t="s">
        <v>706</v>
      </c>
      <c r="F124" s="27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>
        <v>1540</v>
      </c>
      <c r="AH124" s="29">
        <f t="shared" si="1"/>
        <v>1540</v>
      </c>
    </row>
    <row r="125" spans="2:35">
      <c r="B125">
        <v>124</v>
      </c>
      <c r="C125" s="14" t="s">
        <v>416</v>
      </c>
      <c r="D125" s="14" t="s">
        <v>418</v>
      </c>
      <c r="E125" t="s">
        <v>706</v>
      </c>
      <c r="F125" s="27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>
        <v>460.00000000000006</v>
      </c>
      <c r="AH125" s="29">
        <f t="shared" si="1"/>
        <v>460.00000000000006</v>
      </c>
    </row>
    <row r="126" spans="2:35">
      <c r="B126">
        <v>125</v>
      </c>
      <c r="C126" s="14" t="s">
        <v>420</v>
      </c>
      <c r="D126" s="14" t="s">
        <v>421</v>
      </c>
      <c r="E126" t="s">
        <v>706</v>
      </c>
      <c r="F126" s="27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>
        <v>100</v>
      </c>
      <c r="AH126" s="29">
        <f t="shared" si="1"/>
        <v>100</v>
      </c>
    </row>
    <row r="127" spans="2:35">
      <c r="B127">
        <v>126</v>
      </c>
      <c r="C127" s="14" t="s">
        <v>423</v>
      </c>
      <c r="D127" s="14" t="s">
        <v>425</v>
      </c>
      <c r="E127" t="s">
        <v>706</v>
      </c>
      <c r="F127" s="27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>
        <v>228</v>
      </c>
      <c r="AH127" s="29">
        <f t="shared" si="1"/>
        <v>228</v>
      </c>
    </row>
    <row r="128" spans="2:35">
      <c r="B128">
        <v>127</v>
      </c>
      <c r="C128" s="14" t="s">
        <v>427</v>
      </c>
      <c r="D128" s="14" t="s">
        <v>428</v>
      </c>
      <c r="E128" t="s">
        <v>706</v>
      </c>
      <c r="F128" s="27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>
        <v>110.96000000000001</v>
      </c>
      <c r="AH128" s="29">
        <f t="shared" si="1"/>
        <v>110.96000000000001</v>
      </c>
    </row>
    <row r="129" spans="2:34">
      <c r="B129">
        <v>128</v>
      </c>
      <c r="C129" s="14" t="s">
        <v>430</v>
      </c>
      <c r="D129" s="14" t="s">
        <v>410</v>
      </c>
      <c r="E129" t="s">
        <v>706</v>
      </c>
      <c r="F129" s="27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>
        <v>466</v>
      </c>
      <c r="AH129" s="29">
        <f t="shared" si="1"/>
        <v>466</v>
      </c>
    </row>
    <row r="130" spans="2:34">
      <c r="B130">
        <v>129</v>
      </c>
      <c r="C130" s="14" t="s">
        <v>431</v>
      </c>
      <c r="D130" s="14" t="s">
        <v>433</v>
      </c>
      <c r="E130" t="s">
        <v>706</v>
      </c>
      <c r="F130" s="27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>
        <v>257</v>
      </c>
      <c r="AH130" s="29">
        <f t="shared" si="1"/>
        <v>257</v>
      </c>
    </row>
    <row r="131" spans="2:34">
      <c r="B131">
        <v>130</v>
      </c>
      <c r="C131" s="14" t="s">
        <v>435</v>
      </c>
      <c r="D131" s="14" t="s">
        <v>410</v>
      </c>
      <c r="E131" t="s">
        <v>706</v>
      </c>
      <c r="F131" s="27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>
        <v>606</v>
      </c>
      <c r="AH131" s="29">
        <f t="shared" ref="AH131:AH194" si="2">AG131</f>
        <v>606</v>
      </c>
    </row>
    <row r="132" spans="2:34">
      <c r="B132">
        <v>131</v>
      </c>
      <c r="C132" s="14" t="s">
        <v>437</v>
      </c>
      <c r="D132" s="14" t="s">
        <v>438</v>
      </c>
      <c r="E132" t="s">
        <v>706</v>
      </c>
      <c r="F132" s="27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>
        <v>265</v>
      </c>
      <c r="AH132" s="29">
        <f t="shared" si="2"/>
        <v>265</v>
      </c>
    </row>
    <row r="133" spans="2:34">
      <c r="B133">
        <v>132</v>
      </c>
      <c r="C133" s="14" t="s">
        <v>440</v>
      </c>
      <c r="D133" s="14" t="s">
        <v>441</v>
      </c>
      <c r="E133" t="s">
        <v>706</v>
      </c>
      <c r="F133" s="27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>
        <v>460</v>
      </c>
      <c r="AH133" s="29">
        <f t="shared" si="2"/>
        <v>460</v>
      </c>
    </row>
    <row r="134" spans="2:34">
      <c r="B134">
        <v>133</v>
      </c>
      <c r="C134" s="14" t="s">
        <v>443</v>
      </c>
      <c r="D134" s="14" t="s">
        <v>445</v>
      </c>
      <c r="E134" t="s">
        <v>706</v>
      </c>
      <c r="F134" s="27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>
        <v>102</v>
      </c>
      <c r="AH134" s="29">
        <f t="shared" si="2"/>
        <v>102</v>
      </c>
    </row>
    <row r="135" spans="2:34">
      <c r="B135">
        <v>134</v>
      </c>
      <c r="C135" s="14" t="s">
        <v>447</v>
      </c>
      <c r="D135" s="14" t="s">
        <v>410</v>
      </c>
      <c r="E135" t="s">
        <v>706</v>
      </c>
      <c r="F135" s="27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>
        <v>260</v>
      </c>
      <c r="AH135" s="29">
        <f t="shared" si="2"/>
        <v>260</v>
      </c>
    </row>
    <row r="136" spans="2:34">
      <c r="B136">
        <v>135</v>
      </c>
      <c r="C136" s="14" t="s">
        <v>449</v>
      </c>
      <c r="D136" s="14" t="s">
        <v>450</v>
      </c>
      <c r="E136" t="s">
        <v>706</v>
      </c>
      <c r="F136" s="27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>
        <v>130</v>
      </c>
      <c r="AH136" s="29">
        <f t="shared" si="2"/>
        <v>130</v>
      </c>
    </row>
    <row r="137" spans="2:34">
      <c r="B137">
        <v>136</v>
      </c>
      <c r="C137" s="14" t="s">
        <v>452</v>
      </c>
      <c r="D137" s="14" t="s">
        <v>453</v>
      </c>
      <c r="E137" t="s">
        <v>706</v>
      </c>
      <c r="F137" s="27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>
        <v>180</v>
      </c>
      <c r="AH137" s="29">
        <f t="shared" si="2"/>
        <v>180</v>
      </c>
    </row>
    <row r="138" spans="2:34">
      <c r="B138">
        <v>137</v>
      </c>
      <c r="C138" s="14" t="s">
        <v>455</v>
      </c>
      <c r="D138" s="14" t="s">
        <v>456</v>
      </c>
      <c r="E138" t="s">
        <v>706</v>
      </c>
      <c r="F138" s="27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>
        <v>726.00000000000011</v>
      </c>
      <c r="AH138" s="29">
        <f t="shared" si="2"/>
        <v>726.00000000000011</v>
      </c>
    </row>
    <row r="139" spans="2:34">
      <c r="B139">
        <v>138</v>
      </c>
      <c r="C139" s="14" t="s">
        <v>458</v>
      </c>
      <c r="D139" s="14" t="s">
        <v>425</v>
      </c>
      <c r="E139" t="s">
        <v>706</v>
      </c>
      <c r="F139" s="27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>
        <v>93</v>
      </c>
      <c r="AH139" s="29">
        <f t="shared" si="2"/>
        <v>93</v>
      </c>
    </row>
    <row r="140" spans="2:34">
      <c r="B140">
        <v>139</v>
      </c>
      <c r="C140" s="14" t="s">
        <v>459</v>
      </c>
      <c r="D140" s="14" t="s">
        <v>461</v>
      </c>
      <c r="E140" t="s">
        <v>706</v>
      </c>
      <c r="F140" s="27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>
        <v>60</v>
      </c>
      <c r="AH140" s="29">
        <f t="shared" si="2"/>
        <v>60</v>
      </c>
    </row>
    <row r="141" spans="2:34">
      <c r="B141">
        <v>140</v>
      </c>
      <c r="C141" s="14" t="s">
        <v>463</v>
      </c>
      <c r="D141" s="14" t="s">
        <v>410</v>
      </c>
      <c r="E141" t="s">
        <v>706</v>
      </c>
      <c r="F141" s="27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>
        <v>280</v>
      </c>
      <c r="AH141" s="29">
        <f t="shared" si="2"/>
        <v>280</v>
      </c>
    </row>
    <row r="142" spans="2:34">
      <c r="B142">
        <v>141</v>
      </c>
      <c r="C142" s="14" t="s">
        <v>464</v>
      </c>
      <c r="D142" s="14" t="s">
        <v>466</v>
      </c>
      <c r="E142" t="s">
        <v>706</v>
      </c>
      <c r="F142" s="27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>
        <v>195</v>
      </c>
      <c r="AH142" s="29">
        <f t="shared" si="2"/>
        <v>195</v>
      </c>
    </row>
    <row r="143" spans="2:34">
      <c r="B143">
        <v>142</v>
      </c>
      <c r="C143" s="14" t="s">
        <v>467</v>
      </c>
      <c r="D143" s="14" t="s">
        <v>468</v>
      </c>
      <c r="E143" t="s">
        <v>706</v>
      </c>
      <c r="F143" s="27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>
        <v>147</v>
      </c>
      <c r="AH143" s="29">
        <f t="shared" si="2"/>
        <v>147</v>
      </c>
    </row>
    <row r="144" spans="2:34">
      <c r="B144">
        <v>143</v>
      </c>
      <c r="C144" s="14" t="s">
        <v>470</v>
      </c>
      <c r="D144" s="14" t="s">
        <v>466</v>
      </c>
      <c r="E144" t="s">
        <v>706</v>
      </c>
      <c r="F144" s="27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>
        <v>584</v>
      </c>
      <c r="AH144" s="29">
        <f t="shared" si="2"/>
        <v>584</v>
      </c>
    </row>
    <row r="145" spans="2:34">
      <c r="B145">
        <v>144</v>
      </c>
      <c r="C145" s="14" t="s">
        <v>472</v>
      </c>
      <c r="D145" s="14" t="s">
        <v>468</v>
      </c>
      <c r="E145" t="s">
        <v>706</v>
      </c>
      <c r="F145" s="27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>
        <v>1006.0000000000001</v>
      </c>
      <c r="AH145" s="29">
        <f t="shared" si="2"/>
        <v>1006.0000000000001</v>
      </c>
    </row>
    <row r="146" spans="2:34">
      <c r="B146">
        <v>145</v>
      </c>
      <c r="C146" s="14" t="s">
        <v>474</v>
      </c>
      <c r="D146" s="14" t="s">
        <v>418</v>
      </c>
      <c r="E146" t="s">
        <v>706</v>
      </c>
      <c r="F146" s="27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>
        <v>475</v>
      </c>
      <c r="AH146" s="29">
        <f t="shared" si="2"/>
        <v>475</v>
      </c>
    </row>
    <row r="147" spans="2:34">
      <c r="B147">
        <v>146</v>
      </c>
      <c r="C147" s="14" t="s">
        <v>476</v>
      </c>
      <c r="D147" s="14" t="s">
        <v>477</v>
      </c>
      <c r="E147" t="s">
        <v>706</v>
      </c>
      <c r="F147" s="27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>
        <v>250</v>
      </c>
      <c r="AH147" s="29">
        <f t="shared" si="2"/>
        <v>250</v>
      </c>
    </row>
    <row r="148" spans="2:34">
      <c r="B148">
        <v>147</v>
      </c>
      <c r="C148" s="14" t="s">
        <v>476</v>
      </c>
      <c r="D148" s="14" t="s">
        <v>477</v>
      </c>
      <c r="E148" t="s">
        <v>706</v>
      </c>
      <c r="F148" s="27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>
        <v>229</v>
      </c>
      <c r="AH148" s="29">
        <f t="shared" si="2"/>
        <v>229</v>
      </c>
    </row>
    <row r="149" spans="2:34">
      <c r="B149">
        <v>148</v>
      </c>
      <c r="C149" s="14" t="s">
        <v>476</v>
      </c>
      <c r="D149" s="14" t="s">
        <v>477</v>
      </c>
      <c r="E149" t="s">
        <v>706</v>
      </c>
      <c r="F149" s="27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>
        <v>220</v>
      </c>
      <c r="AH149" s="29">
        <f t="shared" si="2"/>
        <v>220</v>
      </c>
    </row>
    <row r="150" spans="2:34">
      <c r="B150">
        <v>149</v>
      </c>
      <c r="C150" s="14" t="s">
        <v>481</v>
      </c>
      <c r="D150" s="14" t="s">
        <v>461</v>
      </c>
      <c r="E150" t="s">
        <v>706</v>
      </c>
      <c r="F150" s="27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>
        <v>100</v>
      </c>
      <c r="AH150" s="29">
        <f t="shared" si="2"/>
        <v>100</v>
      </c>
    </row>
    <row r="151" spans="2:34">
      <c r="B151">
        <v>150</v>
      </c>
      <c r="C151" s="14" t="s">
        <v>483</v>
      </c>
      <c r="D151" s="14" t="s">
        <v>484</v>
      </c>
      <c r="E151" t="s">
        <v>706</v>
      </c>
      <c r="F151" s="27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>
        <v>1115</v>
      </c>
      <c r="AH151" s="29">
        <f t="shared" si="2"/>
        <v>1115</v>
      </c>
    </row>
    <row r="152" spans="2:34">
      <c r="B152">
        <v>151</v>
      </c>
      <c r="C152" s="14" t="s">
        <v>486</v>
      </c>
      <c r="D152" s="14" t="s">
        <v>487</v>
      </c>
      <c r="E152" t="s">
        <v>706</v>
      </c>
      <c r="F152" s="27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>
        <v>320</v>
      </c>
      <c r="AH152" s="29">
        <f t="shared" si="2"/>
        <v>320</v>
      </c>
    </row>
    <row r="153" spans="2:34">
      <c r="B153">
        <v>152</v>
      </c>
      <c r="C153" s="14" t="s">
        <v>489</v>
      </c>
      <c r="D153" s="14" t="s">
        <v>490</v>
      </c>
      <c r="E153" t="s">
        <v>706</v>
      </c>
      <c r="F153" s="27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>
        <v>94</v>
      </c>
      <c r="AH153" s="29">
        <f t="shared" si="2"/>
        <v>94</v>
      </c>
    </row>
    <row r="154" spans="2:34">
      <c r="B154">
        <v>153</v>
      </c>
      <c r="C154" s="14" t="s">
        <v>489</v>
      </c>
      <c r="D154" s="14" t="s">
        <v>490</v>
      </c>
      <c r="E154" t="s">
        <v>706</v>
      </c>
      <c r="F154" s="27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>
        <v>188</v>
      </c>
      <c r="AH154" s="29">
        <f t="shared" si="2"/>
        <v>188</v>
      </c>
    </row>
    <row r="155" spans="2:34">
      <c r="B155">
        <v>154</v>
      </c>
      <c r="C155" s="14" t="s">
        <v>493</v>
      </c>
      <c r="D155" s="14" t="s">
        <v>484</v>
      </c>
      <c r="E155" t="s">
        <v>706</v>
      </c>
      <c r="F155" s="27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>
        <v>1300</v>
      </c>
      <c r="AH155" s="29">
        <f t="shared" si="2"/>
        <v>1300</v>
      </c>
    </row>
    <row r="156" spans="2:34">
      <c r="B156">
        <v>155</v>
      </c>
      <c r="C156" s="14" t="s">
        <v>495</v>
      </c>
      <c r="D156" s="14" t="s">
        <v>496</v>
      </c>
      <c r="E156" t="s">
        <v>706</v>
      </c>
      <c r="F156" s="27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>
        <v>82</v>
      </c>
      <c r="AH156" s="29">
        <f t="shared" si="2"/>
        <v>82</v>
      </c>
    </row>
    <row r="157" spans="2:34">
      <c r="B157">
        <v>156</v>
      </c>
      <c r="C157" s="14" t="s">
        <v>498</v>
      </c>
      <c r="D157" s="14" t="s">
        <v>410</v>
      </c>
      <c r="E157" t="s">
        <v>706</v>
      </c>
      <c r="F157" s="27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>
        <v>230</v>
      </c>
      <c r="AH157" s="29">
        <f t="shared" si="2"/>
        <v>230</v>
      </c>
    </row>
    <row r="158" spans="2:34">
      <c r="B158">
        <v>157</v>
      </c>
      <c r="C158" s="14" t="s">
        <v>499</v>
      </c>
      <c r="D158" s="14" t="s">
        <v>500</v>
      </c>
      <c r="E158" t="s">
        <v>706</v>
      </c>
      <c r="F158" s="27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>
        <v>359</v>
      </c>
      <c r="AH158" s="29">
        <f t="shared" si="2"/>
        <v>359</v>
      </c>
    </row>
    <row r="159" spans="2:34">
      <c r="B159">
        <v>158</v>
      </c>
      <c r="C159" s="14" t="s">
        <v>499</v>
      </c>
      <c r="D159" s="14" t="s">
        <v>500</v>
      </c>
      <c r="E159" t="s">
        <v>706</v>
      </c>
      <c r="F159" s="27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>
        <v>360</v>
      </c>
      <c r="AH159" s="29">
        <f t="shared" si="2"/>
        <v>360</v>
      </c>
    </row>
    <row r="160" spans="2:34">
      <c r="B160">
        <v>159</v>
      </c>
      <c r="C160" s="14" t="s">
        <v>499</v>
      </c>
      <c r="D160" s="14" t="s">
        <v>500</v>
      </c>
      <c r="E160" t="s">
        <v>706</v>
      </c>
      <c r="F160" s="27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>
        <v>373</v>
      </c>
      <c r="AH160" s="29">
        <f t="shared" si="2"/>
        <v>373</v>
      </c>
    </row>
    <row r="161" spans="2:34">
      <c r="B161">
        <v>160</v>
      </c>
      <c r="C161" s="14" t="s">
        <v>504</v>
      </c>
      <c r="D161" s="14" t="s">
        <v>490</v>
      </c>
      <c r="E161" t="s">
        <v>706</v>
      </c>
      <c r="F161" s="27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>
        <v>199</v>
      </c>
      <c r="AH161" s="29">
        <f t="shared" si="2"/>
        <v>199</v>
      </c>
    </row>
    <row r="162" spans="2:34">
      <c r="B162">
        <v>161</v>
      </c>
      <c r="C162" s="14" t="s">
        <v>504</v>
      </c>
      <c r="D162" s="14" t="s">
        <v>490</v>
      </c>
      <c r="E162" t="s">
        <v>706</v>
      </c>
      <c r="F162" s="27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>
        <v>66</v>
      </c>
      <c r="AH162" s="29">
        <f t="shared" si="2"/>
        <v>66</v>
      </c>
    </row>
    <row r="163" spans="2:34">
      <c r="B163">
        <v>162</v>
      </c>
      <c r="C163" s="14" t="s">
        <v>504</v>
      </c>
      <c r="D163" s="14" t="s">
        <v>490</v>
      </c>
      <c r="E163" t="s">
        <v>706</v>
      </c>
      <c r="F163" s="27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>
        <v>271</v>
      </c>
      <c r="AH163" s="29">
        <f t="shared" si="2"/>
        <v>271</v>
      </c>
    </row>
    <row r="164" spans="2:34">
      <c r="B164">
        <v>163</v>
      </c>
      <c r="C164" s="14" t="s">
        <v>504</v>
      </c>
      <c r="D164" s="14" t="s">
        <v>490</v>
      </c>
      <c r="E164" t="s">
        <v>706</v>
      </c>
      <c r="F164" s="27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>
        <v>406.99999999999994</v>
      </c>
      <c r="AH164" s="29">
        <f t="shared" si="2"/>
        <v>406.99999999999994</v>
      </c>
    </row>
    <row r="165" spans="2:34">
      <c r="B165">
        <v>164</v>
      </c>
      <c r="C165" s="14" t="s">
        <v>509</v>
      </c>
      <c r="D165" s="14" t="s">
        <v>510</v>
      </c>
      <c r="E165" t="s">
        <v>706</v>
      </c>
      <c r="F165" s="27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>
        <v>235</v>
      </c>
      <c r="AH165" s="29">
        <f t="shared" si="2"/>
        <v>235</v>
      </c>
    </row>
    <row r="166" spans="2:34">
      <c r="B166">
        <v>165</v>
      </c>
      <c r="C166" s="14" t="s">
        <v>512</v>
      </c>
      <c r="D166" s="14" t="s">
        <v>513</v>
      </c>
      <c r="E166" t="s">
        <v>706</v>
      </c>
      <c r="F166" s="27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>
        <v>265</v>
      </c>
      <c r="AH166" s="29">
        <f t="shared" si="2"/>
        <v>265</v>
      </c>
    </row>
    <row r="167" spans="2:34">
      <c r="B167">
        <v>166</v>
      </c>
      <c r="C167" s="14" t="s">
        <v>515</v>
      </c>
      <c r="D167" s="14" t="s">
        <v>500</v>
      </c>
      <c r="E167" t="s">
        <v>706</v>
      </c>
      <c r="F167" s="27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>
        <v>213</v>
      </c>
      <c r="AH167" s="29">
        <f t="shared" si="2"/>
        <v>213</v>
      </c>
    </row>
    <row r="168" spans="2:34">
      <c r="B168">
        <v>167</v>
      </c>
      <c r="C168" s="14" t="s">
        <v>517</v>
      </c>
      <c r="D168" s="14" t="s">
        <v>477</v>
      </c>
      <c r="E168" t="s">
        <v>706</v>
      </c>
      <c r="F168" s="27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>
        <v>230</v>
      </c>
      <c r="AH168" s="29">
        <f t="shared" si="2"/>
        <v>230</v>
      </c>
    </row>
    <row r="169" spans="2:34">
      <c r="B169">
        <v>168</v>
      </c>
      <c r="C169" s="14" t="s">
        <v>519</v>
      </c>
      <c r="D169" s="14" t="s">
        <v>433</v>
      </c>
      <c r="E169" t="s">
        <v>706</v>
      </c>
      <c r="F169" s="27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>
        <v>221</v>
      </c>
      <c r="AH169" s="29">
        <f t="shared" si="2"/>
        <v>221</v>
      </c>
    </row>
    <row r="170" spans="2:34">
      <c r="B170">
        <v>169</v>
      </c>
      <c r="C170" s="14" t="s">
        <v>521</v>
      </c>
      <c r="D170" s="14" t="s">
        <v>468</v>
      </c>
      <c r="E170" t="s">
        <v>706</v>
      </c>
      <c r="F170" s="27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>
        <v>529</v>
      </c>
      <c r="AH170" s="29">
        <f t="shared" si="2"/>
        <v>529</v>
      </c>
    </row>
    <row r="171" spans="2:34">
      <c r="B171">
        <v>170</v>
      </c>
      <c r="C171" s="14" t="s">
        <v>523</v>
      </c>
      <c r="D171" s="14" t="s">
        <v>524</v>
      </c>
      <c r="E171" t="s">
        <v>706</v>
      </c>
      <c r="F171" s="27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>
        <v>212</v>
      </c>
      <c r="AH171" s="29">
        <f t="shared" si="2"/>
        <v>212</v>
      </c>
    </row>
    <row r="172" spans="2:34">
      <c r="B172">
        <v>171</v>
      </c>
      <c r="C172" s="14" t="s">
        <v>526</v>
      </c>
      <c r="D172" s="14" t="s">
        <v>527</v>
      </c>
      <c r="E172" t="s">
        <v>706</v>
      </c>
      <c r="F172" s="27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>
        <v>60</v>
      </c>
      <c r="AH172" s="29">
        <f t="shared" si="2"/>
        <v>60</v>
      </c>
    </row>
    <row r="173" spans="2:34">
      <c r="B173">
        <v>172</v>
      </c>
      <c r="C173" s="14" t="s">
        <v>529</v>
      </c>
      <c r="D173" s="14" t="s">
        <v>468</v>
      </c>
      <c r="E173" t="s">
        <v>706</v>
      </c>
      <c r="F173" s="27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>
        <v>76</v>
      </c>
      <c r="AH173" s="29">
        <f t="shared" si="2"/>
        <v>76</v>
      </c>
    </row>
    <row r="174" spans="2:34">
      <c r="B174">
        <v>173</v>
      </c>
      <c r="C174" s="14" t="s">
        <v>531</v>
      </c>
      <c r="D174" s="14" t="s">
        <v>468</v>
      </c>
      <c r="E174" t="s">
        <v>706</v>
      </c>
      <c r="F174" s="27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>
        <v>297</v>
      </c>
      <c r="AH174" s="29">
        <f t="shared" si="2"/>
        <v>297</v>
      </c>
    </row>
    <row r="175" spans="2:34">
      <c r="B175">
        <v>174</v>
      </c>
      <c r="C175" s="14" t="s">
        <v>533</v>
      </c>
      <c r="D175" s="14" t="s">
        <v>410</v>
      </c>
      <c r="E175" t="s">
        <v>706</v>
      </c>
      <c r="F175" s="27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>
        <v>420</v>
      </c>
      <c r="AH175" s="29">
        <f t="shared" si="2"/>
        <v>420</v>
      </c>
    </row>
    <row r="176" spans="2:34">
      <c r="B176">
        <v>175</v>
      </c>
      <c r="C176" s="14" t="s">
        <v>534</v>
      </c>
      <c r="D176" s="14" t="s">
        <v>468</v>
      </c>
      <c r="E176" t="s">
        <v>706</v>
      </c>
      <c r="F176" s="27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>
        <v>1008</v>
      </c>
      <c r="AH176" s="29">
        <f t="shared" si="2"/>
        <v>1008</v>
      </c>
    </row>
    <row r="177" spans="2:34">
      <c r="B177">
        <v>176</v>
      </c>
      <c r="C177" s="14" t="s">
        <v>535</v>
      </c>
      <c r="D177" s="14" t="s">
        <v>536</v>
      </c>
      <c r="E177" t="s">
        <v>706</v>
      </c>
      <c r="F177" s="27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>
        <v>128</v>
      </c>
      <c r="AH177" s="29">
        <f t="shared" si="2"/>
        <v>128</v>
      </c>
    </row>
    <row r="178" spans="2:34">
      <c r="B178">
        <v>177</v>
      </c>
      <c r="C178" s="14" t="s">
        <v>538</v>
      </c>
      <c r="D178" s="14" t="s">
        <v>425</v>
      </c>
      <c r="E178" t="s">
        <v>706</v>
      </c>
      <c r="F178" s="27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>
        <v>87</v>
      </c>
      <c r="AH178" s="29">
        <f t="shared" si="2"/>
        <v>87</v>
      </c>
    </row>
    <row r="179" spans="2:34">
      <c r="B179">
        <v>178</v>
      </c>
      <c r="C179" s="14" t="s">
        <v>539</v>
      </c>
      <c r="D179" s="14" t="s">
        <v>410</v>
      </c>
      <c r="E179" t="s">
        <v>706</v>
      </c>
      <c r="F179" s="27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>
        <v>249</v>
      </c>
      <c r="AH179" s="29">
        <f t="shared" si="2"/>
        <v>249</v>
      </c>
    </row>
    <row r="180" spans="2:34">
      <c r="B180">
        <v>179</v>
      </c>
      <c r="C180" s="14" t="s">
        <v>540</v>
      </c>
      <c r="D180" s="14" t="s">
        <v>541</v>
      </c>
      <c r="E180" t="s">
        <v>706</v>
      </c>
      <c r="F180" s="27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>
        <v>284</v>
      </c>
      <c r="AH180" s="29">
        <f t="shared" si="2"/>
        <v>284</v>
      </c>
    </row>
    <row r="181" spans="2:34">
      <c r="B181">
        <v>180</v>
      </c>
      <c r="C181" s="14" t="s">
        <v>540</v>
      </c>
      <c r="D181" s="14" t="s">
        <v>543</v>
      </c>
      <c r="E181" t="s">
        <v>706</v>
      </c>
      <c r="F181" s="27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>
        <v>47</v>
      </c>
      <c r="AH181" s="29">
        <f t="shared" si="2"/>
        <v>47</v>
      </c>
    </row>
    <row r="182" spans="2:34">
      <c r="B182">
        <v>181</v>
      </c>
      <c r="C182" s="14" t="s">
        <v>545</v>
      </c>
      <c r="D182" s="14" t="s">
        <v>546</v>
      </c>
      <c r="E182" t="s">
        <v>706</v>
      </c>
      <c r="F182" s="27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>
        <v>740</v>
      </c>
      <c r="AH182" s="29">
        <f t="shared" si="2"/>
        <v>740</v>
      </c>
    </row>
    <row r="183" spans="2:34">
      <c r="B183">
        <v>182</v>
      </c>
      <c r="C183" s="14" t="s">
        <v>548</v>
      </c>
      <c r="D183" s="14" t="s">
        <v>477</v>
      </c>
      <c r="E183" t="s">
        <v>706</v>
      </c>
      <c r="F183" s="27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>
        <v>263</v>
      </c>
      <c r="AH183" s="29">
        <f t="shared" si="2"/>
        <v>263</v>
      </c>
    </row>
    <row r="184" spans="2:34">
      <c r="B184">
        <v>183</v>
      </c>
      <c r="C184" s="14" t="s">
        <v>550</v>
      </c>
      <c r="D184" s="14" t="s">
        <v>477</v>
      </c>
      <c r="E184" t="s">
        <v>706</v>
      </c>
      <c r="F184" s="27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>
        <v>130</v>
      </c>
      <c r="AH184" s="29">
        <f t="shared" si="2"/>
        <v>130</v>
      </c>
    </row>
    <row r="185" spans="2:34">
      <c r="B185">
        <v>184</v>
      </c>
      <c r="C185" s="14" t="s">
        <v>551</v>
      </c>
      <c r="D185" s="14" t="s">
        <v>552</v>
      </c>
      <c r="E185" t="s">
        <v>706</v>
      </c>
      <c r="F185" s="27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>
        <v>560</v>
      </c>
      <c r="AH185" s="29">
        <f t="shared" si="2"/>
        <v>560</v>
      </c>
    </row>
    <row r="186" spans="2:34">
      <c r="B186">
        <v>185</v>
      </c>
      <c r="C186" s="14" t="s">
        <v>554</v>
      </c>
      <c r="D186" s="14" t="s">
        <v>500</v>
      </c>
      <c r="E186" t="s">
        <v>706</v>
      </c>
      <c r="F186" s="27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>
        <v>511</v>
      </c>
      <c r="AH186" s="29">
        <f t="shared" si="2"/>
        <v>511</v>
      </c>
    </row>
    <row r="187" spans="2:34">
      <c r="B187">
        <v>186</v>
      </c>
      <c r="C187" s="14" t="s">
        <v>556</v>
      </c>
      <c r="D187" s="14" t="s">
        <v>468</v>
      </c>
      <c r="E187" t="s">
        <v>706</v>
      </c>
      <c r="F187" s="27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>
        <v>215</v>
      </c>
      <c r="AH187" s="29">
        <f t="shared" si="2"/>
        <v>215</v>
      </c>
    </row>
    <row r="188" spans="2:34">
      <c r="B188">
        <v>187</v>
      </c>
      <c r="C188" s="14" t="s">
        <v>558</v>
      </c>
      <c r="D188" s="14" t="s">
        <v>524</v>
      </c>
      <c r="E188" t="s">
        <v>706</v>
      </c>
      <c r="F188" s="27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>
        <v>310</v>
      </c>
      <c r="AH188" s="29">
        <f t="shared" si="2"/>
        <v>310</v>
      </c>
    </row>
    <row r="189" spans="2:34">
      <c r="B189">
        <v>188</v>
      </c>
      <c r="C189" s="14" t="s">
        <v>560</v>
      </c>
      <c r="D189" s="14" t="s">
        <v>561</v>
      </c>
      <c r="E189" t="s">
        <v>706</v>
      </c>
      <c r="F189" s="27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>
        <v>373</v>
      </c>
      <c r="AH189" s="29">
        <f t="shared" si="2"/>
        <v>373</v>
      </c>
    </row>
    <row r="190" spans="2:34">
      <c r="B190">
        <v>189</v>
      </c>
      <c r="C190" s="14" t="s">
        <v>563</v>
      </c>
      <c r="D190" s="14" t="s">
        <v>564</v>
      </c>
      <c r="E190" t="s">
        <v>706</v>
      </c>
      <c r="F190" s="27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>
        <v>253</v>
      </c>
      <c r="AH190" s="29">
        <f t="shared" si="2"/>
        <v>253</v>
      </c>
    </row>
    <row r="191" spans="2:34">
      <c r="B191">
        <v>190</v>
      </c>
      <c r="C191" s="14" t="s">
        <v>566</v>
      </c>
      <c r="D191" s="14" t="s">
        <v>466</v>
      </c>
      <c r="E191" t="s">
        <v>706</v>
      </c>
      <c r="F191" s="27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>
        <v>197</v>
      </c>
      <c r="AH191" s="29">
        <f t="shared" si="2"/>
        <v>197</v>
      </c>
    </row>
    <row r="192" spans="2:34">
      <c r="B192">
        <v>191</v>
      </c>
      <c r="C192" s="14" t="s">
        <v>567</v>
      </c>
      <c r="D192" s="14" t="s">
        <v>568</v>
      </c>
      <c r="E192" t="s">
        <v>706</v>
      </c>
      <c r="F192" s="27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>
        <v>740</v>
      </c>
      <c r="AH192" s="29">
        <f t="shared" si="2"/>
        <v>740</v>
      </c>
    </row>
    <row r="193" spans="2:34">
      <c r="B193">
        <v>192</v>
      </c>
      <c r="C193" s="14" t="s">
        <v>570</v>
      </c>
      <c r="D193" s="14" t="s">
        <v>571</v>
      </c>
      <c r="E193" t="s">
        <v>706</v>
      </c>
      <c r="F193" s="27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>
        <v>614</v>
      </c>
      <c r="AH193" s="29">
        <f t="shared" si="2"/>
        <v>614</v>
      </c>
    </row>
    <row r="194" spans="2:34">
      <c r="B194">
        <v>193</v>
      </c>
      <c r="C194" s="14" t="s">
        <v>573</v>
      </c>
      <c r="D194" s="14" t="s">
        <v>524</v>
      </c>
      <c r="E194" t="s">
        <v>706</v>
      </c>
      <c r="F194" s="27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>
        <v>344</v>
      </c>
      <c r="AH194" s="29">
        <f t="shared" si="2"/>
        <v>344</v>
      </c>
    </row>
    <row r="195" spans="2:34">
      <c r="B195">
        <v>194</v>
      </c>
      <c r="C195" s="14" t="s">
        <v>575</v>
      </c>
      <c r="D195" s="14" t="s">
        <v>468</v>
      </c>
      <c r="E195" t="s">
        <v>706</v>
      </c>
      <c r="F195" s="27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>
        <v>542</v>
      </c>
      <c r="AH195" s="29">
        <f t="shared" ref="AH195:AH258" si="3">AG195</f>
        <v>542</v>
      </c>
    </row>
    <row r="196" spans="2:34">
      <c r="B196">
        <v>195</v>
      </c>
      <c r="C196" s="14" t="s">
        <v>577</v>
      </c>
      <c r="D196" s="14" t="s">
        <v>410</v>
      </c>
      <c r="E196" t="s">
        <v>706</v>
      </c>
      <c r="F196" s="27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>
        <v>171</v>
      </c>
      <c r="AH196" s="29">
        <f t="shared" si="3"/>
        <v>171</v>
      </c>
    </row>
    <row r="197" spans="2:34">
      <c r="B197">
        <v>196</v>
      </c>
      <c r="C197" s="14" t="s">
        <v>577</v>
      </c>
      <c r="D197" s="14" t="s">
        <v>410</v>
      </c>
      <c r="E197" t="s">
        <v>706</v>
      </c>
      <c r="F197" s="27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>
        <v>60</v>
      </c>
      <c r="AH197" s="29">
        <f t="shared" si="3"/>
        <v>60</v>
      </c>
    </row>
    <row r="198" spans="2:34">
      <c r="B198">
        <v>197</v>
      </c>
      <c r="C198" s="14" t="s">
        <v>579</v>
      </c>
      <c r="D198" s="14" t="s">
        <v>580</v>
      </c>
      <c r="E198" t="s">
        <v>706</v>
      </c>
      <c r="F198" s="27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>
        <v>165</v>
      </c>
      <c r="AH198" s="29">
        <f t="shared" si="3"/>
        <v>165</v>
      </c>
    </row>
    <row r="199" spans="2:34">
      <c r="B199">
        <v>198</v>
      </c>
      <c r="C199" s="14" t="s">
        <v>582</v>
      </c>
      <c r="D199" s="14" t="s">
        <v>583</v>
      </c>
      <c r="E199" t="s">
        <v>706</v>
      </c>
      <c r="F199" s="27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>
        <v>410</v>
      </c>
      <c r="AH199" s="29">
        <f t="shared" si="3"/>
        <v>410</v>
      </c>
    </row>
    <row r="200" spans="2:34">
      <c r="B200">
        <v>199</v>
      </c>
      <c r="C200" s="14" t="s">
        <v>584</v>
      </c>
      <c r="D200" s="14" t="s">
        <v>490</v>
      </c>
      <c r="E200" t="s">
        <v>706</v>
      </c>
      <c r="F200" s="27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>
        <v>189</v>
      </c>
      <c r="AH200" s="29">
        <f t="shared" si="3"/>
        <v>189</v>
      </c>
    </row>
    <row r="201" spans="2:34">
      <c r="B201">
        <v>200</v>
      </c>
      <c r="C201" s="14" t="s">
        <v>586</v>
      </c>
      <c r="D201" s="14" t="s">
        <v>587</v>
      </c>
      <c r="E201" t="s">
        <v>706</v>
      </c>
      <c r="F201" s="27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>
        <v>450</v>
      </c>
      <c r="AH201" s="29">
        <f t="shared" si="3"/>
        <v>450</v>
      </c>
    </row>
    <row r="202" spans="2:34">
      <c r="B202">
        <v>201</v>
      </c>
      <c r="C202" s="14" t="s">
        <v>589</v>
      </c>
      <c r="D202" s="14" t="s">
        <v>590</v>
      </c>
      <c r="E202" t="s">
        <v>706</v>
      </c>
      <c r="F202" s="27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>
        <v>85</v>
      </c>
      <c r="AH202" s="29">
        <f t="shared" si="3"/>
        <v>85</v>
      </c>
    </row>
    <row r="203" spans="2:34">
      <c r="B203">
        <v>202</v>
      </c>
      <c r="C203" s="14" t="s">
        <v>592</v>
      </c>
      <c r="D203" s="14" t="s">
        <v>466</v>
      </c>
      <c r="E203" t="s">
        <v>706</v>
      </c>
      <c r="F203" s="27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>
        <v>590</v>
      </c>
      <c r="AH203" s="29">
        <f t="shared" si="3"/>
        <v>590</v>
      </c>
    </row>
    <row r="204" spans="2:34">
      <c r="B204">
        <v>203</v>
      </c>
      <c r="C204" s="14" t="s">
        <v>593</v>
      </c>
      <c r="D204" s="14" t="s">
        <v>510</v>
      </c>
      <c r="E204" t="s">
        <v>706</v>
      </c>
      <c r="F204" s="27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>
        <v>170</v>
      </c>
      <c r="AH204" s="29">
        <f t="shared" si="3"/>
        <v>170</v>
      </c>
    </row>
    <row r="205" spans="2:34">
      <c r="B205">
        <v>204</v>
      </c>
      <c r="C205" s="14" t="s">
        <v>593</v>
      </c>
      <c r="D205" s="14" t="s">
        <v>510</v>
      </c>
      <c r="E205" t="s">
        <v>706</v>
      </c>
      <c r="F205" s="27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>
        <v>130</v>
      </c>
      <c r="AH205" s="29">
        <f t="shared" si="3"/>
        <v>130</v>
      </c>
    </row>
    <row r="206" spans="2:34">
      <c r="B206">
        <v>205</v>
      </c>
      <c r="C206" s="14" t="s">
        <v>593</v>
      </c>
      <c r="D206" s="14" t="s">
        <v>541</v>
      </c>
      <c r="E206" t="s">
        <v>706</v>
      </c>
      <c r="F206" s="27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>
        <v>142</v>
      </c>
      <c r="AH206" s="29">
        <f t="shared" si="3"/>
        <v>142</v>
      </c>
    </row>
    <row r="207" spans="2:34">
      <c r="B207">
        <v>206</v>
      </c>
      <c r="C207" s="14" t="s">
        <v>597</v>
      </c>
      <c r="D207" s="14" t="s">
        <v>598</v>
      </c>
      <c r="E207" t="s">
        <v>706</v>
      </c>
      <c r="F207" s="27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>
        <v>200</v>
      </c>
      <c r="AH207" s="29">
        <f t="shared" si="3"/>
        <v>200</v>
      </c>
    </row>
    <row r="208" spans="2:34">
      <c r="B208">
        <v>207</v>
      </c>
      <c r="C208" s="14" t="s">
        <v>600</v>
      </c>
      <c r="D208" s="14" t="s">
        <v>500</v>
      </c>
      <c r="E208" t="s">
        <v>706</v>
      </c>
      <c r="F208" s="27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>
        <v>580</v>
      </c>
      <c r="AH208" s="29">
        <f t="shared" si="3"/>
        <v>580</v>
      </c>
    </row>
    <row r="209" spans="2:34">
      <c r="B209">
        <v>208</v>
      </c>
      <c r="C209" s="14" t="s">
        <v>602</v>
      </c>
      <c r="D209" s="14" t="s">
        <v>500</v>
      </c>
      <c r="E209" t="s">
        <v>706</v>
      </c>
      <c r="F209" s="27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>
        <v>1750</v>
      </c>
      <c r="AH209" s="29">
        <f t="shared" si="3"/>
        <v>1750</v>
      </c>
    </row>
    <row r="210" spans="2:34">
      <c r="B210">
        <v>209</v>
      </c>
      <c r="C210" s="14" t="s">
        <v>604</v>
      </c>
      <c r="D210" s="14" t="s">
        <v>421</v>
      </c>
      <c r="E210" t="s">
        <v>706</v>
      </c>
      <c r="F210" s="27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>
        <v>440</v>
      </c>
      <c r="AH210" s="29">
        <f t="shared" si="3"/>
        <v>440</v>
      </c>
    </row>
    <row r="211" spans="2:34">
      <c r="B211">
        <v>210</v>
      </c>
      <c r="C211" s="14" t="s">
        <v>605</v>
      </c>
      <c r="D211" s="14" t="s">
        <v>468</v>
      </c>
      <c r="E211" t="s">
        <v>706</v>
      </c>
      <c r="F211" s="27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>
        <v>168</v>
      </c>
      <c r="AH211" s="29">
        <f t="shared" si="3"/>
        <v>168</v>
      </c>
    </row>
    <row r="212" spans="2:34">
      <c r="B212">
        <v>211</v>
      </c>
      <c r="C212" s="14" t="s">
        <v>607</v>
      </c>
      <c r="D212" s="14" t="s">
        <v>510</v>
      </c>
      <c r="E212" t="s">
        <v>706</v>
      </c>
      <c r="F212" s="27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>
        <v>128</v>
      </c>
      <c r="AH212" s="29">
        <f t="shared" si="3"/>
        <v>128</v>
      </c>
    </row>
    <row r="213" spans="2:34">
      <c r="B213">
        <v>212</v>
      </c>
      <c r="C213" s="14" t="s">
        <v>609</v>
      </c>
      <c r="D213" s="14" t="s">
        <v>477</v>
      </c>
      <c r="E213" t="s">
        <v>706</v>
      </c>
      <c r="F213" s="27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>
        <v>161</v>
      </c>
      <c r="AH213" s="29">
        <f t="shared" si="3"/>
        <v>161</v>
      </c>
    </row>
    <row r="214" spans="2:34">
      <c r="B214">
        <v>213</v>
      </c>
      <c r="C214" s="14" t="s">
        <v>610</v>
      </c>
      <c r="D214" s="14" t="s">
        <v>477</v>
      </c>
      <c r="E214" t="s">
        <v>706</v>
      </c>
      <c r="F214" s="27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>
        <v>146</v>
      </c>
      <c r="AH214" s="29">
        <f t="shared" si="3"/>
        <v>146</v>
      </c>
    </row>
    <row r="215" spans="2:34">
      <c r="B215">
        <v>214</v>
      </c>
      <c r="C215" s="14" t="s">
        <v>611</v>
      </c>
      <c r="D215" s="14" t="s">
        <v>418</v>
      </c>
      <c r="E215" t="s">
        <v>706</v>
      </c>
      <c r="F215" s="27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>
        <v>460</v>
      </c>
      <c r="AH215" s="29">
        <f t="shared" si="3"/>
        <v>460</v>
      </c>
    </row>
    <row r="216" spans="2:34">
      <c r="B216">
        <v>215</v>
      </c>
      <c r="AH216" s="29">
        <f t="shared" si="3"/>
        <v>0</v>
      </c>
    </row>
    <row r="217" spans="2:34">
      <c r="B217">
        <v>216</v>
      </c>
      <c r="AH217" s="29">
        <f t="shared" si="3"/>
        <v>0</v>
      </c>
    </row>
    <row r="218" spans="2:34">
      <c r="B218">
        <v>217</v>
      </c>
      <c r="AH218" s="29">
        <f t="shared" si="3"/>
        <v>0</v>
      </c>
    </row>
    <row r="219" spans="2:34">
      <c r="B219">
        <v>218</v>
      </c>
      <c r="AH219" s="29">
        <f t="shared" si="3"/>
        <v>0</v>
      </c>
    </row>
    <row r="220" spans="2:34">
      <c r="B220">
        <v>219</v>
      </c>
      <c r="AH220" s="29">
        <f t="shared" si="3"/>
        <v>0</v>
      </c>
    </row>
    <row r="221" spans="2:34">
      <c r="B221">
        <v>220</v>
      </c>
      <c r="AH221" s="29">
        <f t="shared" si="3"/>
        <v>0</v>
      </c>
    </row>
    <row r="222" spans="2:34">
      <c r="B222">
        <v>221</v>
      </c>
      <c r="AH222" s="29">
        <f t="shared" si="3"/>
        <v>0</v>
      </c>
    </row>
    <row r="223" spans="2:34">
      <c r="B223">
        <v>222</v>
      </c>
      <c r="AH223" s="29">
        <f t="shared" si="3"/>
        <v>0</v>
      </c>
    </row>
    <row r="224" spans="2:34">
      <c r="B224">
        <v>223</v>
      </c>
      <c r="AH224" s="29">
        <f t="shared" si="3"/>
        <v>0</v>
      </c>
    </row>
    <row r="225" spans="2:34">
      <c r="B225">
        <v>224</v>
      </c>
      <c r="AH225" s="29">
        <f t="shared" si="3"/>
        <v>0</v>
      </c>
    </row>
    <row r="226" spans="2:34">
      <c r="B226">
        <v>225</v>
      </c>
      <c r="AH226" s="29">
        <f t="shared" si="3"/>
        <v>0</v>
      </c>
    </row>
    <row r="227" spans="2:34">
      <c r="B227">
        <v>226</v>
      </c>
      <c r="AH227" s="29">
        <f t="shared" si="3"/>
        <v>0</v>
      </c>
    </row>
    <row r="228" spans="2:34">
      <c r="B228">
        <v>227</v>
      </c>
      <c r="AH228" s="29">
        <f t="shared" si="3"/>
        <v>0</v>
      </c>
    </row>
    <row r="229" spans="2:34">
      <c r="B229">
        <v>228</v>
      </c>
      <c r="AH229" s="29">
        <f t="shared" si="3"/>
        <v>0</v>
      </c>
    </row>
    <row r="230" spans="2:34">
      <c r="B230">
        <v>229</v>
      </c>
      <c r="AH230" s="29">
        <f t="shared" si="3"/>
        <v>0</v>
      </c>
    </row>
    <row r="231" spans="2:34">
      <c r="B231">
        <v>230</v>
      </c>
      <c r="AH231" s="29">
        <f t="shared" si="3"/>
        <v>0</v>
      </c>
    </row>
    <row r="232" spans="2:34">
      <c r="B232">
        <v>231</v>
      </c>
      <c r="AH232" s="29">
        <f t="shared" si="3"/>
        <v>0</v>
      </c>
    </row>
    <row r="233" spans="2:34">
      <c r="B233">
        <v>232</v>
      </c>
      <c r="AH233" s="29">
        <f t="shared" si="3"/>
        <v>0</v>
      </c>
    </row>
    <row r="234" spans="2:34">
      <c r="B234">
        <v>233</v>
      </c>
      <c r="AH234" s="29">
        <f t="shared" si="3"/>
        <v>0</v>
      </c>
    </row>
    <row r="235" spans="2:34">
      <c r="B235">
        <v>234</v>
      </c>
      <c r="AH235" s="29">
        <f t="shared" si="3"/>
        <v>0</v>
      </c>
    </row>
    <row r="236" spans="2:34">
      <c r="B236">
        <v>235</v>
      </c>
      <c r="AH236" s="29">
        <f t="shared" si="3"/>
        <v>0</v>
      </c>
    </row>
    <row r="237" spans="2:34">
      <c r="B237">
        <v>236</v>
      </c>
      <c r="AH237" s="29">
        <f t="shared" si="3"/>
        <v>0</v>
      </c>
    </row>
    <row r="238" spans="2:34">
      <c r="B238">
        <v>237</v>
      </c>
      <c r="AH238" s="29">
        <f t="shared" si="3"/>
        <v>0</v>
      </c>
    </row>
    <row r="239" spans="2:34">
      <c r="B239">
        <v>238</v>
      </c>
      <c r="AH239" s="29">
        <f t="shared" si="3"/>
        <v>0</v>
      </c>
    </row>
    <row r="240" spans="2:34">
      <c r="B240">
        <v>239</v>
      </c>
      <c r="AH240" s="29">
        <f t="shared" si="3"/>
        <v>0</v>
      </c>
    </row>
    <row r="241" spans="2:34">
      <c r="B241">
        <v>240</v>
      </c>
      <c r="AH241" s="29">
        <f t="shared" si="3"/>
        <v>0</v>
      </c>
    </row>
    <row r="242" spans="2:34">
      <c r="B242">
        <v>241</v>
      </c>
      <c r="AH242" s="29">
        <f t="shared" si="3"/>
        <v>0</v>
      </c>
    </row>
    <row r="243" spans="2:34">
      <c r="B243">
        <v>242</v>
      </c>
      <c r="AH243" s="29">
        <f t="shared" si="3"/>
        <v>0</v>
      </c>
    </row>
    <row r="244" spans="2:34">
      <c r="B244">
        <v>243</v>
      </c>
      <c r="AH244" s="29">
        <f t="shared" si="3"/>
        <v>0</v>
      </c>
    </row>
    <row r="245" spans="2:34">
      <c r="B245">
        <v>244</v>
      </c>
      <c r="AH245" s="29">
        <f t="shared" si="3"/>
        <v>0</v>
      </c>
    </row>
    <row r="246" spans="2:34">
      <c r="B246">
        <v>245</v>
      </c>
      <c r="AH246" s="29">
        <f t="shared" si="3"/>
        <v>0</v>
      </c>
    </row>
    <row r="247" spans="2:34">
      <c r="B247">
        <v>246</v>
      </c>
      <c r="AH247" s="29">
        <f t="shared" si="3"/>
        <v>0</v>
      </c>
    </row>
    <row r="248" spans="2:34">
      <c r="B248">
        <v>247</v>
      </c>
      <c r="AH248" s="29">
        <f t="shared" si="3"/>
        <v>0</v>
      </c>
    </row>
    <row r="249" spans="2:34">
      <c r="B249">
        <v>248</v>
      </c>
      <c r="AH249" s="29">
        <f t="shared" si="3"/>
        <v>0</v>
      </c>
    </row>
    <row r="250" spans="2:34">
      <c r="B250">
        <v>249</v>
      </c>
      <c r="AH250" s="29">
        <f t="shared" si="3"/>
        <v>0</v>
      </c>
    </row>
    <row r="251" spans="2:34">
      <c r="B251">
        <v>250</v>
      </c>
      <c r="AH251" s="29">
        <f t="shared" si="3"/>
        <v>0</v>
      </c>
    </row>
    <row r="252" spans="2:34">
      <c r="B252">
        <v>251</v>
      </c>
      <c r="AH252" s="29">
        <f t="shared" si="3"/>
        <v>0</v>
      </c>
    </row>
    <row r="253" spans="2:34">
      <c r="B253">
        <v>252</v>
      </c>
      <c r="AH253" s="29">
        <f t="shared" si="3"/>
        <v>0</v>
      </c>
    </row>
    <row r="254" spans="2:34">
      <c r="B254">
        <v>253</v>
      </c>
      <c r="AH254" s="29">
        <f t="shared" si="3"/>
        <v>0</v>
      </c>
    </row>
    <row r="255" spans="2:34">
      <c r="B255">
        <v>254</v>
      </c>
      <c r="AH255" s="29">
        <f t="shared" si="3"/>
        <v>0</v>
      </c>
    </row>
    <row r="256" spans="2:34">
      <c r="B256">
        <v>255</v>
      </c>
      <c r="AH256" s="29">
        <f t="shared" si="3"/>
        <v>0</v>
      </c>
    </row>
    <row r="257" spans="2:34">
      <c r="B257">
        <v>256</v>
      </c>
      <c r="AH257" s="29">
        <f t="shared" si="3"/>
        <v>0</v>
      </c>
    </row>
    <row r="258" spans="2:34">
      <c r="B258">
        <v>257</v>
      </c>
      <c r="AH258" s="29">
        <f t="shared" si="3"/>
        <v>0</v>
      </c>
    </row>
    <row r="259" spans="2:34">
      <c r="B259">
        <v>258</v>
      </c>
      <c r="AH259" s="29">
        <f t="shared" ref="AH259:AH301" si="4">AG259</f>
        <v>0</v>
      </c>
    </row>
    <row r="260" spans="2:34">
      <c r="B260">
        <v>259</v>
      </c>
      <c r="AH260" s="29">
        <f t="shared" si="4"/>
        <v>0</v>
      </c>
    </row>
    <row r="261" spans="2:34">
      <c r="B261">
        <v>260</v>
      </c>
      <c r="AH261" s="29">
        <f t="shared" si="4"/>
        <v>0</v>
      </c>
    </row>
    <row r="262" spans="2:34">
      <c r="B262">
        <v>261</v>
      </c>
      <c r="AH262" s="29">
        <f t="shared" si="4"/>
        <v>0</v>
      </c>
    </row>
    <row r="263" spans="2:34">
      <c r="B263">
        <v>262</v>
      </c>
      <c r="AH263" s="29">
        <f t="shared" si="4"/>
        <v>0</v>
      </c>
    </row>
    <row r="264" spans="2:34">
      <c r="B264">
        <v>263</v>
      </c>
      <c r="AH264" s="29">
        <f t="shared" si="4"/>
        <v>0</v>
      </c>
    </row>
    <row r="265" spans="2:34">
      <c r="B265">
        <v>264</v>
      </c>
      <c r="AH265" s="29">
        <f t="shared" si="4"/>
        <v>0</v>
      </c>
    </row>
    <row r="266" spans="2:34">
      <c r="B266">
        <v>265</v>
      </c>
      <c r="AH266" s="29">
        <f t="shared" si="4"/>
        <v>0</v>
      </c>
    </row>
    <row r="267" spans="2:34">
      <c r="B267">
        <v>266</v>
      </c>
      <c r="AH267" s="29">
        <f t="shared" si="4"/>
        <v>0</v>
      </c>
    </row>
    <row r="268" spans="2:34">
      <c r="B268">
        <v>267</v>
      </c>
      <c r="AH268" s="29">
        <f t="shared" si="4"/>
        <v>0</v>
      </c>
    </row>
    <row r="269" spans="2:34">
      <c r="B269">
        <v>268</v>
      </c>
      <c r="AH269" s="29">
        <f t="shared" si="4"/>
        <v>0</v>
      </c>
    </row>
    <row r="270" spans="2:34">
      <c r="B270">
        <v>269</v>
      </c>
      <c r="AH270" s="29">
        <f t="shared" si="4"/>
        <v>0</v>
      </c>
    </row>
    <row r="271" spans="2:34">
      <c r="B271">
        <v>270</v>
      </c>
      <c r="AH271" s="29">
        <f t="shared" si="4"/>
        <v>0</v>
      </c>
    </row>
    <row r="272" spans="2:34">
      <c r="B272">
        <v>271</v>
      </c>
      <c r="AH272" s="29">
        <f t="shared" si="4"/>
        <v>0</v>
      </c>
    </row>
    <row r="273" spans="2:34">
      <c r="B273">
        <v>272</v>
      </c>
      <c r="AH273" s="29">
        <f t="shared" si="4"/>
        <v>0</v>
      </c>
    </row>
    <row r="274" spans="2:34">
      <c r="B274">
        <v>273</v>
      </c>
      <c r="AH274" s="29">
        <f t="shared" si="4"/>
        <v>0</v>
      </c>
    </row>
    <row r="275" spans="2:34">
      <c r="B275">
        <v>274</v>
      </c>
      <c r="AH275" s="29">
        <f t="shared" si="4"/>
        <v>0</v>
      </c>
    </row>
    <row r="276" spans="2:34">
      <c r="B276">
        <v>275</v>
      </c>
      <c r="AH276" s="29">
        <f t="shared" si="4"/>
        <v>0</v>
      </c>
    </row>
    <row r="277" spans="2:34">
      <c r="B277">
        <v>276</v>
      </c>
      <c r="AH277" s="29">
        <f t="shared" si="4"/>
        <v>0</v>
      </c>
    </row>
    <row r="278" spans="2:34">
      <c r="B278">
        <v>277</v>
      </c>
      <c r="AH278" s="29">
        <f t="shared" si="4"/>
        <v>0</v>
      </c>
    </row>
    <row r="279" spans="2:34">
      <c r="B279">
        <v>278</v>
      </c>
      <c r="AH279" s="29">
        <f t="shared" si="4"/>
        <v>0</v>
      </c>
    </row>
    <row r="280" spans="2:34">
      <c r="B280">
        <v>279</v>
      </c>
      <c r="AH280" s="29">
        <f t="shared" si="4"/>
        <v>0</v>
      </c>
    </row>
    <row r="281" spans="2:34">
      <c r="B281">
        <v>280</v>
      </c>
      <c r="AH281" s="29">
        <f t="shared" si="4"/>
        <v>0</v>
      </c>
    </row>
    <row r="282" spans="2:34">
      <c r="B282">
        <v>281</v>
      </c>
      <c r="AH282" s="29">
        <f t="shared" si="4"/>
        <v>0</v>
      </c>
    </row>
    <row r="283" spans="2:34">
      <c r="B283">
        <v>282</v>
      </c>
      <c r="AH283" s="29">
        <f t="shared" si="4"/>
        <v>0</v>
      </c>
    </row>
    <row r="284" spans="2:34">
      <c r="B284">
        <v>283</v>
      </c>
      <c r="AH284" s="29">
        <f t="shared" si="4"/>
        <v>0</v>
      </c>
    </row>
    <row r="285" spans="2:34">
      <c r="B285">
        <v>284</v>
      </c>
      <c r="AH285" s="29">
        <f t="shared" si="4"/>
        <v>0</v>
      </c>
    </row>
    <row r="286" spans="2:34">
      <c r="B286">
        <v>285</v>
      </c>
      <c r="AH286" s="29">
        <f t="shared" si="4"/>
        <v>0</v>
      </c>
    </row>
    <row r="287" spans="2:34">
      <c r="B287">
        <v>286</v>
      </c>
      <c r="AH287" s="29">
        <f t="shared" si="4"/>
        <v>0</v>
      </c>
    </row>
    <row r="288" spans="2:34">
      <c r="B288">
        <v>287</v>
      </c>
      <c r="AH288" s="29">
        <f t="shared" si="4"/>
        <v>0</v>
      </c>
    </row>
    <row r="289" spans="2:34">
      <c r="B289">
        <v>288</v>
      </c>
      <c r="AH289" s="29">
        <f t="shared" si="4"/>
        <v>0</v>
      </c>
    </row>
    <row r="290" spans="2:34">
      <c r="B290">
        <v>289</v>
      </c>
      <c r="AH290" s="29">
        <f t="shared" si="4"/>
        <v>0</v>
      </c>
    </row>
    <row r="291" spans="2:34">
      <c r="B291">
        <v>290</v>
      </c>
      <c r="AH291" s="29">
        <f t="shared" si="4"/>
        <v>0</v>
      </c>
    </row>
    <row r="292" spans="2:34">
      <c r="B292">
        <v>291</v>
      </c>
      <c r="AH292" s="29">
        <f t="shared" si="4"/>
        <v>0</v>
      </c>
    </row>
    <row r="293" spans="2:34">
      <c r="B293">
        <v>292</v>
      </c>
      <c r="AH293" s="29">
        <f t="shared" si="4"/>
        <v>0</v>
      </c>
    </row>
    <row r="294" spans="2:34">
      <c r="B294">
        <v>293</v>
      </c>
      <c r="AH294" s="29">
        <f t="shared" si="4"/>
        <v>0</v>
      </c>
    </row>
    <row r="295" spans="2:34">
      <c r="B295">
        <v>294</v>
      </c>
      <c r="AH295" s="29">
        <f t="shared" si="4"/>
        <v>0</v>
      </c>
    </row>
    <row r="296" spans="2:34">
      <c r="B296">
        <v>295</v>
      </c>
      <c r="AH296" s="29">
        <f t="shared" si="4"/>
        <v>0</v>
      </c>
    </row>
    <row r="297" spans="2:34">
      <c r="B297">
        <v>296</v>
      </c>
      <c r="AH297" s="29">
        <f t="shared" si="4"/>
        <v>0</v>
      </c>
    </row>
    <row r="298" spans="2:34">
      <c r="B298">
        <v>297</v>
      </c>
      <c r="AH298" s="29">
        <f t="shared" si="4"/>
        <v>0</v>
      </c>
    </row>
    <row r="299" spans="2:34">
      <c r="B299">
        <v>298</v>
      </c>
      <c r="AH299" s="29">
        <f t="shared" si="4"/>
        <v>0</v>
      </c>
    </row>
    <row r="300" spans="2:34">
      <c r="B300">
        <v>299</v>
      </c>
      <c r="AH300" s="29">
        <f t="shared" si="4"/>
        <v>0</v>
      </c>
    </row>
    <row r="301" spans="2:34">
      <c r="B301">
        <v>300</v>
      </c>
      <c r="AH301" s="29">
        <f t="shared" si="4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301"/>
  <sheetViews>
    <sheetView workbookViewId="0">
      <selection activeCell="C11" sqref="C11"/>
    </sheetView>
  </sheetViews>
  <sheetFormatPr defaultRowHeight="15"/>
  <sheetData>
    <row r="1" spans="2:34" ht="18.75">
      <c r="B1" s="12" t="s">
        <v>1</v>
      </c>
      <c r="C1" s="12" t="s">
        <v>2</v>
      </c>
      <c r="D1" s="12" t="s">
        <v>7</v>
      </c>
      <c r="E1" s="12" t="s">
        <v>646</v>
      </c>
      <c r="F1" s="12" t="s">
        <v>647</v>
      </c>
      <c r="G1" s="12" t="s">
        <v>648</v>
      </c>
      <c r="H1" s="12" t="s">
        <v>649</v>
      </c>
      <c r="I1" s="12" t="s">
        <v>650</v>
      </c>
      <c r="J1" s="12" t="s">
        <v>651</v>
      </c>
      <c r="K1" s="12" t="s">
        <v>652</v>
      </c>
      <c r="L1" s="12" t="s">
        <v>653</v>
      </c>
      <c r="M1" s="12" t="s">
        <v>654</v>
      </c>
      <c r="N1" s="12" t="s">
        <v>655</v>
      </c>
      <c r="O1" s="12" t="s">
        <v>656</v>
      </c>
      <c r="P1" s="12" t="s">
        <v>657</v>
      </c>
      <c r="Q1" s="12" t="s">
        <v>658</v>
      </c>
      <c r="R1" s="12" t="s">
        <v>659</v>
      </c>
      <c r="S1" s="12" t="s">
        <v>660</v>
      </c>
      <c r="T1" s="12" t="s">
        <v>661</v>
      </c>
      <c r="U1" s="12" t="s">
        <v>662</v>
      </c>
      <c r="V1" s="12" t="s">
        <v>663</v>
      </c>
      <c r="W1" s="12" t="s">
        <v>664</v>
      </c>
      <c r="X1" s="12" t="s">
        <v>665</v>
      </c>
      <c r="Y1" s="12" t="s">
        <v>666</v>
      </c>
      <c r="Z1" s="12" t="s">
        <v>667</v>
      </c>
      <c r="AA1" s="12" t="s">
        <v>668</v>
      </c>
      <c r="AB1" s="12" t="s">
        <v>669</v>
      </c>
      <c r="AC1" s="12" t="s">
        <v>670</v>
      </c>
      <c r="AD1" s="12" t="s">
        <v>671</v>
      </c>
      <c r="AE1" s="12" t="s">
        <v>672</v>
      </c>
      <c r="AF1" s="12" t="s">
        <v>673</v>
      </c>
      <c r="AG1" s="12" t="s">
        <v>674</v>
      </c>
      <c r="AH1" s="13" t="s">
        <v>0</v>
      </c>
    </row>
    <row r="2" spans="2:34">
      <c r="B2">
        <v>1</v>
      </c>
      <c r="C2" t="s">
        <v>16</v>
      </c>
      <c r="D2" t="s">
        <v>19</v>
      </c>
      <c r="E2" t="s">
        <v>707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12.5</v>
      </c>
      <c r="O2" s="28">
        <v>12.5</v>
      </c>
      <c r="P2" s="28">
        <v>12.5</v>
      </c>
      <c r="Q2" s="28">
        <v>12.5</v>
      </c>
      <c r="R2" s="28">
        <v>31.5</v>
      </c>
      <c r="S2" s="28">
        <v>32.5</v>
      </c>
      <c r="T2" s="28">
        <v>33.5</v>
      </c>
      <c r="U2" s="28">
        <v>50</v>
      </c>
      <c r="V2" s="28">
        <v>60</v>
      </c>
      <c r="W2" s="28">
        <v>60</v>
      </c>
      <c r="X2" s="28">
        <v>60</v>
      </c>
      <c r="Y2" s="28">
        <v>60</v>
      </c>
      <c r="Z2" s="28">
        <v>60</v>
      </c>
      <c r="AA2" s="28">
        <v>60</v>
      </c>
      <c r="AB2" s="28">
        <v>64</v>
      </c>
      <c r="AC2" s="28">
        <v>110</v>
      </c>
      <c r="AD2" s="28">
        <v>110</v>
      </c>
      <c r="AE2" s="28">
        <v>110</v>
      </c>
      <c r="AF2" s="28">
        <v>110</v>
      </c>
      <c r="AG2" s="28">
        <v>114</v>
      </c>
      <c r="AH2" s="28">
        <v>100</v>
      </c>
    </row>
    <row r="3" spans="2:34">
      <c r="B3">
        <v>2</v>
      </c>
      <c r="C3" t="s">
        <v>23</v>
      </c>
      <c r="D3" t="s">
        <v>19</v>
      </c>
      <c r="E3" t="s">
        <v>707</v>
      </c>
      <c r="F3" s="28">
        <v>25</v>
      </c>
      <c r="G3" s="28">
        <v>25</v>
      </c>
      <c r="H3" s="28">
        <v>25</v>
      </c>
      <c r="I3" s="28">
        <v>25</v>
      </c>
      <c r="J3" s="28">
        <v>25</v>
      </c>
      <c r="K3" s="28">
        <v>25</v>
      </c>
      <c r="L3" s="28">
        <v>25</v>
      </c>
      <c r="M3" s="28">
        <v>25</v>
      </c>
      <c r="N3" s="28">
        <v>20</v>
      </c>
      <c r="O3" s="28">
        <v>20</v>
      </c>
      <c r="P3" s="28">
        <v>20</v>
      </c>
      <c r="Q3" s="28">
        <v>20</v>
      </c>
      <c r="R3" s="28">
        <v>16</v>
      </c>
      <c r="S3" s="28">
        <v>10</v>
      </c>
      <c r="T3" s="28">
        <v>10</v>
      </c>
      <c r="U3" s="28">
        <v>10</v>
      </c>
      <c r="V3" s="28">
        <v>10</v>
      </c>
      <c r="W3" s="28">
        <v>10</v>
      </c>
      <c r="X3" s="28">
        <v>10</v>
      </c>
      <c r="Y3" s="28">
        <v>26</v>
      </c>
      <c r="Z3" s="28">
        <v>30</v>
      </c>
      <c r="AA3" s="28">
        <v>40</v>
      </c>
      <c r="AB3" s="28">
        <v>40</v>
      </c>
      <c r="AC3" s="28">
        <v>40</v>
      </c>
      <c r="AD3" s="28">
        <v>49.315068493150683</v>
      </c>
      <c r="AE3" s="28">
        <v>49.863013698630141</v>
      </c>
      <c r="AF3" s="28">
        <v>50.410958904109592</v>
      </c>
      <c r="AG3" s="28">
        <v>55.45</v>
      </c>
      <c r="AH3" s="28">
        <v>50</v>
      </c>
    </row>
    <row r="4" spans="2:34">
      <c r="B4">
        <v>3</v>
      </c>
      <c r="C4" t="s">
        <v>26</v>
      </c>
      <c r="D4" t="s">
        <v>19</v>
      </c>
      <c r="E4" t="s">
        <v>707</v>
      </c>
      <c r="F4" s="28">
        <v>100</v>
      </c>
      <c r="G4" s="28">
        <v>100</v>
      </c>
      <c r="H4" s="28">
        <v>100</v>
      </c>
      <c r="I4" s="28">
        <v>100</v>
      </c>
      <c r="J4" s="28">
        <v>108</v>
      </c>
      <c r="K4" s="28">
        <v>108</v>
      </c>
      <c r="L4" s="28">
        <v>108</v>
      </c>
      <c r="M4" s="28">
        <v>108</v>
      </c>
      <c r="N4" s="28">
        <v>119</v>
      </c>
      <c r="O4" s="28">
        <v>119</v>
      </c>
      <c r="P4" s="28">
        <v>119</v>
      </c>
      <c r="Q4" s="28">
        <v>119</v>
      </c>
      <c r="R4" s="28">
        <v>125</v>
      </c>
      <c r="S4" s="28">
        <v>125</v>
      </c>
      <c r="T4" s="28">
        <v>125</v>
      </c>
      <c r="U4" s="28">
        <v>125</v>
      </c>
      <c r="V4" s="28">
        <v>140</v>
      </c>
      <c r="W4" s="28">
        <v>140</v>
      </c>
      <c r="X4" s="28">
        <v>140</v>
      </c>
      <c r="Y4" s="28">
        <v>140</v>
      </c>
      <c r="Z4" s="28">
        <v>140</v>
      </c>
      <c r="AA4" s="28">
        <v>140</v>
      </c>
      <c r="AB4" s="28">
        <v>140</v>
      </c>
      <c r="AC4" s="28">
        <v>140</v>
      </c>
      <c r="AD4" s="28">
        <v>140</v>
      </c>
      <c r="AE4" s="28">
        <v>140</v>
      </c>
      <c r="AF4" s="28">
        <v>140</v>
      </c>
      <c r="AG4" s="28">
        <v>140</v>
      </c>
      <c r="AH4" s="28">
        <v>140</v>
      </c>
    </row>
    <row r="5" spans="2:34">
      <c r="B5">
        <v>4</v>
      </c>
      <c r="C5" t="s">
        <v>32</v>
      </c>
      <c r="D5" t="s">
        <v>19</v>
      </c>
      <c r="E5" t="s">
        <v>707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31</v>
      </c>
      <c r="AA5" s="28">
        <v>32</v>
      </c>
      <c r="AB5" s="28">
        <v>33</v>
      </c>
      <c r="AC5" s="28">
        <v>32.767123287671232</v>
      </c>
      <c r="AD5" s="28">
        <v>31.630136986301366</v>
      </c>
      <c r="AE5" s="28">
        <v>31.164383561643834</v>
      </c>
      <c r="AF5" s="28">
        <v>31.506849315068493</v>
      </c>
      <c r="AG5" s="28">
        <v>31.5</v>
      </c>
      <c r="AH5" s="28">
        <v>31</v>
      </c>
    </row>
    <row r="6" spans="2:34">
      <c r="B6">
        <v>5</v>
      </c>
      <c r="C6" t="s">
        <v>38</v>
      </c>
      <c r="D6" t="s">
        <v>19</v>
      </c>
      <c r="E6" t="s">
        <v>707</v>
      </c>
      <c r="F6" s="28">
        <v>40</v>
      </c>
      <c r="G6" s="28">
        <v>40</v>
      </c>
      <c r="H6" s="28">
        <v>40</v>
      </c>
      <c r="I6" s="28">
        <v>40</v>
      </c>
      <c r="J6" s="28">
        <v>27.5</v>
      </c>
      <c r="K6" s="28">
        <v>40</v>
      </c>
      <c r="L6" s="28">
        <v>40</v>
      </c>
      <c r="M6" s="28">
        <v>40</v>
      </c>
      <c r="N6" s="28">
        <v>35</v>
      </c>
      <c r="O6" s="28">
        <v>35</v>
      </c>
      <c r="P6" s="28">
        <v>35</v>
      </c>
      <c r="Q6" s="28">
        <v>35</v>
      </c>
      <c r="R6" s="28">
        <v>38</v>
      </c>
      <c r="S6" s="28">
        <v>38</v>
      </c>
      <c r="T6" s="28">
        <v>38</v>
      </c>
      <c r="U6" s="28">
        <v>38</v>
      </c>
      <c r="V6" s="28">
        <v>47.5</v>
      </c>
      <c r="W6" s="28">
        <v>47.5</v>
      </c>
      <c r="X6" s="28">
        <v>47.5</v>
      </c>
      <c r="Y6" s="28">
        <v>47.5</v>
      </c>
      <c r="Z6" s="28">
        <v>50</v>
      </c>
      <c r="AA6" s="28">
        <v>50</v>
      </c>
      <c r="AB6" s="28">
        <v>50</v>
      </c>
      <c r="AC6" s="28">
        <v>51.671232876712338</v>
      </c>
      <c r="AD6" s="28">
        <v>48.465753424657535</v>
      </c>
      <c r="AE6" s="28">
        <v>47.369863013698627</v>
      </c>
      <c r="AF6" s="28">
        <v>47.890410958904113</v>
      </c>
      <c r="AG6" s="28">
        <v>47.89</v>
      </c>
      <c r="AH6" s="28">
        <v>45</v>
      </c>
    </row>
    <row r="7" spans="2:34">
      <c r="B7">
        <v>6</v>
      </c>
      <c r="C7" t="s">
        <v>41</v>
      </c>
      <c r="D7" t="s">
        <v>19</v>
      </c>
      <c r="E7" t="s">
        <v>707</v>
      </c>
      <c r="F7" s="28">
        <v>100</v>
      </c>
      <c r="G7" s="28">
        <v>100</v>
      </c>
      <c r="H7" s="28">
        <v>100</v>
      </c>
      <c r="I7" s="28">
        <v>100</v>
      </c>
      <c r="J7" s="28">
        <v>75</v>
      </c>
      <c r="K7" s="28">
        <v>100</v>
      </c>
      <c r="L7" s="28">
        <v>100</v>
      </c>
      <c r="M7" s="28">
        <v>100</v>
      </c>
      <c r="N7" s="28">
        <v>75</v>
      </c>
      <c r="O7" s="28">
        <v>75</v>
      </c>
      <c r="P7" s="28">
        <v>75</v>
      </c>
      <c r="Q7" s="28">
        <v>75</v>
      </c>
      <c r="R7" s="28">
        <v>97</v>
      </c>
      <c r="S7" s="28">
        <v>97</v>
      </c>
      <c r="T7" s="28">
        <v>97</v>
      </c>
      <c r="U7" s="28">
        <v>97</v>
      </c>
      <c r="V7" s="28">
        <v>92.5</v>
      </c>
      <c r="W7" s="28">
        <v>92.5</v>
      </c>
      <c r="X7" s="28">
        <v>92.5</v>
      </c>
      <c r="Y7" s="28">
        <v>92.5</v>
      </c>
      <c r="Z7" s="28">
        <v>97.5</v>
      </c>
      <c r="AA7" s="28">
        <v>97.5</v>
      </c>
      <c r="AB7" s="28">
        <v>97.5</v>
      </c>
      <c r="AC7" s="28">
        <v>100.82191780821918</v>
      </c>
      <c r="AD7" s="28">
        <v>98.630136986301366</v>
      </c>
      <c r="AE7" s="28">
        <v>99.726027397260282</v>
      </c>
      <c r="AF7" s="28">
        <v>100.82191780821918</v>
      </c>
      <c r="AG7" s="28">
        <v>100.82</v>
      </c>
      <c r="AH7" s="28">
        <v>100</v>
      </c>
    </row>
    <row r="8" spans="2:34">
      <c r="B8">
        <v>7</v>
      </c>
      <c r="C8" t="s">
        <v>44</v>
      </c>
      <c r="D8" t="s">
        <v>19</v>
      </c>
      <c r="E8" t="s">
        <v>707</v>
      </c>
      <c r="F8" s="28">
        <v>125</v>
      </c>
      <c r="G8" s="28">
        <v>125</v>
      </c>
      <c r="H8" s="28">
        <v>125</v>
      </c>
      <c r="I8" s="28">
        <v>125</v>
      </c>
      <c r="J8" s="28">
        <v>91</v>
      </c>
      <c r="K8" s="28">
        <v>125</v>
      </c>
      <c r="L8" s="28">
        <v>125</v>
      </c>
      <c r="M8" s="28">
        <v>125</v>
      </c>
      <c r="N8" s="28">
        <v>78</v>
      </c>
      <c r="O8" s="28">
        <v>78</v>
      </c>
      <c r="P8" s="28">
        <v>78</v>
      </c>
      <c r="Q8" s="28">
        <v>78</v>
      </c>
      <c r="R8" s="28">
        <v>104</v>
      </c>
      <c r="S8" s="28">
        <v>104</v>
      </c>
      <c r="T8" s="28">
        <v>104</v>
      </c>
      <c r="U8" s="28">
        <v>104</v>
      </c>
      <c r="V8" s="28">
        <v>98</v>
      </c>
      <c r="W8" s="28">
        <v>98</v>
      </c>
      <c r="X8" s="28">
        <v>98</v>
      </c>
      <c r="Y8" s="28">
        <v>98</v>
      </c>
      <c r="Z8" s="28">
        <v>102</v>
      </c>
      <c r="AA8" s="28">
        <v>102</v>
      </c>
      <c r="AB8" s="28">
        <v>102</v>
      </c>
      <c r="AC8" s="28">
        <v>79.863013698630141</v>
      </c>
      <c r="AD8" s="28">
        <v>39.452054794520542</v>
      </c>
      <c r="AE8" s="28">
        <v>39.890410958904113</v>
      </c>
      <c r="AF8" s="28">
        <v>40.328767123287669</v>
      </c>
      <c r="AG8" s="28">
        <v>40.33</v>
      </c>
      <c r="AH8" s="28">
        <v>40</v>
      </c>
    </row>
    <row r="9" spans="2:34">
      <c r="B9">
        <v>8</v>
      </c>
      <c r="C9" t="s">
        <v>46</v>
      </c>
      <c r="D9" t="s">
        <v>19</v>
      </c>
      <c r="E9" t="s">
        <v>707</v>
      </c>
      <c r="F9" s="28">
        <v>90</v>
      </c>
      <c r="G9" s="28">
        <v>90</v>
      </c>
      <c r="H9" s="28">
        <v>90</v>
      </c>
      <c r="I9" s="28">
        <v>90</v>
      </c>
      <c r="J9" s="28">
        <v>108</v>
      </c>
      <c r="K9" s="28">
        <v>90</v>
      </c>
      <c r="L9" s="28">
        <v>90</v>
      </c>
      <c r="M9" s="28">
        <v>90</v>
      </c>
      <c r="N9" s="28">
        <v>80</v>
      </c>
      <c r="O9" s="28">
        <v>80</v>
      </c>
      <c r="P9" s="28">
        <v>80</v>
      </c>
      <c r="Q9" s="28">
        <v>80</v>
      </c>
      <c r="R9" s="28">
        <v>82.5</v>
      </c>
      <c r="S9" s="28">
        <v>82.5</v>
      </c>
      <c r="T9" s="28">
        <v>82.5</v>
      </c>
      <c r="U9" s="28">
        <v>82.5</v>
      </c>
      <c r="V9" s="28">
        <v>73.400000000000006</v>
      </c>
      <c r="W9" s="28">
        <v>73.400000000000006</v>
      </c>
      <c r="X9" s="28">
        <v>73.400000000000006</v>
      </c>
      <c r="Y9" s="28">
        <v>73.400000000000006</v>
      </c>
      <c r="Z9" s="28">
        <v>90</v>
      </c>
      <c r="AA9" s="28">
        <v>90</v>
      </c>
      <c r="AB9" s="28">
        <v>90</v>
      </c>
      <c r="AC9" s="28">
        <v>75.61643835616438</v>
      </c>
      <c r="AD9" s="28">
        <v>78.904109589041084</v>
      </c>
      <c r="AE9" s="28">
        <v>79.780821917808225</v>
      </c>
      <c r="AF9" s="28">
        <v>80.657534246575338</v>
      </c>
      <c r="AG9" s="28">
        <v>100.82</v>
      </c>
      <c r="AH9" s="28">
        <v>100</v>
      </c>
    </row>
    <row r="10" spans="2:34">
      <c r="B10">
        <v>9</v>
      </c>
      <c r="C10" t="s">
        <v>49</v>
      </c>
      <c r="D10" t="s">
        <v>19</v>
      </c>
      <c r="E10" t="s">
        <v>707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/>
    </row>
    <row r="11" spans="2:34">
      <c r="B11">
        <v>10</v>
      </c>
      <c r="C11" t="s">
        <v>52</v>
      </c>
      <c r="D11" t="s">
        <v>19</v>
      </c>
      <c r="E11" t="s">
        <v>707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20</v>
      </c>
      <c r="AA11" s="28">
        <v>20</v>
      </c>
      <c r="AB11" s="28">
        <v>20</v>
      </c>
      <c r="AC11" s="28">
        <v>20.164383561643834</v>
      </c>
      <c r="AD11" s="28">
        <v>19.726027397260271</v>
      </c>
      <c r="AE11" s="28">
        <v>27.041095890410958</v>
      </c>
      <c r="AF11" s="28">
        <v>54.547945205479451</v>
      </c>
      <c r="AG11" s="28">
        <v>50.41</v>
      </c>
      <c r="AH11" s="28">
        <v>50</v>
      </c>
    </row>
    <row r="12" spans="2:34">
      <c r="B12">
        <v>11</v>
      </c>
      <c r="C12" t="s">
        <v>56</v>
      </c>
      <c r="D12" t="s">
        <v>19</v>
      </c>
      <c r="E12" t="s">
        <v>707</v>
      </c>
      <c r="F12" s="28">
        <v>80</v>
      </c>
      <c r="G12" s="28">
        <v>80</v>
      </c>
      <c r="H12" s="28">
        <v>80</v>
      </c>
      <c r="I12" s="28">
        <v>80</v>
      </c>
      <c r="J12" s="28">
        <v>61</v>
      </c>
      <c r="K12" s="28">
        <v>61</v>
      </c>
      <c r="L12" s="28">
        <v>61</v>
      </c>
      <c r="M12" s="28">
        <v>61</v>
      </c>
      <c r="N12" s="28">
        <v>61</v>
      </c>
      <c r="O12" s="28">
        <v>61</v>
      </c>
      <c r="P12" s="28">
        <v>61</v>
      </c>
      <c r="Q12" s="28">
        <v>61</v>
      </c>
      <c r="R12" s="28">
        <v>94</v>
      </c>
      <c r="S12" s="28">
        <v>94</v>
      </c>
      <c r="T12" s="28">
        <v>94</v>
      </c>
      <c r="U12" s="28">
        <v>94</v>
      </c>
      <c r="V12" s="28">
        <v>150</v>
      </c>
      <c r="W12" s="28">
        <v>150</v>
      </c>
      <c r="X12" s="28">
        <v>150</v>
      </c>
      <c r="Y12" s="28">
        <v>150</v>
      </c>
      <c r="Z12" s="28">
        <v>100</v>
      </c>
      <c r="AA12" s="28">
        <v>100</v>
      </c>
      <c r="AB12" s="28">
        <v>100</v>
      </c>
      <c r="AC12" s="28">
        <v>107.12328767123287</v>
      </c>
      <c r="AD12" s="28">
        <v>90.547945205479451</v>
      </c>
      <c r="AE12" s="28">
        <v>87.260273972602732</v>
      </c>
      <c r="AF12" s="28">
        <v>88.219178082191775</v>
      </c>
      <c r="AG12" s="28">
        <v>88.2</v>
      </c>
      <c r="AH12" s="28">
        <v>75</v>
      </c>
    </row>
    <row r="13" spans="2:34">
      <c r="B13">
        <v>12</v>
      </c>
      <c r="C13" t="s">
        <v>59</v>
      </c>
      <c r="D13" t="s">
        <v>19</v>
      </c>
      <c r="E13" t="s">
        <v>707</v>
      </c>
      <c r="F13" s="28">
        <v>35</v>
      </c>
      <c r="G13" s="28">
        <v>35</v>
      </c>
      <c r="H13" s="28">
        <v>35</v>
      </c>
      <c r="I13" s="28">
        <v>35</v>
      </c>
      <c r="J13" s="28">
        <v>35</v>
      </c>
      <c r="K13" s="28">
        <v>35</v>
      </c>
      <c r="L13" s="28">
        <v>35</v>
      </c>
      <c r="M13" s="28">
        <v>35</v>
      </c>
      <c r="N13" s="28">
        <v>35</v>
      </c>
      <c r="O13" s="28">
        <v>35</v>
      </c>
      <c r="P13" s="28">
        <v>35</v>
      </c>
      <c r="Q13" s="28">
        <v>35</v>
      </c>
      <c r="R13" s="28">
        <v>83</v>
      </c>
      <c r="S13" s="28">
        <v>83</v>
      </c>
      <c r="T13" s="28">
        <v>83</v>
      </c>
      <c r="U13" s="28">
        <v>83</v>
      </c>
      <c r="V13" s="28">
        <v>85</v>
      </c>
      <c r="W13" s="28">
        <v>85</v>
      </c>
      <c r="X13" s="28">
        <v>85</v>
      </c>
      <c r="Y13" s="28">
        <v>85</v>
      </c>
      <c r="Z13" s="28">
        <v>88</v>
      </c>
      <c r="AA13" s="28">
        <v>88</v>
      </c>
      <c r="AB13" s="28">
        <v>88</v>
      </c>
      <c r="AC13" s="28">
        <v>88.219178082191775</v>
      </c>
      <c r="AD13" s="28">
        <v>86.30136986301369</v>
      </c>
      <c r="AE13" s="28">
        <v>87.260273972602732</v>
      </c>
      <c r="AF13" s="28">
        <v>88.219178082191775</v>
      </c>
      <c r="AG13" s="28">
        <v>75.62</v>
      </c>
      <c r="AH13" s="28">
        <v>75</v>
      </c>
    </row>
    <row r="14" spans="2:34">
      <c r="B14">
        <v>13</v>
      </c>
      <c r="C14" t="s">
        <v>63</v>
      </c>
      <c r="D14" t="s">
        <v>19</v>
      </c>
      <c r="E14" t="s">
        <v>707</v>
      </c>
      <c r="F14" s="28">
        <v>30</v>
      </c>
      <c r="G14" s="28">
        <v>30</v>
      </c>
      <c r="H14" s="28">
        <v>30</v>
      </c>
      <c r="I14" s="28">
        <v>30</v>
      </c>
      <c r="J14" s="28">
        <v>30</v>
      </c>
      <c r="K14" s="28">
        <v>30</v>
      </c>
      <c r="L14" s="28">
        <v>30</v>
      </c>
      <c r="M14" s="28">
        <v>30</v>
      </c>
      <c r="N14" s="28">
        <v>30</v>
      </c>
      <c r="O14" s="28">
        <v>30</v>
      </c>
      <c r="P14" s="28">
        <v>30</v>
      </c>
      <c r="Q14" s="28">
        <v>30</v>
      </c>
      <c r="R14" s="28">
        <v>30</v>
      </c>
      <c r="S14" s="28">
        <v>30</v>
      </c>
      <c r="T14" s="28">
        <v>30</v>
      </c>
      <c r="U14" s="28">
        <v>30</v>
      </c>
      <c r="V14" s="28">
        <v>65</v>
      </c>
      <c r="W14" s="28">
        <v>65</v>
      </c>
      <c r="X14" s="28">
        <v>65</v>
      </c>
      <c r="Y14" s="28">
        <v>65</v>
      </c>
      <c r="Z14" s="28">
        <v>75</v>
      </c>
      <c r="AA14" s="28">
        <v>75</v>
      </c>
      <c r="AB14" s="28">
        <v>75</v>
      </c>
      <c r="AC14" s="28">
        <v>75</v>
      </c>
      <c r="AD14" s="28">
        <v>75</v>
      </c>
      <c r="AE14" s="28">
        <v>75</v>
      </c>
      <c r="AF14" s="28">
        <v>75</v>
      </c>
      <c r="AG14" s="28">
        <v>75.62</v>
      </c>
      <c r="AH14" s="28">
        <v>75</v>
      </c>
    </row>
    <row r="15" spans="2:34">
      <c r="B15">
        <v>14</v>
      </c>
      <c r="C15" t="s">
        <v>66</v>
      </c>
      <c r="D15" t="s">
        <v>19</v>
      </c>
      <c r="E15" t="s">
        <v>707</v>
      </c>
      <c r="F15" s="28">
        <v>25</v>
      </c>
      <c r="G15" s="28">
        <v>25</v>
      </c>
      <c r="H15" s="28">
        <v>25</v>
      </c>
      <c r="I15" s="28">
        <v>25</v>
      </c>
      <c r="J15" s="28">
        <v>25</v>
      </c>
      <c r="K15" s="28">
        <v>25</v>
      </c>
      <c r="L15" s="28">
        <v>25</v>
      </c>
      <c r="M15" s="28">
        <v>25</v>
      </c>
      <c r="N15" s="28">
        <v>25</v>
      </c>
      <c r="O15" s="28">
        <v>25</v>
      </c>
      <c r="P15" s="28">
        <v>25</v>
      </c>
      <c r="Q15" s="28">
        <v>25</v>
      </c>
      <c r="R15" s="28">
        <v>25</v>
      </c>
      <c r="S15" s="28">
        <v>25</v>
      </c>
      <c r="T15" s="28">
        <v>25</v>
      </c>
      <c r="U15" s="28">
        <v>25</v>
      </c>
      <c r="V15" s="28">
        <v>25</v>
      </c>
      <c r="W15" s="28">
        <v>25</v>
      </c>
      <c r="X15" s="28">
        <v>25</v>
      </c>
      <c r="Y15" s="28">
        <v>25</v>
      </c>
      <c r="Z15" s="28">
        <v>30</v>
      </c>
      <c r="AA15" s="28">
        <v>35</v>
      </c>
      <c r="AB15" s="28">
        <v>40</v>
      </c>
      <c r="AC15" s="28">
        <v>75.61643835616438</v>
      </c>
      <c r="AD15" s="28">
        <v>73.972602739726028</v>
      </c>
      <c r="AE15" s="28">
        <v>74.794520547945197</v>
      </c>
      <c r="AF15" s="28">
        <v>75.61643835616438</v>
      </c>
      <c r="AG15" s="28">
        <v>88.22</v>
      </c>
      <c r="AH15" s="28">
        <v>88</v>
      </c>
    </row>
    <row r="16" spans="2:34">
      <c r="B16">
        <v>15</v>
      </c>
      <c r="C16" t="s">
        <v>69</v>
      </c>
      <c r="D16" t="s">
        <v>19</v>
      </c>
      <c r="E16" t="s">
        <v>707</v>
      </c>
      <c r="F16" s="28">
        <v>70</v>
      </c>
      <c r="G16" s="28">
        <v>70</v>
      </c>
      <c r="H16" s="28">
        <v>70</v>
      </c>
      <c r="I16" s="28">
        <v>70</v>
      </c>
      <c r="J16" s="28">
        <v>52.5</v>
      </c>
      <c r="K16" s="28">
        <v>52.5</v>
      </c>
      <c r="L16" s="28">
        <v>52.5</v>
      </c>
      <c r="M16" s="28">
        <v>52.5</v>
      </c>
      <c r="N16" s="28">
        <v>52.5</v>
      </c>
      <c r="O16" s="28">
        <v>52.5</v>
      </c>
      <c r="P16" s="28">
        <v>52.5</v>
      </c>
      <c r="Q16" s="28">
        <v>52.5</v>
      </c>
      <c r="R16" s="28">
        <v>71</v>
      </c>
      <c r="S16" s="28">
        <v>71</v>
      </c>
      <c r="T16" s="28">
        <v>71</v>
      </c>
      <c r="U16" s="28">
        <v>71</v>
      </c>
      <c r="V16" s="28">
        <v>71</v>
      </c>
      <c r="W16" s="28">
        <v>71</v>
      </c>
      <c r="X16" s="28">
        <v>72</v>
      </c>
      <c r="Y16" s="28">
        <v>71</v>
      </c>
      <c r="Z16" s="28">
        <v>85.698630136986296</v>
      </c>
      <c r="AA16" s="28">
        <v>85.698630136986296</v>
      </c>
      <c r="AB16" s="28">
        <v>85.698630136986296</v>
      </c>
      <c r="AC16" s="28">
        <v>85.698630136986296</v>
      </c>
      <c r="AD16" s="28">
        <v>83.835616438356169</v>
      </c>
      <c r="AE16" s="28">
        <v>84.767123287671225</v>
      </c>
      <c r="AF16" s="28">
        <v>82.410958904109592</v>
      </c>
      <c r="AG16" s="28">
        <v>75.62</v>
      </c>
      <c r="AH16" s="28">
        <v>75</v>
      </c>
    </row>
    <row r="17" spans="2:34">
      <c r="B17">
        <v>16</v>
      </c>
      <c r="C17" t="s">
        <v>71</v>
      </c>
      <c r="D17" t="s">
        <v>19</v>
      </c>
      <c r="E17" t="s">
        <v>707</v>
      </c>
      <c r="F17" s="28">
        <v>70</v>
      </c>
      <c r="G17" s="28">
        <v>70</v>
      </c>
      <c r="H17" s="28">
        <v>70</v>
      </c>
      <c r="I17" s="28">
        <v>70</v>
      </c>
      <c r="J17" s="28">
        <v>53.5</v>
      </c>
      <c r="K17" s="28">
        <v>53.5</v>
      </c>
      <c r="L17" s="28">
        <v>53.5</v>
      </c>
      <c r="M17" s="28">
        <v>53.5</v>
      </c>
      <c r="N17" s="28">
        <v>53.5</v>
      </c>
      <c r="O17" s="28">
        <v>53.5</v>
      </c>
      <c r="P17" s="28">
        <v>53.5</v>
      </c>
      <c r="Q17" s="28">
        <v>53.5</v>
      </c>
      <c r="R17" s="28">
        <v>71</v>
      </c>
      <c r="S17" s="28">
        <v>71</v>
      </c>
      <c r="T17" s="28">
        <v>71</v>
      </c>
      <c r="U17" s="28">
        <v>71</v>
      </c>
      <c r="V17" s="28">
        <v>48</v>
      </c>
      <c r="W17" s="28">
        <v>68.900000000000006</v>
      </c>
      <c r="X17" s="28">
        <v>90</v>
      </c>
      <c r="Y17" s="28">
        <v>93</v>
      </c>
      <c r="Z17" s="28">
        <v>75.61643835616438</v>
      </c>
      <c r="AA17" s="28">
        <v>75.61643835616438</v>
      </c>
      <c r="AB17" s="28">
        <v>75.61643835616438</v>
      </c>
      <c r="AC17" s="28">
        <v>75.61643835616438</v>
      </c>
      <c r="AD17" s="28">
        <v>73.972602739726028</v>
      </c>
      <c r="AE17" s="28">
        <v>74.794520547945197</v>
      </c>
      <c r="AF17" s="28">
        <v>75.61643835616438</v>
      </c>
      <c r="AG17" s="28">
        <v>100.82</v>
      </c>
      <c r="AH17" s="28">
        <v>80</v>
      </c>
    </row>
    <row r="18" spans="2:34">
      <c r="B18">
        <v>17</v>
      </c>
      <c r="C18" t="s">
        <v>74</v>
      </c>
      <c r="D18" t="s">
        <v>19</v>
      </c>
      <c r="E18" t="s">
        <v>707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25</v>
      </c>
      <c r="AD18" s="28">
        <v>25</v>
      </c>
      <c r="AE18" s="28">
        <v>25</v>
      </c>
      <c r="AF18" s="28">
        <v>50</v>
      </c>
      <c r="AG18" s="28">
        <v>63.01</v>
      </c>
      <c r="AH18" s="28">
        <v>60</v>
      </c>
    </row>
    <row r="19" spans="2:34">
      <c r="B19">
        <v>18</v>
      </c>
      <c r="C19" t="s">
        <v>77</v>
      </c>
      <c r="D19" t="s">
        <v>19</v>
      </c>
      <c r="E19" t="s">
        <v>707</v>
      </c>
      <c r="F19" s="28">
        <v>42.5</v>
      </c>
      <c r="G19" s="28">
        <v>42.5</v>
      </c>
      <c r="H19" s="28">
        <v>42.5</v>
      </c>
      <c r="I19" s="28">
        <v>42.5</v>
      </c>
      <c r="J19" s="28">
        <v>41</v>
      </c>
      <c r="K19" s="28">
        <v>41</v>
      </c>
      <c r="L19" s="28">
        <v>41</v>
      </c>
      <c r="M19" s="28">
        <v>41</v>
      </c>
      <c r="N19" s="28">
        <v>40</v>
      </c>
      <c r="O19" s="28">
        <v>40</v>
      </c>
      <c r="P19" s="28">
        <v>40</v>
      </c>
      <c r="Q19" s="28">
        <v>40</v>
      </c>
      <c r="R19" s="28">
        <v>64</v>
      </c>
      <c r="S19" s="28">
        <v>64</v>
      </c>
      <c r="T19" s="28">
        <v>64</v>
      </c>
      <c r="U19" s="28">
        <v>64</v>
      </c>
      <c r="V19" s="28">
        <v>75</v>
      </c>
      <c r="W19" s="28">
        <v>75</v>
      </c>
      <c r="X19" s="28">
        <v>75</v>
      </c>
      <c r="Y19" s="28">
        <v>75</v>
      </c>
      <c r="Z19" s="28">
        <v>83.178082191780817</v>
      </c>
      <c r="AA19" s="28">
        <v>83.178082191780817</v>
      </c>
      <c r="AB19" s="28">
        <v>83.178082191780817</v>
      </c>
      <c r="AC19" s="28">
        <v>83.178082191780817</v>
      </c>
      <c r="AD19" s="28">
        <v>81.36986301369862</v>
      </c>
      <c r="AE19" s="28">
        <v>82.273972602739747</v>
      </c>
      <c r="AF19" s="28">
        <v>83.178082191780817</v>
      </c>
      <c r="AG19" s="28">
        <v>83.18</v>
      </c>
      <c r="AH19" s="28">
        <v>78</v>
      </c>
    </row>
    <row r="20" spans="2:34">
      <c r="B20">
        <v>19</v>
      </c>
      <c r="C20" t="s">
        <v>82</v>
      </c>
      <c r="D20" t="s">
        <v>19</v>
      </c>
      <c r="E20" t="s">
        <v>707</v>
      </c>
      <c r="F20" s="28">
        <v>20</v>
      </c>
      <c r="G20" s="28">
        <v>20</v>
      </c>
      <c r="H20" s="28">
        <v>20</v>
      </c>
      <c r="I20" s="28">
        <v>20</v>
      </c>
      <c r="J20" s="28">
        <v>20</v>
      </c>
      <c r="K20" s="28">
        <v>20</v>
      </c>
      <c r="L20" s="28">
        <v>20</v>
      </c>
      <c r="M20" s="28">
        <v>20</v>
      </c>
      <c r="N20" s="28">
        <v>14</v>
      </c>
      <c r="O20" s="28">
        <v>14</v>
      </c>
      <c r="P20" s="28">
        <v>14</v>
      </c>
      <c r="Q20" s="28">
        <v>14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21.835616438356162</v>
      </c>
      <c r="AA20" s="28">
        <v>21.835616438356162</v>
      </c>
      <c r="AB20" s="28">
        <v>21.835616438356162</v>
      </c>
      <c r="AC20" s="28">
        <v>21.835616438356162</v>
      </c>
      <c r="AD20" s="28">
        <v>19.726027397260271</v>
      </c>
      <c r="AE20" s="28">
        <v>19.945205479452056</v>
      </c>
      <c r="AF20" s="28">
        <v>20.164383561643834</v>
      </c>
      <c r="AG20" s="28">
        <v>20.16</v>
      </c>
      <c r="AH20" s="28">
        <v>15</v>
      </c>
    </row>
    <row r="21" spans="2:34">
      <c r="B21">
        <v>20</v>
      </c>
      <c r="C21" t="s">
        <v>86</v>
      </c>
      <c r="D21" t="s">
        <v>19</v>
      </c>
      <c r="E21" t="s">
        <v>707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12.5</v>
      </c>
      <c r="O21" s="28">
        <v>12.5</v>
      </c>
      <c r="P21" s="28">
        <v>12.5</v>
      </c>
      <c r="Q21" s="28">
        <v>12.5</v>
      </c>
      <c r="R21" s="28">
        <v>12.5</v>
      </c>
      <c r="S21" s="28">
        <v>12.5</v>
      </c>
      <c r="T21" s="28">
        <v>12.5</v>
      </c>
      <c r="U21" s="28">
        <v>12.5</v>
      </c>
      <c r="V21" s="28">
        <v>14.500000000000002</v>
      </c>
      <c r="W21" s="28">
        <v>22.5</v>
      </c>
      <c r="X21" s="28">
        <v>24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/>
    </row>
    <row r="22" spans="2:34">
      <c r="B22">
        <v>21</v>
      </c>
      <c r="C22" t="s">
        <v>89</v>
      </c>
      <c r="D22" t="s">
        <v>19</v>
      </c>
      <c r="E22" t="s">
        <v>707</v>
      </c>
      <c r="F22" s="28">
        <v>70</v>
      </c>
      <c r="G22" s="28">
        <v>70</v>
      </c>
      <c r="H22" s="28">
        <v>70</v>
      </c>
      <c r="I22" s="28">
        <v>70</v>
      </c>
      <c r="J22" s="28">
        <v>40</v>
      </c>
      <c r="K22" s="28">
        <v>40</v>
      </c>
      <c r="L22" s="28">
        <v>40</v>
      </c>
      <c r="M22" s="28">
        <v>40</v>
      </c>
      <c r="N22" s="28">
        <v>56</v>
      </c>
      <c r="O22" s="28">
        <v>56</v>
      </c>
      <c r="P22" s="28">
        <v>56</v>
      </c>
      <c r="Q22" s="28">
        <v>56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/>
    </row>
    <row r="23" spans="2:34">
      <c r="B23">
        <v>22</v>
      </c>
      <c r="C23" t="s">
        <v>93</v>
      </c>
      <c r="D23" t="s">
        <v>19</v>
      </c>
      <c r="E23" t="s">
        <v>707</v>
      </c>
      <c r="F23" s="28">
        <v>32.5</v>
      </c>
      <c r="G23" s="28">
        <v>32.5</v>
      </c>
      <c r="H23" s="28">
        <v>32.5</v>
      </c>
      <c r="I23" s="28">
        <v>32.5</v>
      </c>
      <c r="J23" s="28">
        <v>63</v>
      </c>
      <c r="K23" s="28">
        <v>63</v>
      </c>
      <c r="L23" s="28">
        <v>63</v>
      </c>
      <c r="M23" s="28">
        <v>63</v>
      </c>
      <c r="N23" s="28">
        <v>73.5</v>
      </c>
      <c r="O23" s="28">
        <v>73.5</v>
      </c>
      <c r="P23" s="28">
        <v>73.5</v>
      </c>
      <c r="Q23" s="28">
        <v>73.5</v>
      </c>
      <c r="R23" s="28">
        <v>84</v>
      </c>
      <c r="S23" s="28">
        <v>84</v>
      </c>
      <c r="T23" s="28">
        <v>84</v>
      </c>
      <c r="U23" s="28">
        <v>84</v>
      </c>
      <c r="V23" s="28">
        <v>69</v>
      </c>
      <c r="W23" s="28">
        <v>69</v>
      </c>
      <c r="X23" s="28">
        <v>69</v>
      </c>
      <c r="Y23" s="28">
        <v>69</v>
      </c>
      <c r="Z23" s="28">
        <v>70.575342465753423</v>
      </c>
      <c r="AA23" s="28">
        <v>70.575342465753423</v>
      </c>
      <c r="AB23" s="28">
        <v>70.575342465753423</v>
      </c>
      <c r="AC23" s="28">
        <v>70.575342465753423</v>
      </c>
      <c r="AD23" s="28">
        <v>69.041095890410958</v>
      </c>
      <c r="AE23" s="28">
        <v>69.808219178082197</v>
      </c>
      <c r="AF23" s="28">
        <v>70.575342465753423</v>
      </c>
      <c r="AG23" s="28">
        <v>70.58</v>
      </c>
      <c r="AH23" s="28">
        <v>70</v>
      </c>
    </row>
    <row r="24" spans="2:34">
      <c r="B24">
        <v>23</v>
      </c>
      <c r="C24" t="s">
        <v>97</v>
      </c>
      <c r="D24" t="s">
        <v>19</v>
      </c>
      <c r="E24" t="s">
        <v>707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25</v>
      </c>
      <c r="AD24" s="28">
        <v>40</v>
      </c>
      <c r="AE24" s="28">
        <v>40</v>
      </c>
      <c r="AF24" s="28">
        <v>40</v>
      </c>
      <c r="AG24" s="28">
        <v>40</v>
      </c>
      <c r="AH24" s="28">
        <v>40</v>
      </c>
    </row>
    <row r="25" spans="2:34">
      <c r="B25">
        <v>24</v>
      </c>
      <c r="C25" t="s">
        <v>100</v>
      </c>
      <c r="D25" t="s">
        <v>19</v>
      </c>
      <c r="E25" t="s">
        <v>707</v>
      </c>
      <c r="F25" s="28">
        <v>27.5</v>
      </c>
      <c r="G25" s="28">
        <v>27.5</v>
      </c>
      <c r="H25" s="28">
        <v>27.5</v>
      </c>
      <c r="I25" s="28">
        <v>27.5</v>
      </c>
      <c r="J25" s="28">
        <v>58</v>
      </c>
      <c r="K25" s="28">
        <v>58</v>
      </c>
      <c r="L25" s="28">
        <v>58</v>
      </c>
      <c r="M25" s="28">
        <v>58</v>
      </c>
      <c r="N25" s="28">
        <v>72</v>
      </c>
      <c r="O25" s="28">
        <v>72</v>
      </c>
      <c r="P25" s="28">
        <v>72</v>
      </c>
      <c r="Q25" s="28">
        <v>72</v>
      </c>
      <c r="R25" s="28">
        <v>33</v>
      </c>
      <c r="S25" s="28">
        <v>33</v>
      </c>
      <c r="T25" s="28">
        <v>33</v>
      </c>
      <c r="U25" s="28">
        <v>33</v>
      </c>
      <c r="V25" s="28">
        <v>32.5</v>
      </c>
      <c r="W25" s="28">
        <v>32.5</v>
      </c>
      <c r="X25" s="28">
        <v>32.5</v>
      </c>
      <c r="Y25" s="28">
        <v>32.5</v>
      </c>
      <c r="Z25" s="28">
        <v>17</v>
      </c>
      <c r="AA25" s="28">
        <v>17</v>
      </c>
      <c r="AB25" s="28">
        <v>17</v>
      </c>
      <c r="AC25" s="28">
        <v>18.904109589041095</v>
      </c>
      <c r="AD25" s="28">
        <v>17.260273972602739</v>
      </c>
      <c r="AE25" s="28">
        <v>17.452054794520549</v>
      </c>
      <c r="AF25" s="28">
        <v>17.643835616438356</v>
      </c>
      <c r="AG25" s="28">
        <v>17.64</v>
      </c>
      <c r="AH25" s="28">
        <v>17</v>
      </c>
    </row>
    <row r="26" spans="2:34">
      <c r="B26">
        <v>25</v>
      </c>
      <c r="C26" t="s">
        <v>103</v>
      </c>
      <c r="D26" t="s">
        <v>19</v>
      </c>
      <c r="E26" t="s">
        <v>707</v>
      </c>
      <c r="F26" s="28">
        <v>200</v>
      </c>
      <c r="G26" s="28">
        <v>200</v>
      </c>
      <c r="H26" s="28">
        <v>200</v>
      </c>
      <c r="I26" s="28">
        <v>200</v>
      </c>
      <c r="J26" s="28">
        <v>181</v>
      </c>
      <c r="K26" s="28">
        <v>181</v>
      </c>
      <c r="L26" s="28">
        <v>181</v>
      </c>
      <c r="M26" s="28">
        <v>181</v>
      </c>
      <c r="N26" s="28">
        <v>191</v>
      </c>
      <c r="O26" s="28">
        <v>191</v>
      </c>
      <c r="P26" s="28">
        <v>191</v>
      </c>
      <c r="Q26" s="28">
        <v>191</v>
      </c>
      <c r="R26" s="28">
        <v>191</v>
      </c>
      <c r="S26" s="28">
        <v>191</v>
      </c>
      <c r="T26" s="28">
        <v>191</v>
      </c>
      <c r="U26" s="28">
        <v>191</v>
      </c>
      <c r="V26" s="28">
        <v>207</v>
      </c>
      <c r="W26" s="28">
        <v>207</v>
      </c>
      <c r="X26" s="28">
        <v>207</v>
      </c>
      <c r="Y26" s="28">
        <v>207</v>
      </c>
      <c r="Z26" s="28">
        <v>262</v>
      </c>
      <c r="AA26" s="28">
        <v>262</v>
      </c>
      <c r="AB26" s="28">
        <v>262</v>
      </c>
      <c r="AC26" s="28">
        <v>294.10958904109589</v>
      </c>
      <c r="AD26" s="28">
        <v>295.89041095890411</v>
      </c>
      <c r="AE26" s="28">
        <v>311.64383561643831</v>
      </c>
      <c r="AF26" s="28">
        <v>310.95890410958901</v>
      </c>
      <c r="AG26" s="28">
        <v>312.63</v>
      </c>
      <c r="AH26" s="28">
        <v>312</v>
      </c>
    </row>
    <row r="27" spans="2:34">
      <c r="B27">
        <v>26</v>
      </c>
      <c r="C27" t="s">
        <v>107</v>
      </c>
      <c r="D27" t="s">
        <v>19</v>
      </c>
      <c r="E27" t="s">
        <v>707</v>
      </c>
      <c r="F27" s="28">
        <v>85</v>
      </c>
      <c r="G27" s="28">
        <v>85</v>
      </c>
      <c r="H27" s="28">
        <v>85</v>
      </c>
      <c r="I27" s="28">
        <v>85</v>
      </c>
      <c r="J27" s="28">
        <v>100</v>
      </c>
      <c r="K27" s="28">
        <v>100</v>
      </c>
      <c r="L27" s="28">
        <v>100</v>
      </c>
      <c r="M27" s="28">
        <v>100</v>
      </c>
      <c r="N27" s="28">
        <v>250</v>
      </c>
      <c r="O27" s="28">
        <v>250</v>
      </c>
      <c r="P27" s="28">
        <v>250</v>
      </c>
      <c r="Q27" s="28">
        <v>250</v>
      </c>
      <c r="R27" s="28">
        <v>280</v>
      </c>
      <c r="S27" s="28">
        <v>280</v>
      </c>
      <c r="T27" s="28">
        <v>280</v>
      </c>
      <c r="U27" s="28">
        <v>280</v>
      </c>
      <c r="V27" s="28">
        <v>355</v>
      </c>
      <c r="W27" s="28">
        <v>393</v>
      </c>
      <c r="X27" s="28">
        <v>279</v>
      </c>
      <c r="Y27" s="28">
        <v>246</v>
      </c>
      <c r="Z27" s="28">
        <v>195</v>
      </c>
      <c r="AA27" s="28">
        <v>195</v>
      </c>
      <c r="AB27" s="28">
        <v>195</v>
      </c>
      <c r="AC27" s="28">
        <v>199.1232876712329</v>
      </c>
      <c r="AD27" s="28">
        <v>197.26027397260273</v>
      </c>
      <c r="AE27" s="28">
        <v>199.45205479452056</v>
      </c>
      <c r="AF27" s="28">
        <v>201.64383561643837</v>
      </c>
      <c r="AG27" s="28">
        <v>201.64</v>
      </c>
      <c r="AH27" s="28">
        <v>199</v>
      </c>
    </row>
    <row r="28" spans="2:34">
      <c r="B28">
        <v>27</v>
      </c>
      <c r="C28" t="s">
        <v>110</v>
      </c>
      <c r="D28" t="s">
        <v>19</v>
      </c>
      <c r="E28" t="s">
        <v>707</v>
      </c>
      <c r="F28" s="28">
        <v>10</v>
      </c>
      <c r="G28" s="28">
        <v>10</v>
      </c>
      <c r="H28" s="28">
        <v>10</v>
      </c>
      <c r="I28" s="28">
        <v>10</v>
      </c>
      <c r="J28" s="28">
        <v>3</v>
      </c>
      <c r="K28" s="28">
        <v>3</v>
      </c>
      <c r="L28" s="28">
        <v>3</v>
      </c>
      <c r="M28" s="28">
        <v>3</v>
      </c>
      <c r="N28" s="28">
        <v>7.5</v>
      </c>
      <c r="O28" s="28">
        <v>7.5</v>
      </c>
      <c r="P28" s="28">
        <v>7.5</v>
      </c>
      <c r="Q28" s="28">
        <v>7.5</v>
      </c>
      <c r="R28" s="28">
        <v>3.5</v>
      </c>
      <c r="S28" s="28">
        <v>3.5</v>
      </c>
      <c r="T28" s="28">
        <v>3.5</v>
      </c>
      <c r="U28" s="28">
        <v>3.5</v>
      </c>
      <c r="V28" s="28">
        <v>12.5</v>
      </c>
      <c r="W28" s="28">
        <v>12.5</v>
      </c>
      <c r="X28" s="28">
        <v>12.5</v>
      </c>
      <c r="Y28" s="28">
        <v>12.5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</row>
    <row r="29" spans="2:34">
      <c r="B29">
        <v>28</v>
      </c>
      <c r="C29" t="s">
        <v>113</v>
      </c>
      <c r="D29" t="s">
        <v>19</v>
      </c>
      <c r="E29" t="s">
        <v>707</v>
      </c>
      <c r="F29" s="28">
        <v>30</v>
      </c>
      <c r="G29" s="28">
        <v>30</v>
      </c>
      <c r="H29" s="28">
        <v>30</v>
      </c>
      <c r="I29" s="28">
        <v>30</v>
      </c>
      <c r="J29" s="28">
        <v>37</v>
      </c>
      <c r="K29" s="28">
        <v>37</v>
      </c>
      <c r="L29" s="28">
        <v>37</v>
      </c>
      <c r="M29" s="28">
        <v>37</v>
      </c>
      <c r="N29" s="28">
        <v>34</v>
      </c>
      <c r="O29" s="28">
        <v>34</v>
      </c>
      <c r="P29" s="28">
        <v>34</v>
      </c>
      <c r="Q29" s="28">
        <v>34</v>
      </c>
      <c r="R29" s="28">
        <v>31.5</v>
      </c>
      <c r="S29" s="28">
        <v>31.5</v>
      </c>
      <c r="T29" s="28">
        <v>31.5</v>
      </c>
      <c r="U29" s="28">
        <v>31.5</v>
      </c>
      <c r="V29" s="28">
        <v>34.5</v>
      </c>
      <c r="W29" s="28">
        <v>34.5</v>
      </c>
      <c r="X29" s="28">
        <v>34.5</v>
      </c>
      <c r="Y29" s="28">
        <v>34.5</v>
      </c>
      <c r="Z29" s="28">
        <v>34.5</v>
      </c>
      <c r="AA29" s="28">
        <v>34.5</v>
      </c>
      <c r="AB29" s="28">
        <v>34.5</v>
      </c>
      <c r="AC29" s="28">
        <v>30</v>
      </c>
      <c r="AD29" s="28">
        <v>30</v>
      </c>
      <c r="AE29" s="28">
        <v>30</v>
      </c>
      <c r="AF29" s="28">
        <v>15</v>
      </c>
      <c r="AG29" s="28">
        <v>21.03</v>
      </c>
      <c r="AH29" s="28">
        <v>20</v>
      </c>
    </row>
    <row r="30" spans="2:34">
      <c r="B30">
        <v>29</v>
      </c>
      <c r="C30" t="s">
        <v>117</v>
      </c>
      <c r="D30" t="s">
        <v>19</v>
      </c>
      <c r="E30" t="s">
        <v>707</v>
      </c>
      <c r="F30" s="28">
        <v>10</v>
      </c>
      <c r="G30" s="28">
        <v>10</v>
      </c>
      <c r="H30" s="28">
        <v>10</v>
      </c>
      <c r="I30" s="28">
        <v>10</v>
      </c>
      <c r="J30" s="28">
        <v>17.5</v>
      </c>
      <c r="K30" s="28">
        <v>17.5</v>
      </c>
      <c r="L30" s="28">
        <v>17.5</v>
      </c>
      <c r="M30" s="28">
        <v>17.5</v>
      </c>
      <c r="N30" s="28">
        <v>17.5</v>
      </c>
      <c r="O30" s="28">
        <v>17.5</v>
      </c>
      <c r="P30" s="28">
        <v>17.5</v>
      </c>
      <c r="Q30" s="28">
        <v>17.5</v>
      </c>
      <c r="R30" s="28">
        <v>17.5</v>
      </c>
      <c r="S30" s="28">
        <v>17.5</v>
      </c>
      <c r="T30" s="28">
        <v>17.5</v>
      </c>
      <c r="U30" s="28">
        <v>17.5</v>
      </c>
      <c r="V30" s="28">
        <v>17.5</v>
      </c>
      <c r="W30" s="28">
        <v>17.5</v>
      </c>
      <c r="X30" s="28">
        <v>17.5</v>
      </c>
      <c r="Y30" s="28">
        <v>17.5</v>
      </c>
      <c r="Z30" s="28">
        <v>18</v>
      </c>
      <c r="AA30" s="28">
        <v>18</v>
      </c>
      <c r="AB30" s="28">
        <v>18</v>
      </c>
      <c r="AC30" s="28">
        <v>22.684931506849313</v>
      </c>
      <c r="AD30" s="28">
        <v>22.191780821917806</v>
      </c>
      <c r="AE30" s="28">
        <v>22.43835616438356</v>
      </c>
      <c r="AF30" s="28">
        <v>22.684931506849313</v>
      </c>
      <c r="AG30" s="28">
        <v>25.21</v>
      </c>
      <c r="AH30" s="28">
        <v>22</v>
      </c>
    </row>
    <row r="31" spans="2:34">
      <c r="B31">
        <v>30</v>
      </c>
      <c r="C31" t="s">
        <v>121</v>
      </c>
      <c r="D31" t="s">
        <v>19</v>
      </c>
      <c r="E31" t="s">
        <v>707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25</v>
      </c>
      <c r="AD31" s="28">
        <v>40</v>
      </c>
      <c r="AE31" s="28">
        <v>40</v>
      </c>
      <c r="AF31" s="28">
        <v>40</v>
      </c>
      <c r="AG31" s="28">
        <v>40</v>
      </c>
      <c r="AH31" s="28">
        <v>40</v>
      </c>
    </row>
    <row r="32" spans="2:34">
      <c r="B32">
        <v>31</v>
      </c>
      <c r="C32" t="s">
        <v>124</v>
      </c>
      <c r="D32" t="s">
        <v>19</v>
      </c>
      <c r="E32" t="s">
        <v>707</v>
      </c>
      <c r="F32" s="28">
        <v>25</v>
      </c>
      <c r="G32" s="28">
        <v>25</v>
      </c>
      <c r="H32" s="28">
        <v>25</v>
      </c>
      <c r="I32" s="28">
        <v>25</v>
      </c>
      <c r="J32" s="28">
        <v>48</v>
      </c>
      <c r="K32" s="28">
        <v>48</v>
      </c>
      <c r="L32" s="28">
        <v>48</v>
      </c>
      <c r="M32" s="28">
        <v>48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75</v>
      </c>
      <c r="AA32" s="28">
        <v>75</v>
      </c>
      <c r="AB32" s="28">
        <v>75</v>
      </c>
      <c r="AC32" s="28">
        <v>80.712328767123282</v>
      </c>
      <c r="AD32" s="28">
        <v>98.630136986301366</v>
      </c>
      <c r="AE32" s="28">
        <v>99.726027397260282</v>
      </c>
      <c r="AF32" s="28">
        <v>100.82191780821918</v>
      </c>
      <c r="AG32" s="28">
        <v>100.82</v>
      </c>
      <c r="AH32" s="28">
        <v>100</v>
      </c>
    </row>
    <row r="33" spans="2:34">
      <c r="B33">
        <v>32</v>
      </c>
      <c r="C33" t="s">
        <v>127</v>
      </c>
      <c r="D33" t="s">
        <v>19</v>
      </c>
      <c r="E33" t="s">
        <v>707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15</v>
      </c>
      <c r="O33" s="28">
        <v>15</v>
      </c>
      <c r="P33" s="28">
        <v>15</v>
      </c>
      <c r="Q33" s="28">
        <v>15</v>
      </c>
      <c r="R33" s="28">
        <v>0</v>
      </c>
      <c r="S33" s="28">
        <v>0</v>
      </c>
      <c r="T33" s="28">
        <v>0</v>
      </c>
      <c r="U33" s="28">
        <v>0</v>
      </c>
      <c r="V33" s="28">
        <v>32.5</v>
      </c>
      <c r="W33" s="28">
        <v>32.5</v>
      </c>
      <c r="X33" s="28">
        <v>32.5</v>
      </c>
      <c r="Y33" s="28">
        <v>32.5</v>
      </c>
      <c r="Z33" s="28">
        <v>20</v>
      </c>
      <c r="AA33" s="28">
        <v>20</v>
      </c>
      <c r="AB33" s="28">
        <v>20</v>
      </c>
      <c r="AC33" s="28">
        <v>20.164383561643834</v>
      </c>
      <c r="AD33" s="28">
        <v>19.726027397260271</v>
      </c>
      <c r="AE33" s="28">
        <v>26.575342465753423</v>
      </c>
      <c r="AF33" s="28">
        <v>35.287671232876711</v>
      </c>
      <c r="AG33" s="28">
        <v>40.36</v>
      </c>
      <c r="AH33" s="28">
        <v>35</v>
      </c>
    </row>
    <row r="34" spans="2:34">
      <c r="B34">
        <v>33</v>
      </c>
      <c r="C34" t="s">
        <v>130</v>
      </c>
      <c r="D34" t="s">
        <v>19</v>
      </c>
      <c r="E34" t="s">
        <v>707</v>
      </c>
      <c r="F34" s="28">
        <v>20</v>
      </c>
      <c r="G34" s="28">
        <v>20</v>
      </c>
      <c r="H34" s="28">
        <v>20</v>
      </c>
      <c r="I34" s="28">
        <v>20</v>
      </c>
      <c r="J34" s="28">
        <v>15</v>
      </c>
      <c r="K34" s="28">
        <v>15</v>
      </c>
      <c r="L34" s="28">
        <v>15</v>
      </c>
      <c r="M34" s="28">
        <v>15</v>
      </c>
      <c r="N34" s="28">
        <v>21</v>
      </c>
      <c r="O34" s="28">
        <v>21</v>
      </c>
      <c r="P34" s="28">
        <v>21</v>
      </c>
      <c r="Q34" s="28">
        <v>21</v>
      </c>
      <c r="R34" s="28">
        <v>21</v>
      </c>
      <c r="S34" s="28">
        <v>21</v>
      </c>
      <c r="T34" s="28">
        <v>21</v>
      </c>
      <c r="U34" s="28">
        <v>21</v>
      </c>
      <c r="V34" s="28">
        <v>25.4</v>
      </c>
      <c r="W34" s="28">
        <v>30</v>
      </c>
      <c r="X34" s="28">
        <v>30.599999999999998</v>
      </c>
      <c r="Y34" s="28">
        <v>30.2</v>
      </c>
      <c r="Z34" s="28">
        <v>27.5</v>
      </c>
      <c r="AA34" s="28">
        <v>27.5</v>
      </c>
      <c r="AB34" s="28">
        <v>27.5</v>
      </c>
      <c r="AC34" s="28">
        <v>30.246575342465754</v>
      </c>
      <c r="AD34" s="28">
        <v>28.739726027397261</v>
      </c>
      <c r="AE34" s="28">
        <v>27.42465753424657</v>
      </c>
      <c r="AF34" s="28">
        <v>27.726027397260268</v>
      </c>
      <c r="AG34" s="28">
        <v>27.73</v>
      </c>
      <c r="AH34" s="28">
        <v>27</v>
      </c>
    </row>
    <row r="35" spans="2:34">
      <c r="B35">
        <v>34</v>
      </c>
      <c r="C35" t="s">
        <v>133</v>
      </c>
      <c r="D35" t="s">
        <v>19</v>
      </c>
      <c r="E35" t="s">
        <v>707</v>
      </c>
      <c r="F35" s="28">
        <v>30</v>
      </c>
      <c r="G35" s="28">
        <v>30</v>
      </c>
      <c r="H35" s="28">
        <v>30</v>
      </c>
      <c r="I35" s="28">
        <v>30</v>
      </c>
      <c r="J35" s="28">
        <v>10</v>
      </c>
      <c r="K35" s="28">
        <v>10</v>
      </c>
      <c r="L35" s="28">
        <v>10</v>
      </c>
      <c r="M35" s="28">
        <v>10</v>
      </c>
      <c r="N35" s="28">
        <v>25</v>
      </c>
      <c r="O35" s="28">
        <v>25</v>
      </c>
      <c r="P35" s="28">
        <v>25</v>
      </c>
      <c r="Q35" s="28">
        <v>25</v>
      </c>
      <c r="R35" s="28">
        <v>30</v>
      </c>
      <c r="S35" s="28">
        <v>30</v>
      </c>
      <c r="T35" s="28">
        <v>30</v>
      </c>
      <c r="U35" s="28">
        <v>30</v>
      </c>
      <c r="V35" s="28">
        <v>37.5</v>
      </c>
      <c r="W35" s="28">
        <v>37.5</v>
      </c>
      <c r="X35" s="28">
        <v>37.5</v>
      </c>
      <c r="Y35" s="28">
        <v>37.5</v>
      </c>
      <c r="Z35" s="28">
        <v>25</v>
      </c>
      <c r="AA35" s="28">
        <v>25</v>
      </c>
      <c r="AB35" s="28">
        <v>25</v>
      </c>
      <c r="AC35" s="28">
        <v>25.205479452054796</v>
      </c>
      <c r="AD35" s="28">
        <v>22.958904109589042</v>
      </c>
      <c r="AE35" s="28">
        <v>19.945205479452056</v>
      </c>
      <c r="AF35" s="28">
        <v>20.164383561643834</v>
      </c>
      <c r="AG35" s="28">
        <v>20.16</v>
      </c>
      <c r="AH35" s="28">
        <v>20</v>
      </c>
    </row>
    <row r="36" spans="2:34">
      <c r="B36">
        <v>35</v>
      </c>
      <c r="C36" t="s">
        <v>137</v>
      </c>
      <c r="D36" t="s">
        <v>19</v>
      </c>
      <c r="E36" t="s">
        <v>707</v>
      </c>
      <c r="F36" s="28">
        <v>90</v>
      </c>
      <c r="G36" s="28">
        <v>90</v>
      </c>
      <c r="H36" s="28">
        <v>90</v>
      </c>
      <c r="I36" s="28">
        <v>90</v>
      </c>
      <c r="J36" s="28">
        <v>50</v>
      </c>
      <c r="K36" s="28">
        <v>50</v>
      </c>
      <c r="L36" s="28">
        <v>50</v>
      </c>
      <c r="M36" s="28">
        <v>50</v>
      </c>
      <c r="N36" s="28">
        <v>75</v>
      </c>
      <c r="O36" s="28">
        <v>75</v>
      </c>
      <c r="P36" s="28">
        <v>75</v>
      </c>
      <c r="Q36" s="28">
        <v>75</v>
      </c>
      <c r="R36" s="28">
        <v>50</v>
      </c>
      <c r="S36" s="28">
        <v>50</v>
      </c>
      <c r="T36" s="28">
        <v>50</v>
      </c>
      <c r="U36" s="28">
        <v>50</v>
      </c>
      <c r="V36" s="28">
        <v>85</v>
      </c>
      <c r="W36" s="28">
        <v>85</v>
      </c>
      <c r="X36" s="28">
        <v>85</v>
      </c>
      <c r="Y36" s="28">
        <v>85</v>
      </c>
      <c r="Z36" s="28">
        <v>100</v>
      </c>
      <c r="AA36" s="28">
        <v>100</v>
      </c>
      <c r="AB36" s="28">
        <v>100</v>
      </c>
      <c r="AC36" s="28">
        <v>126.02739726027397</v>
      </c>
      <c r="AD36" s="28">
        <v>123.28767123287672</v>
      </c>
      <c r="AE36" s="28">
        <v>119.64383561643837</v>
      </c>
      <c r="AF36" s="28">
        <v>118.46575342465755</v>
      </c>
      <c r="AG36" s="28">
        <v>108.38</v>
      </c>
      <c r="AH36" s="28">
        <v>100</v>
      </c>
    </row>
    <row r="37" spans="2:34">
      <c r="B37">
        <v>36</v>
      </c>
      <c r="C37" t="s">
        <v>140</v>
      </c>
      <c r="D37" t="s">
        <v>19</v>
      </c>
      <c r="E37" t="s">
        <v>707</v>
      </c>
      <c r="F37" s="28">
        <v>55</v>
      </c>
      <c r="G37" s="28">
        <v>55</v>
      </c>
      <c r="H37" s="28">
        <v>55</v>
      </c>
      <c r="I37" s="28">
        <v>55</v>
      </c>
      <c r="J37" s="28">
        <v>40</v>
      </c>
      <c r="K37" s="28">
        <v>40</v>
      </c>
      <c r="L37" s="28">
        <v>40</v>
      </c>
      <c r="M37" s="28">
        <v>40</v>
      </c>
      <c r="N37" s="28">
        <v>37</v>
      </c>
      <c r="O37" s="28">
        <v>37</v>
      </c>
      <c r="P37" s="28">
        <v>37</v>
      </c>
      <c r="Q37" s="28">
        <v>37</v>
      </c>
      <c r="R37" s="28">
        <v>7.5</v>
      </c>
      <c r="S37" s="28">
        <v>7.5</v>
      </c>
      <c r="T37" s="28">
        <v>7.5</v>
      </c>
      <c r="U37" s="28">
        <v>7.5</v>
      </c>
      <c r="V37" s="28">
        <v>27.5</v>
      </c>
      <c r="W37" s="28">
        <v>27.5</v>
      </c>
      <c r="X37" s="28">
        <v>27.5</v>
      </c>
      <c r="Y37" s="28">
        <v>27.5</v>
      </c>
      <c r="Z37" s="28">
        <v>27.5</v>
      </c>
      <c r="AA37" s="28">
        <v>27.5</v>
      </c>
      <c r="AB37" s="28">
        <v>27.5</v>
      </c>
      <c r="AC37" s="28">
        <v>25.205479452054796</v>
      </c>
      <c r="AD37" s="28">
        <v>24.657534246575342</v>
      </c>
      <c r="AE37" s="28">
        <v>32.452054794520549</v>
      </c>
      <c r="AF37" s="28">
        <v>36.547945205479451</v>
      </c>
      <c r="AG37" s="28">
        <v>31.05</v>
      </c>
      <c r="AH37" s="28">
        <v>25</v>
      </c>
    </row>
    <row r="38" spans="2:34">
      <c r="B38">
        <v>37</v>
      </c>
      <c r="C38" t="s">
        <v>143</v>
      </c>
      <c r="D38" t="s">
        <v>19</v>
      </c>
      <c r="E38" t="s">
        <v>707</v>
      </c>
      <c r="F38" s="28">
        <v>30</v>
      </c>
      <c r="G38" s="28">
        <v>30</v>
      </c>
      <c r="H38" s="28">
        <v>30</v>
      </c>
      <c r="I38" s="28">
        <v>30</v>
      </c>
      <c r="J38" s="28">
        <v>19</v>
      </c>
      <c r="K38" s="28">
        <v>19</v>
      </c>
      <c r="L38" s="28">
        <v>19</v>
      </c>
      <c r="M38" s="28">
        <v>19</v>
      </c>
      <c r="N38" s="28">
        <v>15</v>
      </c>
      <c r="O38" s="28">
        <v>15</v>
      </c>
      <c r="P38" s="28">
        <v>15</v>
      </c>
      <c r="Q38" s="28">
        <v>15</v>
      </c>
      <c r="R38" s="28">
        <v>18</v>
      </c>
      <c r="S38" s="28">
        <v>18</v>
      </c>
      <c r="T38" s="28">
        <v>18</v>
      </c>
      <c r="U38" s="28">
        <v>18</v>
      </c>
      <c r="V38" s="28">
        <v>17.5</v>
      </c>
      <c r="W38" s="28">
        <v>17.5</v>
      </c>
      <c r="X38" s="28">
        <v>17.5</v>
      </c>
      <c r="Y38" s="28">
        <v>17.5</v>
      </c>
      <c r="Z38" s="28">
        <v>18</v>
      </c>
      <c r="AA38" s="28">
        <v>18</v>
      </c>
      <c r="AB38" s="28">
        <v>18</v>
      </c>
      <c r="AC38" s="28">
        <v>17.643835616438356</v>
      </c>
      <c r="AD38" s="28">
        <v>17.260273972602739</v>
      </c>
      <c r="AE38" s="28">
        <v>17.452054794520549</v>
      </c>
      <c r="AF38" s="28">
        <v>17.643835616438356</v>
      </c>
      <c r="AG38" s="28">
        <v>15.12</v>
      </c>
      <c r="AH38" s="28">
        <v>17</v>
      </c>
    </row>
    <row r="39" spans="2:34">
      <c r="B39">
        <v>38</v>
      </c>
      <c r="C39" t="s">
        <v>148</v>
      </c>
      <c r="D39" t="s">
        <v>19</v>
      </c>
      <c r="E39" t="s">
        <v>707</v>
      </c>
      <c r="F39" s="28">
        <v>62.5</v>
      </c>
      <c r="G39" s="28">
        <v>62.5</v>
      </c>
      <c r="H39" s="28">
        <v>62.5</v>
      </c>
      <c r="I39" s="28">
        <v>62.5</v>
      </c>
      <c r="J39" s="28">
        <v>38</v>
      </c>
      <c r="K39" s="28">
        <v>38</v>
      </c>
      <c r="L39" s="28">
        <v>38</v>
      </c>
      <c r="M39" s="28">
        <v>38</v>
      </c>
      <c r="N39" s="28">
        <v>54</v>
      </c>
      <c r="O39" s="28">
        <v>54</v>
      </c>
      <c r="P39" s="28">
        <v>54</v>
      </c>
      <c r="Q39" s="28">
        <v>54</v>
      </c>
      <c r="R39" s="28">
        <v>63</v>
      </c>
      <c r="S39" s="28">
        <v>63</v>
      </c>
      <c r="T39" s="28">
        <v>63</v>
      </c>
      <c r="U39" s="28">
        <v>63</v>
      </c>
      <c r="V39" s="28">
        <v>65</v>
      </c>
      <c r="W39" s="28">
        <v>65</v>
      </c>
      <c r="X39" s="28">
        <v>65</v>
      </c>
      <c r="Y39" s="28">
        <v>65</v>
      </c>
      <c r="Z39" s="28">
        <v>65</v>
      </c>
      <c r="AA39" s="28">
        <v>65</v>
      </c>
      <c r="AB39" s="28">
        <v>65</v>
      </c>
      <c r="AC39" s="28">
        <v>53</v>
      </c>
      <c r="AD39" s="28">
        <v>52</v>
      </c>
      <c r="AE39" s="28">
        <v>55</v>
      </c>
      <c r="AF39" s="28">
        <v>56</v>
      </c>
      <c r="AG39" s="28">
        <v>55</v>
      </c>
      <c r="AH39" s="28">
        <v>55</v>
      </c>
    </row>
    <row r="40" spans="2:34">
      <c r="B40">
        <v>39</v>
      </c>
      <c r="C40" t="s">
        <v>151</v>
      </c>
      <c r="D40" t="s">
        <v>19</v>
      </c>
      <c r="E40" t="s">
        <v>707</v>
      </c>
      <c r="F40" s="28">
        <v>62.5</v>
      </c>
      <c r="G40" s="28">
        <v>62.5</v>
      </c>
      <c r="H40" s="28">
        <v>62.5</v>
      </c>
      <c r="I40" s="28">
        <v>62.5</v>
      </c>
      <c r="J40" s="28">
        <v>36</v>
      </c>
      <c r="K40" s="28">
        <v>36</v>
      </c>
      <c r="L40" s="28">
        <v>36</v>
      </c>
      <c r="M40" s="28">
        <v>36</v>
      </c>
      <c r="N40" s="28">
        <v>54</v>
      </c>
      <c r="O40" s="28">
        <v>54</v>
      </c>
      <c r="P40" s="28">
        <v>54</v>
      </c>
      <c r="Q40" s="28">
        <v>54</v>
      </c>
      <c r="R40" s="28">
        <v>63</v>
      </c>
      <c r="S40" s="28">
        <v>63</v>
      </c>
      <c r="T40" s="28">
        <v>63</v>
      </c>
      <c r="U40" s="28">
        <v>63</v>
      </c>
      <c r="V40" s="28">
        <v>64</v>
      </c>
      <c r="W40" s="28">
        <v>64</v>
      </c>
      <c r="X40" s="28">
        <v>64</v>
      </c>
      <c r="Y40" s="28">
        <v>64</v>
      </c>
      <c r="Z40" s="28">
        <v>64</v>
      </c>
      <c r="AA40" s="28">
        <v>64</v>
      </c>
      <c r="AB40" s="28">
        <v>64</v>
      </c>
      <c r="AC40" s="28">
        <v>53</v>
      </c>
      <c r="AD40" s="28">
        <v>52</v>
      </c>
      <c r="AE40" s="28">
        <v>55</v>
      </c>
      <c r="AF40" s="28">
        <v>56</v>
      </c>
      <c r="AG40" s="28">
        <v>51</v>
      </c>
      <c r="AH40" s="28">
        <v>51</v>
      </c>
    </row>
    <row r="41" spans="2:34">
      <c r="B41">
        <v>40</v>
      </c>
      <c r="C41" t="s">
        <v>153</v>
      </c>
      <c r="D41" t="s">
        <v>19</v>
      </c>
      <c r="E41" t="s">
        <v>707</v>
      </c>
      <c r="F41" s="28">
        <v>46</v>
      </c>
      <c r="G41" s="28">
        <v>46</v>
      </c>
      <c r="H41" s="28">
        <v>46</v>
      </c>
      <c r="I41" s="28">
        <v>46</v>
      </c>
      <c r="J41" s="28">
        <v>25</v>
      </c>
      <c r="K41" s="28">
        <v>25</v>
      </c>
      <c r="L41" s="28">
        <v>25</v>
      </c>
      <c r="M41" s="28">
        <v>25</v>
      </c>
      <c r="N41" s="28">
        <v>35</v>
      </c>
      <c r="O41" s="28">
        <v>35</v>
      </c>
      <c r="P41" s="28">
        <v>35</v>
      </c>
      <c r="Q41" s="28">
        <v>35</v>
      </c>
      <c r="R41" s="28">
        <v>45</v>
      </c>
      <c r="S41" s="28">
        <v>45</v>
      </c>
      <c r="T41" s="28">
        <v>45</v>
      </c>
      <c r="U41" s="28">
        <v>45</v>
      </c>
      <c r="V41" s="28">
        <v>44</v>
      </c>
      <c r="W41" s="28">
        <v>44</v>
      </c>
      <c r="X41" s="28">
        <v>44</v>
      </c>
      <c r="Y41" s="28">
        <v>44</v>
      </c>
      <c r="Z41" s="28">
        <v>44</v>
      </c>
      <c r="AA41" s="28">
        <v>44</v>
      </c>
      <c r="AB41" s="28">
        <v>44</v>
      </c>
      <c r="AC41" s="28">
        <v>50</v>
      </c>
      <c r="AD41" s="28">
        <v>55</v>
      </c>
      <c r="AE41" s="28">
        <v>58</v>
      </c>
      <c r="AF41" s="28">
        <v>55</v>
      </c>
      <c r="AG41" s="28">
        <v>55.4</v>
      </c>
      <c r="AH41" s="28">
        <v>55</v>
      </c>
    </row>
    <row r="42" spans="2:34">
      <c r="B42">
        <v>41</v>
      </c>
      <c r="C42" t="s">
        <v>157</v>
      </c>
      <c r="D42" t="s">
        <v>19</v>
      </c>
      <c r="E42" t="s">
        <v>707</v>
      </c>
      <c r="F42" s="28">
        <v>60</v>
      </c>
      <c r="G42" s="28">
        <v>60</v>
      </c>
      <c r="H42" s="28">
        <v>60</v>
      </c>
      <c r="I42" s="28">
        <v>60</v>
      </c>
      <c r="J42" s="28">
        <v>61</v>
      </c>
      <c r="K42" s="28">
        <v>61</v>
      </c>
      <c r="L42" s="28">
        <v>61</v>
      </c>
      <c r="M42" s="28">
        <v>61</v>
      </c>
      <c r="N42" s="28">
        <v>86</v>
      </c>
      <c r="O42" s="28">
        <v>86</v>
      </c>
      <c r="P42" s="28">
        <v>86</v>
      </c>
      <c r="Q42" s="28">
        <v>86</v>
      </c>
      <c r="R42" s="28">
        <v>116.5</v>
      </c>
      <c r="S42" s="28">
        <v>116.5</v>
      </c>
      <c r="T42" s="28">
        <v>116.5</v>
      </c>
      <c r="U42" s="28">
        <v>116.5</v>
      </c>
      <c r="V42" s="28">
        <v>100</v>
      </c>
      <c r="W42" s="28">
        <v>100</v>
      </c>
      <c r="X42" s="28">
        <v>100</v>
      </c>
      <c r="Y42" s="28">
        <v>100</v>
      </c>
      <c r="Z42" s="28">
        <v>75</v>
      </c>
      <c r="AA42" s="28">
        <v>75</v>
      </c>
      <c r="AB42" s="28">
        <v>75</v>
      </c>
      <c r="AC42" s="28">
        <v>88.219178082191775</v>
      </c>
      <c r="AD42" s="28">
        <v>86.30136986301369</v>
      </c>
      <c r="AE42" s="28">
        <v>79.041095890410958</v>
      </c>
      <c r="AF42" s="28">
        <v>63.013698630136986</v>
      </c>
      <c r="AG42" s="28">
        <v>65.56</v>
      </c>
      <c r="AH42" s="28">
        <v>60</v>
      </c>
    </row>
    <row r="43" spans="2:34">
      <c r="B43">
        <v>42</v>
      </c>
      <c r="C43" t="s">
        <v>161</v>
      </c>
      <c r="D43" t="s">
        <v>19</v>
      </c>
      <c r="E43" t="s">
        <v>707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33.150684931506845</v>
      </c>
      <c r="AF43" s="28">
        <v>71.780821917808211</v>
      </c>
      <c r="AG43" s="28">
        <v>40.33</v>
      </c>
      <c r="AH43" s="28">
        <v>40</v>
      </c>
    </row>
    <row r="44" spans="2:34">
      <c r="B44">
        <v>43</v>
      </c>
      <c r="C44" t="s">
        <v>164</v>
      </c>
      <c r="D44" t="s">
        <v>19</v>
      </c>
      <c r="E44" t="s">
        <v>707</v>
      </c>
      <c r="F44" s="28">
        <v>125</v>
      </c>
      <c r="G44" s="28">
        <v>125</v>
      </c>
      <c r="H44" s="28">
        <v>125</v>
      </c>
      <c r="I44" s="28">
        <v>125</v>
      </c>
      <c r="J44" s="28">
        <v>125</v>
      </c>
      <c r="K44" s="28">
        <v>125</v>
      </c>
      <c r="L44" s="28">
        <v>125</v>
      </c>
      <c r="M44" s="28">
        <v>125</v>
      </c>
      <c r="N44" s="28">
        <v>125</v>
      </c>
      <c r="O44" s="28">
        <v>125</v>
      </c>
      <c r="P44" s="28">
        <v>125</v>
      </c>
      <c r="Q44" s="28">
        <v>125</v>
      </c>
      <c r="R44" s="28">
        <v>125</v>
      </c>
      <c r="S44" s="28">
        <v>125</v>
      </c>
      <c r="T44" s="28">
        <v>125</v>
      </c>
      <c r="U44" s="28">
        <v>125</v>
      </c>
      <c r="V44" s="28">
        <v>125</v>
      </c>
      <c r="W44" s="28">
        <v>125</v>
      </c>
      <c r="X44" s="28">
        <v>125</v>
      </c>
      <c r="Y44" s="28">
        <v>125</v>
      </c>
      <c r="Z44" s="28">
        <v>125</v>
      </c>
      <c r="AA44" s="28">
        <v>125</v>
      </c>
      <c r="AB44" s="28">
        <v>125</v>
      </c>
      <c r="AC44" s="28">
        <v>120.98630136986301</v>
      </c>
      <c r="AD44" s="28">
        <v>118.35616438356163</v>
      </c>
      <c r="AE44" s="28">
        <v>119.67123287671232</v>
      </c>
      <c r="AF44" s="28">
        <v>120.98630136986301</v>
      </c>
      <c r="AG44" s="28">
        <v>126</v>
      </c>
      <c r="AH44" s="28">
        <v>126</v>
      </c>
    </row>
    <row r="45" spans="2:34">
      <c r="B45">
        <v>44</v>
      </c>
      <c r="C45" t="s">
        <v>168</v>
      </c>
      <c r="D45" t="s">
        <v>19</v>
      </c>
      <c r="E45" t="s">
        <v>707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25.205479452054796</v>
      </c>
      <c r="AD45" s="28">
        <v>45.479452054794521</v>
      </c>
      <c r="AE45" s="28">
        <v>99.726027397260282</v>
      </c>
      <c r="AF45" s="28">
        <v>100.82191780821918</v>
      </c>
      <c r="AG45" s="28">
        <v>100.82</v>
      </c>
      <c r="AH45" s="28">
        <v>100</v>
      </c>
    </row>
    <row r="46" spans="2:34">
      <c r="B46">
        <v>45</v>
      </c>
      <c r="C46" t="s">
        <v>171</v>
      </c>
      <c r="D46" t="s">
        <v>19</v>
      </c>
      <c r="E46" t="s">
        <v>707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12.3</v>
      </c>
      <c r="X46" s="28">
        <v>172</v>
      </c>
      <c r="Y46" s="28">
        <v>197</v>
      </c>
      <c r="Z46" s="28">
        <v>120</v>
      </c>
      <c r="AA46" s="28">
        <v>130</v>
      </c>
      <c r="AB46" s="28">
        <v>140</v>
      </c>
      <c r="AC46" s="28">
        <v>150</v>
      </c>
      <c r="AD46" s="28">
        <v>175</v>
      </c>
      <c r="AE46" s="28">
        <v>175</v>
      </c>
      <c r="AF46" s="28">
        <v>175</v>
      </c>
      <c r="AG46" s="28">
        <v>172</v>
      </c>
      <c r="AH46" s="28">
        <v>170</v>
      </c>
    </row>
    <row r="47" spans="2:34">
      <c r="B47">
        <v>46</v>
      </c>
      <c r="C47" t="s">
        <v>174</v>
      </c>
      <c r="D47" t="s">
        <v>19</v>
      </c>
      <c r="E47" t="s">
        <v>707</v>
      </c>
      <c r="F47" s="28">
        <v>45</v>
      </c>
      <c r="G47" s="28">
        <v>45</v>
      </c>
      <c r="H47" s="28">
        <v>45</v>
      </c>
      <c r="I47" s="28">
        <v>45</v>
      </c>
      <c r="J47" s="28">
        <v>84</v>
      </c>
      <c r="K47" s="28">
        <v>84</v>
      </c>
      <c r="L47" s="28">
        <v>84</v>
      </c>
      <c r="M47" s="28">
        <v>84</v>
      </c>
      <c r="N47" s="28">
        <v>84</v>
      </c>
      <c r="O47" s="28">
        <v>84</v>
      </c>
      <c r="P47" s="28">
        <v>84</v>
      </c>
      <c r="Q47" s="28">
        <v>84</v>
      </c>
      <c r="R47" s="28">
        <v>186</v>
      </c>
      <c r="S47" s="28">
        <v>186</v>
      </c>
      <c r="T47" s="28">
        <v>186</v>
      </c>
      <c r="U47" s="28">
        <v>186</v>
      </c>
      <c r="V47" s="28">
        <v>248</v>
      </c>
      <c r="W47" s="28">
        <v>258</v>
      </c>
      <c r="X47" s="28">
        <v>219</v>
      </c>
      <c r="Y47" s="28">
        <v>168</v>
      </c>
      <c r="Z47" s="28">
        <v>225</v>
      </c>
      <c r="AA47" s="28">
        <v>225</v>
      </c>
      <c r="AB47" s="28">
        <v>225</v>
      </c>
      <c r="AC47" s="28">
        <v>201.64383561643837</v>
      </c>
      <c r="AD47" s="28">
        <v>204.05479452054794</v>
      </c>
      <c r="AE47" s="28">
        <v>219.39726027397256</v>
      </c>
      <c r="AF47" s="28">
        <v>223.45205479452051</v>
      </c>
      <c r="AG47" s="28">
        <v>221.81</v>
      </c>
      <c r="AH47" s="28">
        <v>210</v>
      </c>
    </row>
    <row r="48" spans="2:34">
      <c r="B48">
        <v>47</v>
      </c>
      <c r="C48" t="s">
        <v>178</v>
      </c>
      <c r="D48" t="s">
        <v>19</v>
      </c>
      <c r="E48" t="s">
        <v>707</v>
      </c>
      <c r="F48" s="28">
        <v>90</v>
      </c>
      <c r="G48" s="28">
        <v>90</v>
      </c>
      <c r="H48" s="28">
        <v>90</v>
      </c>
      <c r="I48" s="28">
        <v>90</v>
      </c>
      <c r="J48" s="28">
        <v>52.5</v>
      </c>
      <c r="K48" s="28">
        <v>52.5</v>
      </c>
      <c r="L48" s="28">
        <v>52.5</v>
      </c>
      <c r="M48" s="28">
        <v>52.5</v>
      </c>
      <c r="N48" s="28">
        <v>73.5</v>
      </c>
      <c r="O48" s="28">
        <v>73.5</v>
      </c>
      <c r="P48" s="28">
        <v>73.5</v>
      </c>
      <c r="Q48" s="28">
        <v>73.5</v>
      </c>
      <c r="R48" s="28">
        <v>63</v>
      </c>
      <c r="S48" s="28">
        <v>63</v>
      </c>
      <c r="T48" s="28">
        <v>63</v>
      </c>
      <c r="U48" s="28">
        <v>63</v>
      </c>
      <c r="V48" s="28">
        <v>105.5</v>
      </c>
      <c r="W48" s="28">
        <v>105</v>
      </c>
      <c r="X48" s="28">
        <v>105</v>
      </c>
      <c r="Y48" s="28">
        <v>76</v>
      </c>
      <c r="Z48" s="28">
        <v>97.5</v>
      </c>
      <c r="AA48" s="28">
        <v>97.5</v>
      </c>
      <c r="AB48" s="28">
        <v>97.5</v>
      </c>
      <c r="AC48" s="28">
        <v>100.82191780821918</v>
      </c>
      <c r="AD48" s="28">
        <v>96.082191780821915</v>
      </c>
      <c r="AE48" s="28">
        <v>92.246575342465761</v>
      </c>
      <c r="AF48" s="28">
        <v>93.260273972602747</v>
      </c>
      <c r="AG48" s="28">
        <v>93.26</v>
      </c>
      <c r="AH48" s="28">
        <v>90</v>
      </c>
    </row>
    <row r="49" spans="2:34">
      <c r="B49">
        <v>48</v>
      </c>
      <c r="C49" t="s">
        <v>181</v>
      </c>
      <c r="D49" t="s">
        <v>19</v>
      </c>
      <c r="E49" t="s">
        <v>707</v>
      </c>
      <c r="F49" s="28">
        <v>125</v>
      </c>
      <c r="G49" s="28">
        <v>125</v>
      </c>
      <c r="H49" s="28">
        <v>125</v>
      </c>
      <c r="I49" s="28">
        <v>125</v>
      </c>
      <c r="J49" s="28">
        <v>236</v>
      </c>
      <c r="K49" s="28">
        <v>236</v>
      </c>
      <c r="L49" s="28">
        <v>236</v>
      </c>
      <c r="M49" s="28">
        <v>236</v>
      </c>
      <c r="N49" s="28">
        <v>236</v>
      </c>
      <c r="O49" s="28">
        <v>236</v>
      </c>
      <c r="P49" s="28">
        <v>236</v>
      </c>
      <c r="Q49" s="28">
        <v>236</v>
      </c>
      <c r="R49" s="28">
        <v>287</v>
      </c>
      <c r="S49" s="28">
        <v>287</v>
      </c>
      <c r="T49" s="28">
        <v>287</v>
      </c>
      <c r="U49" s="28">
        <v>287</v>
      </c>
      <c r="V49" s="28">
        <v>320</v>
      </c>
      <c r="W49" s="28">
        <v>332</v>
      </c>
      <c r="X49" s="28">
        <v>336</v>
      </c>
      <c r="Y49" s="28">
        <v>335</v>
      </c>
      <c r="Z49" s="28">
        <v>332.5</v>
      </c>
      <c r="AA49" s="28">
        <v>332.5</v>
      </c>
      <c r="AB49" s="28">
        <v>332.5</v>
      </c>
      <c r="AC49" s="28">
        <v>310.82191780821915</v>
      </c>
      <c r="AD49" s="28">
        <v>295.89041095890411</v>
      </c>
      <c r="AE49" s="28">
        <v>299.17808219178079</v>
      </c>
      <c r="AF49" s="28">
        <v>302.46575342465752</v>
      </c>
      <c r="AG49" s="28">
        <v>315.07</v>
      </c>
      <c r="AH49" s="28">
        <v>300</v>
      </c>
    </row>
    <row r="50" spans="2:34">
      <c r="B50">
        <v>49</v>
      </c>
      <c r="C50" t="s">
        <v>185</v>
      </c>
      <c r="D50" t="s">
        <v>19</v>
      </c>
      <c r="E50" t="s">
        <v>707</v>
      </c>
      <c r="F50" s="28">
        <v>5</v>
      </c>
      <c r="G50" s="28">
        <v>5</v>
      </c>
      <c r="H50" s="28">
        <v>5</v>
      </c>
      <c r="I50" s="28">
        <v>5</v>
      </c>
      <c r="J50" s="28">
        <v>17.5</v>
      </c>
      <c r="K50" s="28">
        <v>17.5</v>
      </c>
      <c r="L50" s="28">
        <v>17.5</v>
      </c>
      <c r="M50" s="28">
        <v>17.5</v>
      </c>
      <c r="N50" s="28">
        <v>12.5</v>
      </c>
      <c r="O50" s="28">
        <v>12.5</v>
      </c>
      <c r="P50" s="28">
        <v>12.5</v>
      </c>
      <c r="Q50" s="28">
        <v>12.5</v>
      </c>
      <c r="R50" s="28">
        <v>15</v>
      </c>
      <c r="S50" s="28">
        <v>15</v>
      </c>
      <c r="T50" s="28">
        <v>15</v>
      </c>
      <c r="U50" s="28">
        <v>15</v>
      </c>
      <c r="V50" s="28">
        <v>10</v>
      </c>
      <c r="W50" s="28">
        <v>10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/>
      <c r="AH50" s="28">
        <v>0</v>
      </c>
    </row>
    <row r="51" spans="2:34">
      <c r="B51">
        <v>50</v>
      </c>
      <c r="C51" t="s">
        <v>188</v>
      </c>
      <c r="D51" t="s">
        <v>19</v>
      </c>
      <c r="E51" t="s">
        <v>707</v>
      </c>
      <c r="F51" s="28">
        <v>30</v>
      </c>
      <c r="G51" s="28">
        <v>30</v>
      </c>
      <c r="H51" s="28">
        <v>30</v>
      </c>
      <c r="I51" s="28">
        <v>30</v>
      </c>
      <c r="J51" s="28">
        <v>17.5</v>
      </c>
      <c r="K51" s="28">
        <v>17.5</v>
      </c>
      <c r="L51" s="28">
        <v>17.5</v>
      </c>
      <c r="M51" s="28">
        <v>17.5</v>
      </c>
      <c r="N51" s="28">
        <v>24.5</v>
      </c>
      <c r="O51" s="28">
        <v>24.5</v>
      </c>
      <c r="P51" s="28">
        <v>24.5</v>
      </c>
      <c r="Q51" s="28">
        <v>24.5</v>
      </c>
      <c r="R51" s="28">
        <v>24.5</v>
      </c>
      <c r="S51" s="28">
        <v>24.5</v>
      </c>
      <c r="T51" s="28">
        <v>24.5</v>
      </c>
      <c r="U51" s="28">
        <v>24.5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/>
      <c r="AH51" s="28">
        <v>0</v>
      </c>
    </row>
    <row r="52" spans="2:34">
      <c r="B52">
        <v>51</v>
      </c>
      <c r="C52" t="s">
        <v>192</v>
      </c>
      <c r="D52" t="s">
        <v>19</v>
      </c>
      <c r="E52" t="s">
        <v>707</v>
      </c>
      <c r="F52" s="28">
        <v>27.5</v>
      </c>
      <c r="G52" s="28">
        <v>27.5</v>
      </c>
      <c r="H52" s="28">
        <v>27.5</v>
      </c>
      <c r="I52" s="28">
        <v>27.5</v>
      </c>
      <c r="J52" s="28">
        <v>31</v>
      </c>
      <c r="K52" s="28">
        <v>31</v>
      </c>
      <c r="L52" s="28">
        <v>31</v>
      </c>
      <c r="M52" s="28">
        <v>31</v>
      </c>
      <c r="N52" s="28">
        <v>44</v>
      </c>
      <c r="O52" s="28">
        <v>44</v>
      </c>
      <c r="P52" s="28">
        <v>44</v>
      </c>
      <c r="Q52" s="28">
        <v>44</v>
      </c>
      <c r="R52" s="28">
        <v>44</v>
      </c>
      <c r="S52" s="28">
        <v>44</v>
      </c>
      <c r="T52" s="28">
        <v>44</v>
      </c>
      <c r="U52" s="28">
        <v>44</v>
      </c>
      <c r="V52" s="28">
        <v>45</v>
      </c>
      <c r="W52" s="28">
        <v>45</v>
      </c>
      <c r="X52" s="28">
        <v>45</v>
      </c>
      <c r="Y52" s="28">
        <v>45</v>
      </c>
      <c r="Z52" s="28">
        <v>87.5</v>
      </c>
      <c r="AA52" s="28">
        <v>87.5</v>
      </c>
      <c r="AB52" s="28">
        <v>87.5</v>
      </c>
      <c r="AC52" s="28">
        <v>100.82191780821918</v>
      </c>
      <c r="AD52" s="28">
        <v>110.95890410958904</v>
      </c>
      <c r="AE52" s="28">
        <v>112.1917808219178</v>
      </c>
      <c r="AF52" s="28">
        <v>113.42465753424656</v>
      </c>
      <c r="AG52" s="28">
        <v>113.42</v>
      </c>
      <c r="AH52" s="28">
        <v>100</v>
      </c>
    </row>
    <row r="53" spans="2:34">
      <c r="B53">
        <v>52</v>
      </c>
      <c r="C53" t="s">
        <v>194</v>
      </c>
      <c r="D53" t="s">
        <v>19</v>
      </c>
      <c r="E53" t="s">
        <v>707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/>
    </row>
    <row r="54" spans="2:34">
      <c r="B54">
        <v>53</v>
      </c>
      <c r="C54" t="s">
        <v>197</v>
      </c>
      <c r="D54" t="s">
        <v>19</v>
      </c>
      <c r="E54" t="s">
        <v>707</v>
      </c>
      <c r="F54" s="28">
        <v>50</v>
      </c>
      <c r="G54" s="28">
        <v>50</v>
      </c>
      <c r="H54" s="28">
        <v>50</v>
      </c>
      <c r="I54" s="28">
        <v>50</v>
      </c>
      <c r="J54" s="28">
        <v>44</v>
      </c>
      <c r="K54" s="28">
        <v>44</v>
      </c>
      <c r="L54" s="28">
        <v>44</v>
      </c>
      <c r="M54" s="28">
        <v>44</v>
      </c>
      <c r="N54" s="28">
        <v>64.5</v>
      </c>
      <c r="O54" s="28">
        <v>64.5</v>
      </c>
      <c r="P54" s="28">
        <v>64.5</v>
      </c>
      <c r="Q54" s="28">
        <v>64.5</v>
      </c>
      <c r="R54" s="28">
        <v>68</v>
      </c>
      <c r="S54" s="28">
        <v>68</v>
      </c>
      <c r="T54" s="28">
        <v>68</v>
      </c>
      <c r="U54" s="28">
        <v>68</v>
      </c>
      <c r="V54" s="28">
        <v>80</v>
      </c>
      <c r="W54" s="28">
        <v>80</v>
      </c>
      <c r="X54" s="28">
        <v>80</v>
      </c>
      <c r="Y54" s="28">
        <v>80</v>
      </c>
      <c r="Z54" s="28">
        <v>62.5</v>
      </c>
      <c r="AA54" s="28">
        <v>62.5</v>
      </c>
      <c r="AB54" s="28">
        <v>62.5</v>
      </c>
      <c r="AC54" s="28">
        <v>62.5</v>
      </c>
      <c r="AD54" s="28">
        <v>0</v>
      </c>
      <c r="AE54" s="28">
        <v>0</v>
      </c>
      <c r="AF54" s="28">
        <v>0</v>
      </c>
      <c r="AG54" s="28"/>
    </row>
    <row r="55" spans="2:34">
      <c r="B55">
        <v>54</v>
      </c>
      <c r="C55" t="s">
        <v>200</v>
      </c>
      <c r="D55" t="s">
        <v>19</v>
      </c>
      <c r="E55" t="s">
        <v>707</v>
      </c>
      <c r="F55" s="28">
        <v>95</v>
      </c>
      <c r="G55" s="28">
        <v>95</v>
      </c>
      <c r="H55" s="28">
        <v>95</v>
      </c>
      <c r="I55" s="28">
        <v>95</v>
      </c>
      <c r="J55" s="28">
        <v>69</v>
      </c>
      <c r="K55" s="28">
        <v>69</v>
      </c>
      <c r="L55" s="28">
        <v>69</v>
      </c>
      <c r="M55" s="28">
        <v>69</v>
      </c>
      <c r="N55" s="28">
        <v>53</v>
      </c>
      <c r="O55" s="28">
        <v>53</v>
      </c>
      <c r="P55" s="28">
        <v>53</v>
      </c>
      <c r="Q55" s="28">
        <v>53</v>
      </c>
      <c r="R55" s="28">
        <v>63</v>
      </c>
      <c r="S55" s="28">
        <v>63</v>
      </c>
      <c r="T55" s="28">
        <v>63</v>
      </c>
      <c r="U55" s="28">
        <v>63</v>
      </c>
      <c r="V55" s="28">
        <v>90</v>
      </c>
      <c r="W55" s="28">
        <v>90</v>
      </c>
      <c r="X55" s="28">
        <v>90</v>
      </c>
      <c r="Y55" s="28">
        <v>90</v>
      </c>
      <c r="Z55" s="28">
        <v>94</v>
      </c>
      <c r="AA55" s="28">
        <v>94</v>
      </c>
      <c r="AB55" s="28">
        <v>94</v>
      </c>
      <c r="AC55" s="28">
        <v>83.972602739726014</v>
      </c>
      <c r="AD55" s="28">
        <v>61.643835616438359</v>
      </c>
      <c r="AE55" s="28">
        <v>62.328767123287669</v>
      </c>
      <c r="AF55" s="28">
        <v>63.013698630136986</v>
      </c>
      <c r="AG55" s="28">
        <v>68.05</v>
      </c>
      <c r="AH55" s="28">
        <v>60</v>
      </c>
    </row>
    <row r="56" spans="2:34">
      <c r="B56">
        <v>55</v>
      </c>
      <c r="C56" t="s">
        <v>203</v>
      </c>
      <c r="D56" t="s">
        <v>19</v>
      </c>
      <c r="E56" t="s">
        <v>707</v>
      </c>
      <c r="F56" s="28">
        <v>46</v>
      </c>
      <c r="G56" s="28">
        <v>46</v>
      </c>
      <c r="H56" s="28">
        <v>46</v>
      </c>
      <c r="I56" s="28">
        <v>46</v>
      </c>
      <c r="J56" s="28">
        <v>25</v>
      </c>
      <c r="K56" s="28">
        <v>25</v>
      </c>
      <c r="L56" s="28">
        <v>25</v>
      </c>
      <c r="M56" s="28">
        <v>25</v>
      </c>
      <c r="N56" s="28">
        <v>35</v>
      </c>
      <c r="O56" s="28">
        <v>35</v>
      </c>
      <c r="P56" s="28">
        <v>35</v>
      </c>
      <c r="Q56" s="28">
        <v>35</v>
      </c>
      <c r="R56" s="28">
        <v>45</v>
      </c>
      <c r="S56" s="28">
        <v>45</v>
      </c>
      <c r="T56" s="28">
        <v>45</v>
      </c>
      <c r="U56" s="28">
        <v>45</v>
      </c>
      <c r="V56" s="28">
        <v>44</v>
      </c>
      <c r="W56" s="28">
        <v>44</v>
      </c>
      <c r="X56" s="28">
        <v>44</v>
      </c>
      <c r="Y56" s="28">
        <v>44</v>
      </c>
      <c r="Z56" s="28">
        <v>44</v>
      </c>
      <c r="AA56" s="28">
        <v>44</v>
      </c>
      <c r="AB56" s="28">
        <v>44</v>
      </c>
      <c r="AC56" s="28">
        <v>50</v>
      </c>
      <c r="AD56" s="28">
        <v>44</v>
      </c>
      <c r="AE56" s="28">
        <v>44</v>
      </c>
      <c r="AF56" s="28">
        <v>45</v>
      </c>
      <c r="AG56" s="28">
        <v>45</v>
      </c>
      <c r="AH56" s="28">
        <v>45</v>
      </c>
    </row>
    <row r="57" spans="2:34">
      <c r="B57">
        <v>56</v>
      </c>
      <c r="C57" t="s">
        <v>205</v>
      </c>
      <c r="D57" t="s">
        <v>19</v>
      </c>
      <c r="E57" t="s">
        <v>707</v>
      </c>
      <c r="F57" s="28">
        <v>10</v>
      </c>
      <c r="G57" s="28">
        <v>10</v>
      </c>
      <c r="H57" s="28">
        <v>10</v>
      </c>
      <c r="I57" s="28">
        <v>10</v>
      </c>
      <c r="J57" s="28">
        <v>12.5</v>
      </c>
      <c r="K57" s="28">
        <v>12.5</v>
      </c>
      <c r="L57" s="28">
        <v>12.5</v>
      </c>
      <c r="M57" s="28">
        <v>12.5</v>
      </c>
      <c r="N57" s="28">
        <v>12.5</v>
      </c>
      <c r="O57" s="28">
        <v>12.5</v>
      </c>
      <c r="P57" s="28">
        <v>12.5</v>
      </c>
      <c r="Q57" s="28">
        <v>12.5</v>
      </c>
      <c r="R57" s="28">
        <v>10</v>
      </c>
      <c r="S57" s="28">
        <v>10</v>
      </c>
      <c r="T57" s="28">
        <v>10</v>
      </c>
      <c r="U57" s="28">
        <v>10</v>
      </c>
      <c r="V57" s="28">
        <v>7.5</v>
      </c>
      <c r="W57" s="28">
        <v>3.3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8">
        <v>0</v>
      </c>
      <c r="AG57" s="28"/>
      <c r="AH57" s="28">
        <v>0</v>
      </c>
    </row>
    <row r="58" spans="2:34">
      <c r="B58">
        <v>57</v>
      </c>
      <c r="C58" t="s">
        <v>209</v>
      </c>
      <c r="D58" t="s">
        <v>19</v>
      </c>
      <c r="E58" t="s">
        <v>707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12.5</v>
      </c>
      <c r="AA58" s="28">
        <v>12.5</v>
      </c>
      <c r="AB58" s="28">
        <v>12.5</v>
      </c>
      <c r="AC58" s="28">
        <v>37.80821917808219</v>
      </c>
      <c r="AD58" s="28">
        <v>37.835616438356162</v>
      </c>
      <c r="AE58" s="28">
        <v>39.890410958904113</v>
      </c>
      <c r="AF58" s="28">
        <v>52.082191780821915</v>
      </c>
      <c r="AG58" s="28">
        <v>88</v>
      </c>
      <c r="AH58" s="28">
        <v>88</v>
      </c>
    </row>
    <row r="59" spans="2:34">
      <c r="B59">
        <v>58</v>
      </c>
      <c r="C59" t="s">
        <v>213</v>
      </c>
      <c r="D59" t="s">
        <v>19</v>
      </c>
      <c r="E59" t="s">
        <v>707</v>
      </c>
      <c r="F59" s="28">
        <v>20</v>
      </c>
      <c r="G59" s="28">
        <v>20</v>
      </c>
      <c r="H59" s="28">
        <v>20</v>
      </c>
      <c r="I59" s="28">
        <v>20</v>
      </c>
      <c r="J59" s="28">
        <v>19.5</v>
      </c>
      <c r="K59" s="28">
        <v>19.5</v>
      </c>
      <c r="L59" s="28">
        <v>19.5</v>
      </c>
      <c r="M59" s="28">
        <v>19.5</v>
      </c>
      <c r="N59" s="28">
        <v>25</v>
      </c>
      <c r="O59" s="28">
        <v>25</v>
      </c>
      <c r="P59" s="28">
        <v>25</v>
      </c>
      <c r="Q59" s="28">
        <v>25</v>
      </c>
      <c r="R59" s="28">
        <v>22.5</v>
      </c>
      <c r="S59" s="28">
        <v>22.5</v>
      </c>
      <c r="T59" s="28">
        <v>22.5</v>
      </c>
      <c r="U59" s="28">
        <v>22.5</v>
      </c>
      <c r="V59" s="28">
        <v>27.5</v>
      </c>
      <c r="W59" s="28">
        <v>27.5</v>
      </c>
      <c r="X59" s="28">
        <v>27.5</v>
      </c>
      <c r="Y59" s="28">
        <v>27.5</v>
      </c>
      <c r="Z59" s="28">
        <v>37.5</v>
      </c>
      <c r="AA59" s="28">
        <v>37.5</v>
      </c>
      <c r="AB59" s="28">
        <v>37.5</v>
      </c>
      <c r="AC59" s="28">
        <v>50.410958904109592</v>
      </c>
      <c r="AD59" s="28">
        <v>49.315068493150683</v>
      </c>
      <c r="AE59" s="28">
        <v>49.863013698630141</v>
      </c>
      <c r="AF59" s="28">
        <v>50.410958904109592</v>
      </c>
      <c r="AG59" s="28">
        <v>50.41</v>
      </c>
      <c r="AH59" s="28">
        <v>50</v>
      </c>
    </row>
    <row r="60" spans="2:34">
      <c r="B60">
        <v>59</v>
      </c>
      <c r="C60" t="s">
        <v>217</v>
      </c>
      <c r="D60" t="s">
        <v>19</v>
      </c>
      <c r="E60" t="s">
        <v>707</v>
      </c>
      <c r="F60" s="28">
        <v>120</v>
      </c>
      <c r="G60" s="28">
        <v>120</v>
      </c>
      <c r="H60" s="28">
        <v>120</v>
      </c>
      <c r="I60" s="28">
        <v>120</v>
      </c>
      <c r="J60" s="28">
        <v>87.5</v>
      </c>
      <c r="K60" s="28">
        <v>87.5</v>
      </c>
      <c r="L60" s="28">
        <v>87.5</v>
      </c>
      <c r="M60" s="28">
        <v>87.5</v>
      </c>
      <c r="N60" s="28">
        <v>112.5</v>
      </c>
      <c r="O60" s="28">
        <v>112.5</v>
      </c>
      <c r="P60" s="28">
        <v>112.5</v>
      </c>
      <c r="Q60" s="28">
        <v>112.5</v>
      </c>
      <c r="R60" s="28">
        <v>0</v>
      </c>
      <c r="S60" s="28">
        <v>0</v>
      </c>
      <c r="T60" s="28">
        <v>0</v>
      </c>
      <c r="U60" s="28">
        <v>0</v>
      </c>
      <c r="V60" s="28">
        <v>50</v>
      </c>
      <c r="W60" s="28">
        <v>50</v>
      </c>
      <c r="X60" s="28">
        <v>50</v>
      </c>
      <c r="Y60" s="28">
        <v>50</v>
      </c>
      <c r="Z60" s="28">
        <v>62.5</v>
      </c>
      <c r="AA60" s="28">
        <v>62.5</v>
      </c>
      <c r="AB60" s="28">
        <v>62.5</v>
      </c>
      <c r="AC60" s="28">
        <v>63.013698630136986</v>
      </c>
      <c r="AD60" s="28">
        <v>61.643835616438359</v>
      </c>
      <c r="AE60" s="28">
        <v>62.328767123287669</v>
      </c>
      <c r="AF60" s="28">
        <v>63.013698630136986</v>
      </c>
      <c r="AG60" s="28">
        <v>69.81</v>
      </c>
      <c r="AH60" s="28">
        <v>60</v>
      </c>
    </row>
    <row r="61" spans="2:34">
      <c r="B61">
        <v>60</v>
      </c>
      <c r="C61" t="s">
        <v>220</v>
      </c>
      <c r="D61" t="s">
        <v>19</v>
      </c>
      <c r="E61" t="s">
        <v>707</v>
      </c>
      <c r="F61" s="28">
        <v>100</v>
      </c>
      <c r="G61" s="28">
        <v>100</v>
      </c>
      <c r="H61" s="28">
        <v>100</v>
      </c>
      <c r="I61" s="28">
        <v>100</v>
      </c>
      <c r="J61" s="28">
        <v>100</v>
      </c>
      <c r="K61" s="28">
        <v>100</v>
      </c>
      <c r="L61" s="28">
        <v>100</v>
      </c>
      <c r="M61" s="28">
        <v>100</v>
      </c>
      <c r="N61" s="28">
        <v>100</v>
      </c>
      <c r="O61" s="28">
        <v>100</v>
      </c>
      <c r="P61" s="28">
        <v>100</v>
      </c>
      <c r="Q61" s="28">
        <v>100</v>
      </c>
      <c r="R61" s="28">
        <v>100</v>
      </c>
      <c r="S61" s="28">
        <v>100</v>
      </c>
      <c r="T61" s="28">
        <v>100</v>
      </c>
      <c r="U61" s="28">
        <v>100</v>
      </c>
      <c r="V61" s="28">
        <v>100</v>
      </c>
      <c r="W61" s="28">
        <v>100</v>
      </c>
      <c r="X61" s="28">
        <v>100</v>
      </c>
      <c r="Y61" s="28">
        <v>100</v>
      </c>
      <c r="Z61" s="28">
        <v>100</v>
      </c>
      <c r="AA61" s="28">
        <v>100</v>
      </c>
      <c r="AB61" s="28">
        <v>100</v>
      </c>
      <c r="AC61" s="28">
        <v>88.986301369863014</v>
      </c>
      <c r="AD61" s="28">
        <v>73.972602739726028</v>
      </c>
      <c r="AE61" s="28">
        <v>81.479452054794521</v>
      </c>
      <c r="AF61" s="28">
        <v>88.219178082191775</v>
      </c>
      <c r="AG61" s="28">
        <v>90.77</v>
      </c>
      <c r="AH61" s="28">
        <v>85</v>
      </c>
    </row>
    <row r="62" spans="2:34">
      <c r="B62">
        <v>61</v>
      </c>
      <c r="C62" t="s">
        <v>224</v>
      </c>
      <c r="D62" t="s">
        <v>19</v>
      </c>
      <c r="E62" t="s">
        <v>707</v>
      </c>
      <c r="F62" s="28">
        <v>30</v>
      </c>
      <c r="G62" s="28">
        <v>30</v>
      </c>
      <c r="H62" s="28">
        <v>30</v>
      </c>
      <c r="I62" s="28">
        <v>30</v>
      </c>
      <c r="J62" s="28">
        <v>30</v>
      </c>
      <c r="K62" s="28">
        <v>30</v>
      </c>
      <c r="L62" s="28">
        <v>30</v>
      </c>
      <c r="M62" s="28">
        <v>30</v>
      </c>
      <c r="N62" s="28">
        <v>25.7</v>
      </c>
      <c r="O62" s="28">
        <v>25.7</v>
      </c>
      <c r="P62" s="28">
        <v>25.7</v>
      </c>
      <c r="Q62" s="28">
        <v>17.5</v>
      </c>
      <c r="R62" s="28">
        <v>18.5</v>
      </c>
      <c r="S62" s="28">
        <v>18.5</v>
      </c>
      <c r="T62" s="28">
        <v>18.5</v>
      </c>
      <c r="U62" s="28">
        <v>18.5</v>
      </c>
      <c r="V62" s="28">
        <v>18</v>
      </c>
      <c r="W62" s="28">
        <v>18</v>
      </c>
      <c r="X62" s="28">
        <v>18</v>
      </c>
      <c r="Y62" s="28">
        <v>18</v>
      </c>
      <c r="Z62" s="28">
        <v>19</v>
      </c>
      <c r="AA62" s="28">
        <v>20</v>
      </c>
      <c r="AB62" s="28">
        <v>21</v>
      </c>
      <c r="AC62" s="28">
        <v>37.052054794520551</v>
      </c>
      <c r="AD62" s="28">
        <v>36.246575342465754</v>
      </c>
      <c r="AE62" s="28">
        <v>36.649315068493152</v>
      </c>
      <c r="AF62" s="28">
        <v>37.052054794520551</v>
      </c>
      <c r="AG62" s="28">
        <v>24.57</v>
      </c>
      <c r="AH62" s="28">
        <v>20</v>
      </c>
    </row>
    <row r="63" spans="2:34">
      <c r="B63">
        <v>62</v>
      </c>
      <c r="C63" t="s">
        <v>227</v>
      </c>
      <c r="D63" t="s">
        <v>19</v>
      </c>
      <c r="E63" t="s">
        <v>707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/>
    </row>
    <row r="64" spans="2:34">
      <c r="B64">
        <v>63</v>
      </c>
      <c r="C64" t="s">
        <v>230</v>
      </c>
      <c r="D64" t="s">
        <v>19</v>
      </c>
      <c r="E64" t="s">
        <v>707</v>
      </c>
      <c r="F64" s="28">
        <v>70</v>
      </c>
      <c r="G64" s="28">
        <v>70</v>
      </c>
      <c r="H64" s="28">
        <v>70</v>
      </c>
      <c r="I64" s="28">
        <v>70</v>
      </c>
      <c r="J64" s="28">
        <v>52.5</v>
      </c>
      <c r="K64" s="28">
        <v>52.5</v>
      </c>
      <c r="L64" s="28">
        <v>52.5</v>
      </c>
      <c r="M64" s="28">
        <v>52.5</v>
      </c>
      <c r="N64" s="28">
        <v>67.5</v>
      </c>
      <c r="O64" s="28">
        <v>67.5</v>
      </c>
      <c r="P64" s="28">
        <v>67.5</v>
      </c>
      <c r="Q64" s="28">
        <v>67.5</v>
      </c>
      <c r="R64" s="28">
        <v>67.5</v>
      </c>
      <c r="S64" s="28">
        <v>67.5</v>
      </c>
      <c r="T64" s="28">
        <v>67.5</v>
      </c>
      <c r="U64" s="28">
        <v>67.5</v>
      </c>
      <c r="V64" s="28">
        <v>71.699999999999989</v>
      </c>
      <c r="W64" s="28">
        <v>73.800000000000011</v>
      </c>
      <c r="X64" s="28">
        <v>73.800000000000011</v>
      </c>
      <c r="Y64" s="28">
        <v>73.800000000000011</v>
      </c>
      <c r="Z64" s="28">
        <v>73.5</v>
      </c>
      <c r="AA64" s="28">
        <v>73.5</v>
      </c>
      <c r="AB64" s="28">
        <v>73.5</v>
      </c>
      <c r="AC64" s="28">
        <v>68.054794520547944</v>
      </c>
      <c r="AD64" s="28">
        <v>66.575342465753423</v>
      </c>
      <c r="AE64" s="28">
        <v>67.315068493150676</v>
      </c>
      <c r="AF64" s="28">
        <v>68.054794520547944</v>
      </c>
      <c r="AG64" s="28">
        <v>73.099999999999994</v>
      </c>
      <c r="AH64" s="28">
        <v>65</v>
      </c>
    </row>
    <row r="65" spans="2:34">
      <c r="B65">
        <v>64</v>
      </c>
      <c r="C65" t="s">
        <v>232</v>
      </c>
      <c r="D65" t="s">
        <v>19</v>
      </c>
      <c r="E65" t="s">
        <v>707</v>
      </c>
      <c r="F65" s="28">
        <v>46</v>
      </c>
      <c r="G65" s="28">
        <v>46</v>
      </c>
      <c r="H65" s="28">
        <v>46</v>
      </c>
      <c r="I65" s="28">
        <v>46</v>
      </c>
      <c r="J65" s="28">
        <v>87.5</v>
      </c>
      <c r="K65" s="28">
        <v>87.5</v>
      </c>
      <c r="L65" s="28">
        <v>87.5</v>
      </c>
      <c r="M65" s="28">
        <v>87.5</v>
      </c>
      <c r="N65" s="28">
        <v>72</v>
      </c>
      <c r="O65" s="28">
        <v>72</v>
      </c>
      <c r="P65" s="28">
        <v>72</v>
      </c>
      <c r="Q65" s="28">
        <v>72</v>
      </c>
      <c r="R65" s="28">
        <v>108</v>
      </c>
      <c r="S65" s="28">
        <v>108</v>
      </c>
      <c r="T65" s="28">
        <v>108</v>
      </c>
      <c r="U65" s="28">
        <v>108</v>
      </c>
      <c r="V65" s="28">
        <v>50</v>
      </c>
      <c r="W65" s="28">
        <v>50</v>
      </c>
      <c r="X65" s="28">
        <v>50</v>
      </c>
      <c r="Y65" s="28">
        <v>50</v>
      </c>
      <c r="Z65" s="28">
        <v>37.5</v>
      </c>
      <c r="AA65" s="28">
        <v>37.5</v>
      </c>
      <c r="AB65" s="28">
        <v>37.5</v>
      </c>
      <c r="AC65" s="28">
        <v>12.602739726027398</v>
      </c>
      <c r="AD65" s="28">
        <v>0</v>
      </c>
      <c r="AE65" s="28">
        <v>0</v>
      </c>
      <c r="AF65" s="28">
        <v>0</v>
      </c>
      <c r="AG65" s="28">
        <v>0</v>
      </c>
    </row>
    <row r="66" spans="2:34">
      <c r="B66">
        <v>65</v>
      </c>
      <c r="C66" t="s">
        <v>235</v>
      </c>
      <c r="D66" t="s">
        <v>19</v>
      </c>
      <c r="E66" t="s">
        <v>707</v>
      </c>
      <c r="F66" s="28">
        <v>140</v>
      </c>
      <c r="G66" s="28">
        <v>140</v>
      </c>
      <c r="H66" s="28">
        <v>140</v>
      </c>
      <c r="I66" s="28">
        <v>140</v>
      </c>
      <c r="J66" s="28">
        <v>112</v>
      </c>
      <c r="K66" s="28">
        <v>112</v>
      </c>
      <c r="L66" s="28">
        <v>112</v>
      </c>
      <c r="M66" s="28">
        <v>112</v>
      </c>
      <c r="N66" s="28">
        <v>86</v>
      </c>
      <c r="O66" s="28">
        <v>86</v>
      </c>
      <c r="P66" s="28">
        <v>86</v>
      </c>
      <c r="Q66" s="28">
        <v>86</v>
      </c>
      <c r="R66" s="28">
        <v>102</v>
      </c>
      <c r="S66" s="28">
        <v>102</v>
      </c>
      <c r="T66" s="28">
        <v>102</v>
      </c>
      <c r="U66" s="28">
        <v>102</v>
      </c>
      <c r="V66" s="28">
        <v>105</v>
      </c>
      <c r="W66" s="28">
        <v>105</v>
      </c>
      <c r="X66" s="28">
        <v>105</v>
      </c>
      <c r="Y66" s="28">
        <v>105</v>
      </c>
      <c r="Z66" s="28">
        <v>105</v>
      </c>
      <c r="AA66" s="28">
        <v>105</v>
      </c>
      <c r="AB66" s="28">
        <v>105</v>
      </c>
      <c r="AC66" s="28">
        <v>108.38356164383562</v>
      </c>
      <c r="AD66" s="28">
        <v>103.56164383561644</v>
      </c>
      <c r="AE66" s="28">
        <v>104.71232876712328</v>
      </c>
      <c r="AF66" s="28">
        <v>105.86301369863013</v>
      </c>
      <c r="AG66" s="28">
        <v>105.86</v>
      </c>
      <c r="AH66" s="28">
        <v>100</v>
      </c>
    </row>
    <row r="67" spans="2:34">
      <c r="B67">
        <v>66</v>
      </c>
      <c r="C67" t="s">
        <v>239</v>
      </c>
      <c r="D67" t="s">
        <v>19</v>
      </c>
      <c r="E67" t="s">
        <v>707</v>
      </c>
      <c r="F67" s="28">
        <v>150</v>
      </c>
      <c r="G67" s="28">
        <v>150</v>
      </c>
      <c r="H67" s="28">
        <v>150</v>
      </c>
      <c r="I67" s="28">
        <v>150</v>
      </c>
      <c r="J67" s="28">
        <v>141</v>
      </c>
      <c r="K67" s="28">
        <v>141</v>
      </c>
      <c r="L67" s="28">
        <v>141</v>
      </c>
      <c r="M67" s="28">
        <v>141</v>
      </c>
      <c r="N67" s="28">
        <v>85</v>
      </c>
      <c r="O67" s="28">
        <v>85</v>
      </c>
      <c r="P67" s="28">
        <v>85</v>
      </c>
      <c r="Q67" s="28">
        <v>85</v>
      </c>
      <c r="R67" s="28">
        <v>94.5</v>
      </c>
      <c r="S67" s="28">
        <v>94.5</v>
      </c>
      <c r="T67" s="28">
        <v>94.5</v>
      </c>
      <c r="U67" s="28">
        <v>94.5</v>
      </c>
      <c r="V67" s="28">
        <v>105</v>
      </c>
      <c r="W67" s="28">
        <v>105</v>
      </c>
      <c r="X67" s="28">
        <v>105</v>
      </c>
      <c r="Y67" s="28">
        <v>105</v>
      </c>
      <c r="Z67" s="28">
        <v>135</v>
      </c>
      <c r="AA67" s="28">
        <v>135</v>
      </c>
      <c r="AB67" s="28">
        <v>135</v>
      </c>
      <c r="AC67" s="28">
        <v>136.10958904109589</v>
      </c>
      <c r="AD67" s="28">
        <v>133.15068493150685</v>
      </c>
      <c r="AE67" s="28">
        <v>134.63013698630135</v>
      </c>
      <c r="AF67" s="28">
        <v>136.10958904109589</v>
      </c>
      <c r="AG67" s="28">
        <v>136.11000000000001</v>
      </c>
      <c r="AH67" s="28">
        <v>130</v>
      </c>
    </row>
    <row r="68" spans="2:34">
      <c r="B68">
        <v>67</v>
      </c>
      <c r="C68" t="s">
        <v>242</v>
      </c>
      <c r="D68" t="s">
        <v>19</v>
      </c>
      <c r="E68" t="s">
        <v>707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12</v>
      </c>
      <c r="AA68" s="28">
        <v>12</v>
      </c>
      <c r="AB68" s="28">
        <v>12</v>
      </c>
      <c r="AC68" s="28">
        <v>12</v>
      </c>
      <c r="AD68" s="28">
        <v>17.547945205479451</v>
      </c>
      <c r="AE68" s="28">
        <v>42.301369863013697</v>
      </c>
      <c r="AF68" s="28">
        <v>66.328767123287662</v>
      </c>
      <c r="AG68" s="28">
        <v>69.67</v>
      </c>
      <c r="AH68" s="28">
        <v>65</v>
      </c>
    </row>
    <row r="69" spans="2:34">
      <c r="B69">
        <v>68</v>
      </c>
      <c r="C69" t="s">
        <v>247</v>
      </c>
      <c r="D69" t="s">
        <v>19</v>
      </c>
      <c r="E69" t="s">
        <v>707</v>
      </c>
      <c r="F69" s="28">
        <v>90</v>
      </c>
      <c r="G69" s="28">
        <v>90</v>
      </c>
      <c r="H69" s="28">
        <v>90</v>
      </c>
      <c r="I69" s="28">
        <v>90</v>
      </c>
      <c r="J69" s="28">
        <v>128</v>
      </c>
      <c r="K69" s="28">
        <v>128</v>
      </c>
      <c r="L69" s="28">
        <v>128</v>
      </c>
      <c r="M69" s="28">
        <v>128</v>
      </c>
      <c r="N69" s="28">
        <v>112</v>
      </c>
      <c r="O69" s="28">
        <v>112</v>
      </c>
      <c r="P69" s="28">
        <v>112</v>
      </c>
      <c r="Q69" s="28">
        <v>112</v>
      </c>
      <c r="R69" s="28">
        <v>152</v>
      </c>
      <c r="S69" s="28">
        <v>152</v>
      </c>
      <c r="T69" s="28">
        <v>152</v>
      </c>
      <c r="U69" s="28">
        <v>152</v>
      </c>
      <c r="V69" s="28">
        <v>150</v>
      </c>
      <c r="W69" s="28">
        <v>150</v>
      </c>
      <c r="X69" s="28">
        <v>150</v>
      </c>
      <c r="Y69" s="28">
        <v>150</v>
      </c>
      <c r="Z69" s="28">
        <v>157.5</v>
      </c>
      <c r="AA69" s="28">
        <v>157.5</v>
      </c>
      <c r="AB69" s="28">
        <v>157.5</v>
      </c>
      <c r="AC69" s="28">
        <v>158.79452054794518</v>
      </c>
      <c r="AD69" s="28">
        <v>155.34246575342468</v>
      </c>
      <c r="AE69" s="28">
        <v>157.06849315068493</v>
      </c>
      <c r="AF69" s="28">
        <v>158.79452054794518</v>
      </c>
      <c r="AG69" s="28">
        <v>158.79</v>
      </c>
      <c r="AH69" s="28">
        <v>155</v>
      </c>
    </row>
    <row r="70" spans="2:34">
      <c r="B70">
        <v>69</v>
      </c>
      <c r="C70" t="s">
        <v>250</v>
      </c>
      <c r="D70" t="s">
        <v>19</v>
      </c>
      <c r="E70" t="s">
        <v>707</v>
      </c>
      <c r="F70" s="28">
        <v>50</v>
      </c>
      <c r="G70" s="28">
        <v>50</v>
      </c>
      <c r="H70" s="28">
        <v>50</v>
      </c>
      <c r="I70" s="28">
        <v>50</v>
      </c>
      <c r="J70" s="28">
        <v>25</v>
      </c>
      <c r="K70" s="28">
        <v>25</v>
      </c>
      <c r="L70" s="28">
        <v>25</v>
      </c>
      <c r="M70" s="28">
        <v>25</v>
      </c>
      <c r="N70" s="28">
        <v>35</v>
      </c>
      <c r="O70" s="28">
        <v>35</v>
      </c>
      <c r="P70" s="28">
        <v>35</v>
      </c>
      <c r="Q70" s="28">
        <v>35</v>
      </c>
      <c r="R70" s="28">
        <v>35</v>
      </c>
      <c r="S70" s="28">
        <v>35</v>
      </c>
      <c r="T70" s="28">
        <v>35</v>
      </c>
      <c r="U70" s="28">
        <v>35</v>
      </c>
      <c r="V70" s="28">
        <v>48</v>
      </c>
      <c r="W70" s="28">
        <v>48</v>
      </c>
      <c r="X70" s="28">
        <v>48</v>
      </c>
      <c r="Y70" s="28">
        <v>48</v>
      </c>
      <c r="Z70" s="28">
        <v>45</v>
      </c>
      <c r="AA70" s="28">
        <v>45</v>
      </c>
      <c r="AB70" s="28">
        <v>45</v>
      </c>
      <c r="AC70" s="28">
        <v>47.06849315068493</v>
      </c>
      <c r="AD70" s="28">
        <v>8.493150684931507</v>
      </c>
      <c r="AE70" s="28">
        <v>0</v>
      </c>
      <c r="AF70" s="28">
        <v>0</v>
      </c>
      <c r="AG70" s="28">
        <v>0</v>
      </c>
    </row>
    <row r="71" spans="2:34">
      <c r="B71">
        <v>70</v>
      </c>
      <c r="C71" t="s">
        <v>253</v>
      </c>
      <c r="D71" t="s">
        <v>19</v>
      </c>
      <c r="E71" t="s">
        <v>707</v>
      </c>
      <c r="F71" s="28">
        <v>125</v>
      </c>
      <c r="G71" s="28">
        <v>125</v>
      </c>
      <c r="H71" s="28">
        <v>125</v>
      </c>
      <c r="I71" s="28">
        <v>125</v>
      </c>
      <c r="J71" s="28">
        <v>125</v>
      </c>
      <c r="K71" s="28">
        <v>125</v>
      </c>
      <c r="L71" s="28">
        <v>125</v>
      </c>
      <c r="M71" s="28">
        <v>125</v>
      </c>
      <c r="N71" s="28">
        <v>125</v>
      </c>
      <c r="O71" s="28">
        <v>125</v>
      </c>
      <c r="P71" s="28">
        <v>125</v>
      </c>
      <c r="Q71" s="28">
        <v>125</v>
      </c>
      <c r="R71" s="28">
        <v>125</v>
      </c>
      <c r="S71" s="28">
        <v>125</v>
      </c>
      <c r="T71" s="28">
        <v>125</v>
      </c>
      <c r="U71" s="28">
        <v>125</v>
      </c>
      <c r="V71" s="28">
        <v>150</v>
      </c>
      <c r="W71" s="28">
        <v>150</v>
      </c>
      <c r="X71" s="28">
        <v>150</v>
      </c>
      <c r="Y71" s="28">
        <v>150</v>
      </c>
      <c r="Z71" s="28">
        <v>150</v>
      </c>
      <c r="AA71" s="28">
        <v>150</v>
      </c>
      <c r="AB71" s="28">
        <v>150</v>
      </c>
      <c r="AC71" s="28">
        <v>150</v>
      </c>
      <c r="AD71" s="28">
        <v>150</v>
      </c>
      <c r="AE71" s="28">
        <v>150</v>
      </c>
      <c r="AF71" s="28">
        <v>150</v>
      </c>
      <c r="AG71" s="28">
        <v>150</v>
      </c>
      <c r="AH71" s="28">
        <v>150</v>
      </c>
    </row>
    <row r="72" spans="2:34">
      <c r="B72">
        <v>71</v>
      </c>
      <c r="C72" t="s">
        <v>256</v>
      </c>
      <c r="D72" t="s">
        <v>19</v>
      </c>
      <c r="E72" t="s">
        <v>707</v>
      </c>
      <c r="F72" s="28">
        <v>75</v>
      </c>
      <c r="G72" s="28">
        <v>75</v>
      </c>
      <c r="H72" s="28">
        <v>75</v>
      </c>
      <c r="I72" s="28">
        <v>75</v>
      </c>
      <c r="J72" s="28">
        <v>67.5</v>
      </c>
      <c r="K72" s="28">
        <v>67.5</v>
      </c>
      <c r="L72" s="28">
        <v>67.5</v>
      </c>
      <c r="M72" s="28">
        <v>67.5</v>
      </c>
      <c r="N72" s="28">
        <v>46</v>
      </c>
      <c r="O72" s="28">
        <v>46</v>
      </c>
      <c r="P72" s="28">
        <v>46</v>
      </c>
      <c r="Q72" s="28">
        <v>46</v>
      </c>
      <c r="R72" s="28">
        <v>67.5</v>
      </c>
      <c r="S72" s="28">
        <v>67.5</v>
      </c>
      <c r="T72" s="28">
        <v>67.5</v>
      </c>
      <c r="U72" s="28">
        <v>67.5</v>
      </c>
      <c r="V72" s="28">
        <v>64</v>
      </c>
      <c r="W72" s="28">
        <v>64</v>
      </c>
      <c r="X72" s="28">
        <v>64</v>
      </c>
      <c r="Y72" s="28">
        <v>64</v>
      </c>
      <c r="Z72" s="28">
        <v>64</v>
      </c>
      <c r="AA72" s="28">
        <v>64</v>
      </c>
      <c r="AB72" s="28">
        <v>64</v>
      </c>
      <c r="AC72" s="28">
        <v>64</v>
      </c>
      <c r="AD72" s="28">
        <v>64</v>
      </c>
      <c r="AE72" s="28">
        <v>64</v>
      </c>
      <c r="AF72" s="28">
        <v>64</v>
      </c>
      <c r="AG72" s="28">
        <v>56</v>
      </c>
      <c r="AH72" s="28">
        <v>56</v>
      </c>
    </row>
    <row r="73" spans="2:34">
      <c r="B73">
        <v>72</v>
      </c>
      <c r="C73" t="s">
        <v>258</v>
      </c>
      <c r="D73" t="s">
        <v>19</v>
      </c>
      <c r="E73" t="s">
        <v>707</v>
      </c>
      <c r="F73" s="28">
        <v>50</v>
      </c>
      <c r="G73" s="28">
        <v>50</v>
      </c>
      <c r="H73" s="28">
        <v>50</v>
      </c>
      <c r="I73" s="28">
        <v>50</v>
      </c>
      <c r="J73" s="28">
        <v>38.5</v>
      </c>
      <c r="K73" s="28">
        <v>38.5</v>
      </c>
      <c r="L73" s="28">
        <v>38.5</v>
      </c>
      <c r="M73" s="28">
        <v>38.5</v>
      </c>
      <c r="N73" s="28">
        <v>38.5</v>
      </c>
      <c r="O73" s="28">
        <v>38.5</v>
      </c>
      <c r="P73" s="28">
        <v>38.5</v>
      </c>
      <c r="Q73" s="28">
        <v>38.5</v>
      </c>
      <c r="R73" s="28">
        <v>49.5</v>
      </c>
      <c r="S73" s="28">
        <v>49.5</v>
      </c>
      <c r="T73" s="28">
        <v>49.5</v>
      </c>
      <c r="U73" s="28">
        <v>49.5</v>
      </c>
      <c r="V73" s="28">
        <v>52.5</v>
      </c>
      <c r="W73" s="28">
        <v>52.5</v>
      </c>
      <c r="X73" s="28">
        <v>52.5</v>
      </c>
      <c r="Y73" s="28">
        <v>52.5</v>
      </c>
      <c r="Z73" s="28">
        <v>50</v>
      </c>
      <c r="AA73" s="28">
        <v>50</v>
      </c>
      <c r="AB73" s="28">
        <v>50</v>
      </c>
      <c r="AC73" s="28">
        <v>47.06849315068493</v>
      </c>
      <c r="AD73" s="28">
        <v>34.684931506849303</v>
      </c>
      <c r="AE73" s="28">
        <v>9.8630136986301373</v>
      </c>
      <c r="AF73" s="28">
        <v>0</v>
      </c>
      <c r="AG73" s="28"/>
    </row>
    <row r="74" spans="2:34">
      <c r="B74">
        <v>73</v>
      </c>
      <c r="C74" t="s">
        <v>261</v>
      </c>
      <c r="D74" t="s">
        <v>19</v>
      </c>
      <c r="E74" t="s">
        <v>707</v>
      </c>
      <c r="F74" s="28">
        <v>50</v>
      </c>
      <c r="G74" s="28">
        <v>50</v>
      </c>
      <c r="H74" s="28">
        <v>50</v>
      </c>
      <c r="I74" s="28">
        <v>50</v>
      </c>
      <c r="J74" s="28">
        <v>31</v>
      </c>
      <c r="K74" s="28">
        <v>31</v>
      </c>
      <c r="L74" s="28">
        <v>31</v>
      </c>
      <c r="M74" s="28">
        <v>31</v>
      </c>
      <c r="N74" s="28">
        <v>50</v>
      </c>
      <c r="O74" s="28">
        <v>50</v>
      </c>
      <c r="P74" s="28">
        <v>50</v>
      </c>
      <c r="Q74" s="28">
        <v>50</v>
      </c>
      <c r="R74" s="28">
        <v>43</v>
      </c>
      <c r="S74" s="28">
        <v>43</v>
      </c>
      <c r="T74" s="28">
        <v>43</v>
      </c>
      <c r="U74" s="28">
        <v>43</v>
      </c>
      <c r="V74" s="28">
        <v>57.5</v>
      </c>
      <c r="W74" s="28">
        <v>57.5</v>
      </c>
      <c r="X74" s="28">
        <v>57.5</v>
      </c>
      <c r="Y74" s="28">
        <v>57.5</v>
      </c>
      <c r="Z74" s="28">
        <v>50</v>
      </c>
      <c r="AA74" s="28">
        <v>50</v>
      </c>
      <c r="AB74" s="28">
        <v>50</v>
      </c>
      <c r="AC74" s="28">
        <v>25.205479452054796</v>
      </c>
      <c r="AD74" s="28">
        <v>24.657534246575342</v>
      </c>
      <c r="AE74" s="28">
        <v>24.93150684931507</v>
      </c>
      <c r="AF74" s="28">
        <v>28.986301369863014</v>
      </c>
      <c r="AG74" s="28">
        <v>25.21</v>
      </c>
      <c r="AH74" s="28">
        <v>25.2</v>
      </c>
    </row>
    <row r="75" spans="2:34">
      <c r="B75">
        <v>74</v>
      </c>
      <c r="C75" t="s">
        <v>265</v>
      </c>
      <c r="D75" t="s">
        <v>19</v>
      </c>
      <c r="E75" t="s">
        <v>707</v>
      </c>
      <c r="F75" s="28">
        <v>60</v>
      </c>
      <c r="G75" s="28">
        <v>60</v>
      </c>
      <c r="H75" s="28">
        <v>60</v>
      </c>
      <c r="I75" s="28">
        <v>60</v>
      </c>
      <c r="J75" s="28">
        <v>62.5</v>
      </c>
      <c r="K75" s="28">
        <v>62.5</v>
      </c>
      <c r="L75" s="28">
        <v>62.5</v>
      </c>
      <c r="M75" s="28">
        <v>62.5</v>
      </c>
      <c r="N75" s="28">
        <v>36</v>
      </c>
      <c r="O75" s="28">
        <v>36</v>
      </c>
      <c r="P75" s="28">
        <v>36</v>
      </c>
      <c r="Q75" s="28">
        <v>36</v>
      </c>
      <c r="R75" s="28">
        <v>31</v>
      </c>
      <c r="S75" s="28">
        <v>31</v>
      </c>
      <c r="T75" s="28">
        <v>31</v>
      </c>
      <c r="U75" s="28">
        <v>31</v>
      </c>
      <c r="V75" s="28">
        <v>37.5</v>
      </c>
      <c r="W75" s="28">
        <v>37.5</v>
      </c>
      <c r="X75" s="28">
        <v>37.5</v>
      </c>
      <c r="Y75" s="28">
        <v>37.5</v>
      </c>
      <c r="Z75" s="28">
        <v>25</v>
      </c>
      <c r="AA75" s="28">
        <v>25</v>
      </c>
      <c r="AB75" s="28">
        <v>25</v>
      </c>
      <c r="AC75" s="28">
        <v>25</v>
      </c>
      <c r="AD75" s="28">
        <v>0</v>
      </c>
      <c r="AE75" s="28">
        <v>0</v>
      </c>
      <c r="AF75" s="28">
        <v>0</v>
      </c>
      <c r="AG75" s="28"/>
    </row>
    <row r="76" spans="2:34">
      <c r="B76">
        <v>75</v>
      </c>
      <c r="C76" t="s">
        <v>269</v>
      </c>
      <c r="D76" t="s">
        <v>19</v>
      </c>
      <c r="E76" t="s">
        <v>707</v>
      </c>
      <c r="F76" s="28">
        <v>60</v>
      </c>
      <c r="G76" s="28">
        <v>60</v>
      </c>
      <c r="H76" s="28">
        <v>60</v>
      </c>
      <c r="I76" s="28">
        <v>60</v>
      </c>
      <c r="J76" s="28">
        <v>63</v>
      </c>
      <c r="K76" s="28">
        <v>63</v>
      </c>
      <c r="L76" s="28">
        <v>63</v>
      </c>
      <c r="M76" s="28">
        <v>63</v>
      </c>
      <c r="N76" s="28">
        <v>91</v>
      </c>
      <c r="O76" s="28">
        <v>91</v>
      </c>
      <c r="P76" s="28">
        <v>91</v>
      </c>
      <c r="Q76" s="28">
        <v>91</v>
      </c>
      <c r="R76" s="28">
        <v>97.5</v>
      </c>
      <c r="S76" s="28">
        <v>97.5</v>
      </c>
      <c r="T76" s="28">
        <v>97.5</v>
      </c>
      <c r="U76" s="28">
        <v>97.5</v>
      </c>
      <c r="V76" s="28">
        <v>85</v>
      </c>
      <c r="W76" s="28">
        <v>85</v>
      </c>
      <c r="X76" s="28">
        <v>85</v>
      </c>
      <c r="Y76" s="28">
        <v>85</v>
      </c>
      <c r="Z76" s="28">
        <v>72.5</v>
      </c>
      <c r="AA76" s="28">
        <v>72.5</v>
      </c>
      <c r="AB76" s="28">
        <v>72.5</v>
      </c>
      <c r="AC76" s="28">
        <v>70</v>
      </c>
      <c r="AD76" s="28">
        <v>20.383561643835616</v>
      </c>
      <c r="AE76" s="28">
        <v>45.780821917808218</v>
      </c>
      <c r="AF76" s="28">
        <v>10</v>
      </c>
      <c r="AG76" s="28">
        <v>0</v>
      </c>
      <c r="AH76" s="28">
        <v>0</v>
      </c>
    </row>
    <row r="77" spans="2:34">
      <c r="B77">
        <v>76</v>
      </c>
      <c r="C77" t="s">
        <v>273</v>
      </c>
      <c r="D77" t="s">
        <v>19</v>
      </c>
      <c r="E77" t="s">
        <v>707</v>
      </c>
      <c r="F77" s="28">
        <v>15</v>
      </c>
      <c r="G77" s="28">
        <v>15</v>
      </c>
      <c r="H77" s="28">
        <v>15</v>
      </c>
      <c r="I77" s="28">
        <v>15</v>
      </c>
      <c r="J77" s="28">
        <v>8</v>
      </c>
      <c r="K77" s="28">
        <v>8</v>
      </c>
      <c r="L77" s="28">
        <v>8</v>
      </c>
      <c r="M77" s="28">
        <v>8</v>
      </c>
      <c r="N77" s="28">
        <v>11</v>
      </c>
      <c r="O77" s="28">
        <v>11</v>
      </c>
      <c r="P77" s="28">
        <v>11</v>
      </c>
      <c r="Q77" s="28">
        <v>11</v>
      </c>
      <c r="R77" s="28">
        <v>14</v>
      </c>
      <c r="S77" s="28">
        <v>14</v>
      </c>
      <c r="T77" s="28">
        <v>14</v>
      </c>
      <c r="U77" s="28">
        <v>14</v>
      </c>
      <c r="V77" s="28">
        <v>22.5</v>
      </c>
      <c r="W77" s="28">
        <v>22.5</v>
      </c>
      <c r="X77" s="28">
        <v>22.5</v>
      </c>
      <c r="Y77" s="28">
        <v>22.5</v>
      </c>
      <c r="Z77" s="28">
        <v>12.5</v>
      </c>
      <c r="AA77" s="28">
        <v>12.5</v>
      </c>
      <c r="AB77" s="28">
        <v>12.5</v>
      </c>
      <c r="AC77" s="28">
        <v>12.602739726027398</v>
      </c>
      <c r="AD77" s="28">
        <v>8.0821917808219172</v>
      </c>
      <c r="AE77" s="28">
        <v>0</v>
      </c>
      <c r="AF77" s="28">
        <v>0</v>
      </c>
      <c r="AG77" s="28"/>
    </row>
    <row r="78" spans="2:34">
      <c r="B78">
        <v>77</v>
      </c>
      <c r="C78" t="s">
        <v>276</v>
      </c>
      <c r="D78" t="s">
        <v>19</v>
      </c>
      <c r="E78" t="s">
        <v>707</v>
      </c>
      <c r="F78" s="28">
        <v>30</v>
      </c>
      <c r="G78" s="28">
        <v>30</v>
      </c>
      <c r="H78" s="28">
        <v>30</v>
      </c>
      <c r="I78" s="28">
        <v>30</v>
      </c>
      <c r="J78" s="28">
        <v>31</v>
      </c>
      <c r="K78" s="28">
        <v>31</v>
      </c>
      <c r="L78" s="28">
        <v>31</v>
      </c>
      <c r="M78" s="28">
        <v>31</v>
      </c>
      <c r="N78" s="28">
        <v>25</v>
      </c>
      <c r="O78" s="28">
        <v>25</v>
      </c>
      <c r="P78" s="28">
        <v>25</v>
      </c>
      <c r="Q78" s="28">
        <v>25</v>
      </c>
      <c r="R78" s="28">
        <v>37.5</v>
      </c>
      <c r="S78" s="28">
        <v>37.5</v>
      </c>
      <c r="T78" s="28">
        <v>37.5</v>
      </c>
      <c r="U78" s="28">
        <v>37.5</v>
      </c>
      <c r="V78" s="28">
        <v>55</v>
      </c>
      <c r="W78" s="28">
        <v>55</v>
      </c>
      <c r="X78" s="28">
        <v>55</v>
      </c>
      <c r="Y78" s="28">
        <v>55</v>
      </c>
      <c r="Z78" s="28">
        <v>60</v>
      </c>
      <c r="AA78" s="28">
        <v>60</v>
      </c>
      <c r="AB78" s="28">
        <v>60</v>
      </c>
      <c r="AC78" s="28">
        <v>30.246575342465754</v>
      </c>
      <c r="AD78" s="28">
        <v>29.164383561643838</v>
      </c>
      <c r="AE78" s="28">
        <v>28.671232876712331</v>
      </c>
      <c r="AF78" s="28">
        <v>28.986301369863014</v>
      </c>
      <c r="AG78" s="28">
        <v>28.99</v>
      </c>
      <c r="AH78" s="28">
        <v>29</v>
      </c>
    </row>
    <row r="79" spans="2:34">
      <c r="B79">
        <v>78</v>
      </c>
      <c r="C79" t="s">
        <v>278</v>
      </c>
      <c r="D79" t="s">
        <v>19</v>
      </c>
      <c r="E79" t="s">
        <v>707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/>
    </row>
    <row r="80" spans="2:34">
      <c r="B80">
        <v>79</v>
      </c>
      <c r="C80" t="s">
        <v>280</v>
      </c>
      <c r="D80" t="s">
        <v>19</v>
      </c>
      <c r="E80" t="s">
        <v>707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8"/>
    </row>
    <row r="81" spans="2:34">
      <c r="B81">
        <v>80</v>
      </c>
      <c r="C81" t="s">
        <v>282</v>
      </c>
      <c r="D81" t="s">
        <v>19</v>
      </c>
      <c r="E81" t="s">
        <v>707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0</v>
      </c>
      <c r="AF81" s="28">
        <v>0</v>
      </c>
      <c r="AG81" s="28"/>
    </row>
    <row r="82" spans="2:34">
      <c r="B82">
        <v>81</v>
      </c>
      <c r="C82" t="s">
        <v>285</v>
      </c>
      <c r="D82" t="s">
        <v>19</v>
      </c>
      <c r="E82" t="s">
        <v>707</v>
      </c>
      <c r="F82" s="28">
        <v>90</v>
      </c>
      <c r="G82" s="28">
        <v>90</v>
      </c>
      <c r="H82" s="28">
        <v>90</v>
      </c>
      <c r="I82" s="28">
        <v>90</v>
      </c>
      <c r="J82" s="28">
        <v>85.5</v>
      </c>
      <c r="K82" s="28">
        <v>85.5</v>
      </c>
      <c r="L82" s="28">
        <v>85.5</v>
      </c>
      <c r="M82" s="28">
        <v>85.5</v>
      </c>
      <c r="N82" s="28">
        <v>85.5</v>
      </c>
      <c r="O82" s="28">
        <v>85.5</v>
      </c>
      <c r="P82" s="28">
        <v>85.5</v>
      </c>
      <c r="Q82" s="28">
        <v>85.5</v>
      </c>
      <c r="R82" s="28">
        <v>90</v>
      </c>
      <c r="S82" s="28">
        <v>90</v>
      </c>
      <c r="T82" s="28">
        <v>90</v>
      </c>
      <c r="U82" s="28">
        <v>90</v>
      </c>
      <c r="V82" s="28">
        <v>97.5</v>
      </c>
      <c r="W82" s="28">
        <v>97.5</v>
      </c>
      <c r="X82" s="28">
        <v>97.5</v>
      </c>
      <c r="Y82" s="28">
        <v>97.5</v>
      </c>
      <c r="Z82" s="28">
        <v>97.5</v>
      </c>
      <c r="AA82" s="28">
        <v>97.5</v>
      </c>
      <c r="AB82" s="28">
        <v>97.5</v>
      </c>
      <c r="AC82" s="28">
        <v>100.82191780821918</v>
      </c>
      <c r="AD82" s="28">
        <v>98.630136986301366</v>
      </c>
      <c r="AE82" s="28">
        <v>99.726027397260282</v>
      </c>
      <c r="AF82" s="28">
        <v>100.82191780821918</v>
      </c>
      <c r="AG82" s="28">
        <v>100.8</v>
      </c>
      <c r="AH82" s="28">
        <v>100</v>
      </c>
    </row>
    <row r="83" spans="2:34">
      <c r="B83">
        <v>82</v>
      </c>
      <c r="C83" t="s">
        <v>287</v>
      </c>
      <c r="D83" t="s">
        <v>19</v>
      </c>
      <c r="E83" t="s">
        <v>707</v>
      </c>
      <c r="F83" s="28">
        <v>87.5</v>
      </c>
      <c r="G83" s="28">
        <v>87.5</v>
      </c>
      <c r="H83" s="28">
        <v>87.5</v>
      </c>
      <c r="I83" s="28">
        <v>87.5</v>
      </c>
      <c r="J83" s="28">
        <v>90</v>
      </c>
      <c r="K83" s="28">
        <v>90</v>
      </c>
      <c r="L83" s="28">
        <v>90</v>
      </c>
      <c r="M83" s="28">
        <v>90</v>
      </c>
      <c r="N83" s="28">
        <v>90</v>
      </c>
      <c r="O83" s="28">
        <v>90</v>
      </c>
      <c r="P83" s="28">
        <v>90</v>
      </c>
      <c r="Q83" s="28">
        <v>90</v>
      </c>
      <c r="R83" s="28">
        <v>94.5</v>
      </c>
      <c r="S83" s="28">
        <v>94.5</v>
      </c>
      <c r="T83" s="28">
        <v>94.5</v>
      </c>
      <c r="U83" s="28">
        <v>94.5</v>
      </c>
      <c r="V83" s="28">
        <v>87</v>
      </c>
      <c r="W83" s="28">
        <v>87</v>
      </c>
      <c r="X83" s="28">
        <v>87</v>
      </c>
      <c r="Y83" s="28">
        <v>87</v>
      </c>
      <c r="Z83" s="28">
        <v>100</v>
      </c>
      <c r="AA83" s="28">
        <v>100</v>
      </c>
      <c r="AB83" s="28">
        <v>100</v>
      </c>
      <c r="AC83" s="28">
        <v>105.86301369863013</v>
      </c>
      <c r="AD83" s="28">
        <v>103.56164383561644</v>
      </c>
      <c r="AE83" s="28">
        <v>104.71232876712328</v>
      </c>
      <c r="AF83" s="28">
        <v>105.86301369863013</v>
      </c>
      <c r="AG83" s="28">
        <v>105.86</v>
      </c>
      <c r="AH83" s="28">
        <v>106</v>
      </c>
    </row>
    <row r="84" spans="2:34">
      <c r="B84">
        <v>83</v>
      </c>
      <c r="C84" t="s">
        <v>290</v>
      </c>
      <c r="D84" t="s">
        <v>19</v>
      </c>
      <c r="E84" t="s">
        <v>707</v>
      </c>
      <c r="F84" s="28">
        <v>35</v>
      </c>
      <c r="G84" s="28">
        <v>35</v>
      </c>
      <c r="H84" s="28">
        <v>35</v>
      </c>
      <c r="I84" s="28">
        <v>35</v>
      </c>
      <c r="J84" s="28">
        <v>35</v>
      </c>
      <c r="K84" s="28">
        <v>35</v>
      </c>
      <c r="L84" s="28">
        <v>35</v>
      </c>
      <c r="M84" s="28">
        <v>35</v>
      </c>
      <c r="N84" s="28">
        <v>36</v>
      </c>
      <c r="O84" s="28">
        <v>36</v>
      </c>
      <c r="P84" s="28">
        <v>36</v>
      </c>
      <c r="Q84" s="28">
        <v>36</v>
      </c>
      <c r="R84" s="28">
        <v>36</v>
      </c>
      <c r="S84" s="28">
        <v>36</v>
      </c>
      <c r="T84" s="28">
        <v>36</v>
      </c>
      <c r="U84" s="28">
        <v>36</v>
      </c>
      <c r="V84" s="28">
        <v>29.200000000000003</v>
      </c>
      <c r="W84" s="28">
        <v>30</v>
      </c>
      <c r="X84" s="28">
        <v>30</v>
      </c>
      <c r="Y84" s="28">
        <v>28.5</v>
      </c>
      <c r="Z84" s="28">
        <v>25</v>
      </c>
      <c r="AA84" s="28">
        <v>25</v>
      </c>
      <c r="AB84" s="28">
        <v>25</v>
      </c>
      <c r="AC84" s="28">
        <v>30.246575342465754</v>
      </c>
      <c r="AD84" s="28">
        <v>17.863013698630137</v>
      </c>
      <c r="AE84" s="28">
        <v>0</v>
      </c>
      <c r="AF84" s="28">
        <v>0</v>
      </c>
      <c r="AG84" s="28"/>
    </row>
    <row r="85" spans="2:34">
      <c r="B85">
        <v>84</v>
      </c>
      <c r="C85" t="s">
        <v>292</v>
      </c>
      <c r="D85" t="s">
        <v>19</v>
      </c>
      <c r="E85" t="s">
        <v>707</v>
      </c>
      <c r="F85" s="28">
        <v>20</v>
      </c>
      <c r="G85" s="28">
        <v>20</v>
      </c>
      <c r="H85" s="28">
        <v>20</v>
      </c>
      <c r="I85" s="28">
        <v>20</v>
      </c>
      <c r="J85" s="28">
        <v>12.5</v>
      </c>
      <c r="K85" s="28">
        <v>12.5</v>
      </c>
      <c r="L85" s="28">
        <v>12.5</v>
      </c>
      <c r="M85" s="28">
        <v>12.5</v>
      </c>
      <c r="N85" s="28">
        <v>12.5</v>
      </c>
      <c r="O85" s="28">
        <v>12.5</v>
      </c>
      <c r="P85" s="28">
        <v>12.5</v>
      </c>
      <c r="Q85" s="28">
        <v>12.5</v>
      </c>
      <c r="R85" s="28">
        <v>0</v>
      </c>
      <c r="S85" s="28">
        <v>0</v>
      </c>
      <c r="T85" s="28">
        <v>0</v>
      </c>
      <c r="U85" s="28">
        <v>0</v>
      </c>
      <c r="V85" s="28">
        <v>12.5</v>
      </c>
      <c r="W85" s="28">
        <v>12.5</v>
      </c>
      <c r="X85" s="28">
        <v>12.5</v>
      </c>
      <c r="Y85" s="28">
        <v>12.5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/>
    </row>
    <row r="86" spans="2:34">
      <c r="B86">
        <v>85</v>
      </c>
      <c r="C86" t="s">
        <v>295</v>
      </c>
      <c r="D86" t="s">
        <v>19</v>
      </c>
      <c r="E86" t="s">
        <v>707</v>
      </c>
      <c r="F86" s="28">
        <v>50</v>
      </c>
      <c r="G86" s="28">
        <v>50</v>
      </c>
      <c r="H86" s="28">
        <v>50</v>
      </c>
      <c r="I86" s="28">
        <v>50</v>
      </c>
      <c r="J86" s="28">
        <v>29</v>
      </c>
      <c r="K86" s="28">
        <v>29</v>
      </c>
      <c r="L86" s="28">
        <v>29</v>
      </c>
      <c r="M86" s="28">
        <v>29</v>
      </c>
      <c r="N86" s="28">
        <v>7.5</v>
      </c>
      <c r="O86" s="28">
        <v>7.5</v>
      </c>
      <c r="P86" s="28">
        <v>7.5</v>
      </c>
      <c r="Q86" s="28">
        <v>7.5</v>
      </c>
      <c r="R86" s="28">
        <v>20</v>
      </c>
      <c r="S86" s="28">
        <v>20</v>
      </c>
      <c r="T86" s="28">
        <v>20</v>
      </c>
      <c r="U86" s="28">
        <v>20</v>
      </c>
      <c r="V86" s="28">
        <v>45</v>
      </c>
      <c r="W86" s="28">
        <v>45</v>
      </c>
      <c r="X86" s="28">
        <v>45</v>
      </c>
      <c r="Y86" s="28">
        <v>45</v>
      </c>
      <c r="Z86" s="28">
        <v>17.5</v>
      </c>
      <c r="AA86" s="28">
        <v>17.5</v>
      </c>
      <c r="AB86" s="28">
        <v>17.5</v>
      </c>
      <c r="AC86" s="28">
        <v>17.5</v>
      </c>
      <c r="AD86" s="28">
        <v>0</v>
      </c>
      <c r="AE86" s="28">
        <v>0</v>
      </c>
      <c r="AF86" s="28">
        <v>0</v>
      </c>
      <c r="AG86" s="28"/>
    </row>
    <row r="87" spans="2:34">
      <c r="B87">
        <v>86</v>
      </c>
      <c r="C87" t="s">
        <v>298</v>
      </c>
      <c r="D87" t="s">
        <v>19</v>
      </c>
      <c r="E87" t="s">
        <v>707</v>
      </c>
      <c r="F87" s="28">
        <v>315</v>
      </c>
      <c r="G87" s="28">
        <v>315</v>
      </c>
      <c r="H87" s="28">
        <v>315</v>
      </c>
      <c r="I87" s="28">
        <v>315</v>
      </c>
      <c r="J87" s="28">
        <v>315</v>
      </c>
      <c r="K87" s="28">
        <v>315</v>
      </c>
      <c r="L87" s="28">
        <v>315</v>
      </c>
      <c r="M87" s="28">
        <v>315</v>
      </c>
      <c r="N87" s="28">
        <v>315</v>
      </c>
      <c r="O87" s="28">
        <v>315</v>
      </c>
      <c r="P87" s="28">
        <v>315</v>
      </c>
      <c r="Q87" s="28">
        <v>315</v>
      </c>
      <c r="R87" s="28">
        <v>315</v>
      </c>
      <c r="S87" s="28">
        <v>315</v>
      </c>
      <c r="T87" s="28">
        <v>315</v>
      </c>
      <c r="U87" s="28">
        <v>315</v>
      </c>
      <c r="V87" s="28">
        <v>363</v>
      </c>
      <c r="W87" s="28">
        <v>363</v>
      </c>
      <c r="X87" s="28">
        <v>315</v>
      </c>
      <c r="Y87" s="28">
        <v>315</v>
      </c>
      <c r="Z87" s="28">
        <v>315</v>
      </c>
      <c r="AA87" s="28">
        <v>315</v>
      </c>
      <c r="AB87" s="28">
        <v>315</v>
      </c>
      <c r="AC87" s="28">
        <v>315</v>
      </c>
      <c r="AD87" s="28">
        <v>315</v>
      </c>
      <c r="AE87" s="28">
        <v>315</v>
      </c>
      <c r="AF87" s="28">
        <v>315</v>
      </c>
      <c r="AG87" s="28">
        <v>300</v>
      </c>
      <c r="AH87" s="28">
        <v>300</v>
      </c>
    </row>
    <row r="88" spans="2:34">
      <c r="B88">
        <v>87</v>
      </c>
      <c r="C88" t="s">
        <v>302</v>
      </c>
      <c r="D88" t="s">
        <v>19</v>
      </c>
      <c r="E88" t="s">
        <v>707</v>
      </c>
      <c r="F88" s="28">
        <v>252</v>
      </c>
      <c r="G88" s="28">
        <v>252</v>
      </c>
      <c r="H88" s="28">
        <v>252</v>
      </c>
      <c r="I88" s="28">
        <v>252</v>
      </c>
      <c r="J88" s="28">
        <v>252</v>
      </c>
      <c r="K88" s="28">
        <v>252</v>
      </c>
      <c r="L88" s="28">
        <v>252</v>
      </c>
      <c r="M88" s="28">
        <v>252</v>
      </c>
      <c r="N88" s="28">
        <v>252</v>
      </c>
      <c r="O88" s="28">
        <v>252</v>
      </c>
      <c r="P88" s="28">
        <v>252</v>
      </c>
      <c r="Q88" s="28">
        <v>252</v>
      </c>
      <c r="R88" s="28">
        <v>325</v>
      </c>
      <c r="S88" s="28">
        <v>325</v>
      </c>
      <c r="T88" s="28">
        <v>325</v>
      </c>
      <c r="U88" s="28">
        <v>325</v>
      </c>
      <c r="V88" s="28">
        <v>325</v>
      </c>
      <c r="W88" s="28">
        <v>325</v>
      </c>
      <c r="X88" s="28">
        <v>252</v>
      </c>
      <c r="Y88" s="28">
        <v>252</v>
      </c>
      <c r="Z88" s="28">
        <v>252</v>
      </c>
      <c r="AA88" s="28">
        <v>252</v>
      </c>
      <c r="AB88" s="28">
        <v>252</v>
      </c>
      <c r="AC88" s="28">
        <v>252</v>
      </c>
      <c r="AD88" s="28">
        <v>252</v>
      </c>
      <c r="AE88" s="28">
        <v>252</v>
      </c>
      <c r="AF88" s="28">
        <v>252</v>
      </c>
      <c r="AG88" s="28">
        <v>220</v>
      </c>
      <c r="AH88" s="28">
        <v>220</v>
      </c>
    </row>
    <row r="89" spans="2:34">
      <c r="B89">
        <v>88</v>
      </c>
      <c r="C89" t="s">
        <v>305</v>
      </c>
      <c r="D89" t="s">
        <v>19</v>
      </c>
      <c r="E89" t="s">
        <v>707</v>
      </c>
      <c r="F89" s="28">
        <v>0</v>
      </c>
      <c r="G89" s="28">
        <v>0</v>
      </c>
      <c r="H89" s="28">
        <v>0</v>
      </c>
      <c r="I89" s="28">
        <v>0</v>
      </c>
      <c r="J89" s="28">
        <v>190</v>
      </c>
      <c r="K89" s="28">
        <v>190</v>
      </c>
      <c r="L89" s="28">
        <v>190</v>
      </c>
      <c r="M89" s="28">
        <v>190</v>
      </c>
      <c r="N89" s="28">
        <v>190</v>
      </c>
      <c r="O89" s="28">
        <v>190</v>
      </c>
      <c r="P89" s="28">
        <v>190</v>
      </c>
      <c r="Q89" s="28">
        <v>190</v>
      </c>
      <c r="R89" s="28">
        <v>200</v>
      </c>
      <c r="S89" s="28">
        <v>200</v>
      </c>
      <c r="T89" s="28">
        <v>200</v>
      </c>
      <c r="U89" s="28">
        <v>200</v>
      </c>
      <c r="V89" s="28">
        <v>200</v>
      </c>
      <c r="W89" s="28">
        <v>200</v>
      </c>
      <c r="X89" s="28">
        <v>190</v>
      </c>
      <c r="Y89" s="28">
        <v>55</v>
      </c>
      <c r="Z89" s="28">
        <v>55</v>
      </c>
      <c r="AA89" s="28">
        <v>55</v>
      </c>
      <c r="AB89" s="28">
        <v>55</v>
      </c>
      <c r="AC89" s="28">
        <v>55</v>
      </c>
      <c r="AD89" s="28">
        <v>55</v>
      </c>
      <c r="AE89" s="28">
        <v>55</v>
      </c>
      <c r="AF89" s="28">
        <v>55</v>
      </c>
      <c r="AG89" s="28">
        <v>50</v>
      </c>
      <c r="AH89" s="28">
        <v>50</v>
      </c>
    </row>
    <row r="90" spans="2:34">
      <c r="B90">
        <v>89</v>
      </c>
      <c r="C90" t="s">
        <v>308</v>
      </c>
      <c r="D90" t="s">
        <v>19</v>
      </c>
      <c r="E90" t="s">
        <v>707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177.5</v>
      </c>
      <c r="O90" s="28">
        <v>177.5</v>
      </c>
      <c r="P90" s="28">
        <v>177.5</v>
      </c>
      <c r="Q90" s="28">
        <v>177.5</v>
      </c>
      <c r="R90" s="28">
        <v>200</v>
      </c>
      <c r="S90" s="28">
        <v>200</v>
      </c>
      <c r="T90" s="28">
        <v>200</v>
      </c>
      <c r="U90" s="28">
        <v>200</v>
      </c>
      <c r="V90" s="28">
        <v>200</v>
      </c>
      <c r="W90" s="28">
        <v>200</v>
      </c>
      <c r="X90" s="28">
        <v>177.5</v>
      </c>
      <c r="Y90" s="28">
        <v>177.5</v>
      </c>
      <c r="Z90" s="28">
        <v>177.5</v>
      </c>
      <c r="AA90" s="28">
        <v>177.5</v>
      </c>
      <c r="AB90" s="28">
        <v>177.5</v>
      </c>
      <c r="AC90" s="28">
        <v>177.5</v>
      </c>
      <c r="AD90" s="28">
        <v>150</v>
      </c>
      <c r="AE90" s="28">
        <v>170</v>
      </c>
      <c r="AF90" s="28">
        <v>170</v>
      </c>
      <c r="AG90" s="28">
        <v>150</v>
      </c>
      <c r="AH90" s="28">
        <v>150</v>
      </c>
    </row>
    <row r="91" spans="2:34">
      <c r="B91">
        <v>90</v>
      </c>
      <c r="C91" t="s">
        <v>311</v>
      </c>
      <c r="D91" t="s">
        <v>19</v>
      </c>
      <c r="E91" t="s">
        <v>707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200</v>
      </c>
      <c r="S91" s="28">
        <v>200</v>
      </c>
      <c r="T91" s="28">
        <v>200</v>
      </c>
      <c r="U91" s="28">
        <v>200</v>
      </c>
      <c r="V91" s="28">
        <v>200</v>
      </c>
      <c r="W91" s="28">
        <v>200</v>
      </c>
      <c r="X91" s="28">
        <v>167.5</v>
      </c>
      <c r="Y91" s="28">
        <v>167.5</v>
      </c>
      <c r="Z91" s="28">
        <v>170</v>
      </c>
      <c r="AA91" s="28">
        <v>170</v>
      </c>
      <c r="AB91" s="28">
        <v>170</v>
      </c>
      <c r="AC91" s="28">
        <v>170</v>
      </c>
      <c r="AD91" s="28">
        <v>130</v>
      </c>
      <c r="AE91" s="28">
        <v>170</v>
      </c>
      <c r="AF91" s="28">
        <v>170</v>
      </c>
      <c r="AG91" s="28">
        <v>150</v>
      </c>
      <c r="AH91" s="28">
        <v>150</v>
      </c>
    </row>
    <row r="92" spans="2:34">
      <c r="B92">
        <v>91</v>
      </c>
      <c r="C92" t="s">
        <v>314</v>
      </c>
      <c r="D92" t="s">
        <v>19</v>
      </c>
      <c r="E92" t="s">
        <v>707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200</v>
      </c>
      <c r="S92" s="28">
        <v>200</v>
      </c>
      <c r="T92" s="28">
        <v>200</v>
      </c>
      <c r="U92" s="28">
        <v>200</v>
      </c>
      <c r="V92" s="28">
        <v>200</v>
      </c>
      <c r="W92" s="28">
        <v>200</v>
      </c>
      <c r="X92" s="28">
        <v>150</v>
      </c>
      <c r="Y92" s="28">
        <v>150</v>
      </c>
      <c r="Z92" s="28">
        <v>150</v>
      </c>
      <c r="AA92" s="28">
        <v>150</v>
      </c>
      <c r="AB92" s="28">
        <v>150</v>
      </c>
      <c r="AC92" s="28">
        <v>151</v>
      </c>
      <c r="AD92" s="28">
        <v>100</v>
      </c>
      <c r="AE92" s="28">
        <v>150</v>
      </c>
      <c r="AF92" s="28">
        <v>150</v>
      </c>
      <c r="AG92" s="28">
        <v>150</v>
      </c>
      <c r="AH92" s="28">
        <v>150</v>
      </c>
    </row>
    <row r="93" spans="2:34">
      <c r="B93">
        <v>92</v>
      </c>
      <c r="C93" t="s">
        <v>317</v>
      </c>
      <c r="D93" t="s">
        <v>19</v>
      </c>
      <c r="E93" t="s">
        <v>707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100</v>
      </c>
      <c r="S93" s="28">
        <v>100</v>
      </c>
      <c r="T93" s="28">
        <v>100</v>
      </c>
      <c r="U93" s="28">
        <v>100</v>
      </c>
      <c r="V93" s="28">
        <v>200</v>
      </c>
      <c r="W93" s="28">
        <v>200</v>
      </c>
      <c r="X93" s="28">
        <v>150</v>
      </c>
      <c r="Y93" s="28">
        <v>150</v>
      </c>
      <c r="Z93" s="28">
        <v>150</v>
      </c>
      <c r="AA93" s="28">
        <v>150</v>
      </c>
      <c r="AB93" s="28">
        <v>150</v>
      </c>
      <c r="AC93" s="28">
        <v>151</v>
      </c>
      <c r="AD93" s="28">
        <v>100</v>
      </c>
      <c r="AE93" s="28">
        <v>150</v>
      </c>
      <c r="AF93" s="28">
        <v>150</v>
      </c>
      <c r="AG93" s="28">
        <v>150</v>
      </c>
      <c r="AH93" s="28">
        <v>150</v>
      </c>
    </row>
    <row r="94" spans="2:34">
      <c r="B94">
        <v>93</v>
      </c>
      <c r="C94" t="s">
        <v>320</v>
      </c>
      <c r="D94" t="s">
        <v>19</v>
      </c>
      <c r="E94" t="s">
        <v>707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200</v>
      </c>
      <c r="W94" s="28">
        <v>200</v>
      </c>
      <c r="X94" s="28">
        <v>150</v>
      </c>
      <c r="Y94" s="28">
        <v>150</v>
      </c>
      <c r="Z94" s="28">
        <v>150</v>
      </c>
      <c r="AA94" s="28">
        <v>150</v>
      </c>
      <c r="AB94" s="28">
        <v>150</v>
      </c>
      <c r="AC94" s="28">
        <v>151</v>
      </c>
      <c r="AD94" s="28">
        <v>100</v>
      </c>
      <c r="AE94" s="28">
        <v>150</v>
      </c>
      <c r="AF94" s="28">
        <v>150</v>
      </c>
      <c r="AG94" s="28">
        <v>150</v>
      </c>
      <c r="AH94" s="28">
        <v>150</v>
      </c>
    </row>
    <row r="95" spans="2:34">
      <c r="B95">
        <v>94</v>
      </c>
      <c r="C95" t="s">
        <v>323</v>
      </c>
      <c r="D95" t="s">
        <v>19</v>
      </c>
      <c r="E95" t="s">
        <v>707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100</v>
      </c>
      <c r="W95" s="28">
        <v>100</v>
      </c>
      <c r="X95" s="28">
        <v>75</v>
      </c>
      <c r="Y95" s="28">
        <v>75</v>
      </c>
      <c r="Z95" s="28">
        <v>100</v>
      </c>
      <c r="AA95" s="28">
        <v>100</v>
      </c>
      <c r="AB95" s="28">
        <v>100</v>
      </c>
      <c r="AC95" s="28">
        <v>100</v>
      </c>
      <c r="AD95" s="28">
        <v>75</v>
      </c>
      <c r="AE95" s="28">
        <v>75</v>
      </c>
      <c r="AF95" s="28">
        <v>70</v>
      </c>
      <c r="AG95" s="28">
        <v>70</v>
      </c>
      <c r="AH95" s="28">
        <v>70</v>
      </c>
    </row>
    <row r="96" spans="2:34">
      <c r="B96">
        <v>95</v>
      </c>
      <c r="C96" t="s">
        <v>326</v>
      </c>
      <c r="D96" t="s">
        <v>19</v>
      </c>
      <c r="E96" t="s">
        <v>707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75</v>
      </c>
      <c r="W96" s="28">
        <v>75</v>
      </c>
      <c r="X96" s="28">
        <v>70</v>
      </c>
      <c r="Y96" s="28">
        <v>70</v>
      </c>
      <c r="Z96" s="28">
        <v>75</v>
      </c>
      <c r="AA96" s="28">
        <v>75</v>
      </c>
      <c r="AB96" s="28">
        <v>75</v>
      </c>
      <c r="AC96" s="28">
        <v>75</v>
      </c>
      <c r="AD96" s="28">
        <v>70</v>
      </c>
      <c r="AE96" s="28">
        <v>70</v>
      </c>
      <c r="AF96" s="28">
        <v>70</v>
      </c>
      <c r="AG96" s="28">
        <v>70</v>
      </c>
      <c r="AH96" s="28">
        <v>70</v>
      </c>
    </row>
    <row r="97" spans="2:34">
      <c r="B97">
        <v>96</v>
      </c>
      <c r="C97" t="s">
        <v>329</v>
      </c>
      <c r="D97" t="s">
        <v>19</v>
      </c>
      <c r="E97" t="s">
        <v>707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75</v>
      </c>
      <c r="W97" s="28">
        <v>75</v>
      </c>
      <c r="X97" s="28">
        <v>75</v>
      </c>
      <c r="Y97" s="28">
        <v>52.5</v>
      </c>
      <c r="Z97" s="28">
        <v>52.5</v>
      </c>
      <c r="AA97" s="28">
        <v>52.5</v>
      </c>
      <c r="AB97" s="28">
        <v>52.5</v>
      </c>
      <c r="AC97" s="28">
        <v>52.5</v>
      </c>
      <c r="AD97" s="28">
        <v>52.5</v>
      </c>
      <c r="AE97" s="28">
        <v>52.5</v>
      </c>
      <c r="AF97" s="28">
        <v>50</v>
      </c>
      <c r="AG97" s="28">
        <v>50</v>
      </c>
      <c r="AH97" s="28">
        <v>50</v>
      </c>
    </row>
    <row r="98" spans="2:34">
      <c r="B98">
        <v>97</v>
      </c>
      <c r="C98" t="s">
        <v>332</v>
      </c>
      <c r="D98" t="s">
        <v>19</v>
      </c>
      <c r="E98" t="s">
        <v>707</v>
      </c>
      <c r="F98" s="28">
        <v>5</v>
      </c>
      <c r="G98" s="28">
        <v>5</v>
      </c>
      <c r="H98" s="28">
        <v>5</v>
      </c>
      <c r="I98" s="28">
        <v>5</v>
      </c>
      <c r="J98" s="28">
        <v>17</v>
      </c>
      <c r="K98" s="28">
        <v>17</v>
      </c>
      <c r="L98" s="28">
        <v>17</v>
      </c>
      <c r="M98" s="28">
        <v>17</v>
      </c>
      <c r="N98" s="28">
        <v>23</v>
      </c>
      <c r="O98" s="28">
        <v>23</v>
      </c>
      <c r="P98" s="28">
        <v>23</v>
      </c>
      <c r="Q98" s="28">
        <v>23</v>
      </c>
      <c r="R98" s="28">
        <v>23</v>
      </c>
      <c r="S98" s="28">
        <v>23</v>
      </c>
      <c r="T98" s="28">
        <v>23</v>
      </c>
      <c r="U98" s="28">
        <v>23</v>
      </c>
      <c r="V98" s="28">
        <v>23</v>
      </c>
      <c r="W98" s="28">
        <v>23</v>
      </c>
      <c r="X98" s="28">
        <v>23</v>
      </c>
      <c r="Y98" s="28">
        <v>23</v>
      </c>
      <c r="Z98" s="28">
        <v>7.5</v>
      </c>
      <c r="AA98" s="28">
        <v>7.5</v>
      </c>
      <c r="AB98" s="28">
        <v>7.5</v>
      </c>
      <c r="AC98" s="28">
        <v>7.5</v>
      </c>
      <c r="AD98" s="28">
        <v>0</v>
      </c>
      <c r="AE98" s="28">
        <v>0</v>
      </c>
      <c r="AF98" s="28">
        <v>0</v>
      </c>
      <c r="AG98" s="28"/>
      <c r="AH98" s="28">
        <v>0</v>
      </c>
    </row>
    <row r="99" spans="2:34">
      <c r="B99">
        <v>98</v>
      </c>
      <c r="C99" t="s">
        <v>336</v>
      </c>
      <c r="D99" t="s">
        <v>19</v>
      </c>
      <c r="E99" t="s">
        <v>707</v>
      </c>
      <c r="F99" s="28">
        <v>50</v>
      </c>
      <c r="G99" s="28">
        <v>50</v>
      </c>
      <c r="H99" s="28">
        <v>50</v>
      </c>
      <c r="I99" s="28">
        <v>50</v>
      </c>
      <c r="J99" s="28">
        <v>125</v>
      </c>
      <c r="K99" s="28">
        <v>125</v>
      </c>
      <c r="L99" s="28">
        <v>125</v>
      </c>
      <c r="M99" s="28">
        <v>125</v>
      </c>
      <c r="N99" s="28">
        <v>80</v>
      </c>
      <c r="O99" s="28">
        <v>80</v>
      </c>
      <c r="P99" s="28">
        <v>80</v>
      </c>
      <c r="Q99" s="28">
        <v>80</v>
      </c>
      <c r="R99" s="28">
        <v>175</v>
      </c>
      <c r="S99" s="28">
        <v>175</v>
      </c>
      <c r="T99" s="28">
        <v>175</v>
      </c>
      <c r="U99" s="28">
        <v>175</v>
      </c>
      <c r="V99" s="28">
        <v>300</v>
      </c>
      <c r="W99" s="28">
        <v>300</v>
      </c>
      <c r="X99" s="28">
        <v>300</v>
      </c>
      <c r="Y99" s="28">
        <v>300</v>
      </c>
      <c r="Z99" s="28">
        <v>250</v>
      </c>
      <c r="AA99" s="28">
        <v>250</v>
      </c>
      <c r="AB99" s="28">
        <v>250</v>
      </c>
      <c r="AC99" s="28">
        <v>250</v>
      </c>
      <c r="AD99" s="28">
        <v>200</v>
      </c>
      <c r="AE99" s="28">
        <v>200</v>
      </c>
      <c r="AF99" s="28">
        <v>200</v>
      </c>
      <c r="AG99" s="28">
        <v>200</v>
      </c>
      <c r="AH99" s="28">
        <v>200</v>
      </c>
    </row>
    <row r="100" spans="2:34">
      <c r="B100">
        <v>99</v>
      </c>
      <c r="C100" t="s">
        <v>338</v>
      </c>
      <c r="D100" t="s">
        <v>19</v>
      </c>
      <c r="E100" t="s">
        <v>707</v>
      </c>
      <c r="F100" s="28">
        <v>140</v>
      </c>
      <c r="G100" s="28">
        <v>140</v>
      </c>
      <c r="H100" s="28">
        <v>140</v>
      </c>
      <c r="I100" s="28">
        <v>140</v>
      </c>
      <c r="J100" s="28">
        <v>140</v>
      </c>
      <c r="K100" s="28">
        <v>140</v>
      </c>
      <c r="L100" s="28">
        <v>140</v>
      </c>
      <c r="M100" s="28">
        <v>140</v>
      </c>
      <c r="N100" s="28">
        <v>140</v>
      </c>
      <c r="O100" s="28">
        <v>140</v>
      </c>
      <c r="P100" s="28">
        <v>140</v>
      </c>
      <c r="Q100" s="28">
        <v>140</v>
      </c>
      <c r="R100" s="28">
        <v>140</v>
      </c>
      <c r="S100" s="28">
        <v>140</v>
      </c>
      <c r="T100" s="28">
        <v>140</v>
      </c>
      <c r="U100" s="28">
        <v>140</v>
      </c>
      <c r="V100" s="28">
        <v>140</v>
      </c>
      <c r="W100" s="28">
        <v>140</v>
      </c>
      <c r="X100" s="28">
        <v>140</v>
      </c>
      <c r="Y100" s="28">
        <v>140</v>
      </c>
      <c r="Z100" s="28">
        <v>140</v>
      </c>
      <c r="AA100" s="28">
        <v>140</v>
      </c>
      <c r="AB100" s="28">
        <v>140</v>
      </c>
      <c r="AC100" s="28">
        <v>140</v>
      </c>
      <c r="AD100" s="28">
        <v>140</v>
      </c>
      <c r="AE100" s="28">
        <v>140</v>
      </c>
      <c r="AF100" s="28">
        <v>140</v>
      </c>
      <c r="AG100" s="28">
        <v>140</v>
      </c>
      <c r="AH100" s="28">
        <v>140</v>
      </c>
    </row>
    <row r="101" spans="2:34">
      <c r="B101">
        <v>100</v>
      </c>
      <c r="C101" t="s">
        <v>340</v>
      </c>
      <c r="D101" t="s">
        <v>19</v>
      </c>
      <c r="E101" t="s">
        <v>707</v>
      </c>
      <c r="F101" s="28">
        <v>30</v>
      </c>
      <c r="G101" s="28">
        <v>30</v>
      </c>
      <c r="H101" s="28">
        <v>30</v>
      </c>
      <c r="I101" s="28">
        <v>30</v>
      </c>
      <c r="J101" s="28">
        <v>56</v>
      </c>
      <c r="K101" s="28">
        <v>56</v>
      </c>
      <c r="L101" s="28">
        <v>56</v>
      </c>
      <c r="M101" s="28">
        <v>56</v>
      </c>
      <c r="N101" s="28">
        <v>40</v>
      </c>
      <c r="O101" s="28">
        <v>40</v>
      </c>
      <c r="P101" s="28">
        <v>40</v>
      </c>
      <c r="Q101" s="28">
        <v>40</v>
      </c>
      <c r="R101" s="28">
        <v>48</v>
      </c>
      <c r="S101" s="28">
        <v>50</v>
      </c>
      <c r="T101" s="28">
        <v>50</v>
      </c>
      <c r="U101" s="28">
        <v>50</v>
      </c>
      <c r="V101" s="28">
        <v>50</v>
      </c>
      <c r="W101" s="28">
        <v>62.5</v>
      </c>
      <c r="X101" s="28">
        <v>62.5</v>
      </c>
      <c r="Y101" s="28">
        <v>62.5</v>
      </c>
      <c r="Z101" s="28">
        <v>65.5</v>
      </c>
      <c r="AA101" s="28">
        <v>66.5</v>
      </c>
      <c r="AB101" s="28">
        <v>67.5</v>
      </c>
      <c r="AC101" s="28">
        <v>75.61643835616438</v>
      </c>
      <c r="AD101" s="28">
        <v>73.972602739726028</v>
      </c>
      <c r="AE101" s="28">
        <v>70.68493150684931</v>
      </c>
      <c r="AF101" s="28">
        <v>70.520547945205479</v>
      </c>
      <c r="AG101" s="28">
        <v>77.319999999999993</v>
      </c>
      <c r="AH101" s="28">
        <v>75</v>
      </c>
    </row>
    <row r="102" spans="2:34">
      <c r="B102">
        <v>101</v>
      </c>
      <c r="C102" t="s">
        <v>343</v>
      </c>
      <c r="D102" t="s">
        <v>19</v>
      </c>
      <c r="E102" t="s">
        <v>707</v>
      </c>
      <c r="F102" s="28">
        <v>62.5</v>
      </c>
      <c r="G102" s="28">
        <v>62.5</v>
      </c>
      <c r="H102" s="28">
        <v>62.5</v>
      </c>
      <c r="I102" s="28">
        <v>62.5</v>
      </c>
      <c r="J102" s="28">
        <v>62.5</v>
      </c>
      <c r="K102" s="28">
        <v>62.5</v>
      </c>
      <c r="L102" s="28">
        <v>62.5</v>
      </c>
      <c r="M102" s="28">
        <v>62.5</v>
      </c>
      <c r="N102" s="28">
        <v>62.5</v>
      </c>
      <c r="O102" s="28">
        <v>62.5</v>
      </c>
      <c r="P102" s="28">
        <v>62.5</v>
      </c>
      <c r="Q102" s="28">
        <v>62.5</v>
      </c>
      <c r="R102" s="28">
        <v>62.5</v>
      </c>
      <c r="S102" s="28">
        <v>62.5</v>
      </c>
      <c r="T102" s="28">
        <v>62.5</v>
      </c>
      <c r="U102" s="28">
        <v>62.5</v>
      </c>
      <c r="V102" s="28">
        <v>62.5</v>
      </c>
      <c r="W102" s="28">
        <v>62.5</v>
      </c>
      <c r="X102" s="28">
        <v>62.5</v>
      </c>
      <c r="Y102" s="28">
        <v>62.5</v>
      </c>
      <c r="Z102" s="28">
        <v>62.5</v>
      </c>
      <c r="AA102" s="28">
        <v>62.5</v>
      </c>
      <c r="AB102" s="28">
        <v>62.5</v>
      </c>
      <c r="AC102" s="28">
        <v>62.5</v>
      </c>
      <c r="AD102" s="28">
        <v>62.5</v>
      </c>
      <c r="AE102" s="28">
        <v>62.5</v>
      </c>
      <c r="AF102" s="28">
        <v>62.5</v>
      </c>
      <c r="AG102" s="28">
        <v>62.5</v>
      </c>
      <c r="AH102" s="28">
        <v>62</v>
      </c>
    </row>
    <row r="103" spans="2:34">
      <c r="B103">
        <v>102</v>
      </c>
      <c r="C103" t="s">
        <v>345</v>
      </c>
      <c r="D103" t="s">
        <v>19</v>
      </c>
      <c r="E103" t="s">
        <v>707</v>
      </c>
      <c r="F103" s="28">
        <v>44</v>
      </c>
      <c r="G103" s="28">
        <v>44</v>
      </c>
      <c r="H103" s="28">
        <v>44</v>
      </c>
      <c r="I103" s="28">
        <v>44</v>
      </c>
      <c r="J103" s="28">
        <v>100</v>
      </c>
      <c r="K103" s="28">
        <v>100</v>
      </c>
      <c r="L103" s="28">
        <v>100</v>
      </c>
      <c r="M103" s="28">
        <v>100</v>
      </c>
      <c r="N103" s="28">
        <v>140</v>
      </c>
      <c r="O103" s="28">
        <v>140</v>
      </c>
      <c r="P103" s="28">
        <v>140</v>
      </c>
      <c r="Q103" s="28">
        <v>140</v>
      </c>
      <c r="R103" s="28">
        <v>100</v>
      </c>
      <c r="S103" s="28">
        <v>100</v>
      </c>
      <c r="T103" s="28">
        <v>100</v>
      </c>
      <c r="U103" s="28">
        <v>100</v>
      </c>
      <c r="V103" s="28">
        <v>136</v>
      </c>
      <c r="W103" s="28">
        <v>142</v>
      </c>
      <c r="X103" s="28">
        <v>111</v>
      </c>
      <c r="Y103" s="28">
        <v>111</v>
      </c>
      <c r="Z103" s="28">
        <v>112.5</v>
      </c>
      <c r="AA103" s="28">
        <v>112.5</v>
      </c>
      <c r="AB103" s="28">
        <v>112.5</v>
      </c>
      <c r="AC103" s="28">
        <v>113.42465753424656</v>
      </c>
      <c r="AD103" s="28">
        <v>110.95890410958904</v>
      </c>
      <c r="AE103" s="28">
        <v>112.1917808219178</v>
      </c>
      <c r="AF103" s="28">
        <v>113.42465753424656</v>
      </c>
      <c r="AG103" s="28">
        <v>113.42</v>
      </c>
      <c r="AH103" s="28">
        <v>113</v>
      </c>
    </row>
    <row r="104" spans="2:34">
      <c r="B104">
        <v>103</v>
      </c>
      <c r="C104" t="s">
        <v>349</v>
      </c>
      <c r="D104" t="s">
        <v>19</v>
      </c>
      <c r="E104" t="s">
        <v>707</v>
      </c>
      <c r="F104" s="28">
        <v>212.5</v>
      </c>
      <c r="G104" s="28">
        <v>212.5</v>
      </c>
      <c r="H104" s="28">
        <v>212.5</v>
      </c>
      <c r="I104" s="28">
        <v>212.5</v>
      </c>
      <c r="J104" s="28">
        <v>345</v>
      </c>
      <c r="K104" s="28">
        <v>345</v>
      </c>
      <c r="L104" s="28">
        <v>345</v>
      </c>
      <c r="M104" s="28">
        <v>345</v>
      </c>
      <c r="N104" s="28">
        <v>400</v>
      </c>
      <c r="O104" s="28">
        <v>400</v>
      </c>
      <c r="P104" s="28">
        <v>400</v>
      </c>
      <c r="Q104" s="28">
        <v>400</v>
      </c>
      <c r="R104" s="28">
        <v>427.5</v>
      </c>
      <c r="S104" s="28">
        <v>427.5</v>
      </c>
      <c r="T104" s="28">
        <v>427.5</v>
      </c>
      <c r="U104" s="28">
        <v>427.5</v>
      </c>
      <c r="V104" s="28">
        <v>461</v>
      </c>
      <c r="W104" s="28">
        <v>468</v>
      </c>
      <c r="X104" s="28">
        <v>468</v>
      </c>
      <c r="Y104" s="28">
        <v>467</v>
      </c>
      <c r="Z104" s="28">
        <v>425</v>
      </c>
      <c r="AA104" s="28">
        <v>425</v>
      </c>
      <c r="AB104" s="28">
        <v>425</v>
      </c>
      <c r="AC104" s="28">
        <v>415.89041095890411</v>
      </c>
      <c r="AD104" s="28">
        <v>406.84931506849313</v>
      </c>
      <c r="AE104" s="28">
        <v>411.36986301369865</v>
      </c>
      <c r="AF104" s="28">
        <v>407.53424657534248</v>
      </c>
      <c r="AG104" s="28">
        <v>415.89</v>
      </c>
      <c r="AH104" s="28">
        <v>410</v>
      </c>
    </row>
    <row r="105" spans="2:34">
      <c r="B105">
        <v>104</v>
      </c>
      <c r="C105" t="s">
        <v>352</v>
      </c>
      <c r="D105" t="s">
        <v>19</v>
      </c>
      <c r="E105" t="s">
        <v>707</v>
      </c>
      <c r="F105" s="28">
        <v>55</v>
      </c>
      <c r="G105" s="28">
        <v>55</v>
      </c>
      <c r="H105" s="28">
        <v>55</v>
      </c>
      <c r="I105" s="28">
        <v>55</v>
      </c>
      <c r="J105" s="28">
        <v>100</v>
      </c>
      <c r="K105" s="28">
        <v>100</v>
      </c>
      <c r="L105" s="28">
        <v>100</v>
      </c>
      <c r="M105" s="28">
        <v>100</v>
      </c>
      <c r="N105" s="28">
        <v>170</v>
      </c>
      <c r="O105" s="28">
        <v>170</v>
      </c>
      <c r="P105" s="28">
        <v>170</v>
      </c>
      <c r="Q105" s="28">
        <v>170</v>
      </c>
      <c r="R105" s="28">
        <v>198</v>
      </c>
      <c r="S105" s="28">
        <v>198</v>
      </c>
      <c r="T105" s="28">
        <v>198</v>
      </c>
      <c r="U105" s="28">
        <v>198</v>
      </c>
      <c r="V105" s="28">
        <v>192.5</v>
      </c>
      <c r="W105" s="28">
        <v>196.5</v>
      </c>
      <c r="X105" s="28">
        <v>196.5</v>
      </c>
      <c r="Y105" s="28">
        <v>196</v>
      </c>
      <c r="Z105" s="28">
        <v>205</v>
      </c>
      <c r="AA105" s="28">
        <v>205</v>
      </c>
      <c r="AB105" s="28">
        <v>205</v>
      </c>
      <c r="AC105" s="28">
        <v>206.68493150684935</v>
      </c>
      <c r="AD105" s="28">
        <v>202.19178082191783</v>
      </c>
      <c r="AE105" s="28">
        <v>204.43835616438361</v>
      </c>
      <c r="AF105" s="28">
        <v>206.68493150684935</v>
      </c>
      <c r="AG105" s="28">
        <v>206.68</v>
      </c>
      <c r="AH105" s="28">
        <v>200</v>
      </c>
    </row>
    <row r="106" spans="2:34">
      <c r="B106">
        <v>105</v>
      </c>
      <c r="C106" t="s">
        <v>356</v>
      </c>
      <c r="D106" t="s">
        <v>19</v>
      </c>
      <c r="E106" t="s">
        <v>707</v>
      </c>
      <c r="F106" s="28">
        <v>65</v>
      </c>
      <c r="G106" s="28">
        <v>65</v>
      </c>
      <c r="H106" s="28">
        <v>65</v>
      </c>
      <c r="I106" s="28">
        <v>65</v>
      </c>
      <c r="J106" s="28">
        <v>200</v>
      </c>
      <c r="K106" s="28">
        <v>200</v>
      </c>
      <c r="L106" s="28">
        <v>200</v>
      </c>
      <c r="M106" s="28">
        <v>200</v>
      </c>
      <c r="N106" s="28">
        <v>170</v>
      </c>
      <c r="O106" s="28">
        <v>170</v>
      </c>
      <c r="P106" s="28">
        <v>170</v>
      </c>
      <c r="Q106" s="28">
        <v>170</v>
      </c>
      <c r="R106" s="28">
        <v>184.5</v>
      </c>
      <c r="S106" s="28">
        <v>184.5</v>
      </c>
      <c r="T106" s="28">
        <v>184.5</v>
      </c>
      <c r="U106" s="28">
        <v>184.5</v>
      </c>
      <c r="V106" s="28">
        <v>180</v>
      </c>
      <c r="W106" s="28">
        <v>180</v>
      </c>
      <c r="X106" s="28">
        <v>180</v>
      </c>
      <c r="Y106" s="28">
        <v>180</v>
      </c>
      <c r="Z106" s="28">
        <v>195</v>
      </c>
      <c r="AA106" s="28">
        <v>195</v>
      </c>
      <c r="AB106" s="28">
        <v>195</v>
      </c>
      <c r="AC106" s="28">
        <v>201.64383561643837</v>
      </c>
      <c r="AD106" s="28">
        <v>197.26027397260273</v>
      </c>
      <c r="AE106" s="28">
        <v>199.45205479452056</v>
      </c>
      <c r="AF106" s="28">
        <v>201.64383561643837</v>
      </c>
      <c r="AG106" s="28">
        <v>201.64</v>
      </c>
      <c r="AH106" s="28">
        <v>200</v>
      </c>
    </row>
    <row r="107" spans="2:34">
      <c r="B107">
        <v>106</v>
      </c>
      <c r="C107" t="s">
        <v>359</v>
      </c>
      <c r="D107" t="s">
        <v>19</v>
      </c>
      <c r="E107" t="s">
        <v>707</v>
      </c>
      <c r="F107" s="28">
        <v>25</v>
      </c>
      <c r="G107" s="28">
        <v>25</v>
      </c>
      <c r="H107" s="28">
        <v>25</v>
      </c>
      <c r="I107" s="28">
        <v>25</v>
      </c>
      <c r="J107" s="28">
        <v>35</v>
      </c>
      <c r="K107" s="28">
        <v>35</v>
      </c>
      <c r="L107" s="28">
        <v>35</v>
      </c>
      <c r="M107" s="28">
        <v>35</v>
      </c>
      <c r="N107" s="28">
        <v>37.5</v>
      </c>
      <c r="O107" s="28">
        <v>37.5</v>
      </c>
      <c r="P107" s="28">
        <v>37.5</v>
      </c>
      <c r="Q107" s="28">
        <v>37.5</v>
      </c>
      <c r="R107" s="28">
        <v>37.5</v>
      </c>
      <c r="S107" s="28">
        <v>37.5</v>
      </c>
      <c r="T107" s="28">
        <v>37.5</v>
      </c>
      <c r="U107" s="28">
        <v>37.5</v>
      </c>
      <c r="V107" s="28">
        <v>50</v>
      </c>
      <c r="W107" s="28">
        <v>50</v>
      </c>
      <c r="X107" s="28">
        <v>50</v>
      </c>
      <c r="Y107" s="28">
        <v>50</v>
      </c>
      <c r="Z107" s="28">
        <v>50</v>
      </c>
      <c r="AA107" s="28">
        <v>50</v>
      </c>
      <c r="AB107" s="28">
        <v>50</v>
      </c>
      <c r="AC107" s="28">
        <v>57.972602739726028</v>
      </c>
      <c r="AD107" s="28">
        <v>56.712328767123282</v>
      </c>
      <c r="AE107" s="28">
        <v>57.342465753424662</v>
      </c>
      <c r="AF107" s="28">
        <v>57.972602739726028</v>
      </c>
      <c r="AG107" s="28">
        <v>57.97</v>
      </c>
      <c r="AH107" s="28">
        <v>55</v>
      </c>
    </row>
    <row r="108" spans="2:34">
      <c r="B108">
        <v>107</v>
      </c>
      <c r="C108" t="s">
        <v>362</v>
      </c>
      <c r="D108" t="s">
        <v>19</v>
      </c>
      <c r="E108" t="s">
        <v>707</v>
      </c>
      <c r="F108" s="28">
        <v>100</v>
      </c>
      <c r="G108" s="28">
        <v>100</v>
      </c>
      <c r="H108" s="28">
        <v>100</v>
      </c>
      <c r="I108" s="28">
        <v>100</v>
      </c>
      <c r="J108" s="28">
        <v>160</v>
      </c>
      <c r="K108" s="28">
        <v>160</v>
      </c>
      <c r="L108" s="28">
        <v>160</v>
      </c>
      <c r="M108" s="28">
        <v>160</v>
      </c>
      <c r="N108" s="28">
        <v>220</v>
      </c>
      <c r="O108" s="28">
        <v>220</v>
      </c>
      <c r="P108" s="28">
        <v>220</v>
      </c>
      <c r="Q108" s="28">
        <v>220</v>
      </c>
      <c r="R108" s="28">
        <v>360</v>
      </c>
      <c r="S108" s="28">
        <v>360</v>
      </c>
      <c r="T108" s="28">
        <v>360</v>
      </c>
      <c r="U108" s="28">
        <v>360</v>
      </c>
      <c r="V108" s="28">
        <v>330</v>
      </c>
      <c r="W108" s="28">
        <v>330</v>
      </c>
      <c r="X108" s="28">
        <v>330</v>
      </c>
      <c r="Y108" s="28">
        <v>330</v>
      </c>
      <c r="Z108" s="28">
        <v>350</v>
      </c>
      <c r="AA108" s="28">
        <v>350</v>
      </c>
      <c r="AB108" s="28">
        <v>350</v>
      </c>
      <c r="AC108" s="28">
        <v>352.8767123287671</v>
      </c>
      <c r="AD108" s="28">
        <v>345.20547945205476</v>
      </c>
      <c r="AE108" s="28">
        <v>349.04109589041093</v>
      </c>
      <c r="AF108" s="28">
        <v>352.8767123287671</v>
      </c>
      <c r="AG108" s="28">
        <v>302.47000000000003</v>
      </c>
      <c r="AH108" s="28">
        <v>300</v>
      </c>
    </row>
    <row r="109" spans="2:34">
      <c r="B109">
        <v>108</v>
      </c>
      <c r="C109" t="s">
        <v>365</v>
      </c>
      <c r="D109" t="s">
        <v>19</v>
      </c>
      <c r="E109" t="s">
        <v>707</v>
      </c>
      <c r="F109" s="28">
        <v>35</v>
      </c>
      <c r="G109" s="28">
        <v>35</v>
      </c>
      <c r="H109" s="28">
        <v>35</v>
      </c>
      <c r="I109" s="28">
        <v>35</v>
      </c>
      <c r="J109" s="28">
        <v>31.5</v>
      </c>
      <c r="K109" s="28">
        <v>31.5</v>
      </c>
      <c r="L109" s="28">
        <v>31.5</v>
      </c>
      <c r="M109" s="28">
        <v>31.5</v>
      </c>
      <c r="N109" s="28">
        <v>31.5</v>
      </c>
      <c r="O109" s="28">
        <v>31.5</v>
      </c>
      <c r="P109" s="28">
        <v>31.5</v>
      </c>
      <c r="Q109" s="28">
        <v>31.5</v>
      </c>
      <c r="R109" s="28">
        <v>22.5</v>
      </c>
      <c r="S109" s="28">
        <v>22.5</v>
      </c>
      <c r="T109" s="28">
        <v>22.5</v>
      </c>
      <c r="U109" s="28">
        <v>22.5</v>
      </c>
      <c r="V109" s="28">
        <v>45</v>
      </c>
      <c r="W109" s="28">
        <v>45</v>
      </c>
      <c r="X109" s="28">
        <v>45</v>
      </c>
      <c r="Y109" s="28">
        <v>45</v>
      </c>
      <c r="Z109" s="28">
        <v>45</v>
      </c>
      <c r="AA109" s="28">
        <v>45</v>
      </c>
      <c r="AB109" s="28">
        <v>45</v>
      </c>
      <c r="AC109" s="28">
        <v>45.369863013698627</v>
      </c>
      <c r="AD109" s="28">
        <v>44.383561643835613</v>
      </c>
      <c r="AE109" s="28">
        <v>44.87671232876712</v>
      </c>
      <c r="AF109" s="28">
        <v>45.369863013698627</v>
      </c>
      <c r="AG109" s="28">
        <v>45.37</v>
      </c>
      <c r="AH109" s="28">
        <v>40</v>
      </c>
    </row>
    <row r="110" spans="2:34">
      <c r="B110">
        <v>109</v>
      </c>
      <c r="C110" t="s">
        <v>369</v>
      </c>
      <c r="D110" t="s">
        <v>19</v>
      </c>
      <c r="E110" t="s">
        <v>707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14.9</v>
      </c>
      <c r="W110" s="28">
        <v>12.200000000000001</v>
      </c>
      <c r="X110" s="28">
        <v>4.5</v>
      </c>
      <c r="Y110" s="28">
        <v>0</v>
      </c>
      <c r="Z110" s="28">
        <v>12.5</v>
      </c>
      <c r="AA110" s="28">
        <v>12.5</v>
      </c>
      <c r="AB110" s="28">
        <v>12.5</v>
      </c>
      <c r="AC110" s="28">
        <v>17.136986301369863</v>
      </c>
      <c r="AD110" s="28">
        <v>24.657534246575342</v>
      </c>
      <c r="AE110" s="28">
        <v>26.575342465753423</v>
      </c>
      <c r="AF110" s="28">
        <v>32.712328767123289</v>
      </c>
      <c r="AG110" s="28">
        <v>38.74</v>
      </c>
      <c r="AH110" s="28">
        <v>38</v>
      </c>
    </row>
    <row r="111" spans="2:34">
      <c r="B111">
        <v>110</v>
      </c>
      <c r="C111" t="s">
        <v>372</v>
      </c>
      <c r="D111" t="s">
        <v>19</v>
      </c>
      <c r="E111" t="s">
        <v>707</v>
      </c>
      <c r="F111" s="28">
        <v>46</v>
      </c>
      <c r="G111" s="28">
        <v>46</v>
      </c>
      <c r="H111" s="28">
        <v>46</v>
      </c>
      <c r="I111" s="28">
        <v>46</v>
      </c>
      <c r="J111" s="28">
        <v>25</v>
      </c>
      <c r="K111" s="28">
        <v>25</v>
      </c>
      <c r="L111" s="28">
        <v>25</v>
      </c>
      <c r="M111" s="28">
        <v>25</v>
      </c>
      <c r="N111" s="28">
        <v>35</v>
      </c>
      <c r="O111" s="28">
        <v>35</v>
      </c>
      <c r="P111" s="28">
        <v>35</v>
      </c>
      <c r="Q111" s="28">
        <v>35</v>
      </c>
      <c r="R111" s="28">
        <v>45</v>
      </c>
      <c r="S111" s="28">
        <v>45</v>
      </c>
      <c r="T111" s="28">
        <v>45</v>
      </c>
      <c r="U111" s="28">
        <v>45</v>
      </c>
      <c r="V111" s="28">
        <v>44</v>
      </c>
      <c r="W111" s="28">
        <v>44</v>
      </c>
      <c r="X111" s="28">
        <v>44</v>
      </c>
      <c r="Y111" s="28">
        <v>44</v>
      </c>
      <c r="Z111" s="28">
        <v>44</v>
      </c>
      <c r="AA111" s="28">
        <v>44</v>
      </c>
      <c r="AB111" s="28">
        <v>44</v>
      </c>
      <c r="AC111" s="28">
        <v>50</v>
      </c>
      <c r="AD111" s="28">
        <v>44</v>
      </c>
      <c r="AE111" s="28">
        <v>44</v>
      </c>
      <c r="AF111" s="28">
        <v>45</v>
      </c>
      <c r="AG111" s="28">
        <v>40</v>
      </c>
      <c r="AH111" s="28">
        <v>40</v>
      </c>
    </row>
    <row r="112" spans="2:34">
      <c r="B112">
        <v>111</v>
      </c>
      <c r="C112" t="s">
        <v>374</v>
      </c>
      <c r="D112" t="s">
        <v>19</v>
      </c>
      <c r="E112" t="s">
        <v>707</v>
      </c>
      <c r="F112" s="28">
        <v>2</v>
      </c>
      <c r="G112" s="28">
        <v>2</v>
      </c>
      <c r="H112" s="28">
        <v>2</v>
      </c>
      <c r="I112" s="28">
        <v>2</v>
      </c>
      <c r="J112" s="28">
        <v>2</v>
      </c>
      <c r="K112" s="28">
        <v>2</v>
      </c>
      <c r="L112" s="28">
        <v>2</v>
      </c>
      <c r="M112" s="28">
        <v>2</v>
      </c>
      <c r="N112" s="28">
        <v>2</v>
      </c>
      <c r="O112" s="28">
        <v>2</v>
      </c>
      <c r="P112" s="28">
        <v>2</v>
      </c>
      <c r="Q112" s="28">
        <v>2</v>
      </c>
      <c r="R112" s="28">
        <v>3</v>
      </c>
      <c r="S112" s="28">
        <v>3</v>
      </c>
      <c r="T112" s="28">
        <v>3</v>
      </c>
      <c r="U112" s="28">
        <v>3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/>
      <c r="AH112" s="28">
        <v>0</v>
      </c>
    </row>
    <row r="113" spans="2:34">
      <c r="B113">
        <v>112</v>
      </c>
      <c r="C113" t="s">
        <v>377</v>
      </c>
      <c r="D113" t="s">
        <v>19</v>
      </c>
      <c r="E113" t="s">
        <v>707</v>
      </c>
      <c r="F113" s="28">
        <v>0</v>
      </c>
      <c r="G113" s="28">
        <v>0</v>
      </c>
      <c r="H113" s="28">
        <v>0</v>
      </c>
      <c r="I113" s="28">
        <v>0</v>
      </c>
      <c r="J113" s="28">
        <v>35</v>
      </c>
      <c r="K113" s="28">
        <v>35</v>
      </c>
      <c r="L113" s="28">
        <v>35</v>
      </c>
      <c r="M113" s="28">
        <v>35</v>
      </c>
      <c r="N113" s="28">
        <v>75</v>
      </c>
      <c r="O113" s="28">
        <v>75</v>
      </c>
      <c r="P113" s="28">
        <v>75</v>
      </c>
      <c r="Q113" s="28">
        <v>75</v>
      </c>
      <c r="R113" s="28">
        <v>107.5</v>
      </c>
      <c r="S113" s="28">
        <v>107.5</v>
      </c>
      <c r="T113" s="28">
        <v>107.5</v>
      </c>
      <c r="U113" s="28">
        <v>107.5</v>
      </c>
      <c r="V113" s="28">
        <v>105</v>
      </c>
      <c r="W113" s="28">
        <v>105</v>
      </c>
      <c r="X113" s="28">
        <v>105</v>
      </c>
      <c r="Y113" s="28">
        <v>105</v>
      </c>
      <c r="Z113" s="28">
        <v>110</v>
      </c>
      <c r="AA113" s="28">
        <v>110</v>
      </c>
      <c r="AB113" s="28">
        <v>126.16438356164383</v>
      </c>
      <c r="AC113" s="28">
        <v>126.16438356164383</v>
      </c>
      <c r="AD113" s="28">
        <v>184.9315068493151</v>
      </c>
      <c r="AE113" s="28">
        <v>186.98630136986304</v>
      </c>
      <c r="AF113" s="28">
        <v>118</v>
      </c>
      <c r="AG113" s="28">
        <v>105.86</v>
      </c>
      <c r="AH113" s="28">
        <v>105</v>
      </c>
    </row>
    <row r="114" spans="2:34">
      <c r="B114">
        <v>113</v>
      </c>
      <c r="C114" t="s">
        <v>381</v>
      </c>
      <c r="D114" t="s">
        <v>19</v>
      </c>
      <c r="E114" t="s">
        <v>707</v>
      </c>
      <c r="F114" s="28">
        <v>25</v>
      </c>
      <c r="G114" s="28">
        <v>25</v>
      </c>
      <c r="H114" s="28">
        <v>25</v>
      </c>
      <c r="I114" s="28">
        <v>25</v>
      </c>
      <c r="J114" s="28">
        <v>20</v>
      </c>
      <c r="K114" s="28">
        <v>20</v>
      </c>
      <c r="L114" s="28">
        <v>20</v>
      </c>
      <c r="M114" s="28">
        <v>20</v>
      </c>
      <c r="N114" s="28">
        <v>28</v>
      </c>
      <c r="O114" s="28">
        <v>28</v>
      </c>
      <c r="P114" s="28">
        <v>28</v>
      </c>
      <c r="Q114" s="28">
        <v>28</v>
      </c>
      <c r="R114" s="28">
        <v>31</v>
      </c>
      <c r="S114" s="28">
        <v>31</v>
      </c>
      <c r="T114" s="28">
        <v>31</v>
      </c>
      <c r="U114" s="28">
        <v>31</v>
      </c>
      <c r="V114" s="28">
        <v>25</v>
      </c>
      <c r="W114" s="28">
        <v>25</v>
      </c>
      <c r="X114" s="28">
        <v>25</v>
      </c>
      <c r="Y114" s="28">
        <v>25</v>
      </c>
      <c r="Z114" s="28">
        <v>25</v>
      </c>
      <c r="AA114" s="28">
        <v>25</v>
      </c>
      <c r="AB114" s="28">
        <v>25</v>
      </c>
      <c r="AC114" s="28">
        <v>25</v>
      </c>
      <c r="AD114" s="28">
        <v>0</v>
      </c>
      <c r="AE114" s="28">
        <v>0</v>
      </c>
      <c r="AF114" s="28">
        <v>0</v>
      </c>
      <c r="AG114" s="28"/>
      <c r="AH114" s="28">
        <v>0</v>
      </c>
    </row>
    <row r="115" spans="2:34">
      <c r="B115">
        <v>114</v>
      </c>
      <c r="C115" t="s">
        <v>385</v>
      </c>
      <c r="D115" t="s">
        <v>19</v>
      </c>
      <c r="E115" t="s">
        <v>707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/>
    </row>
    <row r="116" spans="2:34">
      <c r="B116">
        <v>115</v>
      </c>
      <c r="C116" t="s">
        <v>387</v>
      </c>
      <c r="D116" t="s">
        <v>19</v>
      </c>
      <c r="E116" t="s">
        <v>707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/>
    </row>
    <row r="117" spans="2:34">
      <c r="B117">
        <v>116</v>
      </c>
      <c r="C117" t="s">
        <v>389</v>
      </c>
      <c r="D117" t="s">
        <v>19</v>
      </c>
      <c r="E117" t="s">
        <v>707</v>
      </c>
      <c r="F117" s="28">
        <v>9</v>
      </c>
      <c r="G117" s="28">
        <v>9</v>
      </c>
      <c r="H117" s="28">
        <v>9</v>
      </c>
      <c r="I117" s="28">
        <v>9</v>
      </c>
      <c r="J117" s="28">
        <v>5</v>
      </c>
      <c r="K117" s="28">
        <v>5</v>
      </c>
      <c r="L117" s="28">
        <v>5</v>
      </c>
      <c r="M117" s="28">
        <v>5</v>
      </c>
      <c r="N117" s="28">
        <v>7</v>
      </c>
      <c r="O117" s="28">
        <v>7</v>
      </c>
      <c r="P117" s="28">
        <v>7</v>
      </c>
      <c r="Q117" s="28">
        <v>7</v>
      </c>
      <c r="R117" s="28">
        <v>8</v>
      </c>
      <c r="S117" s="28">
        <v>8</v>
      </c>
      <c r="T117" s="28">
        <v>8</v>
      </c>
      <c r="U117" s="28">
        <v>8</v>
      </c>
      <c r="V117" s="28">
        <v>7</v>
      </c>
      <c r="W117" s="28">
        <v>7</v>
      </c>
      <c r="X117" s="28">
        <v>7</v>
      </c>
      <c r="Y117" s="28">
        <v>7</v>
      </c>
      <c r="Z117" s="28">
        <v>5</v>
      </c>
      <c r="AA117" s="28">
        <v>5</v>
      </c>
      <c r="AB117" s="28">
        <v>4</v>
      </c>
      <c r="AC117" s="28">
        <v>2.547945205479452</v>
      </c>
      <c r="AD117" s="28">
        <v>0</v>
      </c>
      <c r="AE117" s="28">
        <v>0</v>
      </c>
      <c r="AF117" s="28">
        <v>0</v>
      </c>
      <c r="AG117" s="28"/>
    </row>
    <row r="118" spans="2:34">
      <c r="B118">
        <v>117</v>
      </c>
      <c r="C118" t="s">
        <v>392</v>
      </c>
      <c r="D118" t="s">
        <v>19</v>
      </c>
      <c r="E118" t="s">
        <v>707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/>
    </row>
    <row r="119" spans="2:34">
      <c r="B119">
        <v>118</v>
      </c>
      <c r="C119" t="s">
        <v>395</v>
      </c>
      <c r="D119" t="s">
        <v>19</v>
      </c>
      <c r="E119" t="s">
        <v>707</v>
      </c>
      <c r="F119" s="28">
        <v>90</v>
      </c>
      <c r="G119" s="28">
        <v>90</v>
      </c>
      <c r="H119" s="28">
        <v>90</v>
      </c>
      <c r="I119" s="28">
        <v>90</v>
      </c>
      <c r="J119" s="28">
        <v>198</v>
      </c>
      <c r="K119" s="28">
        <v>198</v>
      </c>
      <c r="L119" s="28">
        <v>198</v>
      </c>
      <c r="M119" s="28">
        <v>198</v>
      </c>
      <c r="N119" s="28">
        <v>128</v>
      </c>
      <c r="O119" s="28">
        <v>128</v>
      </c>
      <c r="P119" s="28">
        <v>128</v>
      </c>
      <c r="Q119" s="28">
        <v>128</v>
      </c>
      <c r="R119" s="28">
        <v>78.5</v>
      </c>
      <c r="S119" s="28">
        <v>78.5</v>
      </c>
      <c r="T119" s="28">
        <v>78.5</v>
      </c>
      <c r="U119" s="28">
        <v>78.5</v>
      </c>
      <c r="V119" s="28">
        <v>67.5</v>
      </c>
      <c r="W119" s="28">
        <v>67.5</v>
      </c>
      <c r="X119" s="28">
        <v>67.5</v>
      </c>
      <c r="Y119" s="28">
        <v>67.5</v>
      </c>
      <c r="Z119" s="28">
        <v>83.178082191780817</v>
      </c>
      <c r="AA119" s="28">
        <v>83.178082191780817</v>
      </c>
      <c r="AB119" s="28">
        <v>83.178082191780817</v>
      </c>
      <c r="AC119" s="28">
        <v>83.178082191780817</v>
      </c>
      <c r="AD119" s="28">
        <v>81.36986301369862</v>
      </c>
      <c r="AE119" s="28">
        <v>76.520547945205479</v>
      </c>
      <c r="AF119" s="28">
        <v>63.06849315068493</v>
      </c>
      <c r="AG119" s="28">
        <v>65.53</v>
      </c>
      <c r="AH119" s="28">
        <v>63</v>
      </c>
    </row>
    <row r="120" spans="2:34">
      <c r="B120">
        <v>119</v>
      </c>
      <c r="C120" t="s">
        <v>398</v>
      </c>
      <c r="D120" t="s">
        <v>19</v>
      </c>
      <c r="E120" t="s">
        <v>707</v>
      </c>
      <c r="F120" s="28">
        <v>30</v>
      </c>
      <c r="G120" s="28">
        <v>30</v>
      </c>
      <c r="H120" s="28">
        <v>30</v>
      </c>
      <c r="I120" s="28">
        <v>30</v>
      </c>
      <c r="J120" s="28">
        <v>18</v>
      </c>
      <c r="K120" s="28">
        <v>18</v>
      </c>
      <c r="L120" s="28">
        <v>18</v>
      </c>
      <c r="M120" s="28">
        <v>18</v>
      </c>
      <c r="N120" s="28">
        <v>19</v>
      </c>
      <c r="O120" s="28">
        <v>19</v>
      </c>
      <c r="P120" s="28">
        <v>19</v>
      </c>
      <c r="Q120" s="28">
        <v>19</v>
      </c>
      <c r="R120" s="28">
        <v>27</v>
      </c>
      <c r="S120" s="28">
        <v>27</v>
      </c>
      <c r="T120" s="28">
        <v>27</v>
      </c>
      <c r="U120" s="28">
        <v>27</v>
      </c>
      <c r="V120" s="28">
        <v>15</v>
      </c>
      <c r="W120" s="28">
        <v>15</v>
      </c>
      <c r="X120" s="28">
        <v>15</v>
      </c>
      <c r="Y120" s="28">
        <v>15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/>
    </row>
    <row r="121" spans="2:34">
      <c r="B121">
        <v>120</v>
      </c>
      <c r="C121" t="s">
        <v>402</v>
      </c>
      <c r="D121" t="s">
        <v>19</v>
      </c>
      <c r="E121" t="s">
        <v>707</v>
      </c>
      <c r="F121" s="28">
        <v>50</v>
      </c>
      <c r="G121" s="28">
        <v>50</v>
      </c>
      <c r="H121" s="28">
        <v>50</v>
      </c>
      <c r="I121" s="28">
        <v>50</v>
      </c>
      <c r="J121" s="28">
        <v>50</v>
      </c>
      <c r="K121" s="28">
        <v>50</v>
      </c>
      <c r="L121" s="28">
        <v>50</v>
      </c>
      <c r="M121" s="28">
        <v>50</v>
      </c>
      <c r="N121" s="28">
        <v>53</v>
      </c>
      <c r="O121" s="28">
        <v>53</v>
      </c>
      <c r="P121" s="28">
        <v>53</v>
      </c>
      <c r="Q121" s="28">
        <v>53</v>
      </c>
      <c r="R121" s="28">
        <v>29.5</v>
      </c>
      <c r="S121" s="28">
        <v>29.5</v>
      </c>
      <c r="T121" s="28">
        <v>29.5</v>
      </c>
      <c r="U121" s="28">
        <v>29.5</v>
      </c>
      <c r="V121" s="28">
        <v>75</v>
      </c>
      <c r="W121" s="28">
        <v>75</v>
      </c>
      <c r="X121" s="28">
        <v>75</v>
      </c>
      <c r="Y121" s="28">
        <v>75</v>
      </c>
      <c r="Z121" s="28">
        <v>100</v>
      </c>
      <c r="AA121" s="28">
        <v>100</v>
      </c>
      <c r="AB121" s="28">
        <v>100</v>
      </c>
      <c r="AC121" s="28">
        <v>105.86301369863013</v>
      </c>
      <c r="AD121" s="28">
        <v>103.56164383561644</v>
      </c>
      <c r="AE121" s="28">
        <v>104.71232876712328</v>
      </c>
      <c r="AF121" s="28">
        <v>105.86301369863013</v>
      </c>
      <c r="AG121" s="28">
        <v>104.16</v>
      </c>
      <c r="AH121" s="28">
        <v>104</v>
      </c>
    </row>
    <row r="122" spans="2:34">
      <c r="B122">
        <v>121</v>
      </c>
      <c r="C122" t="s">
        <v>405</v>
      </c>
      <c r="D122" t="s">
        <v>19</v>
      </c>
      <c r="E122" t="s">
        <v>707</v>
      </c>
      <c r="F122" s="28">
        <v>15</v>
      </c>
      <c r="G122" s="28">
        <v>15</v>
      </c>
      <c r="H122" s="28">
        <v>15</v>
      </c>
      <c r="I122" s="28">
        <v>15</v>
      </c>
      <c r="J122" s="28">
        <v>16</v>
      </c>
      <c r="K122" s="28">
        <v>16</v>
      </c>
      <c r="L122" s="28">
        <v>16</v>
      </c>
      <c r="M122" s="28">
        <v>16</v>
      </c>
      <c r="N122" s="28">
        <v>7.5</v>
      </c>
      <c r="O122" s="28">
        <v>7.5</v>
      </c>
      <c r="P122" s="28">
        <v>7.5</v>
      </c>
      <c r="Q122" s="28">
        <v>7.5</v>
      </c>
      <c r="R122" s="28">
        <v>5</v>
      </c>
      <c r="S122" s="28">
        <v>5</v>
      </c>
      <c r="T122" s="28">
        <v>5</v>
      </c>
      <c r="U122" s="28">
        <v>5</v>
      </c>
      <c r="V122" s="28">
        <v>2.5</v>
      </c>
      <c r="W122" s="28">
        <v>2.5</v>
      </c>
      <c r="X122" s="28">
        <v>2.5</v>
      </c>
      <c r="Y122" s="28">
        <v>2.5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/>
    </row>
    <row r="123" spans="2:34" ht="15.75">
      <c r="B123">
        <v>122</v>
      </c>
      <c r="C123" s="14" t="s">
        <v>408</v>
      </c>
      <c r="D123" s="14" t="s">
        <v>410</v>
      </c>
      <c r="E123" t="s">
        <v>707</v>
      </c>
      <c r="AF123" s="14"/>
      <c r="AG123" s="30">
        <f t="shared" ref="AG123:AG186" si="0">AF123</f>
        <v>0</v>
      </c>
    </row>
    <row r="124" spans="2:34" ht="15.75">
      <c r="B124">
        <v>123</v>
      </c>
      <c r="C124" s="14" t="s">
        <v>412</v>
      </c>
      <c r="D124" s="14" t="s">
        <v>414</v>
      </c>
      <c r="E124" t="s">
        <v>707</v>
      </c>
      <c r="AF124" s="14"/>
      <c r="AG124" s="30">
        <f t="shared" si="0"/>
        <v>0</v>
      </c>
    </row>
    <row r="125" spans="2:34" ht="15.75">
      <c r="B125">
        <v>124</v>
      </c>
      <c r="C125" s="14" t="s">
        <v>416</v>
      </c>
      <c r="D125" s="14" t="s">
        <v>418</v>
      </c>
      <c r="E125" t="s">
        <v>707</v>
      </c>
      <c r="AF125" s="14"/>
      <c r="AG125" s="30">
        <f t="shared" si="0"/>
        <v>0</v>
      </c>
    </row>
    <row r="126" spans="2:34" ht="15.75">
      <c r="B126">
        <v>125</v>
      </c>
      <c r="C126" s="14" t="s">
        <v>420</v>
      </c>
      <c r="D126" s="14" t="s">
        <v>421</v>
      </c>
      <c r="E126" t="s">
        <v>707</v>
      </c>
      <c r="AF126" s="14"/>
      <c r="AG126" s="30">
        <f t="shared" si="0"/>
        <v>0</v>
      </c>
    </row>
    <row r="127" spans="2:34" ht="15.75">
      <c r="B127">
        <v>126</v>
      </c>
      <c r="C127" s="14" t="s">
        <v>423</v>
      </c>
      <c r="D127" s="14" t="s">
        <v>425</v>
      </c>
      <c r="E127" t="s">
        <v>707</v>
      </c>
      <c r="AF127" s="14"/>
      <c r="AG127" s="30">
        <f t="shared" si="0"/>
        <v>0</v>
      </c>
    </row>
    <row r="128" spans="2:34" ht="15.75">
      <c r="B128">
        <v>127</v>
      </c>
      <c r="C128" s="14" t="s">
        <v>427</v>
      </c>
      <c r="D128" s="14" t="s">
        <v>428</v>
      </c>
      <c r="E128" t="s">
        <v>707</v>
      </c>
      <c r="AF128" s="14"/>
      <c r="AG128" s="30">
        <f t="shared" si="0"/>
        <v>0</v>
      </c>
    </row>
    <row r="129" spans="2:33" ht="15.75">
      <c r="B129">
        <v>128</v>
      </c>
      <c r="C129" s="14" t="s">
        <v>430</v>
      </c>
      <c r="D129" s="14" t="s">
        <v>410</v>
      </c>
      <c r="E129" t="s">
        <v>707</v>
      </c>
      <c r="AF129" s="14"/>
      <c r="AG129" s="30">
        <f t="shared" si="0"/>
        <v>0</v>
      </c>
    </row>
    <row r="130" spans="2:33" ht="15.75">
      <c r="B130">
        <v>129</v>
      </c>
      <c r="C130" s="14" t="s">
        <v>431</v>
      </c>
      <c r="D130" s="14" t="s">
        <v>433</v>
      </c>
      <c r="E130" t="s">
        <v>707</v>
      </c>
      <c r="AF130" s="14"/>
      <c r="AG130" s="30">
        <f t="shared" si="0"/>
        <v>0</v>
      </c>
    </row>
    <row r="131" spans="2:33" ht="15.75">
      <c r="B131">
        <v>130</v>
      </c>
      <c r="C131" s="14" t="s">
        <v>435</v>
      </c>
      <c r="D131" s="14" t="s">
        <v>410</v>
      </c>
      <c r="E131" t="s">
        <v>707</v>
      </c>
      <c r="AF131" s="14"/>
      <c r="AG131" s="30">
        <f t="shared" si="0"/>
        <v>0</v>
      </c>
    </row>
    <row r="132" spans="2:33" ht="15.75">
      <c r="B132">
        <v>131</v>
      </c>
      <c r="C132" s="14" t="s">
        <v>437</v>
      </c>
      <c r="D132" s="14" t="s">
        <v>438</v>
      </c>
      <c r="E132" t="s">
        <v>707</v>
      </c>
      <c r="AF132" s="14"/>
      <c r="AG132" s="30">
        <f t="shared" si="0"/>
        <v>0</v>
      </c>
    </row>
    <row r="133" spans="2:33" ht="15.75">
      <c r="B133">
        <v>132</v>
      </c>
      <c r="C133" s="14" t="s">
        <v>440</v>
      </c>
      <c r="D133" s="14" t="s">
        <v>441</v>
      </c>
      <c r="E133" t="s">
        <v>707</v>
      </c>
      <c r="AF133" s="14"/>
      <c r="AG133" s="30">
        <f t="shared" si="0"/>
        <v>0</v>
      </c>
    </row>
    <row r="134" spans="2:33" ht="15.75">
      <c r="B134">
        <v>133</v>
      </c>
      <c r="C134" s="14" t="s">
        <v>443</v>
      </c>
      <c r="D134" s="14" t="s">
        <v>445</v>
      </c>
      <c r="E134" t="s">
        <v>707</v>
      </c>
      <c r="AF134" s="14"/>
      <c r="AG134" s="30">
        <f t="shared" si="0"/>
        <v>0</v>
      </c>
    </row>
    <row r="135" spans="2:33" ht="15.75">
      <c r="B135">
        <v>134</v>
      </c>
      <c r="C135" s="14" t="s">
        <v>447</v>
      </c>
      <c r="D135" s="14" t="s">
        <v>410</v>
      </c>
      <c r="E135" t="s">
        <v>707</v>
      </c>
      <c r="AF135" s="14"/>
      <c r="AG135" s="30">
        <f t="shared" si="0"/>
        <v>0</v>
      </c>
    </row>
    <row r="136" spans="2:33" ht="15.75">
      <c r="B136">
        <v>135</v>
      </c>
      <c r="C136" s="14" t="s">
        <v>449</v>
      </c>
      <c r="D136" s="14" t="s">
        <v>450</v>
      </c>
      <c r="E136" t="s">
        <v>707</v>
      </c>
      <c r="AF136" s="14"/>
      <c r="AG136" s="30">
        <f t="shared" si="0"/>
        <v>0</v>
      </c>
    </row>
    <row r="137" spans="2:33" ht="15.75">
      <c r="B137">
        <v>136</v>
      </c>
      <c r="C137" s="14" t="s">
        <v>452</v>
      </c>
      <c r="D137" s="14" t="s">
        <v>453</v>
      </c>
      <c r="E137" t="s">
        <v>707</v>
      </c>
      <c r="AF137" s="14"/>
      <c r="AG137" s="30">
        <f t="shared" si="0"/>
        <v>0</v>
      </c>
    </row>
    <row r="138" spans="2:33" ht="15.75">
      <c r="B138">
        <v>137</v>
      </c>
      <c r="C138" s="14" t="s">
        <v>455</v>
      </c>
      <c r="D138" s="14" t="s">
        <v>456</v>
      </c>
      <c r="E138" t="s">
        <v>707</v>
      </c>
      <c r="AF138" s="14"/>
      <c r="AG138" s="30">
        <f t="shared" si="0"/>
        <v>0</v>
      </c>
    </row>
    <row r="139" spans="2:33" ht="15.75">
      <c r="B139">
        <v>138</v>
      </c>
      <c r="C139" s="14" t="s">
        <v>458</v>
      </c>
      <c r="D139" s="14" t="s">
        <v>425</v>
      </c>
      <c r="E139" t="s">
        <v>707</v>
      </c>
      <c r="AF139" s="14"/>
      <c r="AG139" s="30">
        <f t="shared" si="0"/>
        <v>0</v>
      </c>
    </row>
    <row r="140" spans="2:33" ht="15.75">
      <c r="B140">
        <v>139</v>
      </c>
      <c r="C140" s="14" t="s">
        <v>459</v>
      </c>
      <c r="D140" s="14" t="s">
        <v>461</v>
      </c>
      <c r="E140" t="s">
        <v>707</v>
      </c>
      <c r="AF140" s="14"/>
      <c r="AG140" s="30">
        <f t="shared" si="0"/>
        <v>0</v>
      </c>
    </row>
    <row r="141" spans="2:33" ht="15.75">
      <c r="B141">
        <v>140</v>
      </c>
      <c r="C141" s="14" t="s">
        <v>463</v>
      </c>
      <c r="D141" s="14" t="s">
        <v>410</v>
      </c>
      <c r="E141" t="s">
        <v>707</v>
      </c>
      <c r="AF141" s="14"/>
      <c r="AG141" s="30">
        <f t="shared" si="0"/>
        <v>0</v>
      </c>
    </row>
    <row r="142" spans="2:33" ht="15.75">
      <c r="B142">
        <v>141</v>
      </c>
      <c r="C142" s="14" t="s">
        <v>464</v>
      </c>
      <c r="D142" s="14" t="s">
        <v>466</v>
      </c>
      <c r="E142" t="s">
        <v>707</v>
      </c>
      <c r="AF142" s="14"/>
      <c r="AG142" s="30">
        <f t="shared" si="0"/>
        <v>0</v>
      </c>
    </row>
    <row r="143" spans="2:33" ht="15.75">
      <c r="B143">
        <v>142</v>
      </c>
      <c r="C143" s="14" t="s">
        <v>467</v>
      </c>
      <c r="D143" s="14" t="s">
        <v>468</v>
      </c>
      <c r="E143" t="s">
        <v>707</v>
      </c>
      <c r="AF143" s="14"/>
      <c r="AG143" s="30">
        <f t="shared" si="0"/>
        <v>0</v>
      </c>
    </row>
    <row r="144" spans="2:33" ht="15.75">
      <c r="B144">
        <v>143</v>
      </c>
      <c r="C144" s="14" t="s">
        <v>470</v>
      </c>
      <c r="D144" s="14" t="s">
        <v>466</v>
      </c>
      <c r="E144" t="s">
        <v>707</v>
      </c>
      <c r="AF144" s="14"/>
      <c r="AG144" s="30">
        <f t="shared" si="0"/>
        <v>0</v>
      </c>
    </row>
    <row r="145" spans="2:33" ht="15.75">
      <c r="B145">
        <v>144</v>
      </c>
      <c r="C145" s="14" t="s">
        <v>472</v>
      </c>
      <c r="D145" s="14" t="s">
        <v>468</v>
      </c>
      <c r="E145" t="s">
        <v>707</v>
      </c>
      <c r="AF145" s="14"/>
      <c r="AG145" s="30">
        <f t="shared" si="0"/>
        <v>0</v>
      </c>
    </row>
    <row r="146" spans="2:33" ht="15.75">
      <c r="B146">
        <v>145</v>
      </c>
      <c r="C146" s="14" t="s">
        <v>474</v>
      </c>
      <c r="D146" s="14" t="s">
        <v>418</v>
      </c>
      <c r="E146" t="s">
        <v>707</v>
      </c>
      <c r="AF146" s="14"/>
      <c r="AG146" s="30">
        <f t="shared" si="0"/>
        <v>0</v>
      </c>
    </row>
    <row r="147" spans="2:33" ht="15.75">
      <c r="B147">
        <v>146</v>
      </c>
      <c r="C147" s="14" t="s">
        <v>476</v>
      </c>
      <c r="D147" s="14" t="s">
        <v>477</v>
      </c>
      <c r="E147" t="s">
        <v>707</v>
      </c>
      <c r="AF147" s="14"/>
      <c r="AG147" s="30">
        <f t="shared" si="0"/>
        <v>0</v>
      </c>
    </row>
    <row r="148" spans="2:33" ht="15.75">
      <c r="B148">
        <v>147</v>
      </c>
      <c r="C148" s="14" t="s">
        <v>476</v>
      </c>
      <c r="D148" s="14" t="s">
        <v>477</v>
      </c>
      <c r="E148" t="s">
        <v>707</v>
      </c>
      <c r="AF148" s="14"/>
      <c r="AG148" s="30">
        <f t="shared" si="0"/>
        <v>0</v>
      </c>
    </row>
    <row r="149" spans="2:33" ht="15.75">
      <c r="B149">
        <v>148</v>
      </c>
      <c r="C149" s="14" t="s">
        <v>476</v>
      </c>
      <c r="D149" s="14" t="s">
        <v>477</v>
      </c>
      <c r="E149" t="s">
        <v>707</v>
      </c>
      <c r="AF149" s="14"/>
      <c r="AG149" s="30">
        <f t="shared" si="0"/>
        <v>0</v>
      </c>
    </row>
    <row r="150" spans="2:33" ht="15.75">
      <c r="B150">
        <v>149</v>
      </c>
      <c r="C150" s="14" t="s">
        <v>481</v>
      </c>
      <c r="D150" s="14" t="s">
        <v>461</v>
      </c>
      <c r="E150" t="s">
        <v>707</v>
      </c>
      <c r="AF150" s="14"/>
      <c r="AG150" s="30">
        <f t="shared" si="0"/>
        <v>0</v>
      </c>
    </row>
    <row r="151" spans="2:33" ht="15.75">
      <c r="B151">
        <v>150</v>
      </c>
      <c r="C151" s="14" t="s">
        <v>483</v>
      </c>
      <c r="D151" s="14" t="s">
        <v>484</v>
      </c>
      <c r="E151" t="s">
        <v>707</v>
      </c>
      <c r="AF151" s="14"/>
      <c r="AG151" s="30">
        <f t="shared" si="0"/>
        <v>0</v>
      </c>
    </row>
    <row r="152" spans="2:33" ht="15.75">
      <c r="B152">
        <v>151</v>
      </c>
      <c r="C152" s="14" t="s">
        <v>486</v>
      </c>
      <c r="D152" s="14" t="s">
        <v>487</v>
      </c>
      <c r="E152" t="s">
        <v>707</v>
      </c>
      <c r="AF152" s="14"/>
      <c r="AG152" s="30">
        <f t="shared" si="0"/>
        <v>0</v>
      </c>
    </row>
    <row r="153" spans="2:33" ht="15.75">
      <c r="B153">
        <v>152</v>
      </c>
      <c r="C153" s="14" t="s">
        <v>489</v>
      </c>
      <c r="D153" s="14" t="s">
        <v>490</v>
      </c>
      <c r="E153" t="s">
        <v>707</v>
      </c>
      <c r="AF153" s="14"/>
      <c r="AG153" s="30">
        <f t="shared" si="0"/>
        <v>0</v>
      </c>
    </row>
    <row r="154" spans="2:33" ht="15.75">
      <c r="B154">
        <v>153</v>
      </c>
      <c r="C154" s="14" t="s">
        <v>489</v>
      </c>
      <c r="D154" s="14" t="s">
        <v>490</v>
      </c>
      <c r="E154" t="s">
        <v>707</v>
      </c>
      <c r="AF154" s="14"/>
      <c r="AG154" s="30">
        <f t="shared" si="0"/>
        <v>0</v>
      </c>
    </row>
    <row r="155" spans="2:33" ht="15.75">
      <c r="B155">
        <v>154</v>
      </c>
      <c r="C155" s="14" t="s">
        <v>493</v>
      </c>
      <c r="D155" s="14" t="s">
        <v>484</v>
      </c>
      <c r="E155" t="s">
        <v>707</v>
      </c>
      <c r="AF155" s="14"/>
      <c r="AG155" s="30">
        <f t="shared" si="0"/>
        <v>0</v>
      </c>
    </row>
    <row r="156" spans="2:33" ht="15.75">
      <c r="B156">
        <v>155</v>
      </c>
      <c r="C156" s="14" t="s">
        <v>495</v>
      </c>
      <c r="D156" s="14" t="s">
        <v>496</v>
      </c>
      <c r="E156" t="s">
        <v>707</v>
      </c>
      <c r="AF156" s="14"/>
      <c r="AG156" s="30">
        <f t="shared" si="0"/>
        <v>0</v>
      </c>
    </row>
    <row r="157" spans="2:33" ht="15.75">
      <c r="B157">
        <v>156</v>
      </c>
      <c r="C157" s="14" t="s">
        <v>498</v>
      </c>
      <c r="D157" s="14" t="s">
        <v>410</v>
      </c>
      <c r="E157" t="s">
        <v>707</v>
      </c>
      <c r="AF157" s="14"/>
      <c r="AG157" s="30">
        <f t="shared" si="0"/>
        <v>0</v>
      </c>
    </row>
    <row r="158" spans="2:33" ht="15.75">
      <c r="B158">
        <v>157</v>
      </c>
      <c r="C158" s="14" t="s">
        <v>499</v>
      </c>
      <c r="D158" s="14" t="s">
        <v>500</v>
      </c>
      <c r="E158" t="s">
        <v>707</v>
      </c>
      <c r="AF158" s="14"/>
      <c r="AG158" s="30">
        <f t="shared" si="0"/>
        <v>0</v>
      </c>
    </row>
    <row r="159" spans="2:33" ht="15.75">
      <c r="B159">
        <v>158</v>
      </c>
      <c r="C159" s="14" t="s">
        <v>499</v>
      </c>
      <c r="D159" s="14" t="s">
        <v>500</v>
      </c>
      <c r="E159" t="s">
        <v>707</v>
      </c>
      <c r="AF159" s="14"/>
      <c r="AG159" s="30">
        <f t="shared" si="0"/>
        <v>0</v>
      </c>
    </row>
    <row r="160" spans="2:33" ht="15.75">
      <c r="B160">
        <v>159</v>
      </c>
      <c r="C160" s="14" t="s">
        <v>499</v>
      </c>
      <c r="D160" s="14" t="s">
        <v>500</v>
      </c>
      <c r="E160" t="s">
        <v>707</v>
      </c>
      <c r="AF160" s="14"/>
      <c r="AG160" s="30">
        <f t="shared" si="0"/>
        <v>0</v>
      </c>
    </row>
    <row r="161" spans="2:33" ht="15.75">
      <c r="B161">
        <v>160</v>
      </c>
      <c r="C161" s="14" t="s">
        <v>504</v>
      </c>
      <c r="D161" s="14" t="s">
        <v>490</v>
      </c>
      <c r="E161" t="s">
        <v>707</v>
      </c>
      <c r="AF161" s="14"/>
      <c r="AG161" s="30">
        <f t="shared" si="0"/>
        <v>0</v>
      </c>
    </row>
    <row r="162" spans="2:33" ht="15.75">
      <c r="B162">
        <v>161</v>
      </c>
      <c r="C162" s="14" t="s">
        <v>504</v>
      </c>
      <c r="D162" s="14" t="s">
        <v>490</v>
      </c>
      <c r="E162" t="s">
        <v>707</v>
      </c>
      <c r="AF162" s="14"/>
      <c r="AG162" s="30">
        <f t="shared" si="0"/>
        <v>0</v>
      </c>
    </row>
    <row r="163" spans="2:33" ht="15.75">
      <c r="B163">
        <v>162</v>
      </c>
      <c r="C163" s="14" t="s">
        <v>504</v>
      </c>
      <c r="D163" s="14" t="s">
        <v>490</v>
      </c>
      <c r="E163" t="s">
        <v>707</v>
      </c>
      <c r="AF163" s="14"/>
      <c r="AG163" s="30">
        <f t="shared" si="0"/>
        <v>0</v>
      </c>
    </row>
    <row r="164" spans="2:33" ht="15.75">
      <c r="B164">
        <v>163</v>
      </c>
      <c r="C164" s="14" t="s">
        <v>504</v>
      </c>
      <c r="D164" s="14" t="s">
        <v>490</v>
      </c>
      <c r="E164" t="s">
        <v>707</v>
      </c>
      <c r="AF164" s="14"/>
      <c r="AG164" s="30">
        <f t="shared" si="0"/>
        <v>0</v>
      </c>
    </row>
    <row r="165" spans="2:33" ht="15.75">
      <c r="B165">
        <v>164</v>
      </c>
      <c r="C165" s="14" t="s">
        <v>509</v>
      </c>
      <c r="D165" s="14" t="s">
        <v>510</v>
      </c>
      <c r="E165" t="s">
        <v>707</v>
      </c>
      <c r="AF165" s="14"/>
      <c r="AG165" s="30">
        <f t="shared" si="0"/>
        <v>0</v>
      </c>
    </row>
    <row r="166" spans="2:33" ht="15.75">
      <c r="B166">
        <v>165</v>
      </c>
      <c r="C166" s="14" t="s">
        <v>512</v>
      </c>
      <c r="D166" s="14" t="s">
        <v>513</v>
      </c>
      <c r="E166" t="s">
        <v>707</v>
      </c>
      <c r="AF166" s="14"/>
      <c r="AG166" s="30">
        <f t="shared" si="0"/>
        <v>0</v>
      </c>
    </row>
    <row r="167" spans="2:33" ht="15.75">
      <c r="B167">
        <v>166</v>
      </c>
      <c r="C167" s="14" t="s">
        <v>515</v>
      </c>
      <c r="D167" s="14" t="s">
        <v>500</v>
      </c>
      <c r="E167" t="s">
        <v>707</v>
      </c>
      <c r="AF167" s="14"/>
      <c r="AG167" s="30">
        <f t="shared" si="0"/>
        <v>0</v>
      </c>
    </row>
    <row r="168" spans="2:33" ht="15.75">
      <c r="B168">
        <v>167</v>
      </c>
      <c r="C168" s="14" t="s">
        <v>517</v>
      </c>
      <c r="D168" s="14" t="s">
        <v>477</v>
      </c>
      <c r="E168" t="s">
        <v>707</v>
      </c>
      <c r="AF168" s="14"/>
      <c r="AG168" s="30">
        <f t="shared" si="0"/>
        <v>0</v>
      </c>
    </row>
    <row r="169" spans="2:33" ht="15.75">
      <c r="B169">
        <v>168</v>
      </c>
      <c r="C169" s="14" t="s">
        <v>519</v>
      </c>
      <c r="D169" s="14" t="s">
        <v>433</v>
      </c>
      <c r="E169" t="s">
        <v>707</v>
      </c>
      <c r="AF169" s="14"/>
      <c r="AG169" s="30">
        <f t="shared" si="0"/>
        <v>0</v>
      </c>
    </row>
    <row r="170" spans="2:33" ht="15.75">
      <c r="B170">
        <v>169</v>
      </c>
      <c r="C170" s="14" t="s">
        <v>521</v>
      </c>
      <c r="D170" s="14" t="s">
        <v>468</v>
      </c>
      <c r="E170" t="s">
        <v>707</v>
      </c>
      <c r="AF170" s="14"/>
      <c r="AG170" s="30">
        <f t="shared" si="0"/>
        <v>0</v>
      </c>
    </row>
    <row r="171" spans="2:33" ht="15.75">
      <c r="B171">
        <v>170</v>
      </c>
      <c r="C171" s="14" t="s">
        <v>523</v>
      </c>
      <c r="D171" s="14" t="s">
        <v>524</v>
      </c>
      <c r="E171" t="s">
        <v>707</v>
      </c>
      <c r="AF171" s="14"/>
      <c r="AG171" s="30">
        <f t="shared" si="0"/>
        <v>0</v>
      </c>
    </row>
    <row r="172" spans="2:33" ht="15.75">
      <c r="B172">
        <v>171</v>
      </c>
      <c r="C172" s="14" t="s">
        <v>526</v>
      </c>
      <c r="D172" s="14" t="s">
        <v>527</v>
      </c>
      <c r="E172" t="s">
        <v>707</v>
      </c>
      <c r="AF172" s="14"/>
      <c r="AG172" s="30">
        <f t="shared" si="0"/>
        <v>0</v>
      </c>
    </row>
    <row r="173" spans="2:33" ht="15.75">
      <c r="B173">
        <v>172</v>
      </c>
      <c r="C173" s="14" t="s">
        <v>529</v>
      </c>
      <c r="D173" s="14" t="s">
        <v>468</v>
      </c>
      <c r="E173" t="s">
        <v>707</v>
      </c>
      <c r="AF173" s="14"/>
      <c r="AG173" s="30">
        <f t="shared" si="0"/>
        <v>0</v>
      </c>
    </row>
    <row r="174" spans="2:33" ht="15.75">
      <c r="B174">
        <v>173</v>
      </c>
      <c r="C174" s="14" t="s">
        <v>531</v>
      </c>
      <c r="D174" s="14" t="s">
        <v>468</v>
      </c>
      <c r="E174" t="s">
        <v>707</v>
      </c>
      <c r="AF174" s="14"/>
      <c r="AG174" s="30">
        <f t="shared" si="0"/>
        <v>0</v>
      </c>
    </row>
    <row r="175" spans="2:33" ht="15.75">
      <c r="B175">
        <v>174</v>
      </c>
      <c r="C175" s="14" t="s">
        <v>533</v>
      </c>
      <c r="D175" s="14" t="s">
        <v>410</v>
      </c>
      <c r="E175" t="s">
        <v>707</v>
      </c>
      <c r="AF175" s="14"/>
      <c r="AG175" s="30">
        <f t="shared" si="0"/>
        <v>0</v>
      </c>
    </row>
    <row r="176" spans="2:33" ht="15.75">
      <c r="B176">
        <v>175</v>
      </c>
      <c r="C176" s="14" t="s">
        <v>534</v>
      </c>
      <c r="D176" s="14" t="s">
        <v>468</v>
      </c>
      <c r="E176" t="s">
        <v>707</v>
      </c>
      <c r="AF176" s="14"/>
      <c r="AG176" s="30">
        <f t="shared" si="0"/>
        <v>0</v>
      </c>
    </row>
    <row r="177" spans="2:33" ht="15.75">
      <c r="B177">
        <v>176</v>
      </c>
      <c r="C177" s="14" t="s">
        <v>535</v>
      </c>
      <c r="D177" s="14" t="s">
        <v>536</v>
      </c>
      <c r="E177" t="s">
        <v>707</v>
      </c>
      <c r="AF177" s="14"/>
      <c r="AG177" s="30">
        <f t="shared" si="0"/>
        <v>0</v>
      </c>
    </row>
    <row r="178" spans="2:33" ht="15.75">
      <c r="B178">
        <v>177</v>
      </c>
      <c r="C178" s="14" t="s">
        <v>538</v>
      </c>
      <c r="D178" s="14" t="s">
        <v>425</v>
      </c>
      <c r="E178" t="s">
        <v>707</v>
      </c>
      <c r="AF178" s="14"/>
      <c r="AG178" s="30">
        <f t="shared" si="0"/>
        <v>0</v>
      </c>
    </row>
    <row r="179" spans="2:33" ht="15.75">
      <c r="B179">
        <v>178</v>
      </c>
      <c r="C179" s="14" t="s">
        <v>539</v>
      </c>
      <c r="D179" s="14" t="s">
        <v>410</v>
      </c>
      <c r="E179" t="s">
        <v>707</v>
      </c>
      <c r="AF179" s="14"/>
      <c r="AG179" s="30">
        <f t="shared" si="0"/>
        <v>0</v>
      </c>
    </row>
    <row r="180" spans="2:33" ht="15.75">
      <c r="B180">
        <v>179</v>
      </c>
      <c r="C180" s="14" t="s">
        <v>540</v>
      </c>
      <c r="D180" s="14" t="s">
        <v>541</v>
      </c>
      <c r="E180" t="s">
        <v>707</v>
      </c>
      <c r="AF180" s="14"/>
      <c r="AG180" s="30">
        <f t="shared" si="0"/>
        <v>0</v>
      </c>
    </row>
    <row r="181" spans="2:33" ht="15.75">
      <c r="B181">
        <v>180</v>
      </c>
      <c r="C181" s="14" t="s">
        <v>540</v>
      </c>
      <c r="D181" s="14" t="s">
        <v>543</v>
      </c>
      <c r="E181" t="s">
        <v>707</v>
      </c>
      <c r="AF181" s="14"/>
      <c r="AG181" s="30">
        <f t="shared" si="0"/>
        <v>0</v>
      </c>
    </row>
    <row r="182" spans="2:33" ht="15.75">
      <c r="B182">
        <v>181</v>
      </c>
      <c r="C182" s="14" t="s">
        <v>545</v>
      </c>
      <c r="D182" s="14" t="s">
        <v>546</v>
      </c>
      <c r="E182" t="s">
        <v>707</v>
      </c>
      <c r="AF182" s="14"/>
      <c r="AG182" s="30">
        <f t="shared" si="0"/>
        <v>0</v>
      </c>
    </row>
    <row r="183" spans="2:33" ht="15.75">
      <c r="B183">
        <v>182</v>
      </c>
      <c r="C183" s="14" t="s">
        <v>548</v>
      </c>
      <c r="D183" s="14" t="s">
        <v>477</v>
      </c>
      <c r="E183" t="s">
        <v>707</v>
      </c>
      <c r="AF183" s="14"/>
      <c r="AG183" s="30">
        <f t="shared" si="0"/>
        <v>0</v>
      </c>
    </row>
    <row r="184" spans="2:33" ht="15.75">
      <c r="B184">
        <v>183</v>
      </c>
      <c r="C184" s="14" t="s">
        <v>550</v>
      </c>
      <c r="D184" s="14" t="s">
        <v>477</v>
      </c>
      <c r="E184" t="s">
        <v>707</v>
      </c>
      <c r="AF184" s="14"/>
      <c r="AG184" s="30">
        <f t="shared" si="0"/>
        <v>0</v>
      </c>
    </row>
    <row r="185" spans="2:33" ht="15.75">
      <c r="B185">
        <v>184</v>
      </c>
      <c r="C185" s="14" t="s">
        <v>551</v>
      </c>
      <c r="D185" s="14" t="s">
        <v>552</v>
      </c>
      <c r="E185" t="s">
        <v>707</v>
      </c>
      <c r="AF185" s="14"/>
      <c r="AG185" s="30">
        <f t="shared" si="0"/>
        <v>0</v>
      </c>
    </row>
    <row r="186" spans="2:33" ht="15.75">
      <c r="B186">
        <v>185</v>
      </c>
      <c r="C186" s="14" t="s">
        <v>554</v>
      </c>
      <c r="D186" s="14" t="s">
        <v>500</v>
      </c>
      <c r="E186" t="s">
        <v>707</v>
      </c>
      <c r="AF186" s="14"/>
      <c r="AG186" s="30">
        <f t="shared" si="0"/>
        <v>0</v>
      </c>
    </row>
    <row r="187" spans="2:33" ht="15.75">
      <c r="B187">
        <v>186</v>
      </c>
      <c r="C187" s="14" t="s">
        <v>556</v>
      </c>
      <c r="D187" s="14" t="s">
        <v>468</v>
      </c>
      <c r="E187" t="s">
        <v>707</v>
      </c>
      <c r="AF187" s="14"/>
      <c r="AG187" s="30">
        <f t="shared" ref="AG187:AG250" si="1">AF187</f>
        <v>0</v>
      </c>
    </row>
    <row r="188" spans="2:33" ht="15.75">
      <c r="B188">
        <v>187</v>
      </c>
      <c r="C188" s="14" t="s">
        <v>558</v>
      </c>
      <c r="D188" s="14" t="s">
        <v>524</v>
      </c>
      <c r="E188" t="s">
        <v>707</v>
      </c>
      <c r="AF188" s="14"/>
      <c r="AG188" s="30">
        <f t="shared" si="1"/>
        <v>0</v>
      </c>
    </row>
    <row r="189" spans="2:33" ht="15.75">
      <c r="B189">
        <v>188</v>
      </c>
      <c r="C189" s="14" t="s">
        <v>560</v>
      </c>
      <c r="D189" s="14" t="s">
        <v>561</v>
      </c>
      <c r="E189" t="s">
        <v>707</v>
      </c>
      <c r="AF189" s="14"/>
      <c r="AG189" s="30">
        <f t="shared" si="1"/>
        <v>0</v>
      </c>
    </row>
    <row r="190" spans="2:33" ht="15.75">
      <c r="B190">
        <v>189</v>
      </c>
      <c r="C190" s="14" t="s">
        <v>563</v>
      </c>
      <c r="D190" s="14" t="s">
        <v>564</v>
      </c>
      <c r="E190" t="s">
        <v>707</v>
      </c>
      <c r="AF190" s="14"/>
      <c r="AG190" s="30">
        <f t="shared" si="1"/>
        <v>0</v>
      </c>
    </row>
    <row r="191" spans="2:33" ht="15.75">
      <c r="B191">
        <v>190</v>
      </c>
      <c r="C191" s="14" t="s">
        <v>566</v>
      </c>
      <c r="D191" s="14" t="s">
        <v>466</v>
      </c>
      <c r="E191" t="s">
        <v>707</v>
      </c>
      <c r="AF191" s="14"/>
      <c r="AG191" s="30">
        <f t="shared" si="1"/>
        <v>0</v>
      </c>
    </row>
    <row r="192" spans="2:33" ht="15.75">
      <c r="B192">
        <v>191</v>
      </c>
      <c r="C192" s="14" t="s">
        <v>567</v>
      </c>
      <c r="D192" s="14" t="s">
        <v>568</v>
      </c>
      <c r="E192" t="s">
        <v>707</v>
      </c>
      <c r="AF192" s="14"/>
      <c r="AG192" s="30">
        <f t="shared" si="1"/>
        <v>0</v>
      </c>
    </row>
    <row r="193" spans="2:33" ht="15.75">
      <c r="B193">
        <v>192</v>
      </c>
      <c r="C193" s="14" t="s">
        <v>570</v>
      </c>
      <c r="D193" s="14" t="s">
        <v>571</v>
      </c>
      <c r="E193" t="s">
        <v>707</v>
      </c>
      <c r="AF193" s="14"/>
      <c r="AG193" s="30">
        <f t="shared" si="1"/>
        <v>0</v>
      </c>
    </row>
    <row r="194" spans="2:33" ht="15.75">
      <c r="B194">
        <v>193</v>
      </c>
      <c r="C194" s="14" t="s">
        <v>573</v>
      </c>
      <c r="D194" s="14" t="s">
        <v>524</v>
      </c>
      <c r="E194" t="s">
        <v>707</v>
      </c>
      <c r="AF194" s="14"/>
      <c r="AG194" s="30">
        <f t="shared" si="1"/>
        <v>0</v>
      </c>
    </row>
    <row r="195" spans="2:33" ht="15.75">
      <c r="B195">
        <v>194</v>
      </c>
      <c r="C195" s="14" t="s">
        <v>575</v>
      </c>
      <c r="D195" s="14" t="s">
        <v>468</v>
      </c>
      <c r="E195" t="s">
        <v>707</v>
      </c>
      <c r="AF195" s="14"/>
      <c r="AG195" s="30">
        <f t="shared" si="1"/>
        <v>0</v>
      </c>
    </row>
    <row r="196" spans="2:33" ht="15.75">
      <c r="B196">
        <v>195</v>
      </c>
      <c r="C196" s="14" t="s">
        <v>577</v>
      </c>
      <c r="D196" s="14" t="s">
        <v>410</v>
      </c>
      <c r="E196" t="s">
        <v>707</v>
      </c>
      <c r="AF196" s="14"/>
      <c r="AG196" s="30">
        <f t="shared" si="1"/>
        <v>0</v>
      </c>
    </row>
    <row r="197" spans="2:33" ht="15.75">
      <c r="B197">
        <v>196</v>
      </c>
      <c r="C197" s="14" t="s">
        <v>577</v>
      </c>
      <c r="D197" s="14" t="s">
        <v>410</v>
      </c>
      <c r="E197" t="s">
        <v>707</v>
      </c>
      <c r="AF197" s="14"/>
      <c r="AG197" s="30">
        <f t="shared" si="1"/>
        <v>0</v>
      </c>
    </row>
    <row r="198" spans="2:33" ht="15.75">
      <c r="B198">
        <v>197</v>
      </c>
      <c r="C198" s="14" t="s">
        <v>579</v>
      </c>
      <c r="D198" s="14" t="s">
        <v>580</v>
      </c>
      <c r="E198" t="s">
        <v>707</v>
      </c>
      <c r="AF198" s="14"/>
      <c r="AG198" s="30">
        <f t="shared" si="1"/>
        <v>0</v>
      </c>
    </row>
    <row r="199" spans="2:33" ht="15.75">
      <c r="B199">
        <v>198</v>
      </c>
      <c r="C199" s="14" t="s">
        <v>582</v>
      </c>
      <c r="D199" s="14" t="s">
        <v>583</v>
      </c>
      <c r="E199" t="s">
        <v>707</v>
      </c>
      <c r="AF199" s="14"/>
      <c r="AG199" s="30">
        <f t="shared" si="1"/>
        <v>0</v>
      </c>
    </row>
    <row r="200" spans="2:33" ht="15.75">
      <c r="B200">
        <v>199</v>
      </c>
      <c r="C200" s="14" t="s">
        <v>584</v>
      </c>
      <c r="D200" s="14" t="s">
        <v>490</v>
      </c>
      <c r="E200" t="s">
        <v>707</v>
      </c>
      <c r="AF200" s="14"/>
      <c r="AG200" s="30">
        <f t="shared" si="1"/>
        <v>0</v>
      </c>
    </row>
    <row r="201" spans="2:33" ht="15.75">
      <c r="B201">
        <v>200</v>
      </c>
      <c r="C201" s="14" t="s">
        <v>586</v>
      </c>
      <c r="D201" s="14" t="s">
        <v>587</v>
      </c>
      <c r="E201" t="s">
        <v>707</v>
      </c>
      <c r="AF201" s="14"/>
      <c r="AG201" s="30">
        <f t="shared" si="1"/>
        <v>0</v>
      </c>
    </row>
    <row r="202" spans="2:33" ht="15.75">
      <c r="B202">
        <v>201</v>
      </c>
      <c r="C202" s="14" t="s">
        <v>589</v>
      </c>
      <c r="D202" s="14" t="s">
        <v>590</v>
      </c>
      <c r="E202" t="s">
        <v>707</v>
      </c>
      <c r="AF202" s="14"/>
      <c r="AG202" s="30">
        <f t="shared" si="1"/>
        <v>0</v>
      </c>
    </row>
    <row r="203" spans="2:33" ht="15.75">
      <c r="B203">
        <v>202</v>
      </c>
      <c r="C203" s="14" t="s">
        <v>592</v>
      </c>
      <c r="D203" s="14" t="s">
        <v>466</v>
      </c>
      <c r="E203" t="s">
        <v>707</v>
      </c>
      <c r="AF203" s="14"/>
      <c r="AG203" s="30">
        <f t="shared" si="1"/>
        <v>0</v>
      </c>
    </row>
    <row r="204" spans="2:33" ht="15.75">
      <c r="B204">
        <v>203</v>
      </c>
      <c r="C204" s="14" t="s">
        <v>593</v>
      </c>
      <c r="D204" s="14" t="s">
        <v>510</v>
      </c>
      <c r="E204" t="s">
        <v>707</v>
      </c>
      <c r="AF204" s="14"/>
      <c r="AG204" s="30">
        <f t="shared" si="1"/>
        <v>0</v>
      </c>
    </row>
    <row r="205" spans="2:33" ht="15.75">
      <c r="B205">
        <v>204</v>
      </c>
      <c r="C205" s="14" t="s">
        <v>593</v>
      </c>
      <c r="D205" s="14" t="s">
        <v>510</v>
      </c>
      <c r="E205" t="s">
        <v>707</v>
      </c>
      <c r="AF205" s="14"/>
      <c r="AG205" s="30">
        <f t="shared" si="1"/>
        <v>0</v>
      </c>
    </row>
    <row r="206" spans="2:33" ht="15.75">
      <c r="B206">
        <v>205</v>
      </c>
      <c r="C206" s="14" t="s">
        <v>593</v>
      </c>
      <c r="D206" s="14" t="s">
        <v>541</v>
      </c>
      <c r="E206" t="s">
        <v>707</v>
      </c>
      <c r="AF206" s="14"/>
      <c r="AG206" s="30">
        <f t="shared" si="1"/>
        <v>0</v>
      </c>
    </row>
    <row r="207" spans="2:33" ht="15.75">
      <c r="B207">
        <v>206</v>
      </c>
      <c r="C207" s="14" t="s">
        <v>597</v>
      </c>
      <c r="D207" s="14" t="s">
        <v>598</v>
      </c>
      <c r="E207" t="s">
        <v>707</v>
      </c>
      <c r="AF207" s="14"/>
      <c r="AG207" s="30">
        <f t="shared" si="1"/>
        <v>0</v>
      </c>
    </row>
    <row r="208" spans="2:33" ht="15.75">
      <c r="B208">
        <v>207</v>
      </c>
      <c r="C208" s="14" t="s">
        <v>600</v>
      </c>
      <c r="D208" s="14" t="s">
        <v>500</v>
      </c>
      <c r="E208" t="s">
        <v>707</v>
      </c>
      <c r="AF208" s="14"/>
      <c r="AG208" s="30">
        <f t="shared" si="1"/>
        <v>0</v>
      </c>
    </row>
    <row r="209" spans="2:33" ht="15.75">
      <c r="B209">
        <v>208</v>
      </c>
      <c r="C209" s="14" t="s">
        <v>602</v>
      </c>
      <c r="D209" s="14" t="s">
        <v>500</v>
      </c>
      <c r="E209" t="s">
        <v>707</v>
      </c>
      <c r="AF209" s="14"/>
      <c r="AG209" s="30">
        <f t="shared" si="1"/>
        <v>0</v>
      </c>
    </row>
    <row r="210" spans="2:33" ht="15.75">
      <c r="B210">
        <v>209</v>
      </c>
      <c r="C210" s="14" t="s">
        <v>604</v>
      </c>
      <c r="D210" s="14" t="s">
        <v>421</v>
      </c>
      <c r="E210" t="s">
        <v>707</v>
      </c>
      <c r="AF210" s="14"/>
      <c r="AG210" s="30">
        <f t="shared" si="1"/>
        <v>0</v>
      </c>
    </row>
    <row r="211" spans="2:33" ht="15.75">
      <c r="B211">
        <v>210</v>
      </c>
      <c r="C211" s="14" t="s">
        <v>605</v>
      </c>
      <c r="D211" s="14" t="s">
        <v>468</v>
      </c>
      <c r="E211" t="s">
        <v>707</v>
      </c>
      <c r="AF211" s="14"/>
      <c r="AG211" s="30">
        <f t="shared" si="1"/>
        <v>0</v>
      </c>
    </row>
    <row r="212" spans="2:33" ht="15.75">
      <c r="B212">
        <v>211</v>
      </c>
      <c r="C212" s="14" t="s">
        <v>607</v>
      </c>
      <c r="D212" s="14" t="s">
        <v>510</v>
      </c>
      <c r="E212" t="s">
        <v>707</v>
      </c>
      <c r="AF212" s="14"/>
      <c r="AG212" s="30">
        <f t="shared" si="1"/>
        <v>0</v>
      </c>
    </row>
    <row r="213" spans="2:33" ht="15.75">
      <c r="B213">
        <v>212</v>
      </c>
      <c r="C213" s="14" t="s">
        <v>609</v>
      </c>
      <c r="D213" s="14" t="s">
        <v>477</v>
      </c>
      <c r="E213" t="s">
        <v>707</v>
      </c>
      <c r="AF213" s="14"/>
      <c r="AG213" s="30">
        <f t="shared" si="1"/>
        <v>0</v>
      </c>
    </row>
    <row r="214" spans="2:33" ht="15.75">
      <c r="B214">
        <v>213</v>
      </c>
      <c r="C214" s="14" t="s">
        <v>610</v>
      </c>
      <c r="D214" s="14" t="s">
        <v>477</v>
      </c>
      <c r="E214" t="s">
        <v>707</v>
      </c>
      <c r="AF214" s="14"/>
      <c r="AG214" s="30">
        <f t="shared" si="1"/>
        <v>0</v>
      </c>
    </row>
    <row r="215" spans="2:33" ht="15.75">
      <c r="B215">
        <v>214</v>
      </c>
      <c r="C215" s="14" t="s">
        <v>611</v>
      </c>
      <c r="D215" s="14" t="s">
        <v>418</v>
      </c>
      <c r="E215" t="s">
        <v>707</v>
      </c>
      <c r="AF215" s="14"/>
      <c r="AG215" s="30">
        <f t="shared" si="1"/>
        <v>0</v>
      </c>
    </row>
    <row r="216" spans="2:33" ht="15.75">
      <c r="B216">
        <v>215</v>
      </c>
      <c r="AG216" s="30">
        <f t="shared" si="1"/>
        <v>0</v>
      </c>
    </row>
    <row r="217" spans="2:33" ht="15.75">
      <c r="B217">
        <v>216</v>
      </c>
      <c r="AG217" s="30">
        <f t="shared" si="1"/>
        <v>0</v>
      </c>
    </row>
    <row r="218" spans="2:33" ht="15.75">
      <c r="B218">
        <v>217</v>
      </c>
      <c r="AG218" s="30">
        <f t="shared" si="1"/>
        <v>0</v>
      </c>
    </row>
    <row r="219" spans="2:33" ht="15.75">
      <c r="B219">
        <v>218</v>
      </c>
      <c r="AG219" s="30">
        <f t="shared" si="1"/>
        <v>0</v>
      </c>
    </row>
    <row r="220" spans="2:33" ht="15.75">
      <c r="B220">
        <v>219</v>
      </c>
      <c r="AG220" s="30">
        <f t="shared" si="1"/>
        <v>0</v>
      </c>
    </row>
    <row r="221" spans="2:33" ht="15.75">
      <c r="B221">
        <v>220</v>
      </c>
      <c r="AG221" s="30">
        <f t="shared" si="1"/>
        <v>0</v>
      </c>
    </row>
    <row r="222" spans="2:33" ht="15.75">
      <c r="B222">
        <v>221</v>
      </c>
      <c r="AG222" s="30">
        <f t="shared" si="1"/>
        <v>0</v>
      </c>
    </row>
    <row r="223" spans="2:33" ht="15.75">
      <c r="B223">
        <v>222</v>
      </c>
      <c r="AG223" s="30">
        <f t="shared" si="1"/>
        <v>0</v>
      </c>
    </row>
    <row r="224" spans="2:33" ht="15.75">
      <c r="B224">
        <v>223</v>
      </c>
      <c r="AG224" s="30">
        <f t="shared" si="1"/>
        <v>0</v>
      </c>
    </row>
    <row r="225" spans="2:33" ht="15.75">
      <c r="B225">
        <v>224</v>
      </c>
      <c r="AG225" s="30">
        <f t="shared" si="1"/>
        <v>0</v>
      </c>
    </row>
    <row r="226" spans="2:33" ht="15.75">
      <c r="B226">
        <v>225</v>
      </c>
      <c r="AG226" s="30">
        <f t="shared" si="1"/>
        <v>0</v>
      </c>
    </row>
    <row r="227" spans="2:33" ht="15.75">
      <c r="B227">
        <v>226</v>
      </c>
      <c r="AG227" s="30">
        <f t="shared" si="1"/>
        <v>0</v>
      </c>
    </row>
    <row r="228" spans="2:33" ht="15.75">
      <c r="B228">
        <v>227</v>
      </c>
      <c r="AG228" s="30">
        <f t="shared" si="1"/>
        <v>0</v>
      </c>
    </row>
    <row r="229" spans="2:33" ht="15.75">
      <c r="B229">
        <v>228</v>
      </c>
      <c r="AG229" s="30">
        <f t="shared" si="1"/>
        <v>0</v>
      </c>
    </row>
    <row r="230" spans="2:33" ht="15.75">
      <c r="B230">
        <v>229</v>
      </c>
      <c r="AG230" s="30">
        <f t="shared" si="1"/>
        <v>0</v>
      </c>
    </row>
    <row r="231" spans="2:33" ht="15.75">
      <c r="B231">
        <v>230</v>
      </c>
      <c r="AG231" s="30">
        <f t="shared" si="1"/>
        <v>0</v>
      </c>
    </row>
    <row r="232" spans="2:33" ht="15.75">
      <c r="B232">
        <v>231</v>
      </c>
      <c r="AG232" s="30">
        <f t="shared" si="1"/>
        <v>0</v>
      </c>
    </row>
    <row r="233" spans="2:33" ht="15.75">
      <c r="B233">
        <v>232</v>
      </c>
      <c r="AG233" s="30">
        <f t="shared" si="1"/>
        <v>0</v>
      </c>
    </row>
    <row r="234" spans="2:33" ht="15.75">
      <c r="B234">
        <v>233</v>
      </c>
      <c r="AG234" s="30">
        <f t="shared" si="1"/>
        <v>0</v>
      </c>
    </row>
    <row r="235" spans="2:33" ht="15.75">
      <c r="B235">
        <v>234</v>
      </c>
      <c r="AG235" s="30">
        <f t="shared" si="1"/>
        <v>0</v>
      </c>
    </row>
    <row r="236" spans="2:33" ht="15.75">
      <c r="B236">
        <v>235</v>
      </c>
      <c r="AG236" s="30">
        <f t="shared" si="1"/>
        <v>0</v>
      </c>
    </row>
    <row r="237" spans="2:33" ht="15.75">
      <c r="B237">
        <v>236</v>
      </c>
      <c r="AG237" s="30">
        <f t="shared" si="1"/>
        <v>0</v>
      </c>
    </row>
    <row r="238" spans="2:33" ht="15.75">
      <c r="B238">
        <v>237</v>
      </c>
      <c r="AG238" s="30">
        <f t="shared" si="1"/>
        <v>0</v>
      </c>
    </row>
    <row r="239" spans="2:33" ht="15.75">
      <c r="B239">
        <v>238</v>
      </c>
      <c r="AG239" s="30">
        <f t="shared" si="1"/>
        <v>0</v>
      </c>
    </row>
    <row r="240" spans="2:33" ht="15.75">
      <c r="B240">
        <v>239</v>
      </c>
      <c r="AG240" s="30">
        <f t="shared" si="1"/>
        <v>0</v>
      </c>
    </row>
    <row r="241" spans="2:33" ht="15.75">
      <c r="B241">
        <v>240</v>
      </c>
      <c r="AG241" s="30">
        <f t="shared" si="1"/>
        <v>0</v>
      </c>
    </row>
    <row r="242" spans="2:33" ht="15.75">
      <c r="B242">
        <v>241</v>
      </c>
      <c r="AG242" s="30">
        <f t="shared" si="1"/>
        <v>0</v>
      </c>
    </row>
    <row r="243" spans="2:33" ht="15.75">
      <c r="B243">
        <v>242</v>
      </c>
      <c r="AG243" s="30">
        <f t="shared" si="1"/>
        <v>0</v>
      </c>
    </row>
    <row r="244" spans="2:33" ht="15.75">
      <c r="B244">
        <v>243</v>
      </c>
      <c r="AG244" s="30">
        <f t="shared" si="1"/>
        <v>0</v>
      </c>
    </row>
    <row r="245" spans="2:33" ht="15.75">
      <c r="B245">
        <v>244</v>
      </c>
      <c r="AG245" s="30">
        <f t="shared" si="1"/>
        <v>0</v>
      </c>
    </row>
    <row r="246" spans="2:33" ht="15.75">
      <c r="B246">
        <v>245</v>
      </c>
      <c r="AG246" s="30">
        <f t="shared" si="1"/>
        <v>0</v>
      </c>
    </row>
    <row r="247" spans="2:33" ht="15.75">
      <c r="B247">
        <v>246</v>
      </c>
      <c r="AG247" s="30">
        <f t="shared" si="1"/>
        <v>0</v>
      </c>
    </row>
    <row r="248" spans="2:33" ht="15.75">
      <c r="B248">
        <v>247</v>
      </c>
      <c r="AG248" s="30">
        <f t="shared" si="1"/>
        <v>0</v>
      </c>
    </row>
    <row r="249" spans="2:33" ht="15.75">
      <c r="B249">
        <v>248</v>
      </c>
      <c r="AG249" s="30">
        <f t="shared" si="1"/>
        <v>0</v>
      </c>
    </row>
    <row r="250" spans="2:33" ht="15.75">
      <c r="B250">
        <v>249</v>
      </c>
      <c r="AG250" s="30">
        <f t="shared" si="1"/>
        <v>0</v>
      </c>
    </row>
    <row r="251" spans="2:33" ht="15.75">
      <c r="B251">
        <v>250</v>
      </c>
      <c r="AG251" s="30">
        <f t="shared" ref="AG251:AG301" si="2">AF251</f>
        <v>0</v>
      </c>
    </row>
    <row r="252" spans="2:33" ht="15.75">
      <c r="B252">
        <v>251</v>
      </c>
      <c r="AG252" s="30">
        <f t="shared" si="2"/>
        <v>0</v>
      </c>
    </row>
    <row r="253" spans="2:33" ht="15.75">
      <c r="B253">
        <v>252</v>
      </c>
      <c r="AG253" s="30">
        <f t="shared" si="2"/>
        <v>0</v>
      </c>
    </row>
    <row r="254" spans="2:33" ht="15.75">
      <c r="B254">
        <v>253</v>
      </c>
      <c r="AG254" s="30">
        <f t="shared" si="2"/>
        <v>0</v>
      </c>
    </row>
    <row r="255" spans="2:33" ht="15.75">
      <c r="B255">
        <v>254</v>
      </c>
      <c r="AG255" s="30">
        <f t="shared" si="2"/>
        <v>0</v>
      </c>
    </row>
    <row r="256" spans="2:33" ht="15.75">
      <c r="B256">
        <v>255</v>
      </c>
      <c r="AG256" s="30">
        <f t="shared" si="2"/>
        <v>0</v>
      </c>
    </row>
    <row r="257" spans="2:33" ht="15.75">
      <c r="B257">
        <v>256</v>
      </c>
      <c r="AG257" s="30">
        <f t="shared" si="2"/>
        <v>0</v>
      </c>
    </row>
    <row r="258" spans="2:33" ht="15.75">
      <c r="B258">
        <v>257</v>
      </c>
      <c r="AG258" s="30">
        <f t="shared" si="2"/>
        <v>0</v>
      </c>
    </row>
    <row r="259" spans="2:33" ht="15.75">
      <c r="B259">
        <v>258</v>
      </c>
      <c r="AG259" s="30">
        <f t="shared" si="2"/>
        <v>0</v>
      </c>
    </row>
    <row r="260" spans="2:33" ht="15.75">
      <c r="B260">
        <v>259</v>
      </c>
      <c r="AG260" s="30">
        <f t="shared" si="2"/>
        <v>0</v>
      </c>
    </row>
    <row r="261" spans="2:33" ht="15.75">
      <c r="B261">
        <v>260</v>
      </c>
      <c r="AG261" s="30">
        <f t="shared" si="2"/>
        <v>0</v>
      </c>
    </row>
    <row r="262" spans="2:33" ht="15.75">
      <c r="B262">
        <v>261</v>
      </c>
      <c r="AG262" s="30">
        <f t="shared" si="2"/>
        <v>0</v>
      </c>
    </row>
    <row r="263" spans="2:33" ht="15.75">
      <c r="B263">
        <v>262</v>
      </c>
      <c r="AG263" s="30">
        <f t="shared" si="2"/>
        <v>0</v>
      </c>
    </row>
    <row r="264" spans="2:33" ht="15.75">
      <c r="B264">
        <v>263</v>
      </c>
      <c r="AG264" s="30">
        <f t="shared" si="2"/>
        <v>0</v>
      </c>
    </row>
    <row r="265" spans="2:33" ht="15.75">
      <c r="B265">
        <v>264</v>
      </c>
      <c r="AG265" s="30">
        <f t="shared" si="2"/>
        <v>0</v>
      </c>
    </row>
    <row r="266" spans="2:33" ht="15.75">
      <c r="B266">
        <v>265</v>
      </c>
      <c r="AG266" s="30">
        <f t="shared" si="2"/>
        <v>0</v>
      </c>
    </row>
    <row r="267" spans="2:33" ht="15.75">
      <c r="B267">
        <v>266</v>
      </c>
      <c r="AG267" s="30">
        <f t="shared" si="2"/>
        <v>0</v>
      </c>
    </row>
    <row r="268" spans="2:33" ht="15.75">
      <c r="B268">
        <v>267</v>
      </c>
      <c r="AG268" s="30">
        <f t="shared" si="2"/>
        <v>0</v>
      </c>
    </row>
    <row r="269" spans="2:33" ht="15.75">
      <c r="B269">
        <v>268</v>
      </c>
      <c r="AG269" s="30">
        <f t="shared" si="2"/>
        <v>0</v>
      </c>
    </row>
    <row r="270" spans="2:33" ht="15.75">
      <c r="B270">
        <v>269</v>
      </c>
      <c r="AG270" s="30">
        <f t="shared" si="2"/>
        <v>0</v>
      </c>
    </row>
    <row r="271" spans="2:33" ht="15.75">
      <c r="B271">
        <v>270</v>
      </c>
      <c r="AG271" s="30">
        <f t="shared" si="2"/>
        <v>0</v>
      </c>
    </row>
    <row r="272" spans="2:33" ht="15.75">
      <c r="B272">
        <v>271</v>
      </c>
      <c r="AG272" s="30">
        <f t="shared" si="2"/>
        <v>0</v>
      </c>
    </row>
    <row r="273" spans="2:33" ht="15.75">
      <c r="B273">
        <v>272</v>
      </c>
      <c r="AG273" s="30">
        <f t="shared" si="2"/>
        <v>0</v>
      </c>
    </row>
    <row r="274" spans="2:33" ht="15.75">
      <c r="B274">
        <v>273</v>
      </c>
      <c r="AG274" s="30">
        <f t="shared" si="2"/>
        <v>0</v>
      </c>
    </row>
    <row r="275" spans="2:33" ht="15.75">
      <c r="B275">
        <v>274</v>
      </c>
      <c r="AG275" s="30">
        <f t="shared" si="2"/>
        <v>0</v>
      </c>
    </row>
    <row r="276" spans="2:33" ht="15.75">
      <c r="B276">
        <v>275</v>
      </c>
      <c r="AG276" s="30">
        <f t="shared" si="2"/>
        <v>0</v>
      </c>
    </row>
    <row r="277" spans="2:33" ht="15.75">
      <c r="B277">
        <v>276</v>
      </c>
      <c r="AG277" s="30">
        <f t="shared" si="2"/>
        <v>0</v>
      </c>
    </row>
    <row r="278" spans="2:33" ht="15.75">
      <c r="B278">
        <v>277</v>
      </c>
      <c r="AG278" s="30">
        <f t="shared" si="2"/>
        <v>0</v>
      </c>
    </row>
    <row r="279" spans="2:33" ht="15.75">
      <c r="B279">
        <v>278</v>
      </c>
      <c r="AG279" s="30">
        <f t="shared" si="2"/>
        <v>0</v>
      </c>
    </row>
    <row r="280" spans="2:33" ht="15.75">
      <c r="B280">
        <v>279</v>
      </c>
      <c r="AG280" s="30">
        <f t="shared" si="2"/>
        <v>0</v>
      </c>
    </row>
    <row r="281" spans="2:33" ht="15.75">
      <c r="B281">
        <v>280</v>
      </c>
      <c r="AG281" s="30">
        <f t="shared" si="2"/>
        <v>0</v>
      </c>
    </row>
    <row r="282" spans="2:33" ht="15.75">
      <c r="B282">
        <v>281</v>
      </c>
      <c r="AG282" s="30">
        <f t="shared" si="2"/>
        <v>0</v>
      </c>
    </row>
    <row r="283" spans="2:33" ht="15.75">
      <c r="B283">
        <v>282</v>
      </c>
      <c r="AG283" s="30">
        <f t="shared" si="2"/>
        <v>0</v>
      </c>
    </row>
    <row r="284" spans="2:33" ht="15.75">
      <c r="B284">
        <v>283</v>
      </c>
      <c r="AG284" s="30">
        <f t="shared" si="2"/>
        <v>0</v>
      </c>
    </row>
    <row r="285" spans="2:33" ht="15.75">
      <c r="B285">
        <v>284</v>
      </c>
      <c r="AG285" s="30">
        <f t="shared" si="2"/>
        <v>0</v>
      </c>
    </row>
    <row r="286" spans="2:33" ht="15.75">
      <c r="B286">
        <v>285</v>
      </c>
      <c r="AG286" s="30">
        <f t="shared" si="2"/>
        <v>0</v>
      </c>
    </row>
    <row r="287" spans="2:33" ht="15.75">
      <c r="B287">
        <v>286</v>
      </c>
      <c r="AG287" s="30">
        <f t="shared" si="2"/>
        <v>0</v>
      </c>
    </row>
    <row r="288" spans="2:33" ht="15.75">
      <c r="B288">
        <v>287</v>
      </c>
      <c r="AG288" s="30">
        <f t="shared" si="2"/>
        <v>0</v>
      </c>
    </row>
    <row r="289" spans="2:33" ht="15.75">
      <c r="B289">
        <v>288</v>
      </c>
      <c r="AG289" s="30">
        <f t="shared" si="2"/>
        <v>0</v>
      </c>
    </row>
    <row r="290" spans="2:33" ht="15.75">
      <c r="B290">
        <v>289</v>
      </c>
      <c r="AG290" s="30">
        <f t="shared" si="2"/>
        <v>0</v>
      </c>
    </row>
    <row r="291" spans="2:33" ht="15.75">
      <c r="B291">
        <v>290</v>
      </c>
      <c r="AG291" s="30">
        <f t="shared" si="2"/>
        <v>0</v>
      </c>
    </row>
    <row r="292" spans="2:33" ht="15.75">
      <c r="B292">
        <v>291</v>
      </c>
      <c r="AG292" s="30">
        <f t="shared" si="2"/>
        <v>0</v>
      </c>
    </row>
    <row r="293" spans="2:33" ht="15.75">
      <c r="B293">
        <v>292</v>
      </c>
      <c r="AG293" s="30">
        <f t="shared" si="2"/>
        <v>0</v>
      </c>
    </row>
    <row r="294" spans="2:33" ht="15.75">
      <c r="B294">
        <v>293</v>
      </c>
      <c r="AG294" s="30">
        <f t="shared" si="2"/>
        <v>0</v>
      </c>
    </row>
    <row r="295" spans="2:33" ht="15.75">
      <c r="B295">
        <v>294</v>
      </c>
      <c r="AG295" s="30">
        <f t="shared" si="2"/>
        <v>0</v>
      </c>
    </row>
    <row r="296" spans="2:33" ht="15.75">
      <c r="B296">
        <v>295</v>
      </c>
      <c r="AG296" s="30">
        <f t="shared" si="2"/>
        <v>0</v>
      </c>
    </row>
    <row r="297" spans="2:33" ht="15.75">
      <c r="B297">
        <v>296</v>
      </c>
      <c r="AG297" s="30">
        <f t="shared" si="2"/>
        <v>0</v>
      </c>
    </row>
    <row r="298" spans="2:33" ht="15.75">
      <c r="B298">
        <v>297</v>
      </c>
      <c r="AG298" s="30">
        <f t="shared" si="2"/>
        <v>0</v>
      </c>
    </row>
    <row r="299" spans="2:33" ht="15.75">
      <c r="B299">
        <v>298</v>
      </c>
      <c r="AG299" s="30">
        <f t="shared" si="2"/>
        <v>0</v>
      </c>
    </row>
    <row r="300" spans="2:33" ht="15.75">
      <c r="B300">
        <v>299</v>
      </c>
      <c r="AG300" s="30">
        <f t="shared" si="2"/>
        <v>0</v>
      </c>
    </row>
    <row r="301" spans="2:33" ht="15.75">
      <c r="B301">
        <v>300</v>
      </c>
      <c r="AG301" s="30">
        <f t="shared" si="2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01"/>
  <sheetViews>
    <sheetView topLeftCell="H1" workbookViewId="0">
      <selection activeCell="M1" sqref="M1:M1048576"/>
    </sheetView>
  </sheetViews>
  <sheetFormatPr defaultColWidth="12.5703125" defaultRowHeight="15"/>
  <cols>
    <col min="2" max="2" width="18.28515625" customWidth="1"/>
    <col min="3" max="3" width="40.7109375" customWidth="1"/>
    <col min="4" max="4" width="10.28515625" customWidth="1"/>
    <col min="5" max="12" width="12.7109375" customWidth="1"/>
    <col min="13" max="13" width="2.28515625" style="14" customWidth="1"/>
    <col min="14" max="21" width="12.7109375" customWidth="1"/>
    <col min="22" max="22" width="2.28515625" style="14" customWidth="1"/>
    <col min="23" max="23" width="12.5703125" customWidth="1"/>
    <col min="24" max="24" width="22.28515625" bestFit="1" customWidth="1"/>
    <col min="30" max="30" width="15.42578125" bestFit="1" customWidth="1"/>
  </cols>
  <sheetData>
    <row r="1" spans="1:22" ht="18.75">
      <c r="A1" s="12" t="s">
        <v>1</v>
      </c>
      <c r="B1" s="12" t="s">
        <v>2</v>
      </c>
      <c r="C1" s="12" t="s">
        <v>3</v>
      </c>
      <c r="D1" s="32" t="s">
        <v>9</v>
      </c>
      <c r="E1" s="33" t="s">
        <v>760</v>
      </c>
      <c r="F1" s="33" t="s">
        <v>761</v>
      </c>
      <c r="G1" s="33" t="s">
        <v>762</v>
      </c>
      <c r="H1" s="33" t="s">
        <v>763</v>
      </c>
      <c r="I1" s="33" t="s">
        <v>764</v>
      </c>
      <c r="J1" s="33" t="s">
        <v>765</v>
      </c>
      <c r="K1" s="33" t="s">
        <v>766</v>
      </c>
      <c r="L1" s="33" t="s">
        <v>767</v>
      </c>
      <c r="N1" s="33" t="s">
        <v>21</v>
      </c>
      <c r="O1" s="33" t="s">
        <v>191</v>
      </c>
      <c r="P1" s="33" t="s">
        <v>51</v>
      </c>
      <c r="Q1" s="33" t="s">
        <v>55</v>
      </c>
      <c r="R1" s="33" t="s">
        <v>62</v>
      </c>
      <c r="S1" s="33" t="s">
        <v>30</v>
      </c>
      <c r="T1" s="33" t="s">
        <v>136</v>
      </c>
      <c r="U1" s="33" t="s">
        <v>81</v>
      </c>
    </row>
    <row r="2" spans="1:22">
      <c r="A2">
        <v>1</v>
      </c>
      <c r="B2" t="s">
        <v>16</v>
      </c>
      <c r="C2" t="s">
        <v>17</v>
      </c>
      <c r="D2" s="7" t="s">
        <v>21</v>
      </c>
      <c r="E2" s="34">
        <v>0</v>
      </c>
      <c r="F2" s="34"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0</v>
      </c>
      <c r="M2" s="76"/>
      <c r="N2" s="34">
        <v>1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T2" s="34">
        <v>0</v>
      </c>
      <c r="U2" s="34">
        <v>0</v>
      </c>
      <c r="V2" s="76"/>
    </row>
    <row r="3" spans="1:22">
      <c r="A3">
        <v>2</v>
      </c>
      <c r="B3" t="s">
        <v>23</v>
      </c>
      <c r="C3" t="s">
        <v>24</v>
      </c>
      <c r="D3" s="7" t="s">
        <v>21</v>
      </c>
      <c r="E3" s="34">
        <v>1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76"/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76"/>
    </row>
    <row r="4" spans="1:22">
      <c r="A4">
        <v>3</v>
      </c>
      <c r="B4" t="s">
        <v>26</v>
      </c>
      <c r="C4" t="s">
        <v>27</v>
      </c>
      <c r="D4" s="7" t="s">
        <v>30</v>
      </c>
      <c r="E4" s="34">
        <v>0</v>
      </c>
      <c r="F4" s="34">
        <v>0</v>
      </c>
      <c r="G4" s="34">
        <v>0.5</v>
      </c>
      <c r="H4" s="34">
        <v>0.5</v>
      </c>
      <c r="I4" s="34">
        <v>0</v>
      </c>
      <c r="J4" s="34">
        <v>0</v>
      </c>
      <c r="K4" s="34">
        <v>0</v>
      </c>
      <c r="L4" s="34">
        <v>0</v>
      </c>
      <c r="M4" s="76"/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76"/>
    </row>
    <row r="5" spans="1:22">
      <c r="A5">
        <v>4</v>
      </c>
      <c r="B5" t="s">
        <v>32</v>
      </c>
      <c r="C5" t="s">
        <v>33</v>
      </c>
      <c r="D5" s="7" t="s">
        <v>36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1</v>
      </c>
      <c r="M5" s="76"/>
      <c r="N5" s="34">
        <v>0.4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0.4</v>
      </c>
      <c r="U5" s="34">
        <v>0.2</v>
      </c>
      <c r="V5" s="76"/>
    </row>
    <row r="6" spans="1:22">
      <c r="A6">
        <v>5</v>
      </c>
      <c r="B6" t="s">
        <v>38</v>
      </c>
      <c r="C6" t="s">
        <v>39</v>
      </c>
      <c r="D6" s="7" t="s">
        <v>36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1</v>
      </c>
      <c r="M6" s="76"/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76"/>
    </row>
    <row r="7" spans="1:22">
      <c r="A7">
        <v>6</v>
      </c>
      <c r="B7" t="s">
        <v>41</v>
      </c>
      <c r="C7" t="s">
        <v>42</v>
      </c>
      <c r="D7" s="7" t="s">
        <v>43</v>
      </c>
      <c r="E7" s="34">
        <v>0</v>
      </c>
      <c r="F7" s="34">
        <v>0</v>
      </c>
      <c r="G7" s="34">
        <v>0</v>
      </c>
      <c r="H7" s="34">
        <v>1</v>
      </c>
      <c r="I7" s="34">
        <v>0</v>
      </c>
      <c r="J7" s="34">
        <v>0</v>
      </c>
      <c r="K7" s="34">
        <v>0</v>
      </c>
      <c r="L7" s="34">
        <v>0</v>
      </c>
      <c r="M7" s="76"/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76"/>
    </row>
    <row r="8" spans="1:22">
      <c r="A8">
        <v>7</v>
      </c>
      <c r="B8" t="s">
        <v>44</v>
      </c>
      <c r="C8" t="s">
        <v>45</v>
      </c>
      <c r="D8" s="7" t="s">
        <v>43</v>
      </c>
      <c r="E8" s="34">
        <v>0</v>
      </c>
      <c r="F8" s="34">
        <v>0</v>
      </c>
      <c r="G8" s="34">
        <v>0</v>
      </c>
      <c r="H8" s="34">
        <v>1</v>
      </c>
      <c r="I8" s="34">
        <v>0</v>
      </c>
      <c r="J8" s="34">
        <v>0</v>
      </c>
      <c r="K8" s="34">
        <v>0</v>
      </c>
      <c r="L8" s="34">
        <v>0</v>
      </c>
      <c r="M8" s="76"/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76"/>
    </row>
    <row r="9" spans="1:22">
      <c r="A9">
        <v>8</v>
      </c>
      <c r="B9" t="s">
        <v>46</v>
      </c>
      <c r="C9" t="s">
        <v>47</v>
      </c>
      <c r="D9" s="7" t="s">
        <v>48</v>
      </c>
      <c r="E9" s="34">
        <v>0</v>
      </c>
      <c r="F9" s="34">
        <v>0</v>
      </c>
      <c r="G9" s="34">
        <v>0.5</v>
      </c>
      <c r="H9" s="34">
        <v>0.5</v>
      </c>
      <c r="I9" s="34">
        <v>0</v>
      </c>
      <c r="J9" s="34">
        <v>0</v>
      </c>
      <c r="K9" s="34">
        <v>0</v>
      </c>
      <c r="L9" s="34">
        <v>0</v>
      </c>
      <c r="M9" s="76"/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76"/>
    </row>
    <row r="10" spans="1:22">
      <c r="A10">
        <v>9</v>
      </c>
      <c r="B10" t="s">
        <v>49</v>
      </c>
      <c r="C10" t="s">
        <v>50</v>
      </c>
      <c r="D10" s="7" t="s">
        <v>51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76"/>
      <c r="N10" s="34">
        <v>0</v>
      </c>
      <c r="O10" s="34">
        <v>0</v>
      </c>
      <c r="P10" s="34">
        <v>1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76"/>
    </row>
    <row r="11" spans="1:22">
      <c r="A11">
        <v>10</v>
      </c>
      <c r="B11" t="s">
        <v>52</v>
      </c>
      <c r="C11" t="s">
        <v>53</v>
      </c>
      <c r="D11" s="7" t="s">
        <v>55</v>
      </c>
      <c r="E11" s="34">
        <v>0</v>
      </c>
      <c r="F11" s="34">
        <v>0</v>
      </c>
      <c r="G11" s="34">
        <v>0</v>
      </c>
      <c r="H11" s="34">
        <v>1</v>
      </c>
      <c r="I11" s="34">
        <v>0</v>
      </c>
      <c r="J11" s="34">
        <v>0</v>
      </c>
      <c r="K11" s="34">
        <v>0</v>
      </c>
      <c r="L11" s="34">
        <v>0</v>
      </c>
      <c r="M11" s="76"/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76"/>
    </row>
    <row r="12" spans="1:22">
      <c r="A12">
        <v>11</v>
      </c>
      <c r="B12" t="s">
        <v>56</v>
      </c>
      <c r="C12" t="s">
        <v>57</v>
      </c>
      <c r="D12" s="7" t="s">
        <v>55</v>
      </c>
      <c r="E12" s="34">
        <v>0</v>
      </c>
      <c r="F12" s="34">
        <v>0</v>
      </c>
      <c r="G12" s="34">
        <v>0</v>
      </c>
      <c r="H12" s="34">
        <v>1</v>
      </c>
      <c r="I12" s="34">
        <v>0</v>
      </c>
      <c r="J12" s="34">
        <v>0</v>
      </c>
      <c r="K12" s="34">
        <v>0</v>
      </c>
      <c r="L12" s="34">
        <v>0</v>
      </c>
      <c r="M12" s="76"/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76"/>
    </row>
    <row r="13" spans="1:22">
      <c r="A13">
        <v>12</v>
      </c>
      <c r="B13" t="s">
        <v>59</v>
      </c>
      <c r="C13" t="s">
        <v>60</v>
      </c>
      <c r="D13" s="7" t="s">
        <v>62</v>
      </c>
      <c r="E13" s="34">
        <v>0</v>
      </c>
      <c r="F13" s="34">
        <v>0</v>
      </c>
      <c r="G13" s="34">
        <v>0</v>
      </c>
      <c r="H13" s="34">
        <v>0</v>
      </c>
      <c r="I13" s="34">
        <v>1</v>
      </c>
      <c r="J13" s="34">
        <v>0</v>
      </c>
      <c r="K13" s="34">
        <v>0</v>
      </c>
      <c r="L13" s="34">
        <v>0</v>
      </c>
      <c r="M13" s="76"/>
      <c r="N13" s="34">
        <v>1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76"/>
    </row>
    <row r="14" spans="1:22">
      <c r="A14">
        <v>13</v>
      </c>
      <c r="B14" t="s">
        <v>63</v>
      </c>
      <c r="C14" t="s">
        <v>64</v>
      </c>
      <c r="D14" s="7" t="s">
        <v>62</v>
      </c>
      <c r="E14" s="34">
        <v>0</v>
      </c>
      <c r="F14" s="34">
        <v>0</v>
      </c>
      <c r="G14" s="34">
        <v>0</v>
      </c>
      <c r="H14" s="34">
        <v>0</v>
      </c>
      <c r="I14" s="34">
        <v>1</v>
      </c>
      <c r="J14" s="34">
        <v>0</v>
      </c>
      <c r="K14" s="34">
        <v>0</v>
      </c>
      <c r="L14" s="34">
        <v>0</v>
      </c>
      <c r="M14" s="76"/>
      <c r="N14" s="34">
        <v>1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76"/>
    </row>
    <row r="15" spans="1:22">
      <c r="A15">
        <v>14</v>
      </c>
      <c r="B15" t="s">
        <v>66</v>
      </c>
      <c r="C15" t="s">
        <v>67</v>
      </c>
      <c r="D15" s="7" t="s">
        <v>62</v>
      </c>
      <c r="E15" s="34">
        <v>0</v>
      </c>
      <c r="F15" s="34">
        <v>0</v>
      </c>
      <c r="G15" s="34">
        <v>0</v>
      </c>
      <c r="H15" s="34">
        <v>0</v>
      </c>
      <c r="I15" s="34">
        <v>1</v>
      </c>
      <c r="J15" s="34">
        <v>0</v>
      </c>
      <c r="K15" s="34">
        <v>0</v>
      </c>
      <c r="L15" s="34">
        <v>0</v>
      </c>
      <c r="M15" s="76"/>
      <c r="N15" s="34">
        <v>1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76"/>
    </row>
    <row r="16" spans="1:22">
      <c r="A16">
        <v>15</v>
      </c>
      <c r="B16" t="s">
        <v>69</v>
      </c>
      <c r="C16" t="s">
        <v>70</v>
      </c>
      <c r="D16" s="7" t="s">
        <v>62</v>
      </c>
      <c r="E16" s="34">
        <v>0</v>
      </c>
      <c r="F16" s="34">
        <v>0</v>
      </c>
      <c r="G16" s="34">
        <v>0</v>
      </c>
      <c r="H16" s="34">
        <v>0</v>
      </c>
      <c r="I16" s="34">
        <v>1</v>
      </c>
      <c r="J16" s="34">
        <v>0</v>
      </c>
      <c r="K16" s="34">
        <v>0</v>
      </c>
      <c r="L16" s="34">
        <v>0</v>
      </c>
      <c r="M16" s="76"/>
      <c r="N16" s="34">
        <v>1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76"/>
    </row>
    <row r="17" spans="1:22">
      <c r="A17">
        <v>16</v>
      </c>
      <c r="B17" t="s">
        <v>71</v>
      </c>
      <c r="C17" t="s">
        <v>72</v>
      </c>
      <c r="D17" s="7" t="s">
        <v>62</v>
      </c>
      <c r="E17" s="34">
        <v>0</v>
      </c>
      <c r="F17" s="34">
        <v>0</v>
      </c>
      <c r="G17" s="34">
        <v>0</v>
      </c>
      <c r="H17" s="34">
        <v>0</v>
      </c>
      <c r="I17" s="34">
        <v>1</v>
      </c>
      <c r="J17" s="34">
        <v>0</v>
      </c>
      <c r="K17" s="34">
        <v>0</v>
      </c>
      <c r="L17" s="34">
        <v>0</v>
      </c>
      <c r="M17" s="76"/>
      <c r="N17" s="34">
        <v>1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76"/>
    </row>
    <row r="18" spans="1:22">
      <c r="A18">
        <v>17</v>
      </c>
      <c r="B18" t="s">
        <v>74</v>
      </c>
      <c r="C18" t="s">
        <v>75</v>
      </c>
      <c r="D18" s="7" t="s">
        <v>62</v>
      </c>
      <c r="E18" s="34">
        <v>0</v>
      </c>
      <c r="F18" s="34">
        <v>0</v>
      </c>
      <c r="G18" s="34">
        <v>0</v>
      </c>
      <c r="H18" s="34">
        <v>0</v>
      </c>
      <c r="I18" s="34">
        <v>1</v>
      </c>
      <c r="J18" s="34">
        <v>0</v>
      </c>
      <c r="K18" s="34">
        <v>0</v>
      </c>
      <c r="L18" s="34">
        <v>0</v>
      </c>
      <c r="M18" s="76"/>
      <c r="N18" s="34">
        <v>1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76"/>
    </row>
    <row r="19" spans="1:22">
      <c r="A19">
        <v>18</v>
      </c>
      <c r="B19" t="s">
        <v>77</v>
      </c>
      <c r="C19" t="s">
        <v>78</v>
      </c>
      <c r="D19" s="7" t="s">
        <v>81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76"/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0.5</v>
      </c>
      <c r="U19" s="34">
        <v>0.5</v>
      </c>
      <c r="V19" s="76"/>
    </row>
    <row r="20" spans="1:22">
      <c r="A20">
        <v>19</v>
      </c>
      <c r="B20" t="s">
        <v>82</v>
      </c>
      <c r="C20" t="s">
        <v>83</v>
      </c>
      <c r="D20" s="7" t="s">
        <v>81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76"/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1</v>
      </c>
      <c r="V20" s="76"/>
    </row>
    <row r="21" spans="1:22">
      <c r="A21">
        <v>20</v>
      </c>
      <c r="B21" t="s">
        <v>86</v>
      </c>
      <c r="C21" t="s">
        <v>87</v>
      </c>
      <c r="D21" s="7" t="s">
        <v>81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76"/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1</v>
      </c>
      <c r="V21" s="76"/>
    </row>
    <row r="22" spans="1:22">
      <c r="A22">
        <v>21</v>
      </c>
      <c r="B22" t="s">
        <v>89</v>
      </c>
      <c r="C22" t="s">
        <v>90</v>
      </c>
      <c r="D22" s="7" t="s">
        <v>92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76"/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1</v>
      </c>
      <c r="V22" s="76"/>
    </row>
    <row r="23" spans="1:22">
      <c r="A23">
        <v>22</v>
      </c>
      <c r="B23" t="s">
        <v>93</v>
      </c>
      <c r="C23" t="s">
        <v>94</v>
      </c>
      <c r="D23" s="7" t="s">
        <v>30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76"/>
      <c r="N23" s="34">
        <v>0</v>
      </c>
      <c r="O23" s="34">
        <v>0</v>
      </c>
      <c r="P23" s="34">
        <v>0</v>
      </c>
      <c r="Q23" s="34">
        <v>1</v>
      </c>
      <c r="R23" s="34">
        <v>0</v>
      </c>
      <c r="S23" s="34">
        <v>0</v>
      </c>
      <c r="T23" s="34">
        <v>0</v>
      </c>
      <c r="U23" s="34">
        <v>0</v>
      </c>
      <c r="V23" s="76"/>
    </row>
    <row r="24" spans="1:22">
      <c r="A24">
        <v>23</v>
      </c>
      <c r="B24" t="s">
        <v>97</v>
      </c>
      <c r="C24" t="s">
        <v>98</v>
      </c>
      <c r="D24" s="7" t="s">
        <v>21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76"/>
      <c r="N24" s="34">
        <v>1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76"/>
    </row>
    <row r="25" spans="1:22">
      <c r="A25">
        <v>24</v>
      </c>
      <c r="B25" t="s">
        <v>100</v>
      </c>
      <c r="C25" t="s">
        <v>101</v>
      </c>
      <c r="D25" s="7" t="s">
        <v>81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76"/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1</v>
      </c>
      <c r="V25" s="76"/>
    </row>
    <row r="26" spans="1:22">
      <c r="A26">
        <v>25</v>
      </c>
      <c r="B26" t="s">
        <v>103</v>
      </c>
      <c r="C26" t="s">
        <v>104</v>
      </c>
      <c r="D26" s="7" t="s">
        <v>30</v>
      </c>
      <c r="E26" s="34">
        <v>0</v>
      </c>
      <c r="F26" s="34">
        <v>0</v>
      </c>
      <c r="G26" s="34">
        <v>0.2</v>
      </c>
      <c r="H26" s="34">
        <v>0.8</v>
      </c>
      <c r="I26" s="34">
        <v>0</v>
      </c>
      <c r="J26" s="34">
        <v>0</v>
      </c>
      <c r="K26" s="34">
        <v>0</v>
      </c>
      <c r="L26" s="34">
        <v>0</v>
      </c>
      <c r="M26" s="76"/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76"/>
    </row>
    <row r="27" spans="1:22">
      <c r="A27">
        <v>26</v>
      </c>
      <c r="B27" t="s">
        <v>107</v>
      </c>
      <c r="C27" t="s">
        <v>108</v>
      </c>
      <c r="D27" s="7" t="s">
        <v>109</v>
      </c>
      <c r="E27" s="34">
        <v>0</v>
      </c>
      <c r="F27" s="34">
        <v>0</v>
      </c>
      <c r="G27" s="34">
        <v>0</v>
      </c>
      <c r="H27" s="34">
        <v>1</v>
      </c>
      <c r="I27" s="34">
        <v>0</v>
      </c>
      <c r="J27" s="34">
        <v>0</v>
      </c>
      <c r="K27" s="34">
        <v>0</v>
      </c>
      <c r="L27" s="34">
        <v>0</v>
      </c>
      <c r="M27" s="76"/>
      <c r="N27" s="34">
        <v>0</v>
      </c>
      <c r="O27" s="34">
        <v>0</v>
      </c>
      <c r="P27" s="34">
        <v>0</v>
      </c>
      <c r="Q27" s="34">
        <v>1</v>
      </c>
      <c r="R27" s="34">
        <v>0</v>
      </c>
      <c r="S27" s="34">
        <v>0</v>
      </c>
      <c r="T27" s="34">
        <v>0</v>
      </c>
      <c r="U27" s="34">
        <v>0</v>
      </c>
      <c r="V27" s="76"/>
    </row>
    <row r="28" spans="1:22">
      <c r="A28">
        <v>27</v>
      </c>
      <c r="B28" t="s">
        <v>110</v>
      </c>
      <c r="C28" t="s">
        <v>111</v>
      </c>
      <c r="D28" s="7" t="s">
        <v>51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76"/>
      <c r="N28" s="34">
        <v>0</v>
      </c>
      <c r="O28" s="34">
        <v>0</v>
      </c>
      <c r="P28" s="34">
        <v>1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76"/>
    </row>
    <row r="29" spans="1:22">
      <c r="A29">
        <v>28</v>
      </c>
      <c r="B29" t="s">
        <v>113</v>
      </c>
      <c r="C29" t="s">
        <v>114</v>
      </c>
      <c r="D29" s="7" t="s">
        <v>116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76"/>
      <c r="N29" s="34">
        <v>0.5</v>
      </c>
      <c r="O29" s="34">
        <v>0.5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76"/>
    </row>
    <row r="30" spans="1:22">
      <c r="A30">
        <v>29</v>
      </c>
      <c r="B30" t="s">
        <v>117</v>
      </c>
      <c r="C30" t="s">
        <v>118</v>
      </c>
      <c r="D30" s="7" t="s">
        <v>43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76"/>
      <c r="N30" s="34">
        <v>0</v>
      </c>
      <c r="O30" s="34">
        <v>0</v>
      </c>
      <c r="P30" s="34">
        <v>0</v>
      </c>
      <c r="Q30" s="34">
        <v>1</v>
      </c>
      <c r="R30" s="34">
        <v>0</v>
      </c>
      <c r="S30" s="34">
        <v>0</v>
      </c>
      <c r="T30" s="34">
        <v>0</v>
      </c>
      <c r="U30" s="34">
        <v>0</v>
      </c>
      <c r="V30" s="76"/>
    </row>
    <row r="31" spans="1:22">
      <c r="A31">
        <v>30</v>
      </c>
      <c r="B31" t="s">
        <v>121</v>
      </c>
      <c r="C31" t="s">
        <v>122</v>
      </c>
      <c r="D31" s="7" t="s">
        <v>21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76"/>
      <c r="N31" s="34">
        <v>1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76"/>
    </row>
    <row r="32" spans="1:22">
      <c r="A32">
        <v>31</v>
      </c>
      <c r="B32" t="s">
        <v>124</v>
      </c>
      <c r="C32" t="s">
        <v>125</v>
      </c>
      <c r="D32" s="7" t="s">
        <v>21</v>
      </c>
      <c r="E32" s="34">
        <v>1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76"/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76"/>
    </row>
    <row r="33" spans="1:22">
      <c r="A33">
        <v>32</v>
      </c>
      <c r="B33" t="s">
        <v>127</v>
      </c>
      <c r="C33" t="s">
        <v>128</v>
      </c>
      <c r="D33" s="7" t="s">
        <v>21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76"/>
      <c r="N33" s="34">
        <v>1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76"/>
    </row>
    <row r="34" spans="1:22">
      <c r="A34">
        <v>33</v>
      </c>
      <c r="B34" t="s">
        <v>130</v>
      </c>
      <c r="C34" t="s">
        <v>131</v>
      </c>
      <c r="D34" s="7" t="s">
        <v>36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76"/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1</v>
      </c>
      <c r="V34" s="76"/>
    </row>
    <row r="35" spans="1:22">
      <c r="A35">
        <v>34</v>
      </c>
      <c r="B35" t="s">
        <v>133</v>
      </c>
      <c r="C35" t="s">
        <v>134</v>
      </c>
      <c r="D35" s="7" t="s">
        <v>136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76"/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1</v>
      </c>
      <c r="U35" s="34">
        <v>0</v>
      </c>
      <c r="V35" s="76"/>
    </row>
    <row r="36" spans="1:22">
      <c r="A36">
        <v>35</v>
      </c>
      <c r="B36" t="s">
        <v>137</v>
      </c>
      <c r="C36" t="s">
        <v>138</v>
      </c>
      <c r="D36" s="7" t="s">
        <v>136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1</v>
      </c>
      <c r="L36" s="34">
        <v>0</v>
      </c>
      <c r="M36" s="76"/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76"/>
    </row>
    <row r="37" spans="1:22">
      <c r="A37">
        <v>36</v>
      </c>
      <c r="B37" t="s">
        <v>140</v>
      </c>
      <c r="C37" t="s">
        <v>141</v>
      </c>
      <c r="D37" s="7" t="s">
        <v>136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76"/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1</v>
      </c>
      <c r="U37" s="34">
        <v>0</v>
      </c>
      <c r="V37" s="76"/>
    </row>
    <row r="38" spans="1:22">
      <c r="A38">
        <v>37</v>
      </c>
      <c r="B38" t="s">
        <v>143</v>
      </c>
      <c r="C38" t="s">
        <v>144</v>
      </c>
      <c r="D38" s="7" t="s">
        <v>147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76"/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1</v>
      </c>
      <c r="U38" s="34">
        <v>0</v>
      </c>
      <c r="V38" s="76"/>
    </row>
    <row r="39" spans="1:22">
      <c r="A39">
        <v>38</v>
      </c>
      <c r="B39" t="s">
        <v>148</v>
      </c>
      <c r="C39" t="s">
        <v>149</v>
      </c>
      <c r="D39" s="7" t="s">
        <v>51</v>
      </c>
      <c r="E39" s="34">
        <v>0</v>
      </c>
      <c r="F39" s="34">
        <v>0</v>
      </c>
      <c r="G39" s="34">
        <v>1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76"/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76"/>
    </row>
    <row r="40" spans="1:22">
      <c r="A40">
        <v>39</v>
      </c>
      <c r="B40" t="s">
        <v>151</v>
      </c>
      <c r="C40" t="s">
        <v>152</v>
      </c>
      <c r="D40" s="7" t="s">
        <v>51</v>
      </c>
      <c r="E40" s="34">
        <v>0</v>
      </c>
      <c r="F40" s="34">
        <v>0</v>
      </c>
      <c r="G40" s="34">
        <v>1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76"/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76"/>
    </row>
    <row r="41" spans="1:22">
      <c r="A41">
        <v>40</v>
      </c>
      <c r="B41" t="s">
        <v>153</v>
      </c>
      <c r="C41" t="s">
        <v>154</v>
      </c>
      <c r="D41" s="7" t="s">
        <v>51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76"/>
      <c r="N41" s="34">
        <v>0</v>
      </c>
      <c r="O41" s="34">
        <v>0.5</v>
      </c>
      <c r="P41" s="34">
        <v>0.5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76"/>
    </row>
    <row r="42" spans="1:22">
      <c r="A42">
        <v>41</v>
      </c>
      <c r="B42" t="s">
        <v>157</v>
      </c>
      <c r="C42" t="s">
        <v>158</v>
      </c>
      <c r="D42" s="7" t="s">
        <v>51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76"/>
      <c r="N42" s="34">
        <v>0</v>
      </c>
      <c r="O42" s="34">
        <v>0.5</v>
      </c>
      <c r="P42" s="34">
        <v>0.5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76"/>
    </row>
    <row r="43" spans="1:22">
      <c r="A43">
        <v>42</v>
      </c>
      <c r="B43" t="s">
        <v>161</v>
      </c>
      <c r="C43" t="s">
        <v>162</v>
      </c>
      <c r="D43" s="7" t="s">
        <v>62</v>
      </c>
      <c r="E43" s="34">
        <v>0</v>
      </c>
      <c r="F43" s="34">
        <v>0</v>
      </c>
      <c r="G43" s="34">
        <v>0</v>
      </c>
      <c r="H43" s="34">
        <v>0</v>
      </c>
      <c r="I43" s="34">
        <v>1</v>
      </c>
      <c r="J43" s="34">
        <v>0</v>
      </c>
      <c r="K43" s="34">
        <v>0</v>
      </c>
      <c r="L43" s="34">
        <v>0</v>
      </c>
      <c r="M43" s="76"/>
      <c r="N43" s="34">
        <v>1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76"/>
    </row>
    <row r="44" spans="1:22">
      <c r="A44">
        <v>43</v>
      </c>
      <c r="B44" t="s">
        <v>164</v>
      </c>
      <c r="C44" t="s">
        <v>165</v>
      </c>
      <c r="D44" s="7" t="s">
        <v>48</v>
      </c>
      <c r="E44" s="34">
        <v>0</v>
      </c>
      <c r="F44" s="34">
        <v>0</v>
      </c>
      <c r="G44" s="34">
        <v>0</v>
      </c>
      <c r="H44" s="34">
        <v>1</v>
      </c>
      <c r="I44" s="34">
        <v>0</v>
      </c>
      <c r="J44" s="34">
        <v>0</v>
      </c>
      <c r="K44" s="34">
        <v>0</v>
      </c>
      <c r="L44" s="34">
        <v>0</v>
      </c>
      <c r="M44" s="76"/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76"/>
    </row>
    <row r="45" spans="1:22">
      <c r="A45">
        <v>44</v>
      </c>
      <c r="B45" t="s">
        <v>168</v>
      </c>
      <c r="C45" t="s">
        <v>169</v>
      </c>
      <c r="D45" s="7" t="s">
        <v>30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76"/>
      <c r="N45" s="34">
        <v>0.3</v>
      </c>
      <c r="O45" s="34">
        <v>0.3</v>
      </c>
      <c r="P45" s="34">
        <v>0</v>
      </c>
      <c r="Q45" s="34">
        <v>0.4</v>
      </c>
      <c r="R45" s="34">
        <v>0</v>
      </c>
      <c r="S45" s="34">
        <v>0</v>
      </c>
      <c r="T45" s="34">
        <v>0</v>
      </c>
      <c r="U45" s="34">
        <v>0</v>
      </c>
      <c r="V45" s="76"/>
    </row>
    <row r="46" spans="1:22">
      <c r="A46">
        <v>45</v>
      </c>
      <c r="B46" t="s">
        <v>171</v>
      </c>
      <c r="C46" t="s">
        <v>172</v>
      </c>
      <c r="D46" s="7" t="s">
        <v>30</v>
      </c>
      <c r="E46" s="34">
        <v>0</v>
      </c>
      <c r="F46" s="34">
        <v>0</v>
      </c>
      <c r="G46" s="34">
        <v>0.5</v>
      </c>
      <c r="H46" s="34">
        <v>0.5</v>
      </c>
      <c r="I46" s="34">
        <v>0</v>
      </c>
      <c r="J46" s="34">
        <v>0</v>
      </c>
      <c r="K46" s="34">
        <v>0</v>
      </c>
      <c r="L46" s="34">
        <v>0</v>
      </c>
      <c r="M46" s="76"/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4">
        <v>0</v>
      </c>
      <c r="U46" s="34">
        <v>0</v>
      </c>
      <c r="V46" s="76"/>
    </row>
    <row r="47" spans="1:22">
      <c r="A47">
        <v>46</v>
      </c>
      <c r="B47" t="s">
        <v>174</v>
      </c>
      <c r="C47" t="s">
        <v>175</v>
      </c>
      <c r="D47" s="7" t="s">
        <v>30</v>
      </c>
      <c r="E47" s="34">
        <v>0</v>
      </c>
      <c r="F47" s="34">
        <v>0</v>
      </c>
      <c r="G47" s="34">
        <v>0.5</v>
      </c>
      <c r="H47" s="34">
        <v>0.5</v>
      </c>
      <c r="I47" s="34">
        <v>0</v>
      </c>
      <c r="J47" s="34">
        <v>0</v>
      </c>
      <c r="K47" s="34">
        <v>0</v>
      </c>
      <c r="L47" s="34">
        <v>0</v>
      </c>
      <c r="M47" s="76"/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76"/>
    </row>
    <row r="48" spans="1:22">
      <c r="A48">
        <v>47</v>
      </c>
      <c r="B48" t="s">
        <v>178</v>
      </c>
      <c r="C48" t="s">
        <v>179</v>
      </c>
      <c r="D48" s="7" t="s">
        <v>51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76"/>
      <c r="N48" s="34">
        <v>0</v>
      </c>
      <c r="O48" s="34">
        <v>0</v>
      </c>
      <c r="P48" s="34">
        <v>1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76"/>
    </row>
    <row r="49" spans="1:22">
      <c r="A49">
        <v>48</v>
      </c>
      <c r="B49" t="s">
        <v>181</v>
      </c>
      <c r="C49" t="s">
        <v>182</v>
      </c>
      <c r="D49" s="7" t="s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76"/>
      <c r="N49" s="34">
        <v>0</v>
      </c>
      <c r="O49" s="34">
        <v>0</v>
      </c>
      <c r="P49" s="34">
        <v>0.3</v>
      </c>
      <c r="Q49" s="34">
        <v>0.7</v>
      </c>
      <c r="R49" s="34">
        <v>0</v>
      </c>
      <c r="S49" s="34">
        <v>0</v>
      </c>
      <c r="T49" s="34">
        <v>0</v>
      </c>
      <c r="U49" s="34">
        <v>0</v>
      </c>
      <c r="V49" s="76"/>
    </row>
    <row r="50" spans="1:22">
      <c r="A50">
        <v>49</v>
      </c>
      <c r="B50" t="s">
        <v>185</v>
      </c>
      <c r="C50" t="s">
        <v>186</v>
      </c>
      <c r="D50" s="7" t="s">
        <v>48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76"/>
      <c r="N50" s="34">
        <v>0</v>
      </c>
      <c r="O50" s="34">
        <v>0</v>
      </c>
      <c r="P50" s="34">
        <v>0</v>
      </c>
      <c r="Q50" s="34">
        <v>1</v>
      </c>
      <c r="R50" s="34">
        <v>0</v>
      </c>
      <c r="S50" s="34">
        <v>0</v>
      </c>
      <c r="T50" s="34">
        <v>0</v>
      </c>
      <c r="U50" s="34">
        <v>0</v>
      </c>
      <c r="V50" s="76"/>
    </row>
    <row r="51" spans="1:22">
      <c r="A51">
        <v>50</v>
      </c>
      <c r="B51" t="s">
        <v>188</v>
      </c>
      <c r="C51" t="s">
        <v>189</v>
      </c>
      <c r="D51" s="7" t="s">
        <v>191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76"/>
      <c r="N51" s="34">
        <v>0</v>
      </c>
      <c r="O51" s="34">
        <v>1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76"/>
    </row>
    <row r="52" spans="1:22">
      <c r="A52">
        <v>51</v>
      </c>
      <c r="B52" t="s">
        <v>192</v>
      </c>
      <c r="C52" t="s">
        <v>193</v>
      </c>
      <c r="D52" s="7" t="s">
        <v>21</v>
      </c>
      <c r="E52" s="34">
        <v>1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76"/>
      <c r="N52" s="34">
        <v>1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76"/>
    </row>
    <row r="53" spans="1:22">
      <c r="A53">
        <v>52</v>
      </c>
      <c r="B53" t="s">
        <v>194</v>
      </c>
      <c r="C53" t="s">
        <v>195</v>
      </c>
      <c r="D53" s="7" t="s">
        <v>191</v>
      </c>
      <c r="E53" s="34">
        <v>0</v>
      </c>
      <c r="F53" s="34">
        <v>1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76"/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76"/>
    </row>
    <row r="54" spans="1:22">
      <c r="A54">
        <v>53</v>
      </c>
      <c r="B54" t="s">
        <v>197</v>
      </c>
      <c r="C54" t="s">
        <v>198</v>
      </c>
      <c r="D54" s="7" t="s">
        <v>51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76"/>
      <c r="N54" s="34">
        <v>0</v>
      </c>
      <c r="O54" s="34">
        <v>0</v>
      </c>
      <c r="P54" s="34">
        <v>1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76"/>
    </row>
    <row r="55" spans="1:22">
      <c r="A55">
        <v>54</v>
      </c>
      <c r="B55" t="s">
        <v>200</v>
      </c>
      <c r="C55" t="s">
        <v>201</v>
      </c>
      <c r="D55" s="7" t="s">
        <v>43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76"/>
      <c r="N55" s="34">
        <v>0</v>
      </c>
      <c r="O55" s="34">
        <v>0</v>
      </c>
      <c r="P55" s="34">
        <v>0.3</v>
      </c>
      <c r="Q55" s="34">
        <v>0.7</v>
      </c>
      <c r="R55" s="34">
        <v>0</v>
      </c>
      <c r="S55" s="34">
        <v>0</v>
      </c>
      <c r="T55" s="34">
        <v>0</v>
      </c>
      <c r="U55" s="34">
        <v>0</v>
      </c>
      <c r="V55" s="76"/>
    </row>
    <row r="56" spans="1:22">
      <c r="A56">
        <v>55</v>
      </c>
      <c r="B56" t="s">
        <v>203</v>
      </c>
      <c r="C56" t="s">
        <v>204</v>
      </c>
      <c r="D56" s="7" t="s">
        <v>51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76"/>
      <c r="N56" s="34">
        <v>0</v>
      </c>
      <c r="O56" s="34">
        <v>0</v>
      </c>
      <c r="P56" s="34">
        <v>1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76"/>
    </row>
    <row r="57" spans="1:22">
      <c r="A57">
        <v>56</v>
      </c>
      <c r="B57" t="s">
        <v>205</v>
      </c>
      <c r="C57" t="s">
        <v>206</v>
      </c>
      <c r="D57" s="7" t="s">
        <v>208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76"/>
      <c r="N57" s="34">
        <v>0</v>
      </c>
      <c r="O57" s="34">
        <v>0</v>
      </c>
      <c r="P57" s="34">
        <v>1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76"/>
    </row>
    <row r="58" spans="1:22">
      <c r="A58">
        <v>57</v>
      </c>
      <c r="B58" t="s">
        <v>209</v>
      </c>
      <c r="C58" t="s">
        <v>210</v>
      </c>
      <c r="D58" s="7" t="s">
        <v>30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76"/>
      <c r="N58" s="34">
        <v>0</v>
      </c>
      <c r="O58" s="34">
        <v>0.8</v>
      </c>
      <c r="P58" s="34">
        <v>0</v>
      </c>
      <c r="Q58" s="34">
        <v>0.2</v>
      </c>
      <c r="R58" s="34">
        <v>0</v>
      </c>
      <c r="S58" s="34">
        <v>0</v>
      </c>
      <c r="T58" s="34">
        <v>0</v>
      </c>
      <c r="U58" s="34">
        <v>0</v>
      </c>
      <c r="V58" s="76"/>
    </row>
    <row r="59" spans="1:22">
      <c r="A59">
        <v>58</v>
      </c>
      <c r="B59" t="s">
        <v>213</v>
      </c>
      <c r="C59" t="s">
        <v>214</v>
      </c>
      <c r="D59" s="7" t="s">
        <v>48</v>
      </c>
      <c r="E59" s="34">
        <v>0</v>
      </c>
      <c r="F59" s="34">
        <v>0</v>
      </c>
      <c r="G59" s="34">
        <v>0.5</v>
      </c>
      <c r="H59" s="34">
        <v>0.5</v>
      </c>
      <c r="I59" s="34">
        <v>0</v>
      </c>
      <c r="J59" s="34">
        <v>0</v>
      </c>
      <c r="K59" s="34">
        <v>0</v>
      </c>
      <c r="L59" s="34">
        <v>0</v>
      </c>
      <c r="M59" s="76"/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76"/>
    </row>
    <row r="60" spans="1:22">
      <c r="A60">
        <v>59</v>
      </c>
      <c r="B60" t="s">
        <v>217</v>
      </c>
      <c r="C60" t="s">
        <v>218</v>
      </c>
      <c r="D60" s="7" t="s">
        <v>48</v>
      </c>
      <c r="E60" s="34">
        <v>0</v>
      </c>
      <c r="F60" s="34">
        <v>0</v>
      </c>
      <c r="G60" s="34">
        <v>0.5</v>
      </c>
      <c r="H60" s="34">
        <v>0.5</v>
      </c>
      <c r="I60" s="34">
        <v>0</v>
      </c>
      <c r="J60" s="34">
        <v>0</v>
      </c>
      <c r="K60" s="34">
        <v>0</v>
      </c>
      <c r="L60" s="34">
        <v>0</v>
      </c>
      <c r="M60" s="76"/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76"/>
    </row>
    <row r="61" spans="1:22">
      <c r="A61">
        <v>60</v>
      </c>
      <c r="B61" t="s">
        <v>220</v>
      </c>
      <c r="C61" t="s">
        <v>221</v>
      </c>
      <c r="D61" s="7" t="s">
        <v>48</v>
      </c>
      <c r="E61" s="34">
        <v>0</v>
      </c>
      <c r="F61" s="34">
        <v>0</v>
      </c>
      <c r="G61" s="34">
        <v>0</v>
      </c>
      <c r="H61" s="34">
        <v>1</v>
      </c>
      <c r="I61" s="34">
        <v>0</v>
      </c>
      <c r="J61" s="34">
        <v>0</v>
      </c>
      <c r="K61" s="34">
        <v>0</v>
      </c>
      <c r="L61" s="34">
        <v>0</v>
      </c>
      <c r="M61" s="76"/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76"/>
    </row>
    <row r="62" spans="1:22">
      <c r="A62">
        <v>61</v>
      </c>
      <c r="B62" t="s">
        <v>224</v>
      </c>
      <c r="C62" t="s">
        <v>225</v>
      </c>
      <c r="D62" s="7" t="s">
        <v>48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76"/>
      <c r="N62" s="34">
        <v>0</v>
      </c>
      <c r="O62" s="34">
        <v>0</v>
      </c>
      <c r="P62" s="34">
        <v>0</v>
      </c>
      <c r="Q62" s="34">
        <v>1</v>
      </c>
      <c r="R62" s="34">
        <v>0</v>
      </c>
      <c r="S62" s="34">
        <v>0</v>
      </c>
      <c r="T62" s="34">
        <v>0</v>
      </c>
      <c r="U62" s="34">
        <v>0</v>
      </c>
      <c r="V62" s="76"/>
    </row>
    <row r="63" spans="1:22">
      <c r="A63">
        <v>62</v>
      </c>
      <c r="B63" t="s">
        <v>227</v>
      </c>
      <c r="C63" t="s">
        <v>228</v>
      </c>
      <c r="D63" s="7" t="s">
        <v>48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76"/>
      <c r="N63" s="34">
        <v>0</v>
      </c>
      <c r="O63" s="34">
        <v>0</v>
      </c>
      <c r="P63" s="34">
        <v>0</v>
      </c>
      <c r="Q63" s="34">
        <v>1</v>
      </c>
      <c r="R63" s="34">
        <v>0</v>
      </c>
      <c r="S63" s="34">
        <v>0</v>
      </c>
      <c r="T63" s="34">
        <v>0</v>
      </c>
      <c r="U63" s="34">
        <v>0</v>
      </c>
      <c r="V63" s="76"/>
    </row>
    <row r="64" spans="1:22">
      <c r="A64">
        <v>63</v>
      </c>
      <c r="B64" t="s">
        <v>230</v>
      </c>
      <c r="C64" t="s">
        <v>231</v>
      </c>
      <c r="D64" s="7" t="s">
        <v>48</v>
      </c>
      <c r="E64" s="34">
        <v>0</v>
      </c>
      <c r="F64" s="34">
        <v>0</v>
      </c>
      <c r="G64" s="34">
        <v>1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76"/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76"/>
    </row>
    <row r="65" spans="1:22">
      <c r="A65">
        <v>64</v>
      </c>
      <c r="B65" t="s">
        <v>232</v>
      </c>
      <c r="C65" t="s">
        <v>233</v>
      </c>
      <c r="D65" s="7" t="s">
        <v>48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1</v>
      </c>
      <c r="K65" s="34">
        <v>0</v>
      </c>
      <c r="L65" s="34">
        <v>0</v>
      </c>
      <c r="M65" s="76"/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76"/>
    </row>
    <row r="66" spans="1:22">
      <c r="A66">
        <v>65</v>
      </c>
      <c r="B66" t="s">
        <v>235</v>
      </c>
      <c r="C66" t="s">
        <v>236</v>
      </c>
      <c r="D66" s="7" t="s">
        <v>238</v>
      </c>
      <c r="E66" s="34">
        <v>0</v>
      </c>
      <c r="F66" s="34">
        <v>0</v>
      </c>
      <c r="G66" s="34">
        <v>0</v>
      </c>
      <c r="H66" s="34">
        <v>1</v>
      </c>
      <c r="I66" s="34">
        <v>0</v>
      </c>
      <c r="J66" s="34">
        <v>0</v>
      </c>
      <c r="K66" s="34">
        <v>0</v>
      </c>
      <c r="L66" s="34">
        <v>0</v>
      </c>
      <c r="M66" s="76"/>
      <c r="N66" s="34">
        <v>0</v>
      </c>
      <c r="O66" s="34">
        <v>1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76"/>
    </row>
    <row r="67" spans="1:22">
      <c r="A67">
        <v>66</v>
      </c>
      <c r="B67" t="s">
        <v>239</v>
      </c>
      <c r="C67" t="s">
        <v>240</v>
      </c>
      <c r="D67" s="7" t="s">
        <v>238</v>
      </c>
      <c r="E67" s="34">
        <v>0</v>
      </c>
      <c r="F67" s="34">
        <v>0</v>
      </c>
      <c r="G67" s="34">
        <v>0</v>
      </c>
      <c r="H67" s="34">
        <v>1</v>
      </c>
      <c r="I67" s="34">
        <v>0</v>
      </c>
      <c r="J67" s="34">
        <v>0</v>
      </c>
      <c r="K67" s="34">
        <v>0</v>
      </c>
      <c r="L67" s="34">
        <v>0</v>
      </c>
      <c r="M67" s="76"/>
      <c r="N67" s="34">
        <v>0</v>
      </c>
      <c r="O67" s="34">
        <v>1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76"/>
    </row>
    <row r="68" spans="1:22">
      <c r="A68">
        <v>67</v>
      </c>
      <c r="B68" t="s">
        <v>242</v>
      </c>
      <c r="C68" t="s">
        <v>243</v>
      </c>
      <c r="D68" s="7" t="s">
        <v>246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76"/>
      <c r="N68" s="34">
        <v>0</v>
      </c>
      <c r="O68" s="34">
        <v>0</v>
      </c>
      <c r="P68" s="34">
        <v>0</v>
      </c>
      <c r="Q68" s="34">
        <v>1</v>
      </c>
      <c r="R68" s="34">
        <v>0</v>
      </c>
      <c r="S68" s="34">
        <v>0</v>
      </c>
      <c r="T68" s="34">
        <v>0</v>
      </c>
      <c r="U68" s="34">
        <v>0</v>
      </c>
      <c r="V68" s="76"/>
    </row>
    <row r="69" spans="1:22">
      <c r="A69">
        <v>68</v>
      </c>
      <c r="B69" t="s">
        <v>247</v>
      </c>
      <c r="C69" t="s">
        <v>248</v>
      </c>
      <c r="D69" s="7" t="s">
        <v>246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76"/>
      <c r="N69" s="34">
        <v>0</v>
      </c>
      <c r="O69" s="34">
        <v>0</v>
      </c>
      <c r="P69" s="34">
        <v>0</v>
      </c>
      <c r="Q69" s="34">
        <v>1</v>
      </c>
      <c r="R69" s="34">
        <v>0</v>
      </c>
      <c r="S69" s="34">
        <v>0</v>
      </c>
      <c r="T69" s="34">
        <v>0</v>
      </c>
      <c r="U69" s="34">
        <v>0</v>
      </c>
      <c r="V69" s="76"/>
    </row>
    <row r="70" spans="1:22">
      <c r="A70">
        <v>69</v>
      </c>
      <c r="B70" t="s">
        <v>250</v>
      </c>
      <c r="C70" t="s">
        <v>251</v>
      </c>
      <c r="D70" s="7" t="s">
        <v>191</v>
      </c>
      <c r="E70" s="34">
        <v>0</v>
      </c>
      <c r="F70" s="34">
        <v>1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76"/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76"/>
    </row>
    <row r="71" spans="1:22">
      <c r="A71">
        <v>70</v>
      </c>
      <c r="B71" t="s">
        <v>253</v>
      </c>
      <c r="C71" t="s">
        <v>254</v>
      </c>
      <c r="D71" s="7" t="s">
        <v>191</v>
      </c>
      <c r="E71" s="34">
        <v>0</v>
      </c>
      <c r="F71" s="34">
        <v>1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76"/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76"/>
    </row>
    <row r="72" spans="1:22">
      <c r="A72">
        <v>71</v>
      </c>
      <c r="B72" t="s">
        <v>256</v>
      </c>
      <c r="C72" t="s">
        <v>257</v>
      </c>
      <c r="D72" s="7" t="s">
        <v>191</v>
      </c>
      <c r="E72" s="34">
        <v>0</v>
      </c>
      <c r="F72" s="34">
        <v>1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76"/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76"/>
    </row>
    <row r="73" spans="1:22">
      <c r="A73">
        <v>72</v>
      </c>
      <c r="B73" t="s">
        <v>258</v>
      </c>
      <c r="C73" t="s">
        <v>259</v>
      </c>
      <c r="D73" s="7" t="s">
        <v>55</v>
      </c>
      <c r="E73" s="34">
        <v>0</v>
      </c>
      <c r="F73" s="34">
        <v>0</v>
      </c>
      <c r="G73" s="34">
        <v>0</v>
      </c>
      <c r="H73" s="34">
        <v>1</v>
      </c>
      <c r="I73" s="34">
        <v>0</v>
      </c>
      <c r="J73" s="34">
        <v>0</v>
      </c>
      <c r="K73" s="34">
        <v>0</v>
      </c>
      <c r="L73" s="34">
        <v>0</v>
      </c>
      <c r="M73" s="76"/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76"/>
    </row>
    <row r="74" spans="1:22">
      <c r="A74">
        <v>73</v>
      </c>
      <c r="B74" t="s">
        <v>261</v>
      </c>
      <c r="C74" t="s">
        <v>262</v>
      </c>
      <c r="D74" s="7" t="s">
        <v>55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76"/>
      <c r="N74" s="34">
        <v>0</v>
      </c>
      <c r="O74" s="34">
        <v>0</v>
      </c>
      <c r="P74" s="34">
        <v>0</v>
      </c>
      <c r="Q74" s="34">
        <v>1</v>
      </c>
      <c r="R74" s="34">
        <v>0</v>
      </c>
      <c r="S74" s="34">
        <v>0</v>
      </c>
      <c r="T74" s="34">
        <v>0</v>
      </c>
      <c r="U74" s="34">
        <v>0</v>
      </c>
      <c r="V74" s="76"/>
    </row>
    <row r="75" spans="1:22">
      <c r="A75">
        <v>74</v>
      </c>
      <c r="B75" t="s">
        <v>265</v>
      </c>
      <c r="C75" t="s">
        <v>266</v>
      </c>
      <c r="D75" s="7" t="s">
        <v>51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76"/>
      <c r="N75" s="34">
        <v>0</v>
      </c>
      <c r="O75" s="34">
        <v>0</v>
      </c>
      <c r="P75" s="34">
        <v>1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76"/>
    </row>
    <row r="76" spans="1:22">
      <c r="A76">
        <v>75</v>
      </c>
      <c r="B76" t="s">
        <v>269</v>
      </c>
      <c r="C76" t="s">
        <v>270</v>
      </c>
      <c r="D76" s="7" t="s">
        <v>51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76"/>
      <c r="N76" s="34">
        <v>0</v>
      </c>
      <c r="O76" s="34">
        <v>0</v>
      </c>
      <c r="P76" s="34">
        <v>1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76"/>
    </row>
    <row r="77" spans="1:22">
      <c r="A77">
        <v>76</v>
      </c>
      <c r="B77" t="s">
        <v>273</v>
      </c>
      <c r="C77" t="s">
        <v>274</v>
      </c>
      <c r="D77" s="7" t="s">
        <v>55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76"/>
      <c r="N77" s="34">
        <v>0</v>
      </c>
      <c r="O77" s="34">
        <v>0</v>
      </c>
      <c r="P77" s="34">
        <v>0</v>
      </c>
      <c r="Q77" s="34">
        <v>1</v>
      </c>
      <c r="R77" s="34">
        <v>0</v>
      </c>
      <c r="S77" s="34">
        <v>0</v>
      </c>
      <c r="T77" s="34">
        <v>0</v>
      </c>
      <c r="U77" s="34">
        <v>0</v>
      </c>
      <c r="V77" s="76"/>
    </row>
    <row r="78" spans="1:22">
      <c r="A78">
        <v>77</v>
      </c>
      <c r="B78" t="s">
        <v>276</v>
      </c>
      <c r="C78" t="s">
        <v>277</v>
      </c>
      <c r="D78" s="7" t="s">
        <v>36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1</v>
      </c>
      <c r="M78" s="76"/>
      <c r="N78" s="34">
        <v>0.4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0.4</v>
      </c>
      <c r="U78" s="34">
        <v>0.2</v>
      </c>
      <c r="V78" s="76"/>
    </row>
    <row r="79" spans="1:22">
      <c r="A79">
        <v>78</v>
      </c>
      <c r="B79" t="s">
        <v>278</v>
      </c>
      <c r="C79" t="s">
        <v>279</v>
      </c>
      <c r="D79" s="7" t="s">
        <v>36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76"/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1</v>
      </c>
      <c r="U79" s="34">
        <v>0</v>
      </c>
      <c r="V79" s="76"/>
    </row>
    <row r="80" spans="1:22">
      <c r="A80">
        <v>79</v>
      </c>
      <c r="B80" t="s">
        <v>280</v>
      </c>
      <c r="C80" t="s">
        <v>281</v>
      </c>
      <c r="D80" s="7" t="s">
        <v>30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76"/>
      <c r="N80" s="34">
        <v>0.2</v>
      </c>
      <c r="O80" s="34">
        <v>0</v>
      </c>
      <c r="P80" s="34">
        <v>0</v>
      </c>
      <c r="Q80" s="34">
        <v>0.8</v>
      </c>
      <c r="R80" s="34">
        <v>0</v>
      </c>
      <c r="S80" s="34">
        <v>0</v>
      </c>
      <c r="T80" s="34">
        <v>0</v>
      </c>
      <c r="U80" s="34">
        <v>0</v>
      </c>
      <c r="V80" s="76"/>
    </row>
    <row r="81" spans="1:22">
      <c r="A81">
        <v>80</v>
      </c>
      <c r="B81" t="s">
        <v>282</v>
      </c>
      <c r="C81" t="s">
        <v>283</v>
      </c>
      <c r="D81" s="7" t="s">
        <v>30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76"/>
      <c r="N81" s="34">
        <v>0</v>
      </c>
      <c r="O81" s="34">
        <v>0</v>
      </c>
      <c r="P81" s="34">
        <v>0</v>
      </c>
      <c r="Q81" s="34">
        <v>1</v>
      </c>
      <c r="R81" s="34">
        <v>0</v>
      </c>
      <c r="S81" s="34">
        <v>0</v>
      </c>
      <c r="T81" s="34">
        <v>0</v>
      </c>
      <c r="U81" s="34">
        <v>0</v>
      </c>
      <c r="V81" s="76"/>
    </row>
    <row r="82" spans="1:22">
      <c r="A82">
        <v>81</v>
      </c>
      <c r="B82" t="s">
        <v>285</v>
      </c>
      <c r="C82" t="s">
        <v>286</v>
      </c>
      <c r="D82" s="7" t="s">
        <v>30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76"/>
      <c r="N82" s="34">
        <v>0.5</v>
      </c>
      <c r="O82" s="34">
        <v>0.5</v>
      </c>
      <c r="P82" s="34">
        <v>0</v>
      </c>
      <c r="Q82" s="34">
        <v>0</v>
      </c>
      <c r="R82" s="34">
        <v>0</v>
      </c>
      <c r="S82" s="34">
        <v>0</v>
      </c>
      <c r="T82" s="34">
        <v>0</v>
      </c>
      <c r="U82" s="34">
        <v>0</v>
      </c>
      <c r="V82" s="76"/>
    </row>
    <row r="83" spans="1:22">
      <c r="A83">
        <v>82</v>
      </c>
      <c r="B83" t="s">
        <v>287</v>
      </c>
      <c r="C83" t="s">
        <v>288</v>
      </c>
      <c r="D83" s="7" t="s">
        <v>30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76"/>
      <c r="N83" s="34">
        <v>0.5</v>
      </c>
      <c r="O83" s="34">
        <v>0.5</v>
      </c>
      <c r="P83" s="34">
        <v>0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76"/>
    </row>
    <row r="84" spans="1:22">
      <c r="A84">
        <v>83</v>
      </c>
      <c r="B84" t="s">
        <v>290</v>
      </c>
      <c r="C84" t="s">
        <v>291</v>
      </c>
      <c r="D84" s="7" t="s">
        <v>30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76"/>
      <c r="N84" s="34">
        <v>0</v>
      </c>
      <c r="O84" s="34">
        <v>1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76"/>
    </row>
    <row r="85" spans="1:22">
      <c r="A85">
        <v>84</v>
      </c>
      <c r="B85" t="s">
        <v>292</v>
      </c>
      <c r="C85" t="s">
        <v>293</v>
      </c>
      <c r="D85" s="7" t="s">
        <v>55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76"/>
      <c r="N85" s="34">
        <v>0</v>
      </c>
      <c r="O85" s="34">
        <v>0</v>
      </c>
      <c r="P85" s="34">
        <v>0</v>
      </c>
      <c r="Q85" s="34">
        <v>1</v>
      </c>
      <c r="R85" s="34">
        <v>0</v>
      </c>
      <c r="S85" s="34">
        <v>0</v>
      </c>
      <c r="T85" s="34">
        <v>0</v>
      </c>
      <c r="U85" s="34">
        <v>0</v>
      </c>
      <c r="V85" s="76"/>
    </row>
    <row r="86" spans="1:22">
      <c r="A86">
        <v>85</v>
      </c>
      <c r="B86" t="s">
        <v>295</v>
      </c>
      <c r="C86" t="s">
        <v>296</v>
      </c>
      <c r="D86" s="7" t="s">
        <v>246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76"/>
      <c r="N86" s="34">
        <v>0</v>
      </c>
      <c r="O86" s="34">
        <v>0</v>
      </c>
      <c r="P86" s="34">
        <v>0</v>
      </c>
      <c r="Q86" s="34">
        <v>1</v>
      </c>
      <c r="R86" s="34">
        <v>0</v>
      </c>
      <c r="S86" s="34">
        <v>0</v>
      </c>
      <c r="T86" s="34">
        <v>0</v>
      </c>
      <c r="U86" s="34">
        <v>0</v>
      </c>
      <c r="V86" s="76"/>
    </row>
    <row r="87" spans="1:22">
      <c r="A87">
        <v>86</v>
      </c>
      <c r="B87" t="s">
        <v>298</v>
      </c>
      <c r="C87" t="s">
        <v>299</v>
      </c>
      <c r="D87" s="7" t="s">
        <v>191</v>
      </c>
      <c r="E87" s="34">
        <v>0</v>
      </c>
      <c r="F87" s="34">
        <v>1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76"/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0</v>
      </c>
      <c r="U87" s="34">
        <v>0</v>
      </c>
      <c r="V87" s="76"/>
    </row>
    <row r="88" spans="1:22">
      <c r="A88">
        <v>87</v>
      </c>
      <c r="B88" t="s">
        <v>302</v>
      </c>
      <c r="C88" t="s">
        <v>303</v>
      </c>
      <c r="D88" s="7" t="s">
        <v>191</v>
      </c>
      <c r="E88" s="34">
        <v>0</v>
      </c>
      <c r="F88" s="34">
        <v>1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76"/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4">
        <v>0</v>
      </c>
      <c r="U88" s="34">
        <v>0</v>
      </c>
      <c r="V88" s="76"/>
    </row>
    <row r="89" spans="1:22">
      <c r="A89">
        <v>88</v>
      </c>
      <c r="B89" t="s">
        <v>305</v>
      </c>
      <c r="C89" t="s">
        <v>306</v>
      </c>
      <c r="D89" s="7" t="s">
        <v>191</v>
      </c>
      <c r="E89" s="34">
        <v>0</v>
      </c>
      <c r="F89" s="34">
        <v>1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76"/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4">
        <v>0</v>
      </c>
      <c r="U89" s="34">
        <v>0</v>
      </c>
      <c r="V89" s="76"/>
    </row>
    <row r="90" spans="1:22">
      <c r="A90">
        <v>89</v>
      </c>
      <c r="B90" t="s">
        <v>308</v>
      </c>
      <c r="C90" t="s">
        <v>309</v>
      </c>
      <c r="D90" s="7" t="s">
        <v>191</v>
      </c>
      <c r="E90" s="34">
        <v>0</v>
      </c>
      <c r="F90" s="34">
        <v>1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76"/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4">
        <v>0</v>
      </c>
      <c r="U90" s="34">
        <v>0</v>
      </c>
      <c r="V90" s="76"/>
    </row>
    <row r="91" spans="1:22">
      <c r="A91">
        <v>90</v>
      </c>
      <c r="B91" t="s">
        <v>311</v>
      </c>
      <c r="C91" t="s">
        <v>312</v>
      </c>
      <c r="D91" s="7" t="s">
        <v>191</v>
      </c>
      <c r="E91" s="34">
        <v>0</v>
      </c>
      <c r="F91" s="34">
        <v>1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76"/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U91" s="34">
        <v>0</v>
      </c>
      <c r="V91" s="76"/>
    </row>
    <row r="92" spans="1:22">
      <c r="A92">
        <v>91</v>
      </c>
      <c r="B92" t="s">
        <v>314</v>
      </c>
      <c r="C92" t="s">
        <v>315</v>
      </c>
      <c r="D92" s="7" t="s">
        <v>191</v>
      </c>
      <c r="E92" s="34">
        <v>0</v>
      </c>
      <c r="F92" s="34">
        <v>1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76"/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4">
        <v>0</v>
      </c>
      <c r="U92" s="34">
        <v>0</v>
      </c>
      <c r="V92" s="76"/>
    </row>
    <row r="93" spans="1:22">
      <c r="A93">
        <v>92</v>
      </c>
      <c r="B93" t="s">
        <v>317</v>
      </c>
      <c r="C93" t="s">
        <v>318</v>
      </c>
      <c r="D93" s="7" t="s">
        <v>191</v>
      </c>
      <c r="E93" s="34">
        <v>0</v>
      </c>
      <c r="F93" s="34">
        <v>1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76"/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4">
        <v>0</v>
      </c>
      <c r="U93" s="34">
        <v>0</v>
      </c>
      <c r="V93" s="76"/>
    </row>
    <row r="94" spans="1:22">
      <c r="A94">
        <v>93</v>
      </c>
      <c r="B94" t="s">
        <v>320</v>
      </c>
      <c r="C94" t="s">
        <v>321</v>
      </c>
      <c r="D94" s="7" t="s">
        <v>191</v>
      </c>
      <c r="E94" s="34">
        <v>0</v>
      </c>
      <c r="F94" s="34">
        <v>1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76"/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76"/>
    </row>
    <row r="95" spans="1:22">
      <c r="A95">
        <v>94</v>
      </c>
      <c r="B95" t="s">
        <v>323</v>
      </c>
      <c r="C95" t="s">
        <v>324</v>
      </c>
      <c r="D95" s="7" t="s">
        <v>191</v>
      </c>
      <c r="E95" s="34">
        <v>0</v>
      </c>
      <c r="F95" s="34">
        <v>1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76"/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4">
        <v>0</v>
      </c>
      <c r="U95" s="34">
        <v>0</v>
      </c>
      <c r="V95" s="76"/>
    </row>
    <row r="96" spans="1:22">
      <c r="A96">
        <v>95</v>
      </c>
      <c r="B96" t="s">
        <v>326</v>
      </c>
      <c r="C96" t="s">
        <v>327</v>
      </c>
      <c r="D96" s="7" t="s">
        <v>191</v>
      </c>
      <c r="E96" s="34">
        <v>0</v>
      </c>
      <c r="F96" s="34">
        <v>1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76"/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76"/>
    </row>
    <row r="97" spans="1:22">
      <c r="A97">
        <v>96</v>
      </c>
      <c r="B97" t="s">
        <v>329</v>
      </c>
      <c r="C97" t="s">
        <v>330</v>
      </c>
      <c r="D97" s="7" t="s">
        <v>191</v>
      </c>
      <c r="E97" s="34">
        <v>0</v>
      </c>
      <c r="F97" s="34">
        <v>1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76"/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76"/>
    </row>
    <row r="98" spans="1:22">
      <c r="A98">
        <v>97</v>
      </c>
      <c r="B98" t="s">
        <v>332</v>
      </c>
      <c r="C98" t="s">
        <v>333</v>
      </c>
      <c r="D98" s="7" t="s">
        <v>21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76"/>
      <c r="N98" s="34">
        <v>1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76"/>
    </row>
    <row r="99" spans="1:22">
      <c r="A99">
        <v>98</v>
      </c>
      <c r="B99" t="s">
        <v>336</v>
      </c>
      <c r="C99" t="s">
        <v>337</v>
      </c>
      <c r="D99" s="7" t="s">
        <v>191</v>
      </c>
      <c r="E99" s="34">
        <v>0</v>
      </c>
      <c r="F99" s="34">
        <v>1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76"/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76"/>
    </row>
    <row r="100" spans="1:22">
      <c r="A100">
        <v>99</v>
      </c>
      <c r="B100" t="s">
        <v>338</v>
      </c>
      <c r="C100" t="s">
        <v>339</v>
      </c>
      <c r="D100" s="7" t="s">
        <v>191</v>
      </c>
      <c r="E100" s="34">
        <v>0</v>
      </c>
      <c r="F100" s="34">
        <v>1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76"/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4">
        <v>0</v>
      </c>
      <c r="U100" s="34">
        <v>0</v>
      </c>
      <c r="V100" s="76"/>
    </row>
    <row r="101" spans="1:22">
      <c r="A101">
        <v>100</v>
      </c>
      <c r="B101" t="s">
        <v>340</v>
      </c>
      <c r="C101" t="s">
        <v>341</v>
      </c>
      <c r="D101" s="7" t="s">
        <v>21</v>
      </c>
      <c r="E101" s="34">
        <v>1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76"/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4">
        <v>0</v>
      </c>
      <c r="U101" s="34">
        <v>0</v>
      </c>
      <c r="V101" s="76"/>
    </row>
    <row r="102" spans="1:22">
      <c r="A102">
        <v>101</v>
      </c>
      <c r="B102" t="s">
        <v>343</v>
      </c>
      <c r="C102" t="s">
        <v>344</v>
      </c>
      <c r="D102" s="7" t="s">
        <v>191</v>
      </c>
      <c r="E102" s="34">
        <v>0</v>
      </c>
      <c r="F102" s="34">
        <v>1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76"/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76"/>
    </row>
    <row r="103" spans="1:22">
      <c r="A103">
        <v>102</v>
      </c>
      <c r="B103" t="s">
        <v>345</v>
      </c>
      <c r="C103" t="s">
        <v>346</v>
      </c>
      <c r="D103" s="7" t="s">
        <v>109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76"/>
      <c r="N103" s="34">
        <v>0</v>
      </c>
      <c r="O103" s="34">
        <v>0.3</v>
      </c>
      <c r="P103" s="34">
        <v>0.3</v>
      </c>
      <c r="Q103" s="34">
        <v>0.4</v>
      </c>
      <c r="R103" s="34">
        <v>0</v>
      </c>
      <c r="S103" s="34">
        <v>0</v>
      </c>
      <c r="T103" s="34">
        <v>0</v>
      </c>
      <c r="U103" s="34">
        <v>0</v>
      </c>
      <c r="V103" s="76"/>
    </row>
    <row r="104" spans="1:22">
      <c r="A104">
        <v>103</v>
      </c>
      <c r="B104" t="s">
        <v>349</v>
      </c>
      <c r="C104" t="s">
        <v>350</v>
      </c>
      <c r="D104" s="7" t="s">
        <v>109</v>
      </c>
      <c r="E104" s="34">
        <v>0</v>
      </c>
      <c r="F104" s="34">
        <v>0</v>
      </c>
      <c r="G104" s="34">
        <v>0</v>
      </c>
      <c r="H104" s="34">
        <v>1</v>
      </c>
      <c r="I104" s="34">
        <v>0</v>
      </c>
      <c r="J104" s="34">
        <v>0</v>
      </c>
      <c r="K104" s="34">
        <v>0</v>
      </c>
      <c r="L104" s="34">
        <v>0</v>
      </c>
      <c r="M104" s="76"/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4">
        <v>0</v>
      </c>
      <c r="U104" s="34">
        <v>0</v>
      </c>
      <c r="V104" s="76"/>
    </row>
    <row r="105" spans="1:22">
      <c r="A105">
        <v>104</v>
      </c>
      <c r="B105" t="s">
        <v>352</v>
      </c>
      <c r="C105" t="s">
        <v>353</v>
      </c>
      <c r="D105" s="7" t="s">
        <v>109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1</v>
      </c>
      <c r="L105" s="34">
        <v>0</v>
      </c>
      <c r="M105" s="76"/>
      <c r="N105" s="34">
        <v>0</v>
      </c>
      <c r="O105" s="34">
        <v>0</v>
      </c>
      <c r="P105" s="34">
        <v>0</v>
      </c>
      <c r="Q105" s="34">
        <v>1</v>
      </c>
      <c r="R105" s="34">
        <v>0</v>
      </c>
      <c r="S105" s="34">
        <v>0</v>
      </c>
      <c r="T105" s="34">
        <v>0</v>
      </c>
      <c r="U105" s="34">
        <v>0</v>
      </c>
      <c r="V105" s="76"/>
    </row>
    <row r="106" spans="1:22">
      <c r="A106">
        <v>105</v>
      </c>
      <c r="B106" t="s">
        <v>356</v>
      </c>
      <c r="C106" t="s">
        <v>357</v>
      </c>
      <c r="D106" s="7" t="s">
        <v>109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76"/>
      <c r="N106" s="34">
        <v>0</v>
      </c>
      <c r="O106" s="34">
        <v>0</v>
      </c>
      <c r="P106" s="34">
        <v>0.5</v>
      </c>
      <c r="Q106" s="34">
        <v>0.5</v>
      </c>
      <c r="R106" s="34">
        <v>0</v>
      </c>
      <c r="S106" s="34">
        <v>0</v>
      </c>
      <c r="T106" s="34">
        <v>0</v>
      </c>
      <c r="U106" s="34">
        <v>0</v>
      </c>
      <c r="V106" s="76"/>
    </row>
    <row r="107" spans="1:22">
      <c r="A107">
        <v>106</v>
      </c>
      <c r="B107" t="s">
        <v>359</v>
      </c>
      <c r="C107" t="s">
        <v>360</v>
      </c>
      <c r="D107" s="7" t="s">
        <v>109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76"/>
      <c r="N107" s="34">
        <v>0</v>
      </c>
      <c r="O107" s="34">
        <v>0</v>
      </c>
      <c r="P107" s="34">
        <v>0.5</v>
      </c>
      <c r="Q107" s="34">
        <v>0.5</v>
      </c>
      <c r="R107" s="34">
        <v>0</v>
      </c>
      <c r="S107" s="34">
        <v>0</v>
      </c>
      <c r="T107" s="34">
        <v>0</v>
      </c>
      <c r="U107" s="34">
        <v>0</v>
      </c>
      <c r="V107" s="76"/>
    </row>
    <row r="108" spans="1:22">
      <c r="A108">
        <v>107</v>
      </c>
      <c r="B108" t="s">
        <v>362</v>
      </c>
      <c r="C108" t="s">
        <v>363</v>
      </c>
      <c r="D108" s="7" t="s">
        <v>109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76"/>
      <c r="N108" s="34">
        <v>0</v>
      </c>
      <c r="O108" s="34">
        <v>0.4</v>
      </c>
      <c r="P108" s="34">
        <v>0.3</v>
      </c>
      <c r="Q108" s="34">
        <v>0.3</v>
      </c>
      <c r="R108" s="34">
        <v>0</v>
      </c>
      <c r="S108" s="34">
        <v>0</v>
      </c>
      <c r="T108" s="34">
        <v>0</v>
      </c>
      <c r="U108" s="34">
        <v>0</v>
      </c>
      <c r="V108" s="76"/>
    </row>
    <row r="109" spans="1:22">
      <c r="A109">
        <v>108</v>
      </c>
      <c r="B109" t="s">
        <v>365</v>
      </c>
      <c r="C109" t="s">
        <v>366</v>
      </c>
      <c r="D109" s="7" t="s">
        <v>109</v>
      </c>
      <c r="E109" s="34">
        <v>0</v>
      </c>
      <c r="F109" s="34">
        <v>0</v>
      </c>
      <c r="G109" s="34">
        <v>0</v>
      </c>
      <c r="H109" s="34">
        <v>0</v>
      </c>
      <c r="I109" s="34">
        <v>0</v>
      </c>
      <c r="J109" s="34">
        <v>0</v>
      </c>
      <c r="K109" s="34">
        <v>0</v>
      </c>
      <c r="L109" s="34">
        <v>0</v>
      </c>
      <c r="M109" s="76"/>
      <c r="N109" s="34">
        <v>0</v>
      </c>
      <c r="O109" s="34">
        <v>0.5</v>
      </c>
      <c r="P109" s="34">
        <v>0</v>
      </c>
      <c r="Q109" s="34">
        <v>0.5</v>
      </c>
      <c r="R109" s="34">
        <v>0</v>
      </c>
      <c r="S109" s="34">
        <v>0</v>
      </c>
      <c r="T109" s="34">
        <v>0</v>
      </c>
      <c r="U109" s="34">
        <v>0</v>
      </c>
      <c r="V109" s="76"/>
    </row>
    <row r="110" spans="1:22">
      <c r="A110">
        <v>109</v>
      </c>
      <c r="B110" t="s">
        <v>369</v>
      </c>
      <c r="C110" t="s">
        <v>370</v>
      </c>
      <c r="D110" s="7" t="s">
        <v>136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76"/>
      <c r="N110" s="34">
        <v>0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4">
        <v>1</v>
      </c>
      <c r="U110" s="34">
        <v>0</v>
      </c>
      <c r="V110" s="76"/>
    </row>
    <row r="111" spans="1:22">
      <c r="A111">
        <v>110</v>
      </c>
      <c r="B111" t="s">
        <v>372</v>
      </c>
      <c r="C111" t="s">
        <v>373</v>
      </c>
      <c r="D111" s="7" t="s">
        <v>51</v>
      </c>
      <c r="E111" s="34">
        <v>0</v>
      </c>
      <c r="F111" s="34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0</v>
      </c>
      <c r="L111" s="34">
        <v>0</v>
      </c>
      <c r="M111" s="76"/>
      <c r="N111" s="34">
        <v>0</v>
      </c>
      <c r="O111" s="34">
        <v>0.5</v>
      </c>
      <c r="P111" s="34">
        <v>0.5</v>
      </c>
      <c r="Q111" s="34">
        <v>0</v>
      </c>
      <c r="R111" s="34">
        <v>0</v>
      </c>
      <c r="S111" s="34">
        <v>0</v>
      </c>
      <c r="T111" s="34">
        <v>0</v>
      </c>
      <c r="U111" s="34">
        <v>0</v>
      </c>
      <c r="V111" s="76"/>
    </row>
    <row r="112" spans="1:22">
      <c r="A112">
        <v>111</v>
      </c>
      <c r="B112" t="s">
        <v>374</v>
      </c>
      <c r="C112" t="s">
        <v>375</v>
      </c>
      <c r="D112" s="7" t="s">
        <v>62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76"/>
      <c r="N112" s="34">
        <v>1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0</v>
      </c>
      <c r="U112" s="34">
        <v>0</v>
      </c>
      <c r="V112" s="76"/>
    </row>
    <row r="113" spans="1:22">
      <c r="A113">
        <v>112</v>
      </c>
      <c r="B113" t="s">
        <v>377</v>
      </c>
      <c r="C113" t="s">
        <v>378</v>
      </c>
      <c r="D113" s="7" t="s">
        <v>380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76"/>
      <c r="N113" s="34">
        <v>0</v>
      </c>
      <c r="O113" s="34">
        <v>0.5</v>
      </c>
      <c r="P113" s="34">
        <v>0</v>
      </c>
      <c r="Q113" s="34">
        <v>0.5</v>
      </c>
      <c r="R113" s="34">
        <v>0</v>
      </c>
      <c r="S113" s="34">
        <v>0</v>
      </c>
      <c r="T113" s="34">
        <v>0</v>
      </c>
      <c r="U113" s="34">
        <v>0</v>
      </c>
      <c r="V113" s="76"/>
    </row>
    <row r="114" spans="1:22">
      <c r="A114">
        <v>113</v>
      </c>
      <c r="B114" t="s">
        <v>381</v>
      </c>
      <c r="C114" t="s">
        <v>382</v>
      </c>
      <c r="D114" s="7" t="s">
        <v>51</v>
      </c>
      <c r="E114" s="34">
        <v>0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76"/>
      <c r="N114" s="34">
        <v>0</v>
      </c>
      <c r="O114" s="34">
        <v>0</v>
      </c>
      <c r="P114" s="34">
        <v>1</v>
      </c>
      <c r="Q114" s="34">
        <v>0</v>
      </c>
      <c r="R114" s="34">
        <v>0</v>
      </c>
      <c r="S114" s="34">
        <v>0</v>
      </c>
      <c r="T114" s="34">
        <v>0</v>
      </c>
      <c r="U114" s="34">
        <v>0</v>
      </c>
      <c r="V114" s="76"/>
    </row>
    <row r="115" spans="1:22">
      <c r="A115">
        <v>114</v>
      </c>
      <c r="B115" t="s">
        <v>385</v>
      </c>
      <c r="C115" t="s">
        <v>386</v>
      </c>
      <c r="D115" s="7" t="s">
        <v>62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76"/>
      <c r="N115" s="34">
        <v>1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4">
        <v>0</v>
      </c>
      <c r="U115" s="34">
        <v>0</v>
      </c>
      <c r="V115" s="76"/>
    </row>
    <row r="116" spans="1:22">
      <c r="A116">
        <v>115</v>
      </c>
      <c r="B116" t="s">
        <v>387</v>
      </c>
      <c r="C116" t="s">
        <v>388</v>
      </c>
      <c r="D116" s="7" t="s">
        <v>62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76"/>
      <c r="N116" s="34">
        <v>1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4">
        <v>0</v>
      </c>
      <c r="U116" s="34">
        <v>0</v>
      </c>
      <c r="V116" s="76"/>
    </row>
    <row r="117" spans="1:22">
      <c r="A117">
        <v>116</v>
      </c>
      <c r="B117" t="s">
        <v>389</v>
      </c>
      <c r="C117" t="s">
        <v>390</v>
      </c>
      <c r="D117" s="7" t="s">
        <v>147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76"/>
      <c r="N117" s="34">
        <v>0</v>
      </c>
      <c r="O117" s="34">
        <v>0</v>
      </c>
      <c r="P117" s="34">
        <v>1</v>
      </c>
      <c r="Q117" s="34">
        <v>0</v>
      </c>
      <c r="R117" s="34">
        <v>0</v>
      </c>
      <c r="S117" s="34">
        <v>0</v>
      </c>
      <c r="T117" s="34">
        <v>0</v>
      </c>
      <c r="U117" s="34">
        <v>0</v>
      </c>
      <c r="V117" s="76"/>
    </row>
    <row r="118" spans="1:22">
      <c r="A118">
        <v>117</v>
      </c>
      <c r="B118" t="s">
        <v>392</v>
      </c>
      <c r="C118" t="s">
        <v>393</v>
      </c>
      <c r="D118" s="7" t="s">
        <v>136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76"/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4">
        <v>1</v>
      </c>
      <c r="U118" s="34">
        <v>0</v>
      </c>
      <c r="V118" s="76"/>
    </row>
    <row r="119" spans="1:22">
      <c r="A119">
        <v>118</v>
      </c>
      <c r="B119" t="s">
        <v>395</v>
      </c>
      <c r="C119" t="s">
        <v>396</v>
      </c>
      <c r="D119" s="7" t="s">
        <v>238</v>
      </c>
      <c r="E119" s="34">
        <v>0</v>
      </c>
      <c r="F119" s="34">
        <v>0</v>
      </c>
      <c r="G119" s="34">
        <v>0</v>
      </c>
      <c r="H119" s="34">
        <v>1</v>
      </c>
      <c r="I119" s="34">
        <v>0</v>
      </c>
      <c r="J119" s="34">
        <v>0</v>
      </c>
      <c r="K119" s="34">
        <v>0</v>
      </c>
      <c r="L119" s="34">
        <v>0</v>
      </c>
      <c r="M119" s="76"/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4">
        <v>0</v>
      </c>
      <c r="U119" s="34">
        <v>0</v>
      </c>
      <c r="V119" s="76"/>
    </row>
    <row r="120" spans="1:22">
      <c r="A120">
        <v>119</v>
      </c>
      <c r="B120" t="s">
        <v>398</v>
      </c>
      <c r="C120" t="s">
        <v>399</v>
      </c>
      <c r="D120" s="7" t="s">
        <v>191</v>
      </c>
      <c r="E120" s="34">
        <v>0</v>
      </c>
      <c r="F120" s="34">
        <v>1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76"/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4">
        <v>0</v>
      </c>
      <c r="U120" s="34">
        <v>0</v>
      </c>
      <c r="V120" s="76"/>
    </row>
    <row r="121" spans="1:22">
      <c r="A121">
        <v>120</v>
      </c>
      <c r="B121" t="s">
        <v>402</v>
      </c>
      <c r="C121" t="s">
        <v>403</v>
      </c>
      <c r="D121" s="7" t="s">
        <v>136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1</v>
      </c>
      <c r="L121" s="34">
        <v>0</v>
      </c>
      <c r="M121" s="76"/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4">
        <v>0</v>
      </c>
      <c r="U121" s="34">
        <v>0</v>
      </c>
      <c r="V121" s="76"/>
    </row>
    <row r="122" spans="1:22">
      <c r="A122">
        <v>121</v>
      </c>
      <c r="B122" t="s">
        <v>405</v>
      </c>
      <c r="C122" t="s">
        <v>406</v>
      </c>
      <c r="D122" s="7" t="s">
        <v>136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76"/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4">
        <v>1</v>
      </c>
      <c r="U122" s="34">
        <v>0</v>
      </c>
      <c r="V122" s="76"/>
    </row>
    <row r="123" spans="1:22">
      <c r="A123">
        <v>122</v>
      </c>
      <c r="B123" s="14" t="s">
        <v>408</v>
      </c>
      <c r="D123" s="1" t="s">
        <v>411</v>
      </c>
      <c r="E123" s="1"/>
      <c r="F123" s="1"/>
      <c r="G123" s="1"/>
      <c r="H123" s="1"/>
      <c r="I123" s="1"/>
      <c r="J123" s="1"/>
      <c r="K123" s="1"/>
      <c r="L123" s="1"/>
      <c r="N123" s="1"/>
      <c r="O123" s="1"/>
      <c r="P123" s="1"/>
      <c r="Q123" s="1"/>
      <c r="R123" s="1"/>
      <c r="S123" s="1"/>
      <c r="T123" s="1"/>
      <c r="U123" s="1"/>
    </row>
    <row r="124" spans="1:22">
      <c r="A124">
        <v>123</v>
      </c>
      <c r="B124" s="14" t="s">
        <v>412</v>
      </c>
      <c r="D124" s="1" t="s">
        <v>415</v>
      </c>
      <c r="E124" s="1"/>
      <c r="F124" s="1"/>
      <c r="G124" s="1"/>
      <c r="H124" s="1"/>
      <c r="I124" s="1"/>
      <c r="J124" s="1"/>
      <c r="K124" s="1"/>
      <c r="L124" s="1"/>
      <c r="N124" s="1"/>
      <c r="O124" s="1"/>
      <c r="P124" s="1"/>
      <c r="Q124" s="1"/>
      <c r="R124" s="1"/>
      <c r="S124" s="1"/>
      <c r="T124" s="1"/>
      <c r="U124" s="1"/>
    </row>
    <row r="125" spans="1:22">
      <c r="A125">
        <v>124</v>
      </c>
      <c r="B125" s="14" t="s">
        <v>416</v>
      </c>
      <c r="D125" s="1" t="s">
        <v>419</v>
      </c>
      <c r="E125" s="1"/>
      <c r="F125" s="1"/>
      <c r="G125" s="1"/>
      <c r="H125" s="1"/>
      <c r="I125" s="1"/>
      <c r="J125" s="1"/>
      <c r="K125" s="1"/>
      <c r="L125" s="1"/>
      <c r="N125" s="1"/>
      <c r="O125" s="1"/>
      <c r="P125" s="1"/>
      <c r="Q125" s="1"/>
      <c r="R125" s="1"/>
      <c r="S125" s="1"/>
      <c r="T125" s="1"/>
      <c r="U125" s="1"/>
    </row>
    <row r="126" spans="1:22">
      <c r="A126">
        <v>125</v>
      </c>
      <c r="B126" s="14" t="s">
        <v>420</v>
      </c>
      <c r="D126" s="1" t="s">
        <v>422</v>
      </c>
      <c r="E126" s="1"/>
      <c r="F126" s="1"/>
      <c r="G126" s="1"/>
      <c r="H126" s="1"/>
      <c r="I126" s="1"/>
      <c r="J126" s="1"/>
      <c r="K126" s="1"/>
      <c r="L126" s="1"/>
      <c r="N126" s="1"/>
      <c r="O126" s="1"/>
      <c r="P126" s="1"/>
      <c r="Q126" s="1"/>
      <c r="R126" s="1"/>
      <c r="S126" s="1"/>
      <c r="T126" s="1"/>
      <c r="U126" s="1"/>
    </row>
    <row r="127" spans="1:22">
      <c r="A127">
        <v>126</v>
      </c>
      <c r="B127" s="14" t="s">
        <v>423</v>
      </c>
      <c r="D127" s="1" t="s">
        <v>426</v>
      </c>
      <c r="E127" s="1"/>
      <c r="F127" s="1"/>
      <c r="G127" s="1"/>
      <c r="H127" s="1"/>
      <c r="I127" s="1"/>
      <c r="J127" s="1"/>
      <c r="K127" s="1"/>
      <c r="L127" s="1"/>
      <c r="N127" s="1"/>
      <c r="O127" s="1"/>
      <c r="P127" s="1"/>
      <c r="Q127" s="1"/>
      <c r="R127" s="1"/>
      <c r="S127" s="1"/>
      <c r="T127" s="1"/>
      <c r="U127" s="1"/>
    </row>
    <row r="128" spans="1:22">
      <c r="A128">
        <v>127</v>
      </c>
      <c r="B128" s="14" t="s">
        <v>427</v>
      </c>
      <c r="D128" s="1" t="s">
        <v>429</v>
      </c>
      <c r="E128" s="1"/>
      <c r="F128" s="1"/>
      <c r="G128" s="1"/>
      <c r="H128" s="1"/>
      <c r="I128" s="1"/>
      <c r="J128" s="1"/>
      <c r="K128" s="1"/>
      <c r="L128" s="1"/>
      <c r="N128" s="1"/>
      <c r="O128" s="1"/>
      <c r="P128" s="1"/>
      <c r="Q128" s="1"/>
      <c r="R128" s="1"/>
      <c r="S128" s="1"/>
      <c r="T128" s="1"/>
      <c r="U128" s="1"/>
    </row>
    <row r="129" spans="1:21">
      <c r="A129">
        <v>128</v>
      </c>
      <c r="B129" s="14" t="s">
        <v>430</v>
      </c>
      <c r="D129" s="1" t="s">
        <v>430</v>
      </c>
      <c r="E129" s="1"/>
      <c r="F129" s="1"/>
      <c r="G129" s="1"/>
      <c r="H129" s="1"/>
      <c r="I129" s="1"/>
      <c r="J129" s="1"/>
      <c r="K129" s="1"/>
      <c r="L129" s="1"/>
      <c r="N129" s="1"/>
      <c r="O129" s="1"/>
      <c r="P129" s="1"/>
      <c r="Q129" s="1"/>
      <c r="R129" s="1"/>
      <c r="S129" s="1"/>
      <c r="T129" s="1"/>
      <c r="U129" s="1"/>
    </row>
    <row r="130" spans="1:21">
      <c r="A130">
        <v>129</v>
      </c>
      <c r="B130" s="14" t="s">
        <v>431</v>
      </c>
      <c r="D130" s="1" t="s">
        <v>434</v>
      </c>
      <c r="E130" s="1"/>
      <c r="F130" s="1"/>
      <c r="G130" s="1"/>
      <c r="H130" s="1"/>
      <c r="I130" s="1"/>
      <c r="J130" s="1"/>
      <c r="K130" s="1"/>
      <c r="L130" s="1"/>
      <c r="N130" s="1"/>
      <c r="O130" s="1"/>
      <c r="P130" s="1"/>
      <c r="Q130" s="1"/>
      <c r="R130" s="1"/>
      <c r="S130" s="1"/>
      <c r="T130" s="1"/>
      <c r="U130" s="1"/>
    </row>
    <row r="131" spans="1:21">
      <c r="A131">
        <v>130</v>
      </c>
      <c r="B131" s="14" t="s">
        <v>435</v>
      </c>
      <c r="D131" s="1" t="s">
        <v>436</v>
      </c>
      <c r="E131" s="1"/>
      <c r="F131" s="1"/>
      <c r="G131" s="1"/>
      <c r="H131" s="1"/>
      <c r="I131" s="1"/>
      <c r="J131" s="1"/>
      <c r="K131" s="1"/>
      <c r="L131" s="1"/>
      <c r="N131" s="1"/>
      <c r="O131" s="1"/>
      <c r="P131" s="1"/>
      <c r="Q131" s="1"/>
      <c r="R131" s="1"/>
      <c r="S131" s="1"/>
      <c r="T131" s="1"/>
      <c r="U131" s="1"/>
    </row>
    <row r="132" spans="1:21">
      <c r="A132">
        <v>131</v>
      </c>
      <c r="B132" s="14" t="s">
        <v>437</v>
      </c>
      <c r="D132" s="1" t="s">
        <v>439</v>
      </c>
      <c r="E132" s="1"/>
      <c r="F132" s="1"/>
      <c r="G132" s="1"/>
      <c r="H132" s="1"/>
      <c r="I132" s="1"/>
      <c r="J132" s="1"/>
      <c r="K132" s="1"/>
      <c r="L132" s="1"/>
      <c r="N132" s="1"/>
      <c r="O132" s="1"/>
      <c r="P132" s="1"/>
      <c r="Q132" s="1"/>
      <c r="R132" s="1"/>
      <c r="S132" s="1"/>
      <c r="T132" s="1"/>
      <c r="U132" s="1"/>
    </row>
    <row r="133" spans="1:21">
      <c r="A133">
        <v>132</v>
      </c>
      <c r="B133" s="14" t="s">
        <v>440</v>
      </c>
      <c r="D133" s="1" t="s">
        <v>442</v>
      </c>
      <c r="E133" s="1"/>
      <c r="F133" s="1"/>
      <c r="G133" s="1"/>
      <c r="H133" s="1"/>
      <c r="I133" s="1"/>
      <c r="J133" s="1"/>
      <c r="K133" s="1"/>
      <c r="L133" s="1"/>
      <c r="N133" s="1"/>
      <c r="O133" s="1"/>
      <c r="P133" s="1"/>
      <c r="Q133" s="1"/>
      <c r="R133" s="1"/>
      <c r="S133" s="1"/>
      <c r="T133" s="1"/>
      <c r="U133" s="1"/>
    </row>
    <row r="134" spans="1:21">
      <c r="A134">
        <v>133</v>
      </c>
      <c r="B134" s="14" t="s">
        <v>443</v>
      </c>
      <c r="D134" s="1" t="s">
        <v>446</v>
      </c>
      <c r="E134" s="1"/>
      <c r="F134" s="1"/>
      <c r="G134" s="1"/>
      <c r="H134" s="1"/>
      <c r="I134" s="1"/>
      <c r="J134" s="1"/>
      <c r="K134" s="1"/>
      <c r="L134" s="1"/>
      <c r="N134" s="1"/>
      <c r="O134" s="1"/>
      <c r="P134" s="1"/>
      <c r="Q134" s="1"/>
      <c r="R134" s="1"/>
      <c r="S134" s="1"/>
      <c r="T134" s="1"/>
      <c r="U134" s="1"/>
    </row>
    <row r="135" spans="1:21">
      <c r="A135">
        <v>134</v>
      </c>
      <c r="B135" s="14" t="s">
        <v>447</v>
      </c>
      <c r="D135" s="1" t="s">
        <v>448</v>
      </c>
      <c r="E135" s="1"/>
      <c r="F135" s="1"/>
      <c r="G135" s="1"/>
      <c r="H135" s="1"/>
      <c r="I135" s="1"/>
      <c r="J135" s="1"/>
      <c r="K135" s="1"/>
      <c r="L135" s="1"/>
      <c r="N135" s="1"/>
      <c r="O135" s="1"/>
      <c r="P135" s="1"/>
      <c r="Q135" s="1"/>
      <c r="R135" s="1"/>
      <c r="S135" s="1"/>
      <c r="T135" s="1"/>
      <c r="U135" s="1"/>
    </row>
    <row r="136" spans="1:21">
      <c r="A136">
        <v>135</v>
      </c>
      <c r="B136" s="14" t="s">
        <v>449</v>
      </c>
      <c r="D136" s="1" t="s">
        <v>451</v>
      </c>
      <c r="E136" s="1"/>
      <c r="F136" s="1"/>
      <c r="G136" s="1"/>
      <c r="H136" s="1"/>
      <c r="I136" s="1"/>
      <c r="J136" s="1"/>
      <c r="K136" s="1"/>
      <c r="L136" s="1"/>
      <c r="N136" s="1"/>
      <c r="O136" s="1"/>
      <c r="P136" s="1"/>
      <c r="Q136" s="1"/>
      <c r="R136" s="1"/>
      <c r="S136" s="1"/>
      <c r="T136" s="1"/>
      <c r="U136" s="1"/>
    </row>
    <row r="137" spans="1:21">
      <c r="A137">
        <v>136</v>
      </c>
      <c r="B137" s="14" t="s">
        <v>452</v>
      </c>
      <c r="D137" s="1" t="s">
        <v>454</v>
      </c>
      <c r="E137" s="1"/>
      <c r="F137" s="1"/>
      <c r="G137" s="1"/>
      <c r="H137" s="1"/>
      <c r="I137" s="1"/>
      <c r="J137" s="1"/>
      <c r="K137" s="1"/>
      <c r="L137" s="1"/>
      <c r="N137" s="1"/>
      <c r="O137" s="1"/>
      <c r="P137" s="1"/>
      <c r="Q137" s="1"/>
      <c r="R137" s="1"/>
      <c r="S137" s="1"/>
      <c r="T137" s="1"/>
      <c r="U137" s="1"/>
    </row>
    <row r="138" spans="1:21">
      <c r="A138">
        <v>137</v>
      </c>
      <c r="B138" s="14" t="s">
        <v>455</v>
      </c>
      <c r="D138" s="1" t="s">
        <v>457</v>
      </c>
      <c r="E138" s="1"/>
      <c r="F138" s="1"/>
      <c r="G138" s="1"/>
      <c r="H138" s="1"/>
      <c r="I138" s="1"/>
      <c r="J138" s="1"/>
      <c r="K138" s="1"/>
      <c r="L138" s="1"/>
      <c r="N138" s="1"/>
      <c r="O138" s="1"/>
      <c r="P138" s="1"/>
      <c r="Q138" s="1"/>
      <c r="R138" s="1"/>
      <c r="S138" s="1"/>
      <c r="T138" s="1"/>
      <c r="U138" s="1"/>
    </row>
    <row r="139" spans="1:21">
      <c r="A139">
        <v>138</v>
      </c>
      <c r="B139" s="14" t="s">
        <v>458</v>
      </c>
      <c r="D139" s="1" t="s">
        <v>458</v>
      </c>
      <c r="E139" s="1"/>
      <c r="F139" s="1"/>
      <c r="G139" s="1"/>
      <c r="H139" s="1"/>
      <c r="I139" s="1"/>
      <c r="J139" s="1"/>
      <c r="K139" s="1"/>
      <c r="L139" s="1"/>
      <c r="N139" s="1"/>
      <c r="O139" s="1"/>
      <c r="P139" s="1"/>
      <c r="Q139" s="1"/>
      <c r="R139" s="1"/>
      <c r="S139" s="1"/>
      <c r="T139" s="1"/>
      <c r="U139" s="1"/>
    </row>
    <row r="140" spans="1:21">
      <c r="A140">
        <v>139</v>
      </c>
      <c r="B140" s="14" t="s">
        <v>459</v>
      </c>
      <c r="D140" s="1" t="s">
        <v>462</v>
      </c>
      <c r="E140" s="1"/>
      <c r="F140" s="1"/>
      <c r="G140" s="1"/>
      <c r="H140" s="1"/>
      <c r="I140" s="1"/>
      <c r="J140" s="1"/>
      <c r="K140" s="1"/>
      <c r="L140" s="1"/>
      <c r="N140" s="1"/>
      <c r="O140" s="1"/>
      <c r="P140" s="1"/>
      <c r="Q140" s="1"/>
      <c r="R140" s="1"/>
      <c r="S140" s="1"/>
      <c r="T140" s="1"/>
      <c r="U140" s="1"/>
    </row>
    <row r="141" spans="1:21">
      <c r="A141">
        <v>140</v>
      </c>
      <c r="B141" s="14" t="s">
        <v>463</v>
      </c>
      <c r="D141" s="1" t="s">
        <v>463</v>
      </c>
      <c r="E141" s="1"/>
      <c r="F141" s="1"/>
      <c r="G141" s="1"/>
      <c r="H141" s="1"/>
      <c r="I141" s="1"/>
      <c r="J141" s="1"/>
      <c r="K141" s="1"/>
      <c r="L141" s="1"/>
      <c r="N141" s="1"/>
      <c r="O141" s="1"/>
      <c r="P141" s="1"/>
      <c r="Q141" s="1"/>
      <c r="R141" s="1"/>
      <c r="S141" s="1"/>
      <c r="T141" s="1"/>
      <c r="U141" s="1"/>
    </row>
    <row r="142" spans="1:21">
      <c r="A142">
        <v>141</v>
      </c>
      <c r="B142" s="14" t="s">
        <v>464</v>
      </c>
      <c r="D142" s="1" t="s">
        <v>464</v>
      </c>
      <c r="E142" s="1"/>
      <c r="F142" s="1"/>
      <c r="G142" s="1"/>
      <c r="H142" s="1"/>
      <c r="I142" s="1"/>
      <c r="J142" s="1"/>
      <c r="K142" s="1"/>
      <c r="L142" s="1"/>
      <c r="N142" s="1"/>
      <c r="O142" s="1"/>
      <c r="P142" s="1"/>
      <c r="Q142" s="1"/>
      <c r="R142" s="1"/>
      <c r="S142" s="1"/>
      <c r="T142" s="1"/>
      <c r="U142" s="1"/>
    </row>
    <row r="143" spans="1:21">
      <c r="A143">
        <v>142</v>
      </c>
      <c r="B143" s="14" t="s">
        <v>467</v>
      </c>
      <c r="D143" s="1" t="s">
        <v>469</v>
      </c>
      <c r="E143" s="1"/>
      <c r="F143" s="1"/>
      <c r="G143" s="1"/>
      <c r="H143" s="1"/>
      <c r="I143" s="1"/>
      <c r="J143" s="1"/>
      <c r="K143" s="1"/>
      <c r="L143" s="1"/>
      <c r="N143" s="1"/>
      <c r="O143" s="1"/>
      <c r="P143" s="1"/>
      <c r="Q143" s="1"/>
      <c r="R143" s="1"/>
      <c r="S143" s="1"/>
      <c r="T143" s="1"/>
      <c r="U143" s="1"/>
    </row>
    <row r="144" spans="1:21">
      <c r="A144">
        <v>143</v>
      </c>
      <c r="B144" s="14" t="s">
        <v>470</v>
      </c>
      <c r="D144" s="1" t="s">
        <v>471</v>
      </c>
      <c r="E144" s="1"/>
      <c r="F144" s="1"/>
      <c r="G144" s="1"/>
      <c r="H144" s="1"/>
      <c r="I144" s="1"/>
      <c r="J144" s="1"/>
      <c r="K144" s="1"/>
      <c r="L144" s="1"/>
      <c r="N144" s="1"/>
      <c r="O144" s="1"/>
      <c r="P144" s="1"/>
      <c r="Q144" s="1"/>
      <c r="R144" s="1"/>
      <c r="S144" s="1"/>
      <c r="T144" s="1"/>
      <c r="U144" s="1"/>
    </row>
    <row r="145" spans="1:21">
      <c r="A145">
        <v>144</v>
      </c>
      <c r="B145" s="14" t="s">
        <v>472</v>
      </c>
      <c r="D145" s="1" t="s">
        <v>473</v>
      </c>
      <c r="E145" s="1"/>
      <c r="F145" s="1"/>
      <c r="G145" s="1"/>
      <c r="H145" s="1"/>
      <c r="I145" s="1"/>
      <c r="J145" s="1"/>
      <c r="K145" s="1"/>
      <c r="L145" s="1"/>
      <c r="N145" s="1"/>
      <c r="O145" s="1"/>
      <c r="P145" s="1"/>
      <c r="Q145" s="1"/>
      <c r="R145" s="1"/>
      <c r="S145" s="1"/>
      <c r="T145" s="1"/>
      <c r="U145" s="1"/>
    </row>
    <row r="146" spans="1:21">
      <c r="A146">
        <v>145</v>
      </c>
      <c r="B146" s="14" t="s">
        <v>474</v>
      </c>
      <c r="D146" s="1" t="s">
        <v>475</v>
      </c>
      <c r="E146" s="1"/>
      <c r="F146" s="1"/>
      <c r="G146" s="1"/>
      <c r="H146" s="1"/>
      <c r="I146" s="1"/>
      <c r="J146" s="1"/>
      <c r="K146" s="1"/>
      <c r="L146" s="1"/>
      <c r="N146" s="1"/>
      <c r="O146" s="1"/>
      <c r="P146" s="1"/>
      <c r="Q146" s="1"/>
      <c r="R146" s="1"/>
      <c r="S146" s="1"/>
      <c r="T146" s="1"/>
      <c r="U146" s="1"/>
    </row>
    <row r="147" spans="1:21">
      <c r="A147">
        <v>146</v>
      </c>
      <c r="B147" s="14" t="s">
        <v>476</v>
      </c>
      <c r="D147" s="1" t="s">
        <v>478</v>
      </c>
      <c r="E147" s="1"/>
      <c r="F147" s="1"/>
      <c r="G147" s="1"/>
      <c r="H147" s="1"/>
      <c r="I147" s="1"/>
      <c r="J147" s="1"/>
      <c r="K147" s="1"/>
      <c r="L147" s="1"/>
      <c r="N147" s="1"/>
      <c r="O147" s="1"/>
      <c r="P147" s="1"/>
      <c r="Q147" s="1"/>
      <c r="R147" s="1"/>
      <c r="S147" s="1"/>
      <c r="T147" s="1"/>
      <c r="U147" s="1"/>
    </row>
    <row r="148" spans="1:21">
      <c r="A148">
        <v>147</v>
      </c>
      <c r="B148" s="14" t="s">
        <v>476</v>
      </c>
      <c r="D148" s="1" t="s">
        <v>479</v>
      </c>
      <c r="E148" s="1"/>
      <c r="F148" s="1"/>
      <c r="G148" s="1"/>
      <c r="H148" s="1"/>
      <c r="I148" s="1"/>
      <c r="J148" s="1"/>
      <c r="K148" s="1"/>
      <c r="L148" s="1"/>
      <c r="N148" s="1"/>
      <c r="O148" s="1"/>
      <c r="P148" s="1"/>
      <c r="Q148" s="1"/>
      <c r="R148" s="1"/>
      <c r="S148" s="1"/>
      <c r="T148" s="1"/>
      <c r="U148" s="1"/>
    </row>
    <row r="149" spans="1:21">
      <c r="A149">
        <v>148</v>
      </c>
      <c r="B149" s="14" t="s">
        <v>476</v>
      </c>
      <c r="D149" s="1" t="s">
        <v>480</v>
      </c>
      <c r="E149" s="1"/>
      <c r="F149" s="1"/>
      <c r="G149" s="1"/>
      <c r="H149" s="1"/>
      <c r="I149" s="1"/>
      <c r="J149" s="1"/>
      <c r="K149" s="1"/>
      <c r="L149" s="1"/>
      <c r="N149" s="1"/>
      <c r="O149" s="1"/>
      <c r="P149" s="1"/>
      <c r="Q149" s="1"/>
      <c r="R149" s="1"/>
      <c r="S149" s="1"/>
      <c r="T149" s="1"/>
      <c r="U149" s="1"/>
    </row>
    <row r="150" spans="1:21">
      <c r="A150">
        <v>149</v>
      </c>
      <c r="B150" s="14" t="s">
        <v>481</v>
      </c>
      <c r="D150" s="1" t="s">
        <v>482</v>
      </c>
      <c r="E150" s="1"/>
      <c r="F150" s="1"/>
      <c r="G150" s="1"/>
      <c r="H150" s="1"/>
      <c r="I150" s="1"/>
      <c r="J150" s="1"/>
      <c r="K150" s="1"/>
      <c r="L150" s="1"/>
      <c r="N150" s="1"/>
      <c r="O150" s="1"/>
      <c r="P150" s="1"/>
      <c r="Q150" s="1"/>
      <c r="R150" s="1"/>
      <c r="S150" s="1"/>
      <c r="T150" s="1"/>
      <c r="U150" s="1"/>
    </row>
    <row r="151" spans="1:21">
      <c r="A151">
        <v>150</v>
      </c>
      <c r="B151" s="14" t="s">
        <v>483</v>
      </c>
      <c r="D151" s="1" t="s">
        <v>485</v>
      </c>
      <c r="E151" s="1"/>
      <c r="F151" s="1"/>
      <c r="G151" s="1"/>
      <c r="H151" s="1"/>
      <c r="I151" s="1"/>
      <c r="J151" s="1"/>
      <c r="K151" s="1"/>
      <c r="L151" s="1"/>
      <c r="N151" s="1"/>
      <c r="O151" s="1"/>
      <c r="P151" s="1"/>
      <c r="Q151" s="1"/>
      <c r="R151" s="1"/>
      <c r="S151" s="1"/>
      <c r="T151" s="1"/>
      <c r="U151" s="1"/>
    </row>
    <row r="152" spans="1:21">
      <c r="A152">
        <v>151</v>
      </c>
      <c r="B152" s="14" t="s">
        <v>486</v>
      </c>
      <c r="D152" s="1" t="s">
        <v>488</v>
      </c>
      <c r="E152" s="1"/>
      <c r="F152" s="1"/>
      <c r="G152" s="1"/>
      <c r="H152" s="1"/>
      <c r="I152" s="1"/>
      <c r="J152" s="1"/>
      <c r="K152" s="1"/>
      <c r="L152" s="1"/>
      <c r="N152" s="1"/>
      <c r="O152" s="1"/>
      <c r="P152" s="1"/>
      <c r="Q152" s="1"/>
      <c r="R152" s="1"/>
      <c r="S152" s="1"/>
      <c r="T152" s="1"/>
      <c r="U152" s="1"/>
    </row>
    <row r="153" spans="1:21">
      <c r="A153">
        <v>152</v>
      </c>
      <c r="B153" s="14" t="s">
        <v>489</v>
      </c>
      <c r="D153" s="1" t="s">
        <v>491</v>
      </c>
      <c r="E153" s="1"/>
      <c r="F153" s="1"/>
      <c r="G153" s="1"/>
      <c r="H153" s="1"/>
      <c r="I153" s="1"/>
      <c r="J153" s="1"/>
      <c r="K153" s="1"/>
      <c r="L153" s="1"/>
      <c r="N153" s="1"/>
      <c r="O153" s="1"/>
      <c r="P153" s="1"/>
      <c r="Q153" s="1"/>
      <c r="R153" s="1"/>
      <c r="S153" s="1"/>
      <c r="T153" s="1"/>
      <c r="U153" s="1"/>
    </row>
    <row r="154" spans="1:21">
      <c r="A154">
        <v>153</v>
      </c>
      <c r="B154" s="14" t="s">
        <v>489</v>
      </c>
      <c r="D154" s="1" t="s">
        <v>492</v>
      </c>
      <c r="E154" s="1"/>
      <c r="F154" s="1"/>
      <c r="G154" s="1"/>
      <c r="H154" s="1"/>
      <c r="I154" s="1"/>
      <c r="J154" s="1"/>
      <c r="K154" s="1"/>
      <c r="L154" s="1"/>
      <c r="N154" s="1"/>
      <c r="O154" s="1"/>
      <c r="P154" s="1"/>
      <c r="Q154" s="1"/>
      <c r="R154" s="1"/>
      <c r="S154" s="1"/>
      <c r="T154" s="1"/>
      <c r="U154" s="1"/>
    </row>
    <row r="155" spans="1:21">
      <c r="A155">
        <v>154</v>
      </c>
      <c r="B155" s="14" t="s">
        <v>493</v>
      </c>
      <c r="D155" s="1" t="s">
        <v>494</v>
      </c>
      <c r="E155" s="1"/>
      <c r="F155" s="1"/>
      <c r="G155" s="1"/>
      <c r="H155" s="1"/>
      <c r="I155" s="1"/>
      <c r="J155" s="1"/>
      <c r="K155" s="1"/>
      <c r="L155" s="1"/>
      <c r="N155" s="1"/>
      <c r="O155" s="1"/>
      <c r="P155" s="1"/>
      <c r="Q155" s="1"/>
      <c r="R155" s="1"/>
      <c r="S155" s="1"/>
      <c r="T155" s="1"/>
      <c r="U155" s="1"/>
    </row>
    <row r="156" spans="1:21">
      <c r="A156">
        <v>155</v>
      </c>
      <c r="B156" s="14" t="s">
        <v>495</v>
      </c>
      <c r="D156" s="1" t="s">
        <v>497</v>
      </c>
      <c r="E156" s="1"/>
      <c r="F156" s="1"/>
      <c r="G156" s="1"/>
      <c r="H156" s="1"/>
      <c r="I156" s="1"/>
      <c r="J156" s="1"/>
      <c r="K156" s="1"/>
      <c r="L156" s="1"/>
      <c r="N156" s="1"/>
      <c r="O156" s="1"/>
      <c r="P156" s="1"/>
      <c r="Q156" s="1"/>
      <c r="R156" s="1"/>
      <c r="S156" s="1"/>
      <c r="T156" s="1"/>
      <c r="U156" s="1"/>
    </row>
    <row r="157" spans="1:21">
      <c r="A157">
        <v>156</v>
      </c>
      <c r="B157" s="14" t="s">
        <v>498</v>
      </c>
      <c r="D157" s="1" t="s">
        <v>498</v>
      </c>
      <c r="E157" s="1"/>
      <c r="F157" s="1"/>
      <c r="G157" s="1"/>
      <c r="H157" s="1"/>
      <c r="I157" s="1"/>
      <c r="J157" s="1"/>
      <c r="K157" s="1"/>
      <c r="L157" s="1"/>
      <c r="N157" s="1"/>
      <c r="O157" s="1"/>
      <c r="P157" s="1"/>
      <c r="Q157" s="1"/>
      <c r="R157" s="1"/>
      <c r="S157" s="1"/>
      <c r="T157" s="1"/>
      <c r="U157" s="1"/>
    </row>
    <row r="158" spans="1:21">
      <c r="A158">
        <v>157</v>
      </c>
      <c r="B158" s="14" t="s">
        <v>499</v>
      </c>
      <c r="D158" s="1" t="s">
        <v>501</v>
      </c>
      <c r="E158" s="1"/>
      <c r="F158" s="1"/>
      <c r="G158" s="1"/>
      <c r="H158" s="1"/>
      <c r="I158" s="1"/>
      <c r="J158" s="1"/>
      <c r="K158" s="1"/>
      <c r="L158" s="1"/>
      <c r="N158" s="1"/>
      <c r="O158" s="1"/>
      <c r="P158" s="1"/>
      <c r="Q158" s="1"/>
      <c r="R158" s="1"/>
      <c r="S158" s="1"/>
      <c r="T158" s="1"/>
      <c r="U158" s="1"/>
    </row>
    <row r="159" spans="1:21">
      <c r="A159">
        <v>158</v>
      </c>
      <c r="B159" s="14" t="s">
        <v>499</v>
      </c>
      <c r="D159" s="1" t="s">
        <v>502</v>
      </c>
      <c r="E159" s="1"/>
      <c r="F159" s="1"/>
      <c r="G159" s="1"/>
      <c r="H159" s="1"/>
      <c r="I159" s="1"/>
      <c r="J159" s="1"/>
      <c r="K159" s="1"/>
      <c r="L159" s="1"/>
      <c r="N159" s="1"/>
      <c r="O159" s="1"/>
      <c r="P159" s="1"/>
      <c r="Q159" s="1"/>
      <c r="R159" s="1"/>
      <c r="S159" s="1"/>
      <c r="T159" s="1"/>
      <c r="U159" s="1"/>
    </row>
    <row r="160" spans="1:21">
      <c r="A160">
        <v>159</v>
      </c>
      <c r="B160" s="14" t="s">
        <v>499</v>
      </c>
      <c r="D160" s="1" t="s">
        <v>503</v>
      </c>
      <c r="E160" s="1"/>
      <c r="F160" s="1"/>
      <c r="G160" s="1"/>
      <c r="H160" s="1"/>
      <c r="I160" s="1"/>
      <c r="J160" s="1"/>
      <c r="K160" s="1"/>
      <c r="L160" s="1"/>
      <c r="N160" s="1"/>
      <c r="O160" s="1"/>
      <c r="P160" s="1"/>
      <c r="Q160" s="1"/>
      <c r="R160" s="1"/>
      <c r="S160" s="1"/>
      <c r="T160" s="1"/>
      <c r="U160" s="1"/>
    </row>
    <row r="161" spans="1:21">
      <c r="A161">
        <v>160</v>
      </c>
      <c r="B161" s="14" t="s">
        <v>504</v>
      </c>
      <c r="D161" s="1" t="s">
        <v>505</v>
      </c>
      <c r="E161" s="1"/>
      <c r="F161" s="1"/>
      <c r="G161" s="1"/>
      <c r="H161" s="1"/>
      <c r="I161" s="1"/>
      <c r="J161" s="1"/>
      <c r="K161" s="1"/>
      <c r="L161" s="1"/>
      <c r="N161" s="1"/>
      <c r="O161" s="1"/>
      <c r="P161" s="1"/>
      <c r="Q161" s="1"/>
      <c r="R161" s="1"/>
      <c r="S161" s="1"/>
      <c r="T161" s="1"/>
      <c r="U161" s="1"/>
    </row>
    <row r="162" spans="1:21">
      <c r="A162">
        <v>161</v>
      </c>
      <c r="B162" s="14" t="s">
        <v>504</v>
      </c>
      <c r="D162" s="1" t="s">
        <v>506</v>
      </c>
      <c r="E162" s="1"/>
      <c r="F162" s="1"/>
      <c r="G162" s="1"/>
      <c r="H162" s="1"/>
      <c r="I162" s="1"/>
      <c r="J162" s="1"/>
      <c r="K162" s="1"/>
      <c r="L162" s="1"/>
      <c r="N162" s="1"/>
      <c r="O162" s="1"/>
      <c r="P162" s="1"/>
      <c r="Q162" s="1"/>
      <c r="R162" s="1"/>
      <c r="S162" s="1"/>
      <c r="T162" s="1"/>
      <c r="U162" s="1"/>
    </row>
    <row r="163" spans="1:21">
      <c r="A163">
        <v>162</v>
      </c>
      <c r="B163" s="14" t="s">
        <v>504</v>
      </c>
      <c r="D163" s="1" t="s">
        <v>507</v>
      </c>
      <c r="E163" s="1"/>
      <c r="F163" s="1"/>
      <c r="G163" s="1"/>
      <c r="H163" s="1"/>
      <c r="I163" s="1"/>
      <c r="J163" s="1"/>
      <c r="K163" s="1"/>
      <c r="L163" s="1"/>
      <c r="N163" s="1"/>
      <c r="O163" s="1"/>
      <c r="P163" s="1"/>
      <c r="Q163" s="1"/>
      <c r="R163" s="1"/>
      <c r="S163" s="1"/>
      <c r="T163" s="1"/>
      <c r="U163" s="1"/>
    </row>
    <row r="164" spans="1:21">
      <c r="A164">
        <v>163</v>
      </c>
      <c r="B164" s="14" t="s">
        <v>504</v>
      </c>
      <c r="D164" s="1" t="s">
        <v>508</v>
      </c>
      <c r="E164" s="1"/>
      <c r="F164" s="1"/>
      <c r="G164" s="1"/>
      <c r="H164" s="1"/>
      <c r="I164" s="1"/>
      <c r="J164" s="1"/>
      <c r="K164" s="1"/>
      <c r="L164" s="1"/>
      <c r="N164" s="1"/>
      <c r="O164" s="1"/>
      <c r="P164" s="1"/>
      <c r="Q164" s="1"/>
      <c r="R164" s="1"/>
      <c r="S164" s="1"/>
      <c r="T164" s="1"/>
      <c r="U164" s="1"/>
    </row>
    <row r="165" spans="1:21">
      <c r="A165">
        <v>164</v>
      </c>
      <c r="B165" s="14" t="s">
        <v>509</v>
      </c>
      <c r="D165" s="1" t="s">
        <v>511</v>
      </c>
      <c r="E165" s="1"/>
      <c r="F165" s="1"/>
      <c r="G165" s="1"/>
      <c r="H165" s="1"/>
      <c r="I165" s="1"/>
      <c r="J165" s="1"/>
      <c r="K165" s="1"/>
      <c r="L165" s="1"/>
      <c r="N165" s="1"/>
      <c r="O165" s="1"/>
      <c r="P165" s="1"/>
      <c r="Q165" s="1"/>
      <c r="R165" s="1"/>
      <c r="S165" s="1"/>
      <c r="T165" s="1"/>
      <c r="U165" s="1"/>
    </row>
    <row r="166" spans="1:21">
      <c r="A166">
        <v>165</v>
      </c>
      <c r="B166" s="14" t="s">
        <v>512</v>
      </c>
      <c r="D166" s="1" t="s">
        <v>514</v>
      </c>
      <c r="E166" s="1"/>
      <c r="F166" s="1"/>
      <c r="G166" s="1"/>
      <c r="H166" s="1"/>
      <c r="I166" s="1"/>
      <c r="J166" s="1"/>
      <c r="K166" s="1"/>
      <c r="L166" s="1"/>
      <c r="N166" s="1"/>
      <c r="O166" s="1"/>
      <c r="P166" s="1"/>
      <c r="Q166" s="1"/>
      <c r="R166" s="1"/>
      <c r="S166" s="1"/>
      <c r="T166" s="1"/>
      <c r="U166" s="1"/>
    </row>
    <row r="167" spans="1:21">
      <c r="A167">
        <v>166</v>
      </c>
      <c r="B167" s="14" t="s">
        <v>515</v>
      </c>
      <c r="D167" s="1" t="s">
        <v>516</v>
      </c>
      <c r="E167" s="1"/>
      <c r="F167" s="1"/>
      <c r="G167" s="1"/>
      <c r="H167" s="1"/>
      <c r="I167" s="1"/>
      <c r="J167" s="1"/>
      <c r="K167" s="1"/>
      <c r="L167" s="1"/>
      <c r="N167" s="1"/>
      <c r="O167" s="1"/>
      <c r="P167" s="1"/>
      <c r="Q167" s="1"/>
      <c r="R167" s="1"/>
      <c r="S167" s="1"/>
      <c r="T167" s="1"/>
      <c r="U167" s="1"/>
    </row>
    <row r="168" spans="1:21">
      <c r="A168">
        <v>167</v>
      </c>
      <c r="B168" s="14" t="s">
        <v>517</v>
      </c>
      <c r="D168" s="1" t="s">
        <v>518</v>
      </c>
      <c r="E168" s="1"/>
      <c r="F168" s="1"/>
      <c r="G168" s="1"/>
      <c r="H168" s="1"/>
      <c r="I168" s="1"/>
      <c r="J168" s="1"/>
      <c r="K168" s="1"/>
      <c r="L168" s="1"/>
      <c r="N168" s="1"/>
      <c r="O168" s="1"/>
      <c r="P168" s="1"/>
      <c r="Q168" s="1"/>
      <c r="R168" s="1"/>
      <c r="S168" s="1"/>
      <c r="T168" s="1"/>
      <c r="U168" s="1"/>
    </row>
    <row r="169" spans="1:21">
      <c r="A169">
        <v>168</v>
      </c>
      <c r="B169" s="14" t="s">
        <v>519</v>
      </c>
      <c r="D169" s="1" t="s">
        <v>520</v>
      </c>
      <c r="E169" s="1"/>
      <c r="F169" s="1"/>
      <c r="G169" s="1"/>
      <c r="H169" s="1"/>
      <c r="I169" s="1"/>
      <c r="J169" s="1"/>
      <c r="K169" s="1"/>
      <c r="L169" s="1"/>
      <c r="N169" s="1"/>
      <c r="O169" s="1"/>
      <c r="P169" s="1"/>
      <c r="Q169" s="1"/>
      <c r="R169" s="1"/>
      <c r="S169" s="1"/>
      <c r="T169" s="1"/>
      <c r="U169" s="1"/>
    </row>
    <row r="170" spans="1:21">
      <c r="A170">
        <v>169</v>
      </c>
      <c r="B170" s="14" t="s">
        <v>521</v>
      </c>
      <c r="D170" s="1" t="s">
        <v>522</v>
      </c>
      <c r="E170" s="1"/>
      <c r="F170" s="1"/>
      <c r="G170" s="1"/>
      <c r="H170" s="1"/>
      <c r="I170" s="1"/>
      <c r="J170" s="1"/>
      <c r="K170" s="1"/>
      <c r="L170" s="1"/>
      <c r="N170" s="1"/>
      <c r="O170" s="1"/>
      <c r="P170" s="1"/>
      <c r="Q170" s="1"/>
      <c r="R170" s="1"/>
      <c r="S170" s="1"/>
      <c r="T170" s="1"/>
      <c r="U170" s="1"/>
    </row>
    <row r="171" spans="1:21">
      <c r="A171">
        <v>170</v>
      </c>
      <c r="B171" s="14" t="s">
        <v>523</v>
      </c>
      <c r="D171" s="1" t="s">
        <v>525</v>
      </c>
      <c r="E171" s="1"/>
      <c r="F171" s="1"/>
      <c r="G171" s="1"/>
      <c r="H171" s="1"/>
      <c r="I171" s="1"/>
      <c r="J171" s="1"/>
      <c r="K171" s="1"/>
      <c r="L171" s="1"/>
      <c r="N171" s="1"/>
      <c r="O171" s="1"/>
      <c r="P171" s="1"/>
      <c r="Q171" s="1"/>
      <c r="R171" s="1"/>
      <c r="S171" s="1"/>
      <c r="T171" s="1"/>
      <c r="U171" s="1"/>
    </row>
    <row r="172" spans="1:21">
      <c r="A172">
        <v>171</v>
      </c>
      <c r="B172" s="14" t="s">
        <v>526</v>
      </c>
      <c r="D172" s="1" t="s">
        <v>528</v>
      </c>
      <c r="E172" s="1"/>
      <c r="F172" s="1"/>
      <c r="G172" s="1"/>
      <c r="H172" s="1"/>
      <c r="I172" s="1"/>
      <c r="J172" s="1"/>
      <c r="K172" s="1"/>
      <c r="L172" s="1"/>
      <c r="N172" s="1"/>
      <c r="O172" s="1"/>
      <c r="P172" s="1"/>
      <c r="Q172" s="1"/>
      <c r="R172" s="1"/>
      <c r="S172" s="1"/>
      <c r="T172" s="1"/>
      <c r="U172" s="1"/>
    </row>
    <row r="173" spans="1:21">
      <c r="A173">
        <v>172</v>
      </c>
      <c r="B173" s="14" t="s">
        <v>529</v>
      </c>
      <c r="D173" s="1" t="s">
        <v>530</v>
      </c>
      <c r="E173" s="1"/>
      <c r="F173" s="1"/>
      <c r="G173" s="1"/>
      <c r="H173" s="1"/>
      <c r="I173" s="1"/>
      <c r="J173" s="1"/>
      <c r="K173" s="1"/>
      <c r="L173" s="1"/>
      <c r="N173" s="1"/>
      <c r="O173" s="1"/>
      <c r="P173" s="1"/>
      <c r="Q173" s="1"/>
      <c r="R173" s="1"/>
      <c r="S173" s="1"/>
      <c r="T173" s="1"/>
      <c r="U173" s="1"/>
    </row>
    <row r="174" spans="1:21">
      <c r="A174">
        <v>173</v>
      </c>
      <c r="B174" s="14" t="s">
        <v>531</v>
      </c>
      <c r="D174" s="1" t="s">
        <v>532</v>
      </c>
      <c r="E174" s="1"/>
      <c r="F174" s="1"/>
      <c r="G174" s="1"/>
      <c r="H174" s="1"/>
      <c r="I174" s="1"/>
      <c r="J174" s="1"/>
      <c r="K174" s="1"/>
      <c r="L174" s="1"/>
      <c r="N174" s="1"/>
      <c r="O174" s="1"/>
      <c r="P174" s="1"/>
      <c r="Q174" s="1"/>
      <c r="R174" s="1"/>
      <c r="S174" s="1"/>
      <c r="T174" s="1"/>
      <c r="U174" s="1"/>
    </row>
    <row r="175" spans="1:21">
      <c r="A175">
        <v>174</v>
      </c>
      <c r="B175" s="14" t="s">
        <v>533</v>
      </c>
      <c r="D175" s="1" t="s">
        <v>533</v>
      </c>
      <c r="E175" s="1"/>
      <c r="F175" s="1"/>
      <c r="G175" s="1"/>
      <c r="H175" s="1"/>
      <c r="I175" s="1"/>
      <c r="J175" s="1"/>
      <c r="K175" s="1"/>
      <c r="L175" s="1"/>
      <c r="N175" s="1"/>
      <c r="O175" s="1"/>
      <c r="P175" s="1"/>
      <c r="Q175" s="1"/>
      <c r="R175" s="1"/>
      <c r="S175" s="1"/>
      <c r="T175" s="1"/>
      <c r="U175" s="1"/>
    </row>
    <row r="176" spans="1:21">
      <c r="A176">
        <v>175</v>
      </c>
      <c r="B176" s="14" t="s">
        <v>534</v>
      </c>
      <c r="D176" s="1" t="s">
        <v>469</v>
      </c>
      <c r="E176" s="1"/>
      <c r="F176" s="1"/>
      <c r="G176" s="1"/>
      <c r="H176" s="1"/>
      <c r="I176" s="1"/>
      <c r="J176" s="1"/>
      <c r="K176" s="1"/>
      <c r="L176" s="1"/>
      <c r="N176" s="1"/>
      <c r="O176" s="1"/>
      <c r="P176" s="1"/>
      <c r="Q176" s="1"/>
      <c r="R176" s="1"/>
      <c r="S176" s="1"/>
      <c r="T176" s="1"/>
      <c r="U176" s="1"/>
    </row>
    <row r="177" spans="1:21">
      <c r="A177">
        <v>176</v>
      </c>
      <c r="B177" s="14" t="s">
        <v>535</v>
      </c>
      <c r="D177" s="1" t="s">
        <v>537</v>
      </c>
      <c r="E177" s="1"/>
      <c r="F177" s="1"/>
      <c r="G177" s="1"/>
      <c r="H177" s="1"/>
      <c r="I177" s="1"/>
      <c r="J177" s="1"/>
      <c r="K177" s="1"/>
      <c r="L177" s="1"/>
      <c r="N177" s="1"/>
      <c r="O177" s="1"/>
      <c r="P177" s="1"/>
      <c r="Q177" s="1"/>
      <c r="R177" s="1"/>
      <c r="S177" s="1"/>
      <c r="T177" s="1"/>
      <c r="U177" s="1"/>
    </row>
    <row r="178" spans="1:21">
      <c r="A178">
        <v>177</v>
      </c>
      <c r="B178" s="14" t="s">
        <v>538</v>
      </c>
      <c r="D178" s="1" t="s">
        <v>538</v>
      </c>
      <c r="E178" s="1"/>
      <c r="F178" s="1"/>
      <c r="G178" s="1"/>
      <c r="H178" s="1"/>
      <c r="I178" s="1"/>
      <c r="J178" s="1"/>
      <c r="K178" s="1"/>
      <c r="L178" s="1"/>
      <c r="N178" s="1"/>
      <c r="O178" s="1"/>
      <c r="P178" s="1"/>
      <c r="Q178" s="1"/>
      <c r="R178" s="1"/>
      <c r="S178" s="1"/>
      <c r="T178" s="1"/>
      <c r="U178" s="1"/>
    </row>
    <row r="179" spans="1:21">
      <c r="A179">
        <v>178</v>
      </c>
      <c r="B179" s="14" t="s">
        <v>539</v>
      </c>
      <c r="D179" s="1" t="s">
        <v>539</v>
      </c>
      <c r="E179" s="1"/>
      <c r="F179" s="1"/>
      <c r="G179" s="1"/>
      <c r="H179" s="1"/>
      <c r="I179" s="1"/>
      <c r="J179" s="1"/>
      <c r="K179" s="1"/>
      <c r="L179" s="1"/>
      <c r="N179" s="1"/>
      <c r="O179" s="1"/>
      <c r="P179" s="1"/>
      <c r="Q179" s="1"/>
      <c r="R179" s="1"/>
      <c r="S179" s="1"/>
      <c r="T179" s="1"/>
      <c r="U179" s="1"/>
    </row>
    <row r="180" spans="1:21">
      <c r="A180">
        <v>179</v>
      </c>
      <c r="B180" s="14" t="s">
        <v>540</v>
      </c>
      <c r="D180" s="1" t="s">
        <v>542</v>
      </c>
      <c r="E180" s="1"/>
      <c r="F180" s="1"/>
      <c r="G180" s="1"/>
      <c r="H180" s="1"/>
      <c r="I180" s="1"/>
      <c r="J180" s="1"/>
      <c r="K180" s="1"/>
      <c r="L180" s="1"/>
      <c r="N180" s="1"/>
      <c r="O180" s="1"/>
      <c r="P180" s="1"/>
      <c r="Q180" s="1"/>
      <c r="R180" s="1"/>
      <c r="S180" s="1"/>
      <c r="T180" s="1"/>
      <c r="U180" s="1"/>
    </row>
    <row r="181" spans="1:21">
      <c r="A181">
        <v>180</v>
      </c>
      <c r="B181" s="14" t="s">
        <v>540</v>
      </c>
      <c r="D181" s="1" t="s">
        <v>544</v>
      </c>
      <c r="E181" s="1"/>
      <c r="F181" s="1"/>
      <c r="G181" s="1"/>
      <c r="H181" s="1"/>
      <c r="I181" s="1"/>
      <c r="J181" s="1"/>
      <c r="K181" s="1"/>
      <c r="L181" s="1"/>
      <c r="N181" s="1"/>
      <c r="O181" s="1"/>
      <c r="P181" s="1"/>
      <c r="Q181" s="1"/>
      <c r="R181" s="1"/>
      <c r="S181" s="1"/>
      <c r="T181" s="1"/>
      <c r="U181" s="1"/>
    </row>
    <row r="182" spans="1:21">
      <c r="A182">
        <v>181</v>
      </c>
      <c r="B182" s="14" t="s">
        <v>545</v>
      </c>
      <c r="D182" s="1" t="s">
        <v>547</v>
      </c>
      <c r="E182" s="1"/>
      <c r="F182" s="1"/>
      <c r="G182" s="1"/>
      <c r="H182" s="1"/>
      <c r="I182" s="1"/>
      <c r="J182" s="1"/>
      <c r="K182" s="1"/>
      <c r="L182" s="1"/>
      <c r="N182" s="1"/>
      <c r="O182" s="1"/>
      <c r="P182" s="1"/>
      <c r="Q182" s="1"/>
      <c r="R182" s="1"/>
      <c r="S182" s="1"/>
      <c r="T182" s="1"/>
      <c r="U182" s="1"/>
    </row>
    <row r="183" spans="1:21">
      <c r="A183">
        <v>182</v>
      </c>
      <c r="B183" s="14" t="s">
        <v>548</v>
      </c>
      <c r="D183" s="1" t="s">
        <v>549</v>
      </c>
      <c r="E183" s="1"/>
      <c r="F183" s="1"/>
      <c r="G183" s="1"/>
      <c r="H183" s="1"/>
      <c r="I183" s="1"/>
      <c r="J183" s="1"/>
      <c r="K183" s="1"/>
      <c r="L183" s="1"/>
      <c r="N183" s="1"/>
      <c r="O183" s="1"/>
      <c r="P183" s="1"/>
      <c r="Q183" s="1"/>
      <c r="R183" s="1"/>
      <c r="S183" s="1"/>
      <c r="T183" s="1"/>
      <c r="U183" s="1"/>
    </row>
    <row r="184" spans="1:21">
      <c r="A184">
        <v>183</v>
      </c>
      <c r="B184" s="14" t="s">
        <v>550</v>
      </c>
      <c r="D184" s="1" t="s">
        <v>550</v>
      </c>
      <c r="E184" s="1"/>
      <c r="F184" s="1"/>
      <c r="G184" s="1"/>
      <c r="H184" s="1"/>
      <c r="I184" s="1"/>
      <c r="J184" s="1"/>
      <c r="K184" s="1"/>
      <c r="L184" s="1"/>
      <c r="N184" s="1"/>
      <c r="O184" s="1"/>
      <c r="P184" s="1"/>
      <c r="Q184" s="1"/>
      <c r="R184" s="1"/>
      <c r="S184" s="1"/>
      <c r="T184" s="1"/>
      <c r="U184" s="1"/>
    </row>
    <row r="185" spans="1:21">
      <c r="A185">
        <v>184</v>
      </c>
      <c r="B185" s="14" t="s">
        <v>551</v>
      </c>
      <c r="D185" s="1" t="s">
        <v>553</v>
      </c>
      <c r="E185" s="1"/>
      <c r="F185" s="1"/>
      <c r="G185" s="1"/>
      <c r="H185" s="1"/>
      <c r="I185" s="1"/>
      <c r="J185" s="1"/>
      <c r="K185" s="1"/>
      <c r="L185" s="1"/>
      <c r="N185" s="1"/>
      <c r="O185" s="1"/>
      <c r="P185" s="1"/>
      <c r="Q185" s="1"/>
      <c r="R185" s="1"/>
      <c r="S185" s="1"/>
      <c r="T185" s="1"/>
      <c r="U185" s="1"/>
    </row>
    <row r="186" spans="1:21">
      <c r="A186">
        <v>185</v>
      </c>
      <c r="B186" s="14" t="s">
        <v>554</v>
      </c>
      <c r="D186" s="1" t="s">
        <v>555</v>
      </c>
      <c r="E186" s="1"/>
      <c r="F186" s="1"/>
      <c r="G186" s="1"/>
      <c r="H186" s="1"/>
      <c r="I186" s="1"/>
      <c r="J186" s="1"/>
      <c r="K186" s="1"/>
      <c r="L186" s="1"/>
      <c r="N186" s="1"/>
      <c r="O186" s="1"/>
      <c r="P186" s="1"/>
      <c r="Q186" s="1"/>
      <c r="R186" s="1"/>
      <c r="S186" s="1"/>
      <c r="T186" s="1"/>
      <c r="U186" s="1"/>
    </row>
    <row r="187" spans="1:21">
      <c r="A187">
        <v>186</v>
      </c>
      <c r="B187" s="14" t="s">
        <v>556</v>
      </c>
      <c r="D187" s="1" t="s">
        <v>557</v>
      </c>
      <c r="E187" s="1"/>
      <c r="F187" s="1"/>
      <c r="G187" s="1"/>
      <c r="H187" s="1"/>
      <c r="I187" s="1"/>
      <c r="J187" s="1"/>
      <c r="K187" s="1"/>
      <c r="L187" s="1"/>
      <c r="N187" s="1"/>
      <c r="O187" s="1"/>
      <c r="P187" s="1"/>
      <c r="Q187" s="1"/>
      <c r="R187" s="1"/>
      <c r="S187" s="1"/>
      <c r="T187" s="1"/>
      <c r="U187" s="1"/>
    </row>
    <row r="188" spans="1:21">
      <c r="A188">
        <v>187</v>
      </c>
      <c r="B188" s="14" t="s">
        <v>558</v>
      </c>
      <c r="D188" s="1" t="s">
        <v>559</v>
      </c>
      <c r="E188" s="1"/>
      <c r="F188" s="1"/>
      <c r="G188" s="1"/>
      <c r="H188" s="1"/>
      <c r="I188" s="1"/>
      <c r="J188" s="1"/>
      <c r="K188" s="1"/>
      <c r="L188" s="1"/>
      <c r="N188" s="1"/>
      <c r="O188" s="1"/>
      <c r="P188" s="1"/>
      <c r="Q188" s="1"/>
      <c r="R188" s="1"/>
      <c r="S188" s="1"/>
      <c r="T188" s="1"/>
      <c r="U188" s="1"/>
    </row>
    <row r="189" spans="1:21">
      <c r="A189">
        <v>188</v>
      </c>
      <c r="B189" s="14" t="s">
        <v>560</v>
      </c>
      <c r="D189" s="1" t="s">
        <v>562</v>
      </c>
      <c r="E189" s="1"/>
      <c r="F189" s="1"/>
      <c r="G189" s="1"/>
      <c r="H189" s="1"/>
      <c r="I189" s="1"/>
      <c r="J189" s="1"/>
      <c r="K189" s="1"/>
      <c r="L189" s="1"/>
      <c r="N189" s="1"/>
      <c r="O189" s="1"/>
      <c r="P189" s="1"/>
      <c r="Q189" s="1"/>
      <c r="R189" s="1"/>
      <c r="S189" s="1"/>
      <c r="T189" s="1"/>
      <c r="U189" s="1"/>
    </row>
    <row r="190" spans="1:21">
      <c r="A190">
        <v>189</v>
      </c>
      <c r="B190" s="14" t="s">
        <v>563</v>
      </c>
      <c r="D190" s="1" t="s">
        <v>565</v>
      </c>
      <c r="E190" s="1"/>
      <c r="F190" s="1"/>
      <c r="G190" s="1"/>
      <c r="H190" s="1"/>
      <c r="I190" s="1"/>
      <c r="J190" s="1"/>
      <c r="K190" s="1"/>
      <c r="L190" s="1"/>
      <c r="N190" s="1"/>
      <c r="O190" s="1"/>
      <c r="P190" s="1"/>
      <c r="Q190" s="1"/>
      <c r="R190" s="1"/>
      <c r="S190" s="1"/>
      <c r="T190" s="1"/>
      <c r="U190" s="1"/>
    </row>
    <row r="191" spans="1:21">
      <c r="A191">
        <v>190</v>
      </c>
      <c r="B191" s="14" t="s">
        <v>566</v>
      </c>
      <c r="D191" s="1" t="s">
        <v>566</v>
      </c>
      <c r="E191" s="1"/>
      <c r="F191" s="1"/>
      <c r="G191" s="1"/>
      <c r="H191" s="1"/>
      <c r="I191" s="1"/>
      <c r="J191" s="1"/>
      <c r="K191" s="1"/>
      <c r="L191" s="1"/>
      <c r="N191" s="1"/>
      <c r="O191" s="1"/>
      <c r="P191" s="1"/>
      <c r="Q191" s="1"/>
      <c r="R191" s="1"/>
      <c r="S191" s="1"/>
      <c r="T191" s="1"/>
      <c r="U191" s="1"/>
    </row>
    <row r="192" spans="1:21">
      <c r="A192">
        <v>191</v>
      </c>
      <c r="B192" s="14" t="s">
        <v>567</v>
      </c>
      <c r="D192" s="1" t="s">
        <v>569</v>
      </c>
      <c r="E192" s="1"/>
      <c r="F192" s="1"/>
      <c r="G192" s="1"/>
      <c r="H192" s="1"/>
      <c r="I192" s="1"/>
      <c r="J192" s="1"/>
      <c r="K192" s="1"/>
      <c r="L192" s="1"/>
      <c r="N192" s="1"/>
      <c r="O192" s="1"/>
      <c r="P192" s="1"/>
      <c r="Q192" s="1"/>
      <c r="R192" s="1"/>
      <c r="S192" s="1"/>
      <c r="T192" s="1"/>
      <c r="U192" s="1"/>
    </row>
    <row r="193" spans="1:21">
      <c r="A193">
        <v>192</v>
      </c>
      <c r="B193" s="14" t="s">
        <v>570</v>
      </c>
      <c r="D193" s="1" t="s">
        <v>572</v>
      </c>
      <c r="E193" s="1"/>
      <c r="F193" s="1"/>
      <c r="G193" s="1"/>
      <c r="H193" s="1"/>
      <c r="I193" s="1"/>
      <c r="J193" s="1"/>
      <c r="K193" s="1"/>
      <c r="L193" s="1"/>
      <c r="N193" s="1"/>
      <c r="O193" s="1"/>
      <c r="P193" s="1"/>
      <c r="Q193" s="1"/>
      <c r="R193" s="1"/>
      <c r="S193" s="1"/>
      <c r="T193" s="1"/>
      <c r="U193" s="1"/>
    </row>
    <row r="194" spans="1:21">
      <c r="A194">
        <v>193</v>
      </c>
      <c r="B194" s="14" t="s">
        <v>573</v>
      </c>
      <c r="D194" s="1" t="s">
        <v>574</v>
      </c>
      <c r="E194" s="1"/>
      <c r="F194" s="1"/>
      <c r="G194" s="1"/>
      <c r="H194" s="1"/>
      <c r="I194" s="1"/>
      <c r="J194" s="1"/>
      <c r="K194" s="1"/>
      <c r="L194" s="1"/>
      <c r="N194" s="1"/>
      <c r="O194" s="1"/>
      <c r="P194" s="1"/>
      <c r="Q194" s="1"/>
      <c r="R194" s="1"/>
      <c r="S194" s="1"/>
      <c r="T194" s="1"/>
      <c r="U194" s="1"/>
    </row>
    <row r="195" spans="1:21">
      <c r="A195">
        <v>194</v>
      </c>
      <c r="B195" s="14" t="s">
        <v>575</v>
      </c>
      <c r="D195" s="1" t="s">
        <v>576</v>
      </c>
      <c r="E195" s="1"/>
      <c r="F195" s="1"/>
      <c r="G195" s="1"/>
      <c r="H195" s="1"/>
      <c r="I195" s="1"/>
      <c r="J195" s="1"/>
      <c r="K195" s="1"/>
      <c r="L195" s="1"/>
      <c r="N195" s="1"/>
      <c r="O195" s="1"/>
      <c r="P195" s="1"/>
      <c r="Q195" s="1"/>
      <c r="R195" s="1"/>
      <c r="S195" s="1"/>
      <c r="T195" s="1"/>
      <c r="U195" s="1"/>
    </row>
    <row r="196" spans="1:21">
      <c r="A196">
        <v>195</v>
      </c>
      <c r="B196" s="14" t="s">
        <v>577</v>
      </c>
      <c r="D196" s="1" t="s">
        <v>578</v>
      </c>
      <c r="E196" s="1"/>
      <c r="F196" s="1"/>
      <c r="G196" s="1"/>
      <c r="H196" s="1"/>
      <c r="I196" s="1"/>
      <c r="J196" s="1"/>
      <c r="K196" s="1"/>
      <c r="L196" s="1"/>
      <c r="N196" s="1"/>
      <c r="O196" s="1"/>
      <c r="P196" s="1"/>
      <c r="Q196" s="1"/>
      <c r="R196" s="1"/>
      <c r="S196" s="1"/>
      <c r="T196" s="1"/>
      <c r="U196" s="1"/>
    </row>
    <row r="197" spans="1:21">
      <c r="A197">
        <v>196</v>
      </c>
      <c r="B197" s="14" t="s">
        <v>577</v>
      </c>
      <c r="D197" s="1" t="s">
        <v>577</v>
      </c>
      <c r="E197" s="1"/>
      <c r="F197" s="1"/>
      <c r="G197" s="1"/>
      <c r="H197" s="1"/>
      <c r="I197" s="1"/>
      <c r="J197" s="1"/>
      <c r="K197" s="1"/>
      <c r="L197" s="1"/>
      <c r="N197" s="1"/>
      <c r="O197" s="1"/>
      <c r="P197" s="1"/>
      <c r="Q197" s="1"/>
      <c r="R197" s="1"/>
      <c r="S197" s="1"/>
      <c r="T197" s="1"/>
      <c r="U197" s="1"/>
    </row>
    <row r="198" spans="1:21">
      <c r="A198">
        <v>197</v>
      </c>
      <c r="B198" s="14" t="s">
        <v>579</v>
      </c>
      <c r="D198" s="1" t="s">
        <v>581</v>
      </c>
      <c r="E198" s="1"/>
      <c r="F198" s="1"/>
      <c r="G198" s="1"/>
      <c r="H198" s="1"/>
      <c r="I198" s="1"/>
      <c r="J198" s="1"/>
      <c r="K198" s="1"/>
      <c r="L198" s="1"/>
      <c r="N198" s="1"/>
      <c r="O198" s="1"/>
      <c r="P198" s="1"/>
      <c r="Q198" s="1"/>
      <c r="R198" s="1"/>
      <c r="S198" s="1"/>
      <c r="T198" s="1"/>
      <c r="U198" s="1"/>
    </row>
    <row r="199" spans="1:21">
      <c r="A199">
        <v>198</v>
      </c>
      <c r="B199" s="14" t="s">
        <v>582</v>
      </c>
      <c r="D199" s="1" t="s">
        <v>583</v>
      </c>
      <c r="E199" s="1"/>
      <c r="F199" s="1"/>
      <c r="G199" s="1"/>
      <c r="H199" s="1"/>
      <c r="I199" s="1"/>
      <c r="J199" s="1"/>
      <c r="K199" s="1"/>
      <c r="L199" s="1"/>
      <c r="N199" s="1"/>
      <c r="O199" s="1"/>
      <c r="P199" s="1"/>
      <c r="Q199" s="1"/>
      <c r="R199" s="1"/>
      <c r="S199" s="1"/>
      <c r="T199" s="1"/>
      <c r="U199" s="1"/>
    </row>
    <row r="200" spans="1:21">
      <c r="A200">
        <v>199</v>
      </c>
      <c r="B200" s="14" t="s">
        <v>584</v>
      </c>
      <c r="D200" s="1" t="s">
        <v>585</v>
      </c>
      <c r="E200" s="1"/>
      <c r="F200" s="1"/>
      <c r="G200" s="1"/>
      <c r="H200" s="1"/>
      <c r="I200" s="1"/>
      <c r="J200" s="1"/>
      <c r="K200" s="1"/>
      <c r="L200" s="1"/>
      <c r="N200" s="1"/>
      <c r="O200" s="1"/>
      <c r="P200" s="1"/>
      <c r="Q200" s="1"/>
      <c r="R200" s="1"/>
      <c r="S200" s="1"/>
      <c r="T200" s="1"/>
      <c r="U200" s="1"/>
    </row>
    <row r="201" spans="1:21">
      <c r="A201">
        <v>200</v>
      </c>
      <c r="B201" s="14" t="s">
        <v>586</v>
      </c>
      <c r="D201" s="1" t="s">
        <v>588</v>
      </c>
      <c r="E201" s="1"/>
      <c r="F201" s="1"/>
      <c r="G201" s="1"/>
      <c r="H201" s="1"/>
      <c r="I201" s="1"/>
      <c r="J201" s="1"/>
      <c r="K201" s="1"/>
      <c r="L201" s="1"/>
      <c r="N201" s="1"/>
      <c r="O201" s="1"/>
      <c r="P201" s="1"/>
      <c r="Q201" s="1"/>
      <c r="R201" s="1"/>
      <c r="S201" s="1"/>
      <c r="T201" s="1"/>
      <c r="U201" s="1"/>
    </row>
    <row r="202" spans="1:21">
      <c r="A202">
        <v>201</v>
      </c>
      <c r="B202" s="14" t="s">
        <v>589</v>
      </c>
      <c r="D202" s="1" t="s">
        <v>591</v>
      </c>
      <c r="E202" s="1"/>
      <c r="F202" s="1"/>
      <c r="G202" s="1"/>
      <c r="H202" s="1"/>
      <c r="I202" s="1"/>
      <c r="J202" s="1"/>
      <c r="K202" s="1"/>
      <c r="L202" s="1"/>
      <c r="N202" s="1"/>
      <c r="O202" s="1"/>
      <c r="P202" s="1"/>
      <c r="Q202" s="1"/>
      <c r="R202" s="1"/>
      <c r="S202" s="1"/>
      <c r="T202" s="1"/>
      <c r="U202" s="1"/>
    </row>
    <row r="203" spans="1:21">
      <c r="A203">
        <v>202</v>
      </c>
      <c r="B203" s="14" t="s">
        <v>592</v>
      </c>
      <c r="D203" s="1" t="s">
        <v>592</v>
      </c>
      <c r="E203" s="1"/>
      <c r="F203" s="1"/>
      <c r="G203" s="1"/>
      <c r="H203" s="1"/>
      <c r="I203" s="1"/>
      <c r="J203" s="1"/>
      <c r="K203" s="1"/>
      <c r="L203" s="1"/>
      <c r="N203" s="1"/>
      <c r="O203" s="1"/>
      <c r="P203" s="1"/>
      <c r="Q203" s="1"/>
      <c r="R203" s="1"/>
      <c r="S203" s="1"/>
      <c r="T203" s="1"/>
      <c r="U203" s="1"/>
    </row>
    <row r="204" spans="1:21">
      <c r="A204">
        <v>203</v>
      </c>
      <c r="B204" s="14" t="s">
        <v>593</v>
      </c>
      <c r="D204" s="1" t="s">
        <v>594</v>
      </c>
      <c r="E204" s="1"/>
      <c r="F204" s="1"/>
      <c r="G204" s="1"/>
      <c r="H204" s="1"/>
      <c r="I204" s="1"/>
      <c r="J204" s="1"/>
      <c r="K204" s="1"/>
      <c r="L204" s="1"/>
      <c r="N204" s="1"/>
      <c r="O204" s="1"/>
      <c r="P204" s="1"/>
      <c r="Q204" s="1"/>
      <c r="R204" s="1"/>
      <c r="S204" s="1"/>
      <c r="T204" s="1"/>
      <c r="U204" s="1"/>
    </row>
    <row r="205" spans="1:21">
      <c r="A205">
        <v>204</v>
      </c>
      <c r="B205" s="14" t="s">
        <v>593</v>
      </c>
      <c r="D205" s="1" t="s">
        <v>595</v>
      </c>
      <c r="E205" s="1"/>
      <c r="F205" s="1"/>
      <c r="G205" s="1"/>
      <c r="H205" s="1"/>
      <c r="I205" s="1"/>
      <c r="J205" s="1"/>
      <c r="K205" s="1"/>
      <c r="L205" s="1"/>
      <c r="N205" s="1"/>
      <c r="O205" s="1"/>
      <c r="P205" s="1"/>
      <c r="Q205" s="1"/>
      <c r="R205" s="1"/>
      <c r="S205" s="1"/>
      <c r="T205" s="1"/>
      <c r="U205" s="1"/>
    </row>
    <row r="206" spans="1:21">
      <c r="A206">
        <v>205</v>
      </c>
      <c r="B206" s="14" t="s">
        <v>593</v>
      </c>
      <c r="D206" s="1" t="s">
        <v>596</v>
      </c>
      <c r="E206" s="1"/>
      <c r="F206" s="1"/>
      <c r="G206" s="1"/>
      <c r="H206" s="1"/>
      <c r="I206" s="1"/>
      <c r="J206" s="1"/>
      <c r="K206" s="1"/>
      <c r="L206" s="1"/>
      <c r="N206" s="1"/>
      <c r="O206" s="1"/>
      <c r="P206" s="1"/>
      <c r="Q206" s="1"/>
      <c r="R206" s="1"/>
      <c r="S206" s="1"/>
      <c r="T206" s="1"/>
      <c r="U206" s="1"/>
    </row>
    <row r="207" spans="1:21">
      <c r="A207">
        <v>206</v>
      </c>
      <c r="B207" s="14" t="s">
        <v>597</v>
      </c>
      <c r="D207" s="1" t="s">
        <v>599</v>
      </c>
      <c r="E207" s="1"/>
      <c r="F207" s="1"/>
      <c r="G207" s="1"/>
      <c r="H207" s="1"/>
      <c r="I207" s="1"/>
      <c r="J207" s="1"/>
      <c r="K207" s="1"/>
      <c r="L207" s="1"/>
      <c r="N207" s="1"/>
      <c r="O207" s="1"/>
      <c r="P207" s="1"/>
      <c r="Q207" s="1"/>
      <c r="R207" s="1"/>
      <c r="S207" s="1"/>
      <c r="T207" s="1"/>
      <c r="U207" s="1"/>
    </row>
    <row r="208" spans="1:21">
      <c r="A208">
        <v>207</v>
      </c>
      <c r="B208" s="14" t="s">
        <v>600</v>
      </c>
      <c r="D208" s="1" t="s">
        <v>601</v>
      </c>
      <c r="E208" s="1"/>
      <c r="F208" s="1"/>
      <c r="G208" s="1"/>
      <c r="H208" s="1"/>
      <c r="I208" s="1"/>
      <c r="J208" s="1"/>
      <c r="K208" s="1"/>
      <c r="L208" s="1"/>
      <c r="N208" s="1"/>
      <c r="O208" s="1"/>
      <c r="P208" s="1"/>
      <c r="Q208" s="1"/>
      <c r="R208" s="1"/>
      <c r="S208" s="1"/>
      <c r="T208" s="1"/>
      <c r="U208" s="1"/>
    </row>
    <row r="209" spans="1:21">
      <c r="A209">
        <v>208</v>
      </c>
      <c r="B209" s="14" t="s">
        <v>602</v>
      </c>
      <c r="D209" s="1" t="s">
        <v>603</v>
      </c>
      <c r="E209" s="1"/>
      <c r="F209" s="1"/>
      <c r="G209" s="1"/>
      <c r="H209" s="1"/>
      <c r="I209" s="1"/>
      <c r="J209" s="1"/>
      <c r="K209" s="1"/>
      <c r="L209" s="1"/>
      <c r="N209" s="1"/>
      <c r="O209" s="1"/>
      <c r="P209" s="1"/>
      <c r="Q209" s="1"/>
      <c r="R209" s="1"/>
      <c r="S209" s="1"/>
      <c r="T209" s="1"/>
      <c r="U209" s="1"/>
    </row>
    <row r="210" spans="1:21">
      <c r="A210">
        <v>209</v>
      </c>
      <c r="B210" s="14" t="s">
        <v>604</v>
      </c>
      <c r="D210" s="1" t="s">
        <v>422</v>
      </c>
      <c r="E210" s="1"/>
      <c r="F210" s="1"/>
      <c r="G210" s="1"/>
      <c r="H210" s="1"/>
      <c r="I210" s="1"/>
      <c r="J210" s="1"/>
      <c r="K210" s="1"/>
      <c r="L210" s="1"/>
      <c r="N210" s="1"/>
      <c r="O210" s="1"/>
      <c r="P210" s="1"/>
      <c r="Q210" s="1"/>
      <c r="R210" s="1"/>
      <c r="S210" s="1"/>
      <c r="T210" s="1"/>
      <c r="U210" s="1"/>
    </row>
    <row r="211" spans="1:21">
      <c r="A211">
        <v>210</v>
      </c>
      <c r="B211" s="14" t="s">
        <v>605</v>
      </c>
      <c r="D211" s="1" t="s">
        <v>606</v>
      </c>
      <c r="E211" s="1"/>
      <c r="F211" s="1"/>
      <c r="G211" s="1"/>
      <c r="H211" s="1"/>
      <c r="I211" s="1"/>
      <c r="J211" s="1"/>
      <c r="K211" s="1"/>
      <c r="L211" s="1"/>
      <c r="N211" s="1"/>
      <c r="O211" s="1"/>
      <c r="P211" s="1"/>
      <c r="Q211" s="1"/>
      <c r="R211" s="1"/>
      <c r="S211" s="1"/>
      <c r="T211" s="1"/>
      <c r="U211" s="1"/>
    </row>
    <row r="212" spans="1:21">
      <c r="A212">
        <v>211</v>
      </c>
      <c r="B212" s="14" t="s">
        <v>607</v>
      </c>
      <c r="D212" s="1" t="s">
        <v>608</v>
      </c>
      <c r="E212" s="1"/>
      <c r="F212" s="1"/>
      <c r="G212" s="1"/>
      <c r="H212" s="1"/>
      <c r="I212" s="1"/>
      <c r="J212" s="1"/>
      <c r="K212" s="1"/>
      <c r="L212" s="1"/>
      <c r="N212" s="1"/>
      <c r="O212" s="1"/>
      <c r="P212" s="1"/>
      <c r="Q212" s="1"/>
      <c r="R212" s="1"/>
      <c r="S212" s="1"/>
      <c r="T212" s="1"/>
      <c r="U212" s="1"/>
    </row>
    <row r="213" spans="1:21">
      <c r="A213">
        <v>212</v>
      </c>
      <c r="B213" s="14" t="s">
        <v>609</v>
      </c>
      <c r="D213" s="1" t="s">
        <v>609</v>
      </c>
      <c r="E213" s="1"/>
      <c r="F213" s="1"/>
      <c r="G213" s="1"/>
      <c r="H213" s="1"/>
      <c r="I213" s="1"/>
      <c r="J213" s="1"/>
      <c r="K213" s="1"/>
      <c r="L213" s="1"/>
      <c r="N213" s="1"/>
      <c r="O213" s="1"/>
      <c r="P213" s="1"/>
      <c r="Q213" s="1"/>
      <c r="R213" s="1"/>
      <c r="S213" s="1"/>
      <c r="T213" s="1"/>
      <c r="U213" s="1"/>
    </row>
    <row r="214" spans="1:21">
      <c r="A214">
        <v>213</v>
      </c>
      <c r="B214" s="14" t="s">
        <v>610</v>
      </c>
      <c r="D214" s="1" t="s">
        <v>610</v>
      </c>
      <c r="E214" s="1"/>
      <c r="F214" s="1"/>
      <c r="G214" s="1"/>
      <c r="H214" s="1"/>
      <c r="I214" s="1"/>
      <c r="J214" s="1"/>
      <c r="K214" s="1"/>
      <c r="L214" s="1"/>
      <c r="N214" s="1"/>
      <c r="O214" s="1"/>
      <c r="P214" s="1"/>
      <c r="Q214" s="1"/>
      <c r="R214" s="1"/>
      <c r="S214" s="1"/>
      <c r="T214" s="1"/>
      <c r="U214" s="1"/>
    </row>
    <row r="215" spans="1:21">
      <c r="A215">
        <v>214</v>
      </c>
      <c r="B215" s="14" t="s">
        <v>611</v>
      </c>
      <c r="D215" s="1" t="s">
        <v>612</v>
      </c>
      <c r="E215" s="1"/>
      <c r="F215" s="1"/>
      <c r="G215" s="1"/>
      <c r="H215" s="1"/>
      <c r="I215" s="1"/>
      <c r="J215" s="1"/>
      <c r="K215" s="1"/>
      <c r="L215" s="1"/>
      <c r="N215" s="1"/>
      <c r="O215" s="1"/>
      <c r="P215" s="1"/>
      <c r="Q215" s="1"/>
      <c r="R215" s="1"/>
      <c r="S215" s="1"/>
      <c r="T215" s="1"/>
      <c r="U215" s="1"/>
    </row>
    <row r="216" spans="1:21">
      <c r="A216">
        <v>215</v>
      </c>
      <c r="D216" s="1"/>
      <c r="E216" s="1"/>
      <c r="F216" s="1"/>
      <c r="G216" s="1"/>
      <c r="H216" s="1"/>
      <c r="I216" s="1"/>
      <c r="J216" s="1"/>
      <c r="K216" s="1"/>
      <c r="L216" s="1"/>
      <c r="N216" s="1"/>
      <c r="O216" s="1"/>
      <c r="P216" s="1"/>
      <c r="Q216" s="1"/>
      <c r="R216" s="1"/>
      <c r="S216" s="1"/>
      <c r="T216" s="1"/>
      <c r="U216" s="1"/>
    </row>
    <row r="217" spans="1:21">
      <c r="A217">
        <v>216</v>
      </c>
      <c r="D217" s="1"/>
      <c r="E217" s="1"/>
      <c r="F217" s="1"/>
      <c r="G217" s="1"/>
      <c r="H217" s="1"/>
      <c r="I217" s="1"/>
      <c r="J217" s="1"/>
      <c r="K217" s="1"/>
      <c r="L217" s="1"/>
      <c r="N217" s="1"/>
      <c r="O217" s="1"/>
      <c r="P217" s="1"/>
      <c r="Q217" s="1"/>
      <c r="R217" s="1"/>
      <c r="S217" s="1"/>
      <c r="T217" s="1"/>
      <c r="U217" s="1"/>
    </row>
    <row r="218" spans="1:21">
      <c r="A218">
        <v>217</v>
      </c>
      <c r="D218" s="1"/>
      <c r="E218" s="1"/>
      <c r="F218" s="1"/>
      <c r="G218" s="1"/>
      <c r="H218" s="1"/>
      <c r="I218" s="1"/>
      <c r="J218" s="1"/>
      <c r="K218" s="1"/>
      <c r="L218" s="1"/>
      <c r="N218" s="1"/>
      <c r="O218" s="1"/>
      <c r="P218" s="1"/>
      <c r="Q218" s="1"/>
      <c r="R218" s="1"/>
      <c r="S218" s="1"/>
      <c r="T218" s="1"/>
      <c r="U218" s="1"/>
    </row>
    <row r="219" spans="1:21">
      <c r="A219">
        <v>218</v>
      </c>
      <c r="D219" s="1"/>
      <c r="E219" s="1"/>
      <c r="F219" s="1"/>
      <c r="G219" s="1"/>
      <c r="H219" s="1"/>
      <c r="I219" s="1"/>
      <c r="J219" s="1"/>
      <c r="K219" s="1"/>
      <c r="L219" s="1"/>
      <c r="N219" s="1"/>
      <c r="O219" s="1"/>
      <c r="P219" s="1"/>
      <c r="Q219" s="1"/>
      <c r="R219" s="1"/>
      <c r="S219" s="1"/>
      <c r="T219" s="1"/>
      <c r="U219" s="1"/>
    </row>
    <row r="220" spans="1:21">
      <c r="A220">
        <v>219</v>
      </c>
      <c r="D220" s="1"/>
      <c r="E220" s="1"/>
      <c r="F220" s="1"/>
      <c r="G220" s="1"/>
      <c r="H220" s="1"/>
      <c r="I220" s="1"/>
      <c r="J220" s="1"/>
      <c r="K220" s="1"/>
      <c r="L220" s="1"/>
      <c r="N220" s="1"/>
      <c r="O220" s="1"/>
      <c r="P220" s="1"/>
      <c r="Q220" s="1"/>
      <c r="R220" s="1"/>
      <c r="S220" s="1"/>
      <c r="T220" s="1"/>
      <c r="U220" s="1"/>
    </row>
    <row r="221" spans="1:21">
      <c r="A221">
        <v>220</v>
      </c>
      <c r="D221" s="1"/>
      <c r="E221" s="1"/>
      <c r="F221" s="1"/>
      <c r="G221" s="1"/>
      <c r="H221" s="1"/>
      <c r="I221" s="1"/>
      <c r="J221" s="1"/>
      <c r="K221" s="1"/>
      <c r="L221" s="1"/>
      <c r="N221" s="1"/>
      <c r="O221" s="1"/>
      <c r="P221" s="1"/>
      <c r="Q221" s="1"/>
      <c r="R221" s="1"/>
      <c r="S221" s="1"/>
      <c r="T221" s="1"/>
      <c r="U221" s="1"/>
    </row>
    <row r="222" spans="1:21">
      <c r="A222">
        <v>221</v>
      </c>
      <c r="D222" s="1"/>
      <c r="E222" s="1"/>
      <c r="F222" s="1"/>
      <c r="G222" s="1"/>
      <c r="H222" s="1"/>
      <c r="I222" s="1"/>
      <c r="J222" s="1"/>
      <c r="K222" s="1"/>
      <c r="L222" s="1"/>
      <c r="N222" s="1"/>
      <c r="O222" s="1"/>
      <c r="P222" s="1"/>
      <c r="Q222" s="1"/>
      <c r="R222" s="1"/>
      <c r="S222" s="1"/>
      <c r="T222" s="1"/>
      <c r="U222" s="1"/>
    </row>
    <row r="223" spans="1:21">
      <c r="A223">
        <v>222</v>
      </c>
      <c r="D223" s="1"/>
      <c r="E223" s="1"/>
      <c r="F223" s="1"/>
      <c r="G223" s="1"/>
      <c r="H223" s="1"/>
      <c r="I223" s="1"/>
      <c r="J223" s="1"/>
      <c r="K223" s="1"/>
      <c r="L223" s="1"/>
      <c r="N223" s="1"/>
      <c r="O223" s="1"/>
      <c r="P223" s="1"/>
      <c r="Q223" s="1"/>
      <c r="R223" s="1"/>
      <c r="S223" s="1"/>
      <c r="T223" s="1"/>
      <c r="U223" s="1"/>
    </row>
    <row r="224" spans="1:21">
      <c r="A224">
        <v>223</v>
      </c>
      <c r="D224" s="1"/>
      <c r="E224" s="1"/>
      <c r="F224" s="1"/>
      <c r="G224" s="1"/>
      <c r="H224" s="1"/>
      <c r="I224" s="1"/>
      <c r="J224" s="1"/>
      <c r="K224" s="1"/>
      <c r="L224" s="1"/>
      <c r="N224" s="1"/>
      <c r="O224" s="1"/>
      <c r="P224" s="1"/>
      <c r="Q224" s="1"/>
      <c r="R224" s="1"/>
      <c r="S224" s="1"/>
      <c r="T224" s="1"/>
      <c r="U224" s="1"/>
    </row>
    <row r="225" spans="1:21">
      <c r="A225">
        <v>224</v>
      </c>
      <c r="D225" s="1"/>
      <c r="E225" s="1"/>
      <c r="F225" s="1"/>
      <c r="G225" s="1"/>
      <c r="H225" s="1"/>
      <c r="I225" s="1"/>
      <c r="J225" s="1"/>
      <c r="K225" s="1"/>
      <c r="L225" s="1"/>
      <c r="N225" s="1"/>
      <c r="O225" s="1"/>
      <c r="P225" s="1"/>
      <c r="Q225" s="1"/>
      <c r="R225" s="1"/>
      <c r="S225" s="1"/>
      <c r="T225" s="1"/>
      <c r="U225" s="1"/>
    </row>
    <row r="226" spans="1:21">
      <c r="A226">
        <v>225</v>
      </c>
      <c r="D226" s="1"/>
      <c r="E226" s="1"/>
      <c r="F226" s="1"/>
      <c r="G226" s="1"/>
      <c r="H226" s="1"/>
      <c r="I226" s="1"/>
      <c r="J226" s="1"/>
      <c r="K226" s="1"/>
      <c r="L226" s="1"/>
      <c r="N226" s="1"/>
      <c r="O226" s="1"/>
      <c r="P226" s="1"/>
      <c r="Q226" s="1"/>
      <c r="R226" s="1"/>
      <c r="S226" s="1"/>
      <c r="T226" s="1"/>
      <c r="U226" s="1"/>
    </row>
    <row r="227" spans="1:21">
      <c r="A227">
        <v>226</v>
      </c>
      <c r="D227" s="1"/>
      <c r="E227" s="1"/>
      <c r="F227" s="1"/>
      <c r="G227" s="1"/>
      <c r="H227" s="1"/>
      <c r="I227" s="1"/>
      <c r="J227" s="1"/>
      <c r="K227" s="1"/>
      <c r="L227" s="1"/>
      <c r="N227" s="1"/>
      <c r="O227" s="1"/>
      <c r="P227" s="1"/>
      <c r="Q227" s="1"/>
      <c r="R227" s="1"/>
      <c r="S227" s="1"/>
      <c r="T227" s="1"/>
      <c r="U227" s="1"/>
    </row>
    <row r="228" spans="1:21">
      <c r="A228">
        <v>227</v>
      </c>
      <c r="D228" s="1"/>
      <c r="E228" s="1"/>
      <c r="F228" s="1"/>
      <c r="G228" s="1"/>
      <c r="H228" s="1"/>
      <c r="I228" s="1"/>
      <c r="J228" s="1"/>
      <c r="K228" s="1"/>
      <c r="L228" s="1"/>
      <c r="N228" s="1"/>
      <c r="O228" s="1"/>
      <c r="P228" s="1"/>
      <c r="Q228" s="1"/>
      <c r="R228" s="1"/>
      <c r="S228" s="1"/>
      <c r="T228" s="1"/>
      <c r="U228" s="1"/>
    </row>
    <row r="229" spans="1:21">
      <c r="A229">
        <v>228</v>
      </c>
      <c r="D229" s="1"/>
      <c r="E229" s="1"/>
      <c r="F229" s="1"/>
      <c r="G229" s="1"/>
      <c r="H229" s="1"/>
      <c r="I229" s="1"/>
      <c r="J229" s="1"/>
      <c r="K229" s="1"/>
      <c r="L229" s="1"/>
      <c r="N229" s="1"/>
      <c r="O229" s="1"/>
      <c r="P229" s="1"/>
      <c r="Q229" s="1"/>
      <c r="R229" s="1"/>
      <c r="S229" s="1"/>
      <c r="T229" s="1"/>
      <c r="U229" s="1"/>
    </row>
    <row r="230" spans="1:21">
      <c r="A230">
        <v>229</v>
      </c>
      <c r="D230" s="1"/>
      <c r="E230" s="1"/>
      <c r="F230" s="1"/>
      <c r="G230" s="1"/>
      <c r="H230" s="1"/>
      <c r="I230" s="1"/>
      <c r="J230" s="1"/>
      <c r="K230" s="1"/>
      <c r="L230" s="1"/>
      <c r="N230" s="1"/>
      <c r="O230" s="1"/>
      <c r="P230" s="1"/>
      <c r="Q230" s="1"/>
      <c r="R230" s="1"/>
      <c r="S230" s="1"/>
      <c r="T230" s="1"/>
      <c r="U230" s="1"/>
    </row>
    <row r="231" spans="1:21">
      <c r="A231">
        <v>230</v>
      </c>
      <c r="D231" s="1"/>
      <c r="E231" s="1"/>
      <c r="F231" s="1"/>
      <c r="G231" s="1"/>
      <c r="H231" s="1"/>
      <c r="I231" s="1"/>
      <c r="J231" s="1"/>
      <c r="K231" s="1"/>
      <c r="L231" s="1"/>
      <c r="N231" s="1"/>
      <c r="O231" s="1"/>
      <c r="P231" s="1"/>
      <c r="Q231" s="1"/>
      <c r="R231" s="1"/>
      <c r="S231" s="1"/>
      <c r="T231" s="1"/>
      <c r="U231" s="1"/>
    </row>
    <row r="232" spans="1:21">
      <c r="A232">
        <v>231</v>
      </c>
      <c r="D232" s="1"/>
      <c r="E232" s="1"/>
      <c r="F232" s="1"/>
      <c r="G232" s="1"/>
      <c r="H232" s="1"/>
      <c r="I232" s="1"/>
      <c r="J232" s="1"/>
      <c r="K232" s="1"/>
      <c r="L232" s="1"/>
      <c r="N232" s="1"/>
      <c r="O232" s="1"/>
      <c r="P232" s="1"/>
      <c r="Q232" s="1"/>
      <c r="R232" s="1"/>
      <c r="S232" s="1"/>
      <c r="T232" s="1"/>
      <c r="U232" s="1"/>
    </row>
    <row r="233" spans="1:21">
      <c r="A233">
        <v>232</v>
      </c>
      <c r="D233" s="1"/>
      <c r="E233" s="1"/>
      <c r="F233" s="1"/>
      <c r="G233" s="1"/>
      <c r="H233" s="1"/>
      <c r="I233" s="1"/>
      <c r="J233" s="1"/>
      <c r="K233" s="1"/>
      <c r="L233" s="1"/>
      <c r="N233" s="1"/>
      <c r="O233" s="1"/>
      <c r="P233" s="1"/>
      <c r="Q233" s="1"/>
      <c r="R233" s="1"/>
      <c r="S233" s="1"/>
      <c r="T233" s="1"/>
      <c r="U233" s="1"/>
    </row>
    <row r="234" spans="1:21">
      <c r="A234">
        <v>233</v>
      </c>
      <c r="D234" s="1"/>
      <c r="E234" s="1"/>
      <c r="F234" s="1"/>
      <c r="G234" s="1"/>
      <c r="H234" s="1"/>
      <c r="I234" s="1"/>
      <c r="J234" s="1"/>
      <c r="K234" s="1"/>
      <c r="L234" s="1"/>
      <c r="N234" s="1"/>
      <c r="O234" s="1"/>
      <c r="P234" s="1"/>
      <c r="Q234" s="1"/>
      <c r="R234" s="1"/>
      <c r="S234" s="1"/>
      <c r="T234" s="1"/>
      <c r="U234" s="1"/>
    </row>
    <row r="235" spans="1:21">
      <c r="A235">
        <v>234</v>
      </c>
      <c r="D235" s="1"/>
      <c r="E235" s="1"/>
      <c r="F235" s="1"/>
      <c r="G235" s="1"/>
      <c r="H235" s="1"/>
      <c r="I235" s="1"/>
      <c r="J235" s="1"/>
      <c r="K235" s="1"/>
      <c r="L235" s="1"/>
      <c r="N235" s="1"/>
      <c r="O235" s="1"/>
      <c r="P235" s="1"/>
      <c r="Q235" s="1"/>
      <c r="R235" s="1"/>
      <c r="S235" s="1"/>
      <c r="T235" s="1"/>
      <c r="U235" s="1"/>
    </row>
    <row r="236" spans="1:21">
      <c r="A236">
        <v>235</v>
      </c>
      <c r="D236" s="1"/>
      <c r="E236" s="1"/>
      <c r="F236" s="1"/>
      <c r="G236" s="1"/>
      <c r="H236" s="1"/>
      <c r="I236" s="1"/>
      <c r="J236" s="1"/>
      <c r="K236" s="1"/>
      <c r="L236" s="1"/>
      <c r="N236" s="1"/>
      <c r="O236" s="1"/>
      <c r="P236" s="1"/>
      <c r="Q236" s="1"/>
      <c r="R236" s="1"/>
      <c r="S236" s="1"/>
      <c r="T236" s="1"/>
      <c r="U236" s="1"/>
    </row>
    <row r="237" spans="1:21">
      <c r="A237">
        <v>236</v>
      </c>
      <c r="D237" s="1"/>
      <c r="E237" s="1"/>
      <c r="F237" s="1"/>
      <c r="G237" s="1"/>
      <c r="H237" s="1"/>
      <c r="I237" s="1"/>
      <c r="J237" s="1"/>
      <c r="K237" s="1"/>
      <c r="L237" s="1"/>
      <c r="N237" s="1"/>
      <c r="O237" s="1"/>
      <c r="P237" s="1"/>
      <c r="Q237" s="1"/>
      <c r="R237" s="1"/>
      <c r="S237" s="1"/>
      <c r="T237" s="1"/>
      <c r="U237" s="1"/>
    </row>
    <row r="238" spans="1:21">
      <c r="A238">
        <v>237</v>
      </c>
      <c r="D238" s="1"/>
      <c r="E238" s="1"/>
      <c r="F238" s="1"/>
      <c r="G238" s="1"/>
      <c r="H238" s="1"/>
      <c r="I238" s="1"/>
      <c r="J238" s="1"/>
      <c r="K238" s="1"/>
      <c r="L238" s="1"/>
      <c r="N238" s="1"/>
      <c r="O238" s="1"/>
      <c r="P238" s="1"/>
      <c r="Q238" s="1"/>
      <c r="R238" s="1"/>
      <c r="S238" s="1"/>
      <c r="T238" s="1"/>
      <c r="U238" s="1"/>
    </row>
    <row r="239" spans="1:21">
      <c r="A239">
        <v>238</v>
      </c>
      <c r="D239" s="1"/>
      <c r="E239" s="1"/>
      <c r="F239" s="1"/>
      <c r="G239" s="1"/>
      <c r="H239" s="1"/>
      <c r="I239" s="1"/>
      <c r="J239" s="1"/>
      <c r="K239" s="1"/>
      <c r="L239" s="1"/>
      <c r="N239" s="1"/>
      <c r="O239" s="1"/>
      <c r="P239" s="1"/>
      <c r="Q239" s="1"/>
      <c r="R239" s="1"/>
      <c r="S239" s="1"/>
      <c r="T239" s="1"/>
      <c r="U239" s="1"/>
    </row>
    <row r="240" spans="1:21">
      <c r="A240">
        <v>239</v>
      </c>
      <c r="D240" s="1"/>
      <c r="E240" s="1"/>
      <c r="F240" s="1"/>
      <c r="G240" s="1"/>
      <c r="H240" s="1"/>
      <c r="I240" s="1"/>
      <c r="J240" s="1"/>
      <c r="K240" s="1"/>
      <c r="L240" s="1"/>
      <c r="N240" s="1"/>
      <c r="O240" s="1"/>
      <c r="P240" s="1"/>
      <c r="Q240" s="1"/>
      <c r="R240" s="1"/>
      <c r="S240" s="1"/>
      <c r="T240" s="1"/>
      <c r="U240" s="1"/>
    </row>
    <row r="241" spans="1:21">
      <c r="A241">
        <v>240</v>
      </c>
      <c r="D241" s="1"/>
      <c r="E241" s="1"/>
      <c r="F241" s="1"/>
      <c r="G241" s="1"/>
      <c r="H241" s="1"/>
      <c r="I241" s="1"/>
      <c r="J241" s="1"/>
      <c r="K241" s="1"/>
      <c r="L241" s="1"/>
      <c r="N241" s="1"/>
      <c r="O241" s="1"/>
      <c r="P241" s="1"/>
      <c r="Q241" s="1"/>
      <c r="R241" s="1"/>
      <c r="S241" s="1"/>
      <c r="T241" s="1"/>
      <c r="U241" s="1"/>
    </row>
    <row r="242" spans="1:21">
      <c r="A242">
        <v>241</v>
      </c>
      <c r="D242" s="1"/>
      <c r="E242" s="1"/>
      <c r="F242" s="1"/>
      <c r="G242" s="1"/>
      <c r="H242" s="1"/>
      <c r="I242" s="1"/>
      <c r="J242" s="1"/>
      <c r="K242" s="1"/>
      <c r="L242" s="1"/>
      <c r="N242" s="1"/>
      <c r="O242" s="1"/>
      <c r="P242" s="1"/>
      <c r="Q242" s="1"/>
      <c r="R242" s="1"/>
      <c r="S242" s="1"/>
      <c r="T242" s="1"/>
      <c r="U242" s="1"/>
    </row>
    <row r="243" spans="1:21">
      <c r="A243">
        <v>242</v>
      </c>
      <c r="D243" s="1"/>
      <c r="E243" s="1"/>
      <c r="F243" s="1"/>
      <c r="G243" s="1"/>
      <c r="H243" s="1"/>
      <c r="I243" s="1"/>
      <c r="J243" s="1"/>
      <c r="K243" s="1"/>
      <c r="L243" s="1"/>
      <c r="N243" s="1"/>
      <c r="O243" s="1"/>
      <c r="P243" s="1"/>
      <c r="Q243" s="1"/>
      <c r="R243" s="1"/>
      <c r="S243" s="1"/>
      <c r="T243" s="1"/>
      <c r="U243" s="1"/>
    </row>
    <row r="244" spans="1:21">
      <c r="A244">
        <v>243</v>
      </c>
      <c r="D244" s="1"/>
      <c r="E244" s="1"/>
      <c r="F244" s="1"/>
      <c r="G244" s="1"/>
      <c r="H244" s="1"/>
      <c r="I244" s="1"/>
      <c r="J244" s="1"/>
      <c r="K244" s="1"/>
      <c r="L244" s="1"/>
      <c r="N244" s="1"/>
      <c r="O244" s="1"/>
      <c r="P244" s="1"/>
      <c r="Q244" s="1"/>
      <c r="R244" s="1"/>
      <c r="S244" s="1"/>
      <c r="T244" s="1"/>
      <c r="U244" s="1"/>
    </row>
    <row r="245" spans="1:21">
      <c r="A245">
        <v>244</v>
      </c>
      <c r="D245" s="1"/>
      <c r="E245" s="1"/>
      <c r="F245" s="1"/>
      <c r="G245" s="1"/>
      <c r="H245" s="1"/>
      <c r="I245" s="1"/>
      <c r="J245" s="1"/>
      <c r="K245" s="1"/>
      <c r="L245" s="1"/>
      <c r="N245" s="1"/>
      <c r="O245" s="1"/>
      <c r="P245" s="1"/>
      <c r="Q245" s="1"/>
      <c r="R245" s="1"/>
      <c r="S245" s="1"/>
      <c r="T245" s="1"/>
      <c r="U245" s="1"/>
    </row>
    <row r="246" spans="1:21">
      <c r="A246">
        <v>245</v>
      </c>
      <c r="D246" s="1"/>
      <c r="E246" s="1"/>
      <c r="F246" s="1"/>
      <c r="G246" s="1"/>
      <c r="H246" s="1"/>
      <c r="I246" s="1"/>
      <c r="J246" s="1"/>
      <c r="K246" s="1"/>
      <c r="L246" s="1"/>
      <c r="N246" s="1"/>
      <c r="O246" s="1"/>
      <c r="P246" s="1"/>
      <c r="Q246" s="1"/>
      <c r="R246" s="1"/>
      <c r="S246" s="1"/>
      <c r="T246" s="1"/>
      <c r="U246" s="1"/>
    </row>
    <row r="247" spans="1:21">
      <c r="A247">
        <v>246</v>
      </c>
      <c r="D247" s="1"/>
      <c r="E247" s="1"/>
      <c r="F247" s="1"/>
      <c r="G247" s="1"/>
      <c r="H247" s="1"/>
      <c r="I247" s="1"/>
      <c r="J247" s="1"/>
      <c r="K247" s="1"/>
      <c r="L247" s="1"/>
      <c r="N247" s="1"/>
      <c r="O247" s="1"/>
      <c r="P247" s="1"/>
      <c r="Q247" s="1"/>
      <c r="R247" s="1"/>
      <c r="S247" s="1"/>
      <c r="T247" s="1"/>
      <c r="U247" s="1"/>
    </row>
    <row r="248" spans="1:21">
      <c r="A248">
        <v>247</v>
      </c>
      <c r="D248" s="1"/>
      <c r="E248" s="1"/>
      <c r="F248" s="1"/>
      <c r="G248" s="1"/>
      <c r="H248" s="1"/>
      <c r="I248" s="1"/>
      <c r="J248" s="1"/>
      <c r="K248" s="1"/>
      <c r="L248" s="1"/>
      <c r="N248" s="1"/>
      <c r="O248" s="1"/>
      <c r="P248" s="1"/>
      <c r="Q248" s="1"/>
      <c r="R248" s="1"/>
      <c r="S248" s="1"/>
      <c r="T248" s="1"/>
      <c r="U248" s="1"/>
    </row>
    <row r="249" spans="1:21">
      <c r="A249">
        <v>248</v>
      </c>
      <c r="D249" s="1"/>
      <c r="E249" s="1"/>
      <c r="F249" s="1"/>
      <c r="G249" s="1"/>
      <c r="H249" s="1"/>
      <c r="I249" s="1"/>
      <c r="J249" s="1"/>
      <c r="K249" s="1"/>
      <c r="L249" s="1"/>
      <c r="N249" s="1"/>
      <c r="O249" s="1"/>
      <c r="P249" s="1"/>
      <c r="Q249" s="1"/>
      <c r="R249" s="1"/>
      <c r="S249" s="1"/>
      <c r="T249" s="1"/>
      <c r="U249" s="1"/>
    </row>
    <row r="250" spans="1:21">
      <c r="A250">
        <v>249</v>
      </c>
      <c r="D250" s="1"/>
      <c r="E250" s="1"/>
      <c r="F250" s="1"/>
      <c r="G250" s="1"/>
      <c r="H250" s="1"/>
      <c r="I250" s="1"/>
      <c r="J250" s="1"/>
      <c r="K250" s="1"/>
      <c r="L250" s="1"/>
      <c r="N250" s="1"/>
      <c r="O250" s="1"/>
      <c r="P250" s="1"/>
      <c r="Q250" s="1"/>
      <c r="R250" s="1"/>
      <c r="S250" s="1"/>
      <c r="T250" s="1"/>
      <c r="U250" s="1"/>
    </row>
    <row r="251" spans="1:21">
      <c r="A251">
        <v>250</v>
      </c>
      <c r="D251" s="1"/>
      <c r="E251" s="1"/>
      <c r="F251" s="1"/>
      <c r="G251" s="1"/>
      <c r="H251" s="1"/>
      <c r="I251" s="1"/>
      <c r="J251" s="1"/>
      <c r="K251" s="1"/>
      <c r="L251" s="1"/>
      <c r="N251" s="1"/>
      <c r="O251" s="1"/>
      <c r="P251" s="1"/>
      <c r="Q251" s="1"/>
      <c r="R251" s="1"/>
      <c r="S251" s="1"/>
      <c r="T251" s="1"/>
      <c r="U251" s="1"/>
    </row>
    <row r="252" spans="1:21">
      <c r="A252">
        <v>251</v>
      </c>
      <c r="D252" s="1"/>
      <c r="E252" s="1"/>
      <c r="F252" s="1"/>
      <c r="G252" s="1"/>
      <c r="H252" s="1"/>
      <c r="I252" s="1"/>
      <c r="J252" s="1"/>
      <c r="K252" s="1"/>
      <c r="L252" s="1"/>
      <c r="N252" s="1"/>
      <c r="O252" s="1"/>
      <c r="P252" s="1"/>
      <c r="Q252" s="1"/>
      <c r="R252" s="1"/>
      <c r="S252" s="1"/>
      <c r="T252" s="1"/>
      <c r="U252" s="1"/>
    </row>
    <row r="253" spans="1:21">
      <c r="A253">
        <v>252</v>
      </c>
      <c r="D253" s="1"/>
      <c r="E253" s="1"/>
      <c r="F253" s="1"/>
      <c r="G253" s="1"/>
      <c r="H253" s="1"/>
      <c r="I253" s="1"/>
      <c r="J253" s="1"/>
      <c r="K253" s="1"/>
      <c r="L253" s="1"/>
      <c r="N253" s="1"/>
      <c r="O253" s="1"/>
      <c r="P253" s="1"/>
      <c r="Q253" s="1"/>
      <c r="R253" s="1"/>
      <c r="S253" s="1"/>
      <c r="T253" s="1"/>
      <c r="U253" s="1"/>
    </row>
    <row r="254" spans="1:21">
      <c r="A254">
        <v>253</v>
      </c>
      <c r="D254" s="1"/>
      <c r="E254" s="1"/>
      <c r="F254" s="1"/>
      <c r="G254" s="1"/>
      <c r="H254" s="1"/>
      <c r="I254" s="1"/>
      <c r="J254" s="1"/>
      <c r="K254" s="1"/>
      <c r="L254" s="1"/>
      <c r="N254" s="1"/>
      <c r="O254" s="1"/>
      <c r="P254" s="1"/>
      <c r="Q254" s="1"/>
      <c r="R254" s="1"/>
      <c r="S254" s="1"/>
      <c r="T254" s="1"/>
      <c r="U254" s="1"/>
    </row>
    <row r="255" spans="1:21">
      <c r="A255">
        <v>254</v>
      </c>
      <c r="D255" s="1"/>
      <c r="E255" s="1"/>
      <c r="F255" s="1"/>
      <c r="G255" s="1"/>
      <c r="H255" s="1"/>
      <c r="I255" s="1"/>
      <c r="J255" s="1"/>
      <c r="K255" s="1"/>
      <c r="L255" s="1"/>
      <c r="N255" s="1"/>
      <c r="O255" s="1"/>
      <c r="P255" s="1"/>
      <c r="Q255" s="1"/>
      <c r="R255" s="1"/>
      <c r="S255" s="1"/>
      <c r="T255" s="1"/>
      <c r="U255" s="1"/>
    </row>
    <row r="256" spans="1:21">
      <c r="A256">
        <v>255</v>
      </c>
      <c r="D256" s="1"/>
      <c r="E256" s="1"/>
      <c r="F256" s="1"/>
      <c r="G256" s="1"/>
      <c r="H256" s="1"/>
      <c r="I256" s="1"/>
      <c r="J256" s="1"/>
      <c r="K256" s="1"/>
      <c r="L256" s="1"/>
      <c r="N256" s="1"/>
      <c r="O256" s="1"/>
      <c r="P256" s="1"/>
      <c r="Q256" s="1"/>
      <c r="R256" s="1"/>
      <c r="S256" s="1"/>
      <c r="T256" s="1"/>
      <c r="U256" s="1"/>
    </row>
    <row r="257" spans="1:21">
      <c r="A257">
        <v>256</v>
      </c>
      <c r="D257" s="1"/>
      <c r="E257" s="1"/>
      <c r="F257" s="1"/>
      <c r="G257" s="1"/>
      <c r="H257" s="1"/>
      <c r="I257" s="1"/>
      <c r="J257" s="1"/>
      <c r="K257" s="1"/>
      <c r="L257" s="1"/>
      <c r="N257" s="1"/>
      <c r="O257" s="1"/>
      <c r="P257" s="1"/>
      <c r="Q257" s="1"/>
      <c r="R257" s="1"/>
      <c r="S257" s="1"/>
      <c r="T257" s="1"/>
      <c r="U257" s="1"/>
    </row>
    <row r="258" spans="1:21">
      <c r="A258">
        <v>257</v>
      </c>
      <c r="D258" s="1"/>
      <c r="E258" s="1"/>
      <c r="F258" s="1"/>
      <c r="G258" s="1"/>
      <c r="H258" s="1"/>
      <c r="I258" s="1"/>
      <c r="J258" s="1"/>
      <c r="K258" s="1"/>
      <c r="L258" s="1"/>
      <c r="N258" s="1"/>
      <c r="O258" s="1"/>
      <c r="P258" s="1"/>
      <c r="Q258" s="1"/>
      <c r="R258" s="1"/>
      <c r="S258" s="1"/>
      <c r="T258" s="1"/>
      <c r="U258" s="1"/>
    </row>
    <row r="259" spans="1:21">
      <c r="A259">
        <v>258</v>
      </c>
      <c r="D259" s="1"/>
      <c r="E259" s="1"/>
      <c r="F259" s="1"/>
      <c r="G259" s="1"/>
      <c r="H259" s="1"/>
      <c r="I259" s="1"/>
      <c r="J259" s="1"/>
      <c r="K259" s="1"/>
      <c r="L259" s="1"/>
      <c r="N259" s="1"/>
      <c r="O259" s="1"/>
      <c r="P259" s="1"/>
      <c r="Q259" s="1"/>
      <c r="R259" s="1"/>
      <c r="S259" s="1"/>
      <c r="T259" s="1"/>
      <c r="U259" s="1"/>
    </row>
    <row r="260" spans="1:21">
      <c r="A260">
        <v>259</v>
      </c>
      <c r="D260" s="1"/>
      <c r="E260" s="1"/>
      <c r="F260" s="1"/>
      <c r="G260" s="1"/>
      <c r="H260" s="1"/>
      <c r="I260" s="1"/>
      <c r="J260" s="1"/>
      <c r="K260" s="1"/>
      <c r="L260" s="1"/>
      <c r="N260" s="1"/>
      <c r="O260" s="1"/>
      <c r="P260" s="1"/>
      <c r="Q260" s="1"/>
      <c r="R260" s="1"/>
      <c r="S260" s="1"/>
      <c r="T260" s="1"/>
      <c r="U260" s="1"/>
    </row>
    <row r="261" spans="1:21">
      <c r="A261">
        <v>260</v>
      </c>
      <c r="D261" s="1"/>
      <c r="E261" s="1"/>
      <c r="F261" s="1"/>
      <c r="G261" s="1"/>
      <c r="H261" s="1"/>
      <c r="I261" s="1"/>
      <c r="J261" s="1"/>
      <c r="K261" s="1"/>
      <c r="L261" s="1"/>
      <c r="N261" s="1"/>
      <c r="O261" s="1"/>
      <c r="P261" s="1"/>
      <c r="Q261" s="1"/>
      <c r="R261" s="1"/>
      <c r="S261" s="1"/>
      <c r="T261" s="1"/>
      <c r="U261" s="1"/>
    </row>
    <row r="262" spans="1:21">
      <c r="A262">
        <v>261</v>
      </c>
      <c r="D262" s="1"/>
      <c r="E262" s="1"/>
      <c r="F262" s="1"/>
      <c r="G262" s="1"/>
      <c r="H262" s="1"/>
      <c r="I262" s="1"/>
      <c r="J262" s="1"/>
      <c r="K262" s="1"/>
      <c r="L262" s="1"/>
      <c r="N262" s="1"/>
      <c r="O262" s="1"/>
      <c r="P262" s="1"/>
      <c r="Q262" s="1"/>
      <c r="R262" s="1"/>
      <c r="S262" s="1"/>
      <c r="T262" s="1"/>
      <c r="U262" s="1"/>
    </row>
    <row r="263" spans="1:21">
      <c r="A263">
        <v>262</v>
      </c>
      <c r="D263" s="1"/>
      <c r="E263" s="1"/>
      <c r="F263" s="1"/>
      <c r="G263" s="1"/>
      <c r="H263" s="1"/>
      <c r="I263" s="1"/>
      <c r="J263" s="1"/>
      <c r="K263" s="1"/>
      <c r="L263" s="1"/>
      <c r="N263" s="1"/>
      <c r="O263" s="1"/>
      <c r="P263" s="1"/>
      <c r="Q263" s="1"/>
      <c r="R263" s="1"/>
      <c r="S263" s="1"/>
      <c r="T263" s="1"/>
      <c r="U263" s="1"/>
    </row>
    <row r="264" spans="1:21">
      <c r="A264">
        <v>263</v>
      </c>
      <c r="D264" s="1"/>
      <c r="E264" s="1"/>
      <c r="F264" s="1"/>
      <c r="G264" s="1"/>
      <c r="H264" s="1"/>
      <c r="I264" s="1"/>
      <c r="J264" s="1"/>
      <c r="K264" s="1"/>
      <c r="L264" s="1"/>
      <c r="N264" s="1"/>
      <c r="O264" s="1"/>
      <c r="P264" s="1"/>
      <c r="Q264" s="1"/>
      <c r="R264" s="1"/>
      <c r="S264" s="1"/>
      <c r="T264" s="1"/>
      <c r="U264" s="1"/>
    </row>
    <row r="265" spans="1:21">
      <c r="A265">
        <v>264</v>
      </c>
      <c r="D265" s="1"/>
      <c r="E265" s="1"/>
      <c r="F265" s="1"/>
      <c r="G265" s="1"/>
      <c r="H265" s="1"/>
      <c r="I265" s="1"/>
      <c r="J265" s="1"/>
      <c r="K265" s="1"/>
      <c r="L265" s="1"/>
      <c r="N265" s="1"/>
      <c r="O265" s="1"/>
      <c r="P265" s="1"/>
      <c r="Q265" s="1"/>
      <c r="R265" s="1"/>
      <c r="S265" s="1"/>
      <c r="T265" s="1"/>
      <c r="U265" s="1"/>
    </row>
    <row r="266" spans="1:21">
      <c r="A266">
        <v>265</v>
      </c>
      <c r="D266" s="1"/>
      <c r="E266" s="1"/>
      <c r="F266" s="1"/>
      <c r="G266" s="1"/>
      <c r="H266" s="1"/>
      <c r="I266" s="1"/>
      <c r="J266" s="1"/>
      <c r="K266" s="1"/>
      <c r="L266" s="1"/>
      <c r="N266" s="1"/>
      <c r="O266" s="1"/>
      <c r="P266" s="1"/>
      <c r="Q266" s="1"/>
      <c r="R266" s="1"/>
      <c r="S266" s="1"/>
      <c r="T266" s="1"/>
      <c r="U266" s="1"/>
    </row>
    <row r="267" spans="1:21">
      <c r="A267">
        <v>266</v>
      </c>
      <c r="D267" s="1"/>
      <c r="E267" s="1"/>
      <c r="F267" s="1"/>
      <c r="G267" s="1"/>
      <c r="H267" s="1"/>
      <c r="I267" s="1"/>
      <c r="J267" s="1"/>
      <c r="K267" s="1"/>
      <c r="L267" s="1"/>
      <c r="N267" s="1"/>
      <c r="O267" s="1"/>
      <c r="P267" s="1"/>
      <c r="Q267" s="1"/>
      <c r="R267" s="1"/>
      <c r="S267" s="1"/>
      <c r="T267" s="1"/>
      <c r="U267" s="1"/>
    </row>
    <row r="268" spans="1:21">
      <c r="A268">
        <v>267</v>
      </c>
      <c r="D268" s="1"/>
      <c r="E268" s="1"/>
      <c r="F268" s="1"/>
      <c r="G268" s="1"/>
      <c r="H268" s="1"/>
      <c r="I268" s="1"/>
      <c r="J268" s="1"/>
      <c r="K268" s="1"/>
      <c r="L268" s="1"/>
      <c r="N268" s="1"/>
      <c r="O268" s="1"/>
      <c r="P268" s="1"/>
      <c r="Q268" s="1"/>
      <c r="R268" s="1"/>
      <c r="S268" s="1"/>
      <c r="T268" s="1"/>
      <c r="U268" s="1"/>
    </row>
    <row r="269" spans="1:21">
      <c r="A269">
        <v>268</v>
      </c>
      <c r="D269" s="1"/>
      <c r="E269" s="1"/>
      <c r="F269" s="1"/>
      <c r="G269" s="1"/>
      <c r="H269" s="1"/>
      <c r="I269" s="1"/>
      <c r="J269" s="1"/>
      <c r="K269" s="1"/>
      <c r="L269" s="1"/>
      <c r="N269" s="1"/>
      <c r="O269" s="1"/>
      <c r="P269" s="1"/>
      <c r="Q269" s="1"/>
      <c r="R269" s="1"/>
      <c r="S269" s="1"/>
      <c r="T269" s="1"/>
      <c r="U269" s="1"/>
    </row>
    <row r="270" spans="1:21">
      <c r="A270">
        <v>269</v>
      </c>
      <c r="D270" s="1"/>
      <c r="E270" s="1"/>
      <c r="F270" s="1"/>
      <c r="G270" s="1"/>
      <c r="H270" s="1"/>
      <c r="I270" s="1"/>
      <c r="J270" s="1"/>
      <c r="K270" s="1"/>
      <c r="L270" s="1"/>
      <c r="N270" s="1"/>
      <c r="O270" s="1"/>
      <c r="P270" s="1"/>
      <c r="Q270" s="1"/>
      <c r="R270" s="1"/>
      <c r="S270" s="1"/>
      <c r="T270" s="1"/>
      <c r="U270" s="1"/>
    </row>
    <row r="271" spans="1:21">
      <c r="A271">
        <v>270</v>
      </c>
      <c r="D271" s="1"/>
      <c r="E271" s="1"/>
      <c r="F271" s="1"/>
      <c r="G271" s="1"/>
      <c r="H271" s="1"/>
      <c r="I271" s="1"/>
      <c r="J271" s="1"/>
      <c r="K271" s="1"/>
      <c r="L271" s="1"/>
      <c r="N271" s="1"/>
      <c r="O271" s="1"/>
      <c r="P271" s="1"/>
      <c r="Q271" s="1"/>
      <c r="R271" s="1"/>
      <c r="S271" s="1"/>
      <c r="T271" s="1"/>
      <c r="U271" s="1"/>
    </row>
    <row r="272" spans="1:21">
      <c r="A272">
        <v>271</v>
      </c>
      <c r="D272" s="1"/>
      <c r="E272" s="1"/>
      <c r="F272" s="1"/>
      <c r="G272" s="1"/>
      <c r="H272" s="1"/>
      <c r="I272" s="1"/>
      <c r="J272" s="1"/>
      <c r="K272" s="1"/>
      <c r="L272" s="1"/>
      <c r="N272" s="1"/>
      <c r="O272" s="1"/>
      <c r="P272" s="1"/>
      <c r="Q272" s="1"/>
      <c r="R272" s="1"/>
      <c r="S272" s="1"/>
      <c r="T272" s="1"/>
      <c r="U272" s="1"/>
    </row>
    <row r="273" spans="1:21">
      <c r="A273">
        <v>272</v>
      </c>
      <c r="D273" s="1"/>
      <c r="E273" s="1"/>
      <c r="F273" s="1"/>
      <c r="G273" s="1"/>
      <c r="H273" s="1"/>
      <c r="I273" s="1"/>
      <c r="J273" s="1"/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1:21">
      <c r="A274">
        <v>273</v>
      </c>
      <c r="D274" s="1"/>
      <c r="E274" s="1"/>
      <c r="F274" s="1"/>
      <c r="G274" s="1"/>
      <c r="H274" s="1"/>
      <c r="I274" s="1"/>
      <c r="J274" s="1"/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1:21">
      <c r="A275">
        <v>274</v>
      </c>
      <c r="D275" s="1"/>
      <c r="E275" s="1"/>
      <c r="F275" s="1"/>
      <c r="G275" s="1"/>
      <c r="H275" s="1"/>
      <c r="I275" s="1"/>
      <c r="J275" s="1"/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1:21">
      <c r="A276">
        <v>275</v>
      </c>
      <c r="D276" s="1"/>
      <c r="E276" s="1"/>
      <c r="F276" s="1"/>
      <c r="G276" s="1"/>
      <c r="H276" s="1"/>
      <c r="I276" s="1"/>
      <c r="J276" s="1"/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1:21">
      <c r="A277">
        <v>276</v>
      </c>
      <c r="D277" s="1"/>
      <c r="E277" s="1"/>
      <c r="F277" s="1"/>
      <c r="G277" s="1"/>
      <c r="H277" s="1"/>
      <c r="I277" s="1"/>
      <c r="J277" s="1"/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1:21">
      <c r="A278">
        <v>277</v>
      </c>
      <c r="D278" s="1"/>
      <c r="E278" s="1"/>
      <c r="F278" s="1"/>
      <c r="G278" s="1"/>
      <c r="H278" s="1"/>
      <c r="I278" s="1"/>
      <c r="J278" s="1"/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1:21">
      <c r="A279">
        <v>278</v>
      </c>
      <c r="D279" s="1"/>
      <c r="E279" s="1"/>
      <c r="F279" s="1"/>
      <c r="G279" s="1"/>
      <c r="H279" s="1"/>
      <c r="I279" s="1"/>
      <c r="J279" s="1"/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1:21">
      <c r="A280">
        <v>279</v>
      </c>
      <c r="D280" s="1"/>
      <c r="E280" s="1"/>
      <c r="F280" s="1"/>
      <c r="G280" s="1"/>
      <c r="H280" s="1"/>
      <c r="I280" s="1"/>
      <c r="J280" s="1"/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1:21">
      <c r="A281">
        <v>280</v>
      </c>
      <c r="D281" s="1"/>
      <c r="E281" s="1"/>
      <c r="F281" s="1"/>
      <c r="G281" s="1"/>
      <c r="H281" s="1"/>
      <c r="I281" s="1"/>
      <c r="J281" s="1"/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1:21">
      <c r="A282">
        <v>281</v>
      </c>
      <c r="D282" s="1"/>
      <c r="E282" s="1"/>
      <c r="F282" s="1"/>
      <c r="G282" s="1"/>
      <c r="H282" s="1"/>
      <c r="I282" s="1"/>
      <c r="J282" s="1"/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1:21">
      <c r="A283">
        <v>282</v>
      </c>
      <c r="D283" s="1"/>
      <c r="E283" s="1"/>
      <c r="F283" s="1"/>
      <c r="G283" s="1"/>
      <c r="H283" s="1"/>
      <c r="I283" s="1"/>
      <c r="J283" s="1"/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1:21">
      <c r="A284">
        <v>283</v>
      </c>
      <c r="D284" s="1"/>
      <c r="E284" s="1"/>
      <c r="F284" s="1"/>
      <c r="G284" s="1"/>
      <c r="H284" s="1"/>
      <c r="I284" s="1"/>
      <c r="J284" s="1"/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1:21">
      <c r="A285">
        <v>284</v>
      </c>
      <c r="D285" s="1"/>
      <c r="E285" s="1"/>
      <c r="F285" s="1"/>
      <c r="G285" s="1"/>
      <c r="H285" s="1"/>
      <c r="I285" s="1"/>
      <c r="J285" s="1"/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1:21">
      <c r="A286">
        <v>285</v>
      </c>
      <c r="D286" s="1"/>
      <c r="E286" s="1"/>
      <c r="F286" s="1"/>
      <c r="G286" s="1"/>
      <c r="H286" s="1"/>
      <c r="I286" s="1"/>
      <c r="J286" s="1"/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1:21">
      <c r="A287">
        <v>286</v>
      </c>
      <c r="D287" s="1"/>
      <c r="E287" s="1"/>
      <c r="F287" s="1"/>
      <c r="G287" s="1"/>
      <c r="H287" s="1"/>
      <c r="I287" s="1"/>
      <c r="J287" s="1"/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1:21">
      <c r="A288">
        <v>287</v>
      </c>
      <c r="D288" s="1"/>
      <c r="E288" s="1"/>
      <c r="F288" s="1"/>
      <c r="G288" s="1"/>
      <c r="H288" s="1"/>
      <c r="I288" s="1"/>
      <c r="J288" s="1"/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1:21">
      <c r="A289">
        <v>288</v>
      </c>
      <c r="D289" s="1"/>
      <c r="E289" s="1"/>
      <c r="F289" s="1"/>
      <c r="G289" s="1"/>
      <c r="H289" s="1"/>
      <c r="I289" s="1"/>
      <c r="J289" s="1"/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1:21">
      <c r="A290">
        <v>289</v>
      </c>
      <c r="D290" s="1"/>
      <c r="E290" s="1"/>
      <c r="F290" s="1"/>
      <c r="G290" s="1"/>
      <c r="H290" s="1"/>
      <c r="I290" s="1"/>
      <c r="J290" s="1"/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1:21">
      <c r="A291">
        <v>290</v>
      </c>
      <c r="D291" s="1"/>
      <c r="E291" s="1"/>
      <c r="F291" s="1"/>
      <c r="G291" s="1"/>
      <c r="H291" s="1"/>
      <c r="I291" s="1"/>
      <c r="J291" s="1"/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1:21">
      <c r="A292">
        <v>291</v>
      </c>
      <c r="D292" s="1"/>
      <c r="E292" s="1"/>
      <c r="F292" s="1"/>
      <c r="G292" s="1"/>
      <c r="H292" s="1"/>
      <c r="I292" s="1"/>
      <c r="J292" s="1"/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1:21">
      <c r="A293">
        <v>292</v>
      </c>
      <c r="D293" s="1"/>
      <c r="E293" s="1"/>
      <c r="F293" s="1"/>
      <c r="G293" s="1"/>
      <c r="H293" s="1"/>
      <c r="I293" s="1"/>
      <c r="J293" s="1"/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1:21">
      <c r="A294">
        <v>293</v>
      </c>
      <c r="D294" s="1"/>
      <c r="E294" s="1"/>
      <c r="F294" s="1"/>
      <c r="G294" s="1"/>
      <c r="H294" s="1"/>
      <c r="I294" s="1"/>
      <c r="J294" s="1"/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1:21">
      <c r="A295">
        <v>294</v>
      </c>
      <c r="D295" s="1"/>
      <c r="E295" s="1"/>
      <c r="F295" s="1"/>
      <c r="G295" s="1"/>
      <c r="H295" s="1"/>
      <c r="I295" s="1"/>
      <c r="J295" s="1"/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1:21">
      <c r="A296">
        <v>295</v>
      </c>
      <c r="D296" s="1"/>
      <c r="E296" s="1"/>
      <c r="F296" s="1"/>
      <c r="G296" s="1"/>
      <c r="H296" s="1"/>
      <c r="I296" s="1"/>
      <c r="J296" s="1"/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1:21">
      <c r="A297">
        <v>296</v>
      </c>
      <c r="D297" s="1"/>
      <c r="E297" s="1"/>
      <c r="F297" s="1"/>
      <c r="G297" s="1"/>
      <c r="H297" s="1"/>
      <c r="I297" s="1"/>
      <c r="J297" s="1"/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1:21">
      <c r="A298">
        <v>297</v>
      </c>
      <c r="D298" s="1"/>
      <c r="E298" s="1"/>
      <c r="F298" s="1"/>
      <c r="G298" s="1"/>
      <c r="H298" s="1"/>
      <c r="I298" s="1"/>
      <c r="J298" s="1"/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1:21">
      <c r="A299">
        <v>298</v>
      </c>
      <c r="D299" s="1"/>
      <c r="E299" s="1"/>
      <c r="F299" s="1"/>
      <c r="G299" s="1"/>
      <c r="H299" s="1"/>
      <c r="I299" s="1"/>
      <c r="J299" s="1"/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1:21">
      <c r="A300">
        <v>299</v>
      </c>
      <c r="D300" s="1"/>
      <c r="E300" s="1"/>
      <c r="F300" s="1"/>
      <c r="G300" s="1"/>
      <c r="H300" s="1"/>
      <c r="I300" s="1"/>
      <c r="J300" s="1"/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1:21">
      <c r="A301">
        <v>300</v>
      </c>
      <c r="D301" s="1"/>
      <c r="E301" s="1"/>
      <c r="F301" s="1"/>
      <c r="G301" s="1"/>
      <c r="H301" s="1"/>
      <c r="I301" s="1"/>
      <c r="J301" s="1"/>
      <c r="K301" s="1"/>
      <c r="L301" s="1"/>
      <c r="N301" s="1"/>
      <c r="O301" s="1"/>
      <c r="P301" s="1"/>
      <c r="Q301" s="1"/>
      <c r="R301" s="1"/>
      <c r="S301" s="1"/>
      <c r="T301" s="1"/>
      <c r="U301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workbookViewId="0">
      <selection activeCell="A9" sqref="A9"/>
    </sheetView>
  </sheetViews>
  <sheetFormatPr defaultRowHeight="15"/>
  <cols>
    <col min="3" max="28" width="0" hidden="1" customWidth="1"/>
  </cols>
  <sheetData>
    <row r="1" spans="1:31" ht="18.75">
      <c r="A1" s="32" t="s">
        <v>9</v>
      </c>
      <c r="B1" s="12" t="s">
        <v>646</v>
      </c>
      <c r="C1" s="12" t="s">
        <v>647</v>
      </c>
      <c r="D1" s="12" t="s">
        <v>648</v>
      </c>
      <c r="E1" s="12" t="s">
        <v>649</v>
      </c>
      <c r="F1" s="12" t="s">
        <v>650</v>
      </c>
      <c r="G1" s="12" t="s">
        <v>651</v>
      </c>
      <c r="H1" s="12" t="s">
        <v>652</v>
      </c>
      <c r="I1" s="12" t="s">
        <v>653</v>
      </c>
      <c r="J1" s="12" t="s">
        <v>654</v>
      </c>
      <c r="K1" s="12" t="s">
        <v>655</v>
      </c>
      <c r="L1" s="12" t="s">
        <v>656</v>
      </c>
      <c r="M1" s="12" t="s">
        <v>657</v>
      </c>
      <c r="N1" s="12" t="s">
        <v>658</v>
      </c>
      <c r="O1" s="12" t="s">
        <v>659</v>
      </c>
      <c r="P1" s="12" t="s">
        <v>660</v>
      </c>
      <c r="Q1" s="12" t="s">
        <v>661</v>
      </c>
      <c r="R1" s="12" t="s">
        <v>662</v>
      </c>
      <c r="S1" s="12" t="s">
        <v>663</v>
      </c>
      <c r="T1" s="12" t="s">
        <v>664</v>
      </c>
      <c r="U1" s="12" t="s">
        <v>665</v>
      </c>
      <c r="V1" s="12" t="s">
        <v>666</v>
      </c>
      <c r="W1" s="12" t="s">
        <v>667</v>
      </c>
      <c r="X1" s="12" t="s">
        <v>668</v>
      </c>
      <c r="Y1" s="12" t="s">
        <v>669</v>
      </c>
      <c r="Z1" s="12" t="s">
        <v>670</v>
      </c>
      <c r="AA1" s="12" t="s">
        <v>671</v>
      </c>
      <c r="AB1" s="12" t="s">
        <v>672</v>
      </c>
      <c r="AC1" s="12" t="s">
        <v>673</v>
      </c>
      <c r="AD1" s="12" t="s">
        <v>674</v>
      </c>
      <c r="AE1" s="13" t="s">
        <v>724</v>
      </c>
    </row>
    <row r="2" spans="1:31">
      <c r="A2" s="7" t="s">
        <v>21</v>
      </c>
      <c r="B2" t="s">
        <v>747</v>
      </c>
      <c r="C2" s="77" t="e">
        <v>#DIV/0!</v>
      </c>
      <c r="D2" s="77" t="e">
        <v>#DIV/0!</v>
      </c>
      <c r="E2" s="77" t="e">
        <v>#DIV/0!</v>
      </c>
      <c r="F2" s="77" t="e">
        <v>#DIV/0!</v>
      </c>
      <c r="G2" s="77" t="e">
        <v>#DIV/0!</v>
      </c>
      <c r="H2" s="77" t="e">
        <v>#DIV/0!</v>
      </c>
      <c r="I2" s="77" t="e">
        <v>#DIV/0!</v>
      </c>
      <c r="J2" s="77" t="e">
        <v>#DIV/0!</v>
      </c>
      <c r="K2" s="77" t="e">
        <v>#DIV/0!</v>
      </c>
      <c r="L2" s="77" t="e">
        <v>#DIV/0!</v>
      </c>
      <c r="M2" s="77" t="e">
        <v>#DIV/0!</v>
      </c>
      <c r="N2" s="77" t="e">
        <v>#DIV/0!</v>
      </c>
      <c r="O2" s="77" t="e">
        <v>#DIV/0!</v>
      </c>
      <c r="P2" s="77" t="e">
        <v>#DIV/0!</v>
      </c>
      <c r="Q2" s="77" t="e">
        <v>#DIV/0!</v>
      </c>
      <c r="R2" s="77" t="e">
        <v>#DIV/0!</v>
      </c>
      <c r="S2" s="77" t="e">
        <v>#DIV/0!</v>
      </c>
      <c r="T2" s="77" t="e">
        <v>#DIV/0!</v>
      </c>
      <c r="U2" s="77">
        <v>2862.6515151515146</v>
      </c>
      <c r="V2" s="77">
        <v>3369.3333333333353</v>
      </c>
      <c r="W2" s="77">
        <v>2728.6158192090379</v>
      </c>
      <c r="X2" s="77">
        <v>2909.0555555555561</v>
      </c>
      <c r="Y2" s="77">
        <v>3000.2604166666674</v>
      </c>
      <c r="Z2" s="77">
        <v>3099.055555555557</v>
      </c>
      <c r="AA2" s="77">
        <v>2785.4885057471256</v>
      </c>
      <c r="AB2" s="77">
        <v>2882.9722222222217</v>
      </c>
      <c r="AC2" s="77">
        <v>2511.5897435897427</v>
      </c>
      <c r="AD2" s="77">
        <v>2465.136612021859</v>
      </c>
      <c r="AE2" s="77">
        <v>2417.3517261904758</v>
      </c>
    </row>
    <row r="3" spans="1:31">
      <c r="A3" s="7" t="s">
        <v>191</v>
      </c>
      <c r="B3" t="s">
        <v>747</v>
      </c>
      <c r="C3" s="77" t="e">
        <v>#DIV/0!</v>
      </c>
      <c r="D3" s="77" t="e">
        <v>#DIV/0!</v>
      </c>
      <c r="E3" s="77" t="e">
        <v>#DIV/0!</v>
      </c>
      <c r="F3" s="77" t="e">
        <v>#DIV/0!</v>
      </c>
      <c r="G3" s="77" t="e">
        <v>#DIV/0!</v>
      </c>
      <c r="H3" s="77" t="e">
        <v>#DIV/0!</v>
      </c>
      <c r="I3" s="77" t="e">
        <v>#DIV/0!</v>
      </c>
      <c r="J3" s="77" t="e">
        <v>#DIV/0!</v>
      </c>
      <c r="K3" s="77" t="e">
        <v>#DIV/0!</v>
      </c>
      <c r="L3" s="77" t="e">
        <v>#DIV/0!</v>
      </c>
      <c r="M3" s="77" t="e">
        <v>#DIV/0!</v>
      </c>
      <c r="N3" s="77" t="e">
        <v>#DIV/0!</v>
      </c>
      <c r="O3" s="77" t="e">
        <v>#DIV/0!</v>
      </c>
      <c r="P3" s="77" t="e">
        <v>#DIV/0!</v>
      </c>
      <c r="Q3" s="77" t="e">
        <v>#DIV/0!</v>
      </c>
      <c r="R3" s="77" t="e">
        <v>#DIV/0!</v>
      </c>
      <c r="S3" s="77" t="e">
        <v>#DIV/0!</v>
      </c>
      <c r="T3" s="77" t="e">
        <v>#DIV/0!</v>
      </c>
      <c r="U3" s="77">
        <v>2937.8787878787884</v>
      </c>
      <c r="V3" s="77">
        <v>3438.8888888888896</v>
      </c>
      <c r="W3" s="77">
        <v>2802.6553672316377</v>
      </c>
      <c r="X3" s="77">
        <v>2982.8611111111113</v>
      </c>
      <c r="Y3" s="77">
        <v>3118.7239583333348</v>
      </c>
      <c r="Z3" s="77">
        <v>3132.6111111111095</v>
      </c>
      <c r="AA3" s="77">
        <v>2835.0287356321828</v>
      </c>
      <c r="AB3" s="77">
        <v>2921.3833333333328</v>
      </c>
      <c r="AC3" s="77">
        <v>2557.1435897435895</v>
      </c>
      <c r="AD3" s="77">
        <v>2552.4754098360659</v>
      </c>
      <c r="AE3" s="77">
        <v>2504.1366666666654</v>
      </c>
    </row>
    <row r="4" spans="1:31">
      <c r="A4" s="7" t="s">
        <v>51</v>
      </c>
      <c r="B4" t="s">
        <v>747</v>
      </c>
      <c r="C4" s="77" t="e">
        <v>#DIV/0!</v>
      </c>
      <c r="D4" s="77" t="e">
        <v>#DIV/0!</v>
      </c>
      <c r="E4" s="77" t="e">
        <v>#DIV/0!</v>
      </c>
      <c r="F4" s="77" t="e">
        <v>#DIV/0!</v>
      </c>
      <c r="G4" s="77" t="e">
        <v>#DIV/0!</v>
      </c>
      <c r="H4" s="77" t="e">
        <v>#DIV/0!</v>
      </c>
      <c r="I4" s="77" t="e">
        <v>#DIV/0!</v>
      </c>
      <c r="J4" s="77" t="e">
        <v>#DIV/0!</v>
      </c>
      <c r="K4" s="77" t="e">
        <v>#DIV/0!</v>
      </c>
      <c r="L4" s="77" t="e">
        <v>#DIV/0!</v>
      </c>
      <c r="M4" s="77" t="e">
        <v>#DIV/0!</v>
      </c>
      <c r="N4" s="77" t="e">
        <v>#DIV/0!</v>
      </c>
      <c r="O4" s="77" t="e">
        <v>#DIV/0!</v>
      </c>
      <c r="P4" s="77" t="e">
        <v>#DIV/0!</v>
      </c>
      <c r="Q4" s="77" t="e">
        <v>#DIV/0!</v>
      </c>
      <c r="R4" s="77" t="e">
        <v>#DIV/0!</v>
      </c>
      <c r="S4" s="77" t="e">
        <v>#DIV/0!</v>
      </c>
      <c r="T4" s="77" t="e">
        <v>#DIV/0!</v>
      </c>
      <c r="U4" s="77">
        <v>2925.4924242424245</v>
      </c>
      <c r="V4" s="77">
        <v>3483.5277777777792</v>
      </c>
      <c r="W4" s="77">
        <v>2841.2429378531065</v>
      </c>
      <c r="X4" s="77">
        <v>2953.833333333333</v>
      </c>
      <c r="Y4" s="77">
        <v>3114.3489583333326</v>
      </c>
      <c r="Z4" s="77">
        <v>3108.2500000000005</v>
      </c>
      <c r="AA4" s="77">
        <v>2822.9022988505749</v>
      </c>
      <c r="AB4" s="77">
        <v>2925.183333333332</v>
      </c>
      <c r="AC4" s="77">
        <v>2563.2358974358972</v>
      </c>
      <c r="AD4" s="77">
        <v>2569.8469945355182</v>
      </c>
      <c r="AE4" s="77">
        <v>2519.9889880952364</v>
      </c>
    </row>
    <row r="5" spans="1:31">
      <c r="A5" s="7" t="s">
        <v>55</v>
      </c>
      <c r="B5" t="s">
        <v>747</v>
      </c>
      <c r="C5" s="77" t="e">
        <v>#DIV/0!</v>
      </c>
      <c r="D5" s="77" t="e">
        <v>#DIV/0!</v>
      </c>
      <c r="E5" s="77" t="e">
        <v>#DIV/0!</v>
      </c>
      <c r="F5" s="77" t="e">
        <v>#DIV/0!</v>
      </c>
      <c r="G5" s="77" t="e">
        <v>#DIV/0!</v>
      </c>
      <c r="H5" s="77" t="e">
        <v>#DIV/0!</v>
      </c>
      <c r="I5" s="77" t="e">
        <v>#DIV/0!</v>
      </c>
      <c r="J5" s="77" t="e">
        <v>#DIV/0!</v>
      </c>
      <c r="K5" s="77" t="e">
        <v>#DIV/0!</v>
      </c>
      <c r="L5" s="77" t="e">
        <v>#DIV/0!</v>
      </c>
      <c r="M5" s="77" t="e">
        <v>#DIV/0!</v>
      </c>
      <c r="N5" s="77" t="e">
        <v>#DIV/0!</v>
      </c>
      <c r="O5" s="77" t="e">
        <v>#DIV/0!</v>
      </c>
      <c r="P5" s="77" t="e">
        <v>#DIV/0!</v>
      </c>
      <c r="Q5" s="77" t="e">
        <v>#DIV/0!</v>
      </c>
      <c r="R5" s="77" t="e">
        <v>#DIV/0!</v>
      </c>
      <c r="S5" s="77" t="e">
        <v>#DIV/0!</v>
      </c>
      <c r="T5" s="77" t="e">
        <v>#DIV/0!</v>
      </c>
      <c r="U5" s="77">
        <v>2918.295454545454</v>
      </c>
      <c r="V5" s="77">
        <v>3454.4166666666661</v>
      </c>
      <c r="W5" s="77">
        <v>2820.3672316384168</v>
      </c>
      <c r="X5" s="77">
        <v>2938.5833333333326</v>
      </c>
      <c r="Y5" s="77">
        <v>3111.3020833333317</v>
      </c>
      <c r="Z5" s="77">
        <v>3096.3611111111118</v>
      </c>
      <c r="AA5" s="77">
        <v>2804.454022988506</v>
      </c>
      <c r="AB5" s="77">
        <v>2921.8611111111118</v>
      </c>
      <c r="AC5" s="77">
        <v>2556.4102564102568</v>
      </c>
      <c r="AD5" s="77">
        <v>2557.9508196721313</v>
      </c>
      <c r="AE5" s="77">
        <v>2516.7227380952377</v>
      </c>
    </row>
    <row r="6" spans="1:31">
      <c r="A6" s="7" t="s">
        <v>136</v>
      </c>
      <c r="B6" t="s">
        <v>747</v>
      </c>
      <c r="C6" s="77" t="e">
        <v>#DIV/0!</v>
      </c>
      <c r="D6" s="77" t="e">
        <v>#DIV/0!</v>
      </c>
      <c r="E6" s="77" t="e">
        <v>#DIV/0!</v>
      </c>
      <c r="F6" s="77" t="e">
        <v>#DIV/0!</v>
      </c>
      <c r="G6" s="77" t="e">
        <v>#DIV/0!</v>
      </c>
      <c r="H6" s="77" t="e">
        <v>#DIV/0!</v>
      </c>
      <c r="I6" s="77" t="e">
        <v>#DIV/0!</v>
      </c>
      <c r="J6" s="77" t="e">
        <v>#DIV/0!</v>
      </c>
      <c r="K6" s="77" t="e">
        <v>#DIV/0!</v>
      </c>
      <c r="L6" s="77" t="e">
        <v>#DIV/0!</v>
      </c>
      <c r="M6" s="77" t="e">
        <v>#DIV/0!</v>
      </c>
      <c r="N6" s="77" t="e">
        <v>#DIV/0!</v>
      </c>
      <c r="O6" s="77" t="e">
        <v>#DIV/0!</v>
      </c>
      <c r="P6" s="77" t="e">
        <v>#DIV/0!</v>
      </c>
      <c r="Q6" s="77" t="e">
        <v>#DIV/0!</v>
      </c>
      <c r="R6" s="77" t="e">
        <v>#DIV/0!</v>
      </c>
      <c r="S6" s="77" t="e">
        <v>#DIV/0!</v>
      </c>
      <c r="T6" s="77" t="e">
        <v>#DIV/0!</v>
      </c>
      <c r="U6" s="77">
        <v>2896.2500000000005</v>
      </c>
      <c r="V6" s="77">
        <v>3413.5277777777787</v>
      </c>
      <c r="W6" s="77">
        <v>2910.621468926553</v>
      </c>
      <c r="X6" s="77">
        <v>2927.8888888888896</v>
      </c>
      <c r="Y6" s="77">
        <v>2980.3906249999995</v>
      </c>
      <c r="Z6" s="77">
        <v>3087.7777777777787</v>
      </c>
      <c r="AA6" s="77">
        <v>2826.9827586206916</v>
      </c>
      <c r="AB6" s="77">
        <v>2875.0555555555557</v>
      </c>
      <c r="AC6" s="77">
        <v>2517.9743589743593</v>
      </c>
      <c r="AD6" s="77">
        <v>2490.655737704918</v>
      </c>
      <c r="AE6" s="77">
        <v>2444.8522619047603</v>
      </c>
    </row>
    <row r="7" spans="1:31">
      <c r="A7" s="7" t="s">
        <v>62</v>
      </c>
      <c r="B7" t="s">
        <v>747</v>
      </c>
      <c r="C7" s="77" t="e">
        <v>#DIV/0!</v>
      </c>
      <c r="D7" s="77" t="e">
        <v>#DIV/0!</v>
      </c>
      <c r="E7" s="77" t="e">
        <v>#DIV/0!</v>
      </c>
      <c r="F7" s="77" t="e">
        <v>#DIV/0!</v>
      </c>
      <c r="G7" s="77" t="e">
        <v>#DIV/0!</v>
      </c>
      <c r="H7" s="77" t="e">
        <v>#DIV/0!</v>
      </c>
      <c r="I7" s="77" t="e">
        <v>#DIV/0!</v>
      </c>
      <c r="J7" s="77" t="e">
        <v>#DIV/0!</v>
      </c>
      <c r="K7" s="77" t="e">
        <v>#DIV/0!</v>
      </c>
      <c r="L7" s="77" t="e">
        <v>#DIV/0!</v>
      </c>
      <c r="M7" s="77" t="e">
        <v>#DIV/0!</v>
      </c>
      <c r="N7" s="77" t="e">
        <v>#DIV/0!</v>
      </c>
      <c r="O7" s="77" t="e">
        <v>#DIV/0!</v>
      </c>
      <c r="P7" s="77" t="e">
        <v>#DIV/0!</v>
      </c>
      <c r="Q7" s="77" t="e">
        <v>#DIV/0!</v>
      </c>
      <c r="R7" s="77" t="e">
        <v>#DIV/0!</v>
      </c>
      <c r="S7" s="77" t="e">
        <v>#DIV/0!</v>
      </c>
      <c r="T7" s="77" t="e">
        <v>#DIV/0!</v>
      </c>
      <c r="U7" s="77">
        <v>2879.4507575757575</v>
      </c>
      <c r="V7" s="77">
        <v>3391.430555555557</v>
      </c>
      <c r="W7" s="77">
        <v>2819.6186440677957</v>
      </c>
      <c r="X7" s="77">
        <v>2918.4722222222226</v>
      </c>
      <c r="Y7" s="77">
        <v>2990.3255208333335</v>
      </c>
      <c r="Z7" s="77">
        <v>3093.4166666666679</v>
      </c>
      <c r="AA7" s="77">
        <v>2806.2356321839088</v>
      </c>
      <c r="AB7" s="77">
        <v>2879.0138888888887</v>
      </c>
      <c r="AC7" s="77">
        <v>2514.7820512820508</v>
      </c>
      <c r="AD7" s="77">
        <v>2477.8961748633883</v>
      </c>
      <c r="AE7" s="77">
        <v>2431.1019940476181</v>
      </c>
    </row>
    <row r="8" spans="1:31">
      <c r="A8" s="7" t="s">
        <v>30</v>
      </c>
      <c r="B8" t="s">
        <v>747</v>
      </c>
      <c r="C8" s="77" t="e">
        <v>#DIV/0!</v>
      </c>
      <c r="D8" s="77" t="e">
        <v>#DIV/0!</v>
      </c>
      <c r="E8" s="77" t="e">
        <v>#DIV/0!</v>
      </c>
      <c r="F8" s="77" t="e">
        <v>#DIV/0!</v>
      </c>
      <c r="G8" s="77" t="e">
        <v>#DIV/0!</v>
      </c>
      <c r="H8" s="77" t="e">
        <v>#DIV/0!</v>
      </c>
      <c r="I8" s="77" t="e">
        <v>#DIV/0!</v>
      </c>
      <c r="J8" s="77" t="e">
        <v>#DIV/0!</v>
      </c>
      <c r="K8" s="77" t="e">
        <v>#DIV/0!</v>
      </c>
      <c r="L8" s="77" t="e">
        <v>#DIV/0!</v>
      </c>
      <c r="M8" s="77" t="e">
        <v>#DIV/0!</v>
      </c>
      <c r="N8" s="77" t="e">
        <v>#DIV/0!</v>
      </c>
      <c r="O8" s="77" t="e">
        <v>#DIV/0!</v>
      </c>
      <c r="P8" s="77" t="e">
        <v>#DIV/0!</v>
      </c>
      <c r="Q8" s="77" t="e">
        <v>#DIV/0!</v>
      </c>
      <c r="R8" s="77" t="e">
        <v>#DIV/0!</v>
      </c>
      <c r="S8" s="77" t="e">
        <v>#DIV/0!</v>
      </c>
      <c r="T8" s="77" t="e">
        <v>#DIV/0!</v>
      </c>
      <c r="U8" s="77">
        <v>2921.893939393939</v>
      </c>
      <c r="V8" s="77">
        <v>3468.9722222222226</v>
      </c>
      <c r="W8" s="77">
        <v>2830.8050847457616</v>
      </c>
      <c r="X8" s="77">
        <v>2946.208333333333</v>
      </c>
      <c r="Y8" s="77">
        <v>3112.8255208333321</v>
      </c>
      <c r="Z8" s="77">
        <v>3102.3055555555561</v>
      </c>
      <c r="AA8" s="77">
        <v>2813.6781609195405</v>
      </c>
      <c r="AB8" s="77">
        <v>2923.5222222222219</v>
      </c>
      <c r="AC8" s="77">
        <v>2559.8230769230768</v>
      </c>
      <c r="AD8" s="77">
        <v>2563.898907103825</v>
      </c>
      <c r="AE8" s="77">
        <v>2518.3558630952371</v>
      </c>
    </row>
    <row r="9" spans="1:31">
      <c r="A9" s="7" t="s">
        <v>81</v>
      </c>
      <c r="B9" t="s">
        <v>747</v>
      </c>
      <c r="C9" s="77" t="e">
        <v>#DIV/0!</v>
      </c>
      <c r="D9" s="77" t="e">
        <v>#DIV/0!</v>
      </c>
      <c r="E9" s="77" t="e">
        <v>#DIV/0!</v>
      </c>
      <c r="F9" s="77" t="e">
        <v>#DIV/0!</v>
      </c>
      <c r="G9" s="77" t="e">
        <v>#DIV/0!</v>
      </c>
      <c r="H9" s="77" t="e">
        <v>#DIV/0!</v>
      </c>
      <c r="I9" s="77" t="e">
        <v>#DIV/0!</v>
      </c>
      <c r="J9" s="77" t="e">
        <v>#DIV/0!</v>
      </c>
      <c r="K9" s="77" t="e">
        <v>#DIV/0!</v>
      </c>
      <c r="L9" s="77" t="e">
        <v>#DIV/0!</v>
      </c>
      <c r="M9" s="77" t="e">
        <v>#DIV/0!</v>
      </c>
      <c r="N9" s="77" t="e">
        <v>#DIV/0!</v>
      </c>
      <c r="O9" s="77" t="e">
        <v>#DIV/0!</v>
      </c>
      <c r="P9" s="77" t="e">
        <v>#DIV/0!</v>
      </c>
      <c r="Q9" s="77" t="e">
        <v>#DIV/0!</v>
      </c>
      <c r="R9" s="77" t="e">
        <v>#DIV/0!</v>
      </c>
      <c r="S9" s="77" t="e">
        <v>#DIV/0!</v>
      </c>
      <c r="T9" s="77" t="e">
        <v>#DIV/0!</v>
      </c>
      <c r="U9" s="77">
        <v>2879.4507575757575</v>
      </c>
      <c r="V9" s="77">
        <v>3391.430555555557</v>
      </c>
      <c r="W9" s="77">
        <v>2819.6186440677957</v>
      </c>
      <c r="X9" s="77">
        <v>2918.4722222222226</v>
      </c>
      <c r="Y9" s="77">
        <v>2990.3255208333335</v>
      </c>
      <c r="Z9" s="77">
        <v>3093.4166666666679</v>
      </c>
      <c r="AA9" s="77">
        <v>2806.2356321839088</v>
      </c>
      <c r="AB9" s="77">
        <v>2879.0138888888887</v>
      </c>
      <c r="AC9" s="77">
        <v>2514.7820512820508</v>
      </c>
      <c r="AD9" s="77">
        <v>2477.8961748633883</v>
      </c>
      <c r="AE9" s="77">
        <v>2431.1019940476181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22"/>
  <sheetViews>
    <sheetView workbookViewId="0">
      <selection activeCell="G11" sqref="G11"/>
    </sheetView>
  </sheetViews>
  <sheetFormatPr defaultColWidth="12.5703125" defaultRowHeight="15"/>
  <cols>
    <col min="1" max="1" width="5.28515625" customWidth="1"/>
    <col min="3" max="3" width="22.140625" customWidth="1"/>
    <col min="6" max="6" width="10.28515625" customWidth="1"/>
    <col min="8" max="8" width="7.140625" customWidth="1"/>
    <col min="9" max="9" width="12.5703125" hidden="1" customWidth="1"/>
    <col min="17" max="17" width="16.7109375" customWidth="1"/>
    <col min="18" max="45" width="12.42578125" customWidth="1"/>
  </cols>
  <sheetData>
    <row r="1" spans="1:16" ht="18.75">
      <c r="A1" s="12" t="s">
        <v>1</v>
      </c>
      <c r="B1" s="12" t="s">
        <v>2</v>
      </c>
      <c r="C1" s="12" t="s">
        <v>3</v>
      </c>
      <c r="D1" s="31" t="s">
        <v>759</v>
      </c>
      <c r="E1" s="78" t="s">
        <v>768</v>
      </c>
      <c r="F1" s="78" t="s">
        <v>769</v>
      </c>
      <c r="G1" s="78" t="s">
        <v>770</v>
      </c>
      <c r="H1" s="78" t="s">
        <v>771</v>
      </c>
      <c r="I1" s="33" t="s">
        <v>21</v>
      </c>
      <c r="J1" s="33" t="s">
        <v>191</v>
      </c>
      <c r="K1" s="33" t="s">
        <v>51</v>
      </c>
      <c r="L1" s="33" t="s">
        <v>55</v>
      </c>
      <c r="M1" s="33" t="s">
        <v>62</v>
      </c>
      <c r="N1" s="33" t="s">
        <v>30</v>
      </c>
      <c r="O1" s="33" t="s">
        <v>136</v>
      </c>
      <c r="P1" s="33" t="s">
        <v>81</v>
      </c>
    </row>
    <row r="2" spans="1:16" ht="15.75">
      <c r="A2">
        <v>1</v>
      </c>
      <c r="B2" t="s">
        <v>16</v>
      </c>
      <c r="C2" t="s">
        <v>17</v>
      </c>
      <c r="D2" s="75">
        <v>0</v>
      </c>
      <c r="E2" s="79"/>
      <c r="F2" s="79"/>
      <c r="G2" s="79"/>
      <c r="H2" s="79"/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</row>
    <row r="3" spans="1:16" ht="15.75">
      <c r="A3">
        <v>2</v>
      </c>
      <c r="B3" t="s">
        <v>23</v>
      </c>
      <c r="C3" t="s">
        <v>24</v>
      </c>
      <c r="D3" s="75">
        <v>1</v>
      </c>
      <c r="E3" s="79" t="s">
        <v>773</v>
      </c>
      <c r="F3" s="79">
        <v>1</v>
      </c>
      <c r="G3" s="79"/>
      <c r="H3" s="79">
        <v>0</v>
      </c>
      <c r="I3" s="75">
        <v>1</v>
      </c>
      <c r="J3" s="75">
        <v>0</v>
      </c>
      <c r="K3" s="75">
        <v>0</v>
      </c>
      <c r="L3" s="75">
        <v>0</v>
      </c>
      <c r="M3" s="75">
        <v>0</v>
      </c>
      <c r="N3" s="75">
        <v>0</v>
      </c>
      <c r="O3" s="75">
        <v>0</v>
      </c>
      <c r="P3" s="75">
        <v>0</v>
      </c>
    </row>
    <row r="4" spans="1:16" ht="15.75">
      <c r="A4">
        <v>3</v>
      </c>
      <c r="B4" t="s">
        <v>26</v>
      </c>
      <c r="C4" t="s">
        <v>27</v>
      </c>
      <c r="D4" s="75">
        <v>1</v>
      </c>
      <c r="E4" s="79" t="s">
        <v>774</v>
      </c>
      <c r="F4" s="79">
        <v>0.5</v>
      </c>
      <c r="G4" s="79" t="s">
        <v>775</v>
      </c>
      <c r="H4" s="79">
        <v>0.5</v>
      </c>
      <c r="I4" s="75">
        <v>0</v>
      </c>
      <c r="J4" s="75">
        <v>0</v>
      </c>
      <c r="K4" s="75">
        <v>0.5</v>
      </c>
      <c r="L4" s="75">
        <v>0.5</v>
      </c>
      <c r="M4" s="75">
        <v>0</v>
      </c>
      <c r="N4" s="75">
        <v>0</v>
      </c>
      <c r="O4" s="75">
        <v>0</v>
      </c>
      <c r="P4" s="75">
        <v>0</v>
      </c>
    </row>
    <row r="5" spans="1:16" ht="15.75">
      <c r="A5">
        <v>4</v>
      </c>
      <c r="B5" t="s">
        <v>32</v>
      </c>
      <c r="C5" t="s">
        <v>33</v>
      </c>
      <c r="D5" s="75">
        <v>0.5</v>
      </c>
      <c r="E5" s="79" t="s">
        <v>35</v>
      </c>
      <c r="F5" s="79">
        <v>1</v>
      </c>
      <c r="G5" s="79"/>
      <c r="H5" s="79">
        <v>0</v>
      </c>
      <c r="I5" s="75">
        <v>0</v>
      </c>
      <c r="J5" s="75">
        <v>0</v>
      </c>
      <c r="K5" s="75">
        <v>0</v>
      </c>
      <c r="L5" s="75">
        <v>0</v>
      </c>
      <c r="M5" s="75">
        <v>0</v>
      </c>
      <c r="N5" s="75">
        <v>0</v>
      </c>
      <c r="O5" s="75">
        <v>0</v>
      </c>
      <c r="P5" s="75">
        <v>1</v>
      </c>
    </row>
    <row r="6" spans="1:16" ht="15.75">
      <c r="A6">
        <v>5</v>
      </c>
      <c r="B6" t="s">
        <v>38</v>
      </c>
      <c r="C6" t="s">
        <v>39</v>
      </c>
      <c r="D6" s="75">
        <v>1</v>
      </c>
      <c r="E6" s="79" t="s">
        <v>35</v>
      </c>
      <c r="F6" s="79">
        <v>1</v>
      </c>
      <c r="G6" s="79"/>
      <c r="H6" s="79">
        <v>0</v>
      </c>
      <c r="I6" s="75">
        <v>0</v>
      </c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5">
        <v>1</v>
      </c>
    </row>
    <row r="7" spans="1:16" ht="15.75">
      <c r="A7">
        <v>6</v>
      </c>
      <c r="B7" t="s">
        <v>41</v>
      </c>
      <c r="C7" t="s">
        <v>42</v>
      </c>
      <c r="D7" s="75">
        <v>1</v>
      </c>
      <c r="E7" s="79" t="s">
        <v>775</v>
      </c>
      <c r="F7" s="79">
        <v>1</v>
      </c>
      <c r="G7" s="79"/>
      <c r="H7" s="79">
        <v>0</v>
      </c>
      <c r="I7" s="75">
        <v>0</v>
      </c>
      <c r="J7" s="75">
        <v>0</v>
      </c>
      <c r="K7" s="75">
        <v>0</v>
      </c>
      <c r="L7" s="75">
        <v>1</v>
      </c>
      <c r="M7" s="75">
        <v>0</v>
      </c>
      <c r="N7" s="75">
        <v>0</v>
      </c>
      <c r="O7" s="75">
        <v>0</v>
      </c>
      <c r="P7" s="75">
        <v>0</v>
      </c>
    </row>
    <row r="8" spans="1:16" ht="15.75">
      <c r="A8">
        <v>7</v>
      </c>
      <c r="B8" t="s">
        <v>44</v>
      </c>
      <c r="C8" t="s">
        <v>45</v>
      </c>
      <c r="D8" s="75">
        <v>1</v>
      </c>
      <c r="E8" s="79" t="s">
        <v>775</v>
      </c>
      <c r="F8" s="79">
        <v>1</v>
      </c>
      <c r="G8" s="79"/>
      <c r="H8" s="79">
        <v>0</v>
      </c>
      <c r="I8" s="75">
        <v>0</v>
      </c>
      <c r="J8" s="75">
        <v>0</v>
      </c>
      <c r="K8" s="75">
        <v>0</v>
      </c>
      <c r="L8" s="75">
        <v>1</v>
      </c>
      <c r="M8" s="75">
        <v>0</v>
      </c>
      <c r="N8" s="75">
        <v>0</v>
      </c>
      <c r="O8" s="75">
        <v>0</v>
      </c>
      <c r="P8" s="75">
        <v>0</v>
      </c>
    </row>
    <row r="9" spans="1:16" ht="15.75">
      <c r="A9">
        <v>8</v>
      </c>
      <c r="B9" t="s">
        <v>46</v>
      </c>
      <c r="C9" t="s">
        <v>47</v>
      </c>
      <c r="D9" s="75">
        <v>1</v>
      </c>
      <c r="E9" s="79" t="s">
        <v>774</v>
      </c>
      <c r="F9" s="79">
        <v>0.5</v>
      </c>
      <c r="G9" s="79" t="s">
        <v>775</v>
      </c>
      <c r="H9" s="79">
        <v>0.5</v>
      </c>
      <c r="I9" s="75">
        <v>0</v>
      </c>
      <c r="J9" s="75">
        <v>0</v>
      </c>
      <c r="K9" s="75">
        <v>0.5</v>
      </c>
      <c r="L9" s="75">
        <v>0.5</v>
      </c>
      <c r="M9" s="75">
        <v>0</v>
      </c>
      <c r="N9" s="75">
        <v>0</v>
      </c>
      <c r="O9" s="75">
        <v>0</v>
      </c>
      <c r="P9" s="75">
        <v>0</v>
      </c>
    </row>
    <row r="10" spans="1:16" ht="15.75">
      <c r="A10">
        <v>9</v>
      </c>
      <c r="B10" t="s">
        <v>49</v>
      </c>
      <c r="C10" t="s">
        <v>50</v>
      </c>
      <c r="D10" s="75">
        <v>0</v>
      </c>
      <c r="E10" s="79"/>
      <c r="F10" s="79"/>
      <c r="G10" s="79"/>
      <c r="H10" s="79"/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</row>
    <row r="11" spans="1:16" ht="15.75">
      <c r="A11">
        <v>10</v>
      </c>
      <c r="B11" t="s">
        <v>52</v>
      </c>
      <c r="C11" t="s">
        <v>53</v>
      </c>
      <c r="D11" s="75">
        <v>1</v>
      </c>
      <c r="E11" s="79" t="s">
        <v>775</v>
      </c>
      <c r="F11" s="79">
        <v>1</v>
      </c>
      <c r="G11" s="79"/>
      <c r="H11" s="79">
        <v>0</v>
      </c>
      <c r="I11" s="75">
        <v>0</v>
      </c>
      <c r="J11" s="75">
        <v>0</v>
      </c>
      <c r="K11" s="75">
        <v>0</v>
      </c>
      <c r="L11" s="75">
        <v>1</v>
      </c>
      <c r="M11" s="75">
        <v>0</v>
      </c>
      <c r="N11" s="75">
        <v>0</v>
      </c>
      <c r="O11" s="75">
        <v>0</v>
      </c>
      <c r="P11" s="75">
        <v>0</v>
      </c>
    </row>
    <row r="12" spans="1:16" ht="15.75">
      <c r="A12">
        <v>11</v>
      </c>
      <c r="B12" t="s">
        <v>56</v>
      </c>
      <c r="C12" t="s">
        <v>57</v>
      </c>
      <c r="D12" s="75">
        <v>1</v>
      </c>
      <c r="E12" s="79" t="s">
        <v>775</v>
      </c>
      <c r="F12" s="79">
        <v>1</v>
      </c>
      <c r="G12" s="79"/>
      <c r="H12" s="79">
        <v>0</v>
      </c>
      <c r="I12" s="75">
        <v>0</v>
      </c>
      <c r="J12" s="75">
        <v>0</v>
      </c>
      <c r="K12" s="75">
        <v>0</v>
      </c>
      <c r="L12" s="75">
        <v>1</v>
      </c>
      <c r="M12" s="75">
        <v>0</v>
      </c>
      <c r="N12" s="75">
        <v>0</v>
      </c>
      <c r="O12" s="75">
        <v>0</v>
      </c>
      <c r="P12" s="75">
        <v>0</v>
      </c>
    </row>
    <row r="13" spans="1:16" ht="15.75">
      <c r="A13">
        <v>12</v>
      </c>
      <c r="B13" t="s">
        <v>59</v>
      </c>
      <c r="C13" t="s">
        <v>60</v>
      </c>
      <c r="D13" s="75">
        <v>0.5</v>
      </c>
      <c r="E13" s="79" t="s">
        <v>776</v>
      </c>
      <c r="F13" s="79">
        <v>1</v>
      </c>
      <c r="G13" s="79"/>
      <c r="H13" s="79">
        <v>0</v>
      </c>
      <c r="I13" s="75">
        <v>0</v>
      </c>
      <c r="J13" s="75">
        <v>0</v>
      </c>
      <c r="K13" s="75">
        <v>0</v>
      </c>
      <c r="L13" s="75">
        <v>0</v>
      </c>
      <c r="M13" s="75">
        <v>1</v>
      </c>
      <c r="N13" s="75">
        <v>0</v>
      </c>
      <c r="O13" s="75">
        <v>0</v>
      </c>
      <c r="P13" s="75">
        <v>0</v>
      </c>
    </row>
    <row r="14" spans="1:16" ht="15.75">
      <c r="A14">
        <v>13</v>
      </c>
      <c r="B14" t="s">
        <v>63</v>
      </c>
      <c r="C14" t="s">
        <v>64</v>
      </c>
      <c r="D14" s="75">
        <v>0.5</v>
      </c>
      <c r="E14" s="79" t="s">
        <v>776</v>
      </c>
      <c r="F14" s="79">
        <v>1</v>
      </c>
      <c r="G14" s="79"/>
      <c r="H14" s="79">
        <v>0</v>
      </c>
      <c r="I14" s="75">
        <v>0</v>
      </c>
      <c r="J14" s="75">
        <v>0</v>
      </c>
      <c r="K14" s="75">
        <v>0</v>
      </c>
      <c r="L14" s="75">
        <v>0</v>
      </c>
      <c r="M14" s="75">
        <v>1</v>
      </c>
      <c r="N14" s="75">
        <v>0</v>
      </c>
      <c r="O14" s="75">
        <v>0</v>
      </c>
      <c r="P14" s="75">
        <v>0</v>
      </c>
    </row>
    <row r="15" spans="1:16" ht="15.75">
      <c r="A15">
        <v>14</v>
      </c>
      <c r="B15" t="s">
        <v>66</v>
      </c>
      <c r="C15" t="s">
        <v>67</v>
      </c>
      <c r="D15" s="75">
        <v>0.5</v>
      </c>
      <c r="E15" s="79" t="s">
        <v>776</v>
      </c>
      <c r="F15" s="79">
        <v>1</v>
      </c>
      <c r="G15" s="79"/>
      <c r="H15" s="79">
        <v>0</v>
      </c>
      <c r="I15" s="75">
        <v>0</v>
      </c>
      <c r="J15" s="75">
        <v>0</v>
      </c>
      <c r="K15" s="75">
        <v>0</v>
      </c>
      <c r="L15" s="75">
        <v>0</v>
      </c>
      <c r="M15" s="75">
        <v>1</v>
      </c>
      <c r="N15" s="75">
        <v>0</v>
      </c>
      <c r="O15" s="75">
        <v>0</v>
      </c>
      <c r="P15" s="75">
        <v>0</v>
      </c>
    </row>
    <row r="16" spans="1:16" ht="15.75">
      <c r="A16">
        <v>15</v>
      </c>
      <c r="B16" t="s">
        <v>69</v>
      </c>
      <c r="C16" t="s">
        <v>70</v>
      </c>
      <c r="D16" s="75">
        <v>0.5</v>
      </c>
      <c r="E16" s="79" t="s">
        <v>776</v>
      </c>
      <c r="F16" s="79">
        <v>1</v>
      </c>
      <c r="G16" s="79"/>
      <c r="H16" s="79">
        <v>0</v>
      </c>
      <c r="I16" s="75">
        <v>0</v>
      </c>
      <c r="J16" s="75">
        <v>0</v>
      </c>
      <c r="K16" s="75">
        <v>0</v>
      </c>
      <c r="L16" s="75">
        <v>0</v>
      </c>
      <c r="M16" s="75">
        <v>1</v>
      </c>
      <c r="N16" s="75">
        <v>0</v>
      </c>
      <c r="O16" s="75">
        <v>0</v>
      </c>
      <c r="P16" s="75">
        <v>0</v>
      </c>
    </row>
    <row r="17" spans="1:16" ht="15.75">
      <c r="A17">
        <v>16</v>
      </c>
      <c r="B17" t="s">
        <v>71</v>
      </c>
      <c r="C17" t="s">
        <v>72</v>
      </c>
      <c r="D17" s="75">
        <v>0.5</v>
      </c>
      <c r="E17" s="79" t="s">
        <v>776</v>
      </c>
      <c r="F17" s="79">
        <v>1</v>
      </c>
      <c r="G17" s="79"/>
      <c r="H17" s="79">
        <v>0</v>
      </c>
      <c r="I17" s="75">
        <v>0</v>
      </c>
      <c r="J17" s="75">
        <v>0</v>
      </c>
      <c r="K17" s="75">
        <v>0</v>
      </c>
      <c r="L17" s="75">
        <v>0</v>
      </c>
      <c r="M17" s="75">
        <v>1</v>
      </c>
      <c r="N17" s="75">
        <v>0</v>
      </c>
      <c r="O17" s="75">
        <v>0</v>
      </c>
      <c r="P17" s="75">
        <v>0</v>
      </c>
    </row>
    <row r="18" spans="1:16" ht="15.75">
      <c r="A18">
        <v>17</v>
      </c>
      <c r="B18" t="s">
        <v>74</v>
      </c>
      <c r="C18" t="s">
        <v>75</v>
      </c>
      <c r="D18" s="75">
        <v>0.5</v>
      </c>
      <c r="E18" s="79" t="s">
        <v>776</v>
      </c>
      <c r="F18" s="79">
        <v>1</v>
      </c>
      <c r="G18" s="79"/>
      <c r="H18" s="79">
        <v>0</v>
      </c>
      <c r="I18" s="75">
        <v>0</v>
      </c>
      <c r="J18" s="75">
        <v>0</v>
      </c>
      <c r="K18" s="75">
        <v>0</v>
      </c>
      <c r="L18" s="75">
        <v>0</v>
      </c>
      <c r="M18" s="75">
        <v>1</v>
      </c>
      <c r="N18" s="75">
        <v>0</v>
      </c>
      <c r="O18" s="75">
        <v>0</v>
      </c>
      <c r="P18" s="75">
        <v>0</v>
      </c>
    </row>
    <row r="19" spans="1:16" ht="15.75">
      <c r="A19">
        <v>18</v>
      </c>
      <c r="B19" t="s">
        <v>77</v>
      </c>
      <c r="C19" t="s">
        <v>78</v>
      </c>
      <c r="D19" s="75">
        <v>0</v>
      </c>
      <c r="E19" s="79"/>
      <c r="F19" s="79"/>
      <c r="G19" s="79"/>
      <c r="H19" s="79"/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</row>
    <row r="20" spans="1:16" ht="15.75">
      <c r="A20">
        <v>19</v>
      </c>
      <c r="B20" t="s">
        <v>82</v>
      </c>
      <c r="C20" t="s">
        <v>83</v>
      </c>
      <c r="D20" s="75">
        <v>0</v>
      </c>
      <c r="E20" s="79"/>
      <c r="F20" s="79"/>
      <c r="G20" s="79"/>
      <c r="H20" s="79"/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</row>
    <row r="21" spans="1:16" ht="15.75">
      <c r="A21">
        <v>20</v>
      </c>
      <c r="B21" t="s">
        <v>86</v>
      </c>
      <c r="C21" t="s">
        <v>87</v>
      </c>
      <c r="D21" s="75">
        <v>0</v>
      </c>
      <c r="E21" s="79"/>
      <c r="F21" s="79"/>
      <c r="G21" s="79"/>
      <c r="H21" s="79"/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</row>
    <row r="22" spans="1:16" ht="15.75">
      <c r="A22">
        <v>21</v>
      </c>
      <c r="B22" t="s">
        <v>89</v>
      </c>
      <c r="C22" t="s">
        <v>90</v>
      </c>
      <c r="D22" s="75">
        <v>0</v>
      </c>
      <c r="E22" s="79"/>
      <c r="F22" s="79"/>
      <c r="G22" s="79"/>
      <c r="H22" s="79"/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</row>
    <row r="23" spans="1:16" ht="15.75">
      <c r="A23">
        <v>22</v>
      </c>
      <c r="B23" t="s">
        <v>93</v>
      </c>
      <c r="C23" t="s">
        <v>94</v>
      </c>
      <c r="D23" s="75">
        <v>0</v>
      </c>
      <c r="E23" s="79"/>
      <c r="F23" s="79"/>
      <c r="G23" s="79"/>
      <c r="H23" s="79"/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</row>
    <row r="24" spans="1:16" ht="15.75">
      <c r="A24">
        <v>23</v>
      </c>
      <c r="B24" t="s">
        <v>97</v>
      </c>
      <c r="C24" t="s">
        <v>98</v>
      </c>
      <c r="D24" s="75">
        <v>0</v>
      </c>
      <c r="E24" s="79"/>
      <c r="F24" s="79"/>
      <c r="G24" s="79"/>
      <c r="H24" s="79"/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</row>
    <row r="25" spans="1:16" ht="15.75">
      <c r="A25">
        <v>24</v>
      </c>
      <c r="B25" t="s">
        <v>100</v>
      </c>
      <c r="C25" t="s">
        <v>101</v>
      </c>
      <c r="D25" s="75">
        <v>0</v>
      </c>
      <c r="E25" s="79"/>
      <c r="F25" s="79"/>
      <c r="G25" s="79"/>
      <c r="H25" s="79"/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</row>
    <row r="26" spans="1:16" ht="15.75">
      <c r="A26">
        <v>25</v>
      </c>
      <c r="B26" t="s">
        <v>103</v>
      </c>
      <c r="C26" t="s">
        <v>104</v>
      </c>
      <c r="D26" s="75">
        <v>1</v>
      </c>
      <c r="E26" s="79" t="s">
        <v>777</v>
      </c>
      <c r="F26" s="79">
        <v>0.2</v>
      </c>
      <c r="G26" s="79" t="s">
        <v>778</v>
      </c>
      <c r="H26" s="79">
        <v>0.8</v>
      </c>
      <c r="I26" s="75">
        <v>0</v>
      </c>
      <c r="J26" s="75">
        <v>0</v>
      </c>
      <c r="K26" s="75">
        <v>0.2</v>
      </c>
      <c r="L26" s="75">
        <v>0.8</v>
      </c>
      <c r="M26" s="75">
        <v>0</v>
      </c>
      <c r="N26" s="75">
        <v>0</v>
      </c>
      <c r="O26" s="75">
        <v>0</v>
      </c>
      <c r="P26" s="75">
        <v>0</v>
      </c>
    </row>
    <row r="27" spans="1:16" ht="15.75">
      <c r="A27">
        <v>26</v>
      </c>
      <c r="B27" t="s">
        <v>107</v>
      </c>
      <c r="C27" t="s">
        <v>108</v>
      </c>
      <c r="D27" s="75">
        <v>0.7</v>
      </c>
      <c r="E27" s="79" t="s">
        <v>778</v>
      </c>
      <c r="F27" s="79">
        <v>1</v>
      </c>
      <c r="G27" s="79"/>
      <c r="H27" s="79">
        <v>0</v>
      </c>
      <c r="I27" s="75">
        <v>0</v>
      </c>
      <c r="J27" s="75">
        <v>0</v>
      </c>
      <c r="K27" s="75">
        <v>0</v>
      </c>
      <c r="L27" s="75">
        <v>1</v>
      </c>
      <c r="M27" s="75">
        <v>0</v>
      </c>
      <c r="N27" s="75">
        <v>0</v>
      </c>
      <c r="O27" s="75">
        <v>0</v>
      </c>
      <c r="P27" s="75">
        <v>0</v>
      </c>
    </row>
    <row r="28" spans="1:16" ht="15.75">
      <c r="A28">
        <v>27</v>
      </c>
      <c r="B28" t="s">
        <v>110</v>
      </c>
      <c r="C28" t="s">
        <v>111</v>
      </c>
      <c r="D28" s="75">
        <v>0</v>
      </c>
      <c r="E28" s="79"/>
      <c r="F28" s="79"/>
      <c r="G28" s="79"/>
      <c r="H28" s="79"/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</row>
    <row r="29" spans="1:16" ht="15.75">
      <c r="A29">
        <v>28</v>
      </c>
      <c r="B29" t="s">
        <v>113</v>
      </c>
      <c r="C29" t="s">
        <v>114</v>
      </c>
      <c r="D29" s="75">
        <v>0</v>
      </c>
      <c r="E29" s="79"/>
      <c r="F29" s="79"/>
      <c r="G29" s="79"/>
      <c r="H29" s="79"/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</row>
    <row r="30" spans="1:16" ht="15.75">
      <c r="A30">
        <v>29</v>
      </c>
      <c r="B30" t="s">
        <v>117</v>
      </c>
      <c r="C30" t="s">
        <v>118</v>
      </c>
      <c r="D30" s="75">
        <v>0</v>
      </c>
      <c r="E30" s="79"/>
      <c r="F30" s="79"/>
      <c r="G30" s="79"/>
      <c r="H30" s="79"/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</row>
    <row r="31" spans="1:16" ht="15.75">
      <c r="A31">
        <v>30</v>
      </c>
      <c r="B31" t="s">
        <v>121</v>
      </c>
      <c r="C31" t="s">
        <v>122</v>
      </c>
      <c r="D31" s="75">
        <v>0</v>
      </c>
      <c r="E31" s="79"/>
      <c r="F31" s="79"/>
      <c r="G31" s="79"/>
      <c r="H31" s="79"/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</row>
    <row r="32" spans="1:16" ht="15.75">
      <c r="A32">
        <v>31</v>
      </c>
      <c r="B32" t="s">
        <v>124</v>
      </c>
      <c r="C32" t="s">
        <v>125</v>
      </c>
      <c r="D32" s="75">
        <v>1</v>
      </c>
      <c r="E32" s="79" t="s">
        <v>779</v>
      </c>
      <c r="F32" s="79">
        <v>1</v>
      </c>
      <c r="G32" s="79"/>
      <c r="H32" s="79">
        <v>0</v>
      </c>
      <c r="I32" s="75">
        <v>1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</row>
    <row r="33" spans="1:45" ht="15.75">
      <c r="A33">
        <v>32</v>
      </c>
      <c r="B33" t="s">
        <v>127</v>
      </c>
      <c r="C33" t="s">
        <v>128</v>
      </c>
      <c r="D33" s="75">
        <v>0</v>
      </c>
      <c r="E33" s="79"/>
      <c r="F33" s="79"/>
      <c r="G33" s="79"/>
      <c r="H33" s="79"/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</row>
    <row r="34" spans="1:45" ht="15.75">
      <c r="A34">
        <v>33</v>
      </c>
      <c r="B34" t="s">
        <v>130</v>
      </c>
      <c r="C34" t="s">
        <v>131</v>
      </c>
      <c r="D34" s="75">
        <v>0</v>
      </c>
      <c r="E34" s="79"/>
      <c r="F34" s="79"/>
      <c r="G34" s="79"/>
      <c r="H34" s="79"/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75">
        <v>0</v>
      </c>
      <c r="O34" s="75">
        <v>0</v>
      </c>
      <c r="P34" s="75">
        <v>0</v>
      </c>
    </row>
    <row r="35" spans="1:45" ht="15.75">
      <c r="A35">
        <v>34</v>
      </c>
      <c r="B35" t="s">
        <v>133</v>
      </c>
      <c r="C35" t="s">
        <v>134</v>
      </c>
      <c r="D35" s="75">
        <v>0</v>
      </c>
      <c r="E35" s="79"/>
      <c r="F35" s="79"/>
      <c r="G35" s="79"/>
      <c r="H35" s="79"/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</row>
    <row r="36" spans="1:45" ht="15.75">
      <c r="A36">
        <v>35</v>
      </c>
      <c r="B36" t="s">
        <v>137</v>
      </c>
      <c r="C36" t="s">
        <v>138</v>
      </c>
      <c r="D36" s="75">
        <v>1</v>
      </c>
      <c r="E36" s="79" t="s">
        <v>780</v>
      </c>
      <c r="F36" s="79">
        <v>1</v>
      </c>
      <c r="G36" s="79"/>
      <c r="H36" s="79">
        <v>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1</v>
      </c>
      <c r="P36" s="75">
        <v>0</v>
      </c>
    </row>
    <row r="37" spans="1:45" ht="15.75">
      <c r="A37">
        <v>36</v>
      </c>
      <c r="B37" t="s">
        <v>140</v>
      </c>
      <c r="C37" t="s">
        <v>141</v>
      </c>
      <c r="D37" s="75">
        <v>0</v>
      </c>
      <c r="E37" s="79"/>
      <c r="F37" s="79"/>
      <c r="G37" s="79"/>
      <c r="H37" s="79"/>
      <c r="I37" s="75">
        <v>0</v>
      </c>
      <c r="J37" s="75">
        <v>0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75">
        <v>0</v>
      </c>
    </row>
    <row r="38" spans="1:45" ht="15.75">
      <c r="A38">
        <v>37</v>
      </c>
      <c r="B38" t="s">
        <v>143</v>
      </c>
      <c r="C38" t="s">
        <v>144</v>
      </c>
      <c r="D38" s="75">
        <v>0</v>
      </c>
      <c r="E38" s="79"/>
      <c r="F38" s="79"/>
      <c r="G38" s="79"/>
      <c r="H38" s="79"/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</row>
    <row r="39" spans="1:45" ht="15.75">
      <c r="A39">
        <v>38</v>
      </c>
      <c r="B39" t="s">
        <v>148</v>
      </c>
      <c r="C39" t="s">
        <v>149</v>
      </c>
      <c r="D39" s="75">
        <v>1</v>
      </c>
      <c r="E39" s="79" t="s">
        <v>150</v>
      </c>
      <c r="F39" s="79">
        <v>1</v>
      </c>
      <c r="G39" s="79"/>
      <c r="H39" s="79">
        <v>0</v>
      </c>
      <c r="I39" s="75">
        <v>0</v>
      </c>
      <c r="J39" s="75">
        <v>0</v>
      </c>
      <c r="K39" s="75">
        <v>1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</row>
    <row r="40" spans="1:45" ht="15.75">
      <c r="A40">
        <v>39</v>
      </c>
      <c r="B40" t="s">
        <v>151</v>
      </c>
      <c r="C40" t="s">
        <v>152</v>
      </c>
      <c r="D40" s="75">
        <v>1</v>
      </c>
      <c r="E40" s="79" t="s">
        <v>150</v>
      </c>
      <c r="F40" s="79">
        <v>1</v>
      </c>
      <c r="G40" s="79"/>
      <c r="H40" s="79">
        <v>0</v>
      </c>
      <c r="I40" s="75">
        <v>0</v>
      </c>
      <c r="J40" s="75">
        <v>0</v>
      </c>
      <c r="K40" s="75">
        <v>1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</row>
    <row r="41" spans="1:45" ht="15.75">
      <c r="A41">
        <v>40</v>
      </c>
      <c r="B41" t="s">
        <v>153</v>
      </c>
      <c r="C41" t="s">
        <v>154</v>
      </c>
      <c r="D41" s="75">
        <v>0</v>
      </c>
      <c r="E41" s="79"/>
      <c r="F41" s="79"/>
      <c r="G41" s="79"/>
      <c r="H41" s="79"/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</row>
    <row r="42" spans="1:45" ht="15.75">
      <c r="A42">
        <v>41</v>
      </c>
      <c r="B42" t="s">
        <v>157</v>
      </c>
      <c r="C42" t="s">
        <v>158</v>
      </c>
      <c r="D42" s="75">
        <v>0</v>
      </c>
      <c r="E42" s="79"/>
      <c r="F42" s="79"/>
      <c r="G42" s="79"/>
      <c r="H42" s="79"/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</row>
    <row r="43" spans="1:45" ht="15.75">
      <c r="A43">
        <v>42</v>
      </c>
      <c r="B43" t="s">
        <v>161</v>
      </c>
      <c r="C43" t="s">
        <v>162</v>
      </c>
      <c r="D43" s="75">
        <v>0.5</v>
      </c>
      <c r="E43" s="79" t="s">
        <v>776</v>
      </c>
      <c r="F43" s="79">
        <v>1</v>
      </c>
      <c r="G43" s="79"/>
      <c r="H43" s="79">
        <v>0</v>
      </c>
      <c r="I43" s="75">
        <v>0</v>
      </c>
      <c r="J43" s="75">
        <v>0</v>
      </c>
      <c r="K43" s="75">
        <v>0</v>
      </c>
      <c r="L43" s="75">
        <v>0</v>
      </c>
      <c r="M43" s="75">
        <v>1</v>
      </c>
      <c r="N43" s="75">
        <v>0</v>
      </c>
      <c r="O43" s="75">
        <v>0</v>
      </c>
      <c r="P43" s="75">
        <v>0</v>
      </c>
    </row>
    <row r="44" spans="1:45" ht="15.75">
      <c r="A44">
        <v>43</v>
      </c>
      <c r="B44" t="s">
        <v>164</v>
      </c>
      <c r="C44" t="s">
        <v>165</v>
      </c>
      <c r="D44" s="75">
        <v>1</v>
      </c>
      <c r="E44" s="79" t="s">
        <v>781</v>
      </c>
      <c r="F44" s="79">
        <v>1</v>
      </c>
      <c r="G44" s="79"/>
      <c r="H44" s="79">
        <v>0</v>
      </c>
      <c r="I44" s="75">
        <v>0</v>
      </c>
      <c r="J44" s="75">
        <v>0</v>
      </c>
      <c r="K44" s="75">
        <v>0</v>
      </c>
      <c r="L44" s="75">
        <v>1</v>
      </c>
      <c r="M44" s="75">
        <v>0</v>
      </c>
      <c r="N44" s="75">
        <v>0</v>
      </c>
      <c r="O44" s="75">
        <v>0</v>
      </c>
      <c r="P44" s="75">
        <v>0</v>
      </c>
    </row>
    <row r="45" spans="1:45" ht="15.75">
      <c r="A45">
        <v>44</v>
      </c>
      <c r="B45" t="s">
        <v>168</v>
      </c>
      <c r="C45" t="s">
        <v>169</v>
      </c>
      <c r="D45" s="75">
        <v>0</v>
      </c>
      <c r="E45" s="79"/>
      <c r="F45" s="79"/>
      <c r="G45" s="79"/>
      <c r="H45" s="79"/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</row>
    <row r="46" spans="1:45" ht="15.75">
      <c r="A46">
        <v>45</v>
      </c>
      <c r="B46" t="s">
        <v>171</v>
      </c>
      <c r="C46" t="s">
        <v>172</v>
      </c>
      <c r="D46" s="75">
        <v>1</v>
      </c>
      <c r="E46" s="79" t="s">
        <v>774</v>
      </c>
      <c r="F46" s="79">
        <v>0.5</v>
      </c>
      <c r="G46" s="79" t="s">
        <v>775</v>
      </c>
      <c r="H46" s="79">
        <v>0.5</v>
      </c>
      <c r="I46" s="75">
        <v>0</v>
      </c>
      <c r="J46" s="75">
        <v>0</v>
      </c>
      <c r="K46" s="75">
        <v>0.5</v>
      </c>
      <c r="L46" s="75">
        <v>0.5</v>
      </c>
      <c r="M46" s="75">
        <v>0</v>
      </c>
      <c r="N46" s="75">
        <v>0</v>
      </c>
      <c r="O46" s="75">
        <v>0</v>
      </c>
      <c r="P46" s="75">
        <v>0</v>
      </c>
      <c r="Q46" s="44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</row>
    <row r="47" spans="1:45" ht="15.75">
      <c r="A47">
        <v>46</v>
      </c>
      <c r="B47" t="s">
        <v>174</v>
      </c>
      <c r="C47" t="s">
        <v>175</v>
      </c>
      <c r="D47" s="75">
        <v>1</v>
      </c>
      <c r="E47" s="79" t="s">
        <v>782</v>
      </c>
      <c r="F47" s="79">
        <v>0.5</v>
      </c>
      <c r="G47" s="79" t="s">
        <v>789</v>
      </c>
      <c r="H47" s="79">
        <v>0.5</v>
      </c>
      <c r="I47" s="75">
        <v>0</v>
      </c>
      <c r="J47" s="75">
        <v>0</v>
      </c>
      <c r="K47" s="75">
        <v>0.5</v>
      </c>
      <c r="L47" s="75">
        <v>0.5</v>
      </c>
      <c r="M47" s="75">
        <v>0</v>
      </c>
      <c r="N47" s="75">
        <v>0</v>
      </c>
      <c r="O47" s="75">
        <v>0</v>
      </c>
      <c r="P47" s="75">
        <v>0</v>
      </c>
      <c r="Q47" s="44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</row>
    <row r="48" spans="1:45" ht="15.75">
      <c r="A48">
        <v>47</v>
      </c>
      <c r="B48" t="s">
        <v>178</v>
      </c>
      <c r="C48" t="s">
        <v>179</v>
      </c>
      <c r="D48" s="75">
        <v>0</v>
      </c>
      <c r="E48" s="79"/>
      <c r="F48" s="79"/>
      <c r="G48" s="79"/>
      <c r="H48" s="79"/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75">
        <v>0</v>
      </c>
      <c r="O48" s="75">
        <v>0</v>
      </c>
      <c r="P48" s="75">
        <v>0</v>
      </c>
      <c r="Q48" s="44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</row>
    <row r="49" spans="1:45" ht="15.75">
      <c r="A49">
        <v>48</v>
      </c>
      <c r="B49" t="s">
        <v>181</v>
      </c>
      <c r="C49" t="s">
        <v>182</v>
      </c>
      <c r="D49" s="75">
        <v>0</v>
      </c>
      <c r="E49" s="79"/>
      <c r="F49" s="79"/>
      <c r="G49" s="79"/>
      <c r="H49" s="79"/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44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</row>
    <row r="50" spans="1:45" ht="15.75">
      <c r="A50">
        <v>49</v>
      </c>
      <c r="B50" t="s">
        <v>185</v>
      </c>
      <c r="C50" t="s">
        <v>186</v>
      </c>
      <c r="D50" s="75">
        <v>0</v>
      </c>
      <c r="E50" s="79"/>
      <c r="F50" s="79"/>
      <c r="G50" s="79"/>
      <c r="H50" s="79"/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75">
        <v>0</v>
      </c>
      <c r="O50" s="75">
        <v>0</v>
      </c>
      <c r="P50" s="75">
        <v>0</v>
      </c>
      <c r="Q50" s="44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</row>
    <row r="51" spans="1:45" ht="15.75">
      <c r="A51">
        <v>50</v>
      </c>
      <c r="B51" t="s">
        <v>188</v>
      </c>
      <c r="C51" t="s">
        <v>189</v>
      </c>
      <c r="D51" s="75">
        <v>0</v>
      </c>
      <c r="E51" s="79"/>
      <c r="F51" s="79"/>
      <c r="G51" s="79"/>
      <c r="H51" s="79"/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75">
        <v>0</v>
      </c>
      <c r="O51" s="75">
        <v>0</v>
      </c>
      <c r="P51" s="75">
        <v>0</v>
      </c>
      <c r="Q51" s="44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</row>
    <row r="52" spans="1:45" ht="15.75">
      <c r="A52">
        <v>51</v>
      </c>
      <c r="B52" t="s">
        <v>192</v>
      </c>
      <c r="C52" t="s">
        <v>193</v>
      </c>
      <c r="D52" s="75">
        <v>0.75</v>
      </c>
      <c r="E52" s="79" t="s">
        <v>773</v>
      </c>
      <c r="F52" s="79">
        <v>1</v>
      </c>
      <c r="G52" s="79"/>
      <c r="H52" s="79">
        <v>0</v>
      </c>
      <c r="I52" s="75">
        <v>1</v>
      </c>
      <c r="J52" s="75">
        <v>0</v>
      </c>
      <c r="K52" s="75">
        <v>0</v>
      </c>
      <c r="L52" s="75">
        <v>0</v>
      </c>
      <c r="M52" s="75">
        <v>0</v>
      </c>
      <c r="N52" s="75">
        <v>0</v>
      </c>
      <c r="O52" s="75">
        <v>0</v>
      </c>
      <c r="P52" s="75">
        <v>0</v>
      </c>
      <c r="Q52" s="44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</row>
    <row r="53" spans="1:45" ht="15.75">
      <c r="A53">
        <v>52</v>
      </c>
      <c r="B53" t="s">
        <v>194</v>
      </c>
      <c r="C53" t="s">
        <v>195</v>
      </c>
      <c r="D53" s="75">
        <v>1</v>
      </c>
      <c r="E53" s="79" t="s">
        <v>783</v>
      </c>
      <c r="F53" s="79">
        <v>1</v>
      </c>
      <c r="G53" s="79"/>
      <c r="H53" s="79">
        <v>0</v>
      </c>
      <c r="I53" s="75">
        <v>0</v>
      </c>
      <c r="J53" s="75">
        <v>1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44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</row>
    <row r="54" spans="1:45" ht="15.75">
      <c r="A54">
        <v>53</v>
      </c>
      <c r="B54" t="s">
        <v>197</v>
      </c>
      <c r="C54" t="s">
        <v>198</v>
      </c>
      <c r="D54" s="75">
        <v>0</v>
      </c>
      <c r="E54" s="79"/>
      <c r="F54" s="79"/>
      <c r="G54" s="79"/>
      <c r="H54" s="79"/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44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</row>
    <row r="55" spans="1:45" ht="15.75">
      <c r="A55">
        <v>54</v>
      </c>
      <c r="B55" t="s">
        <v>200</v>
      </c>
      <c r="C55" t="s">
        <v>201</v>
      </c>
      <c r="D55" s="75">
        <v>0</v>
      </c>
      <c r="E55" s="79"/>
      <c r="F55" s="79"/>
      <c r="G55" s="79"/>
      <c r="H55" s="79"/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44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</row>
    <row r="56" spans="1:45" ht="15.75">
      <c r="A56">
        <v>55</v>
      </c>
      <c r="B56" t="s">
        <v>203</v>
      </c>
      <c r="C56" t="s">
        <v>204</v>
      </c>
      <c r="D56" s="75">
        <v>0</v>
      </c>
      <c r="E56" s="79"/>
      <c r="F56" s="79"/>
      <c r="G56" s="79"/>
      <c r="H56" s="79"/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44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spans="1:45" ht="15.75">
      <c r="A57">
        <v>56</v>
      </c>
      <c r="B57" t="s">
        <v>205</v>
      </c>
      <c r="C57" t="s">
        <v>206</v>
      </c>
      <c r="D57" s="75">
        <v>0</v>
      </c>
      <c r="E57" s="79"/>
      <c r="F57" s="79"/>
      <c r="G57" s="79"/>
      <c r="H57" s="79"/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44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5" ht="15.75">
      <c r="A58">
        <v>57</v>
      </c>
      <c r="B58" t="s">
        <v>209</v>
      </c>
      <c r="C58" t="s">
        <v>210</v>
      </c>
      <c r="D58" s="75">
        <v>0</v>
      </c>
      <c r="E58" s="79"/>
      <c r="F58" s="79"/>
      <c r="G58" s="79"/>
      <c r="H58" s="79"/>
      <c r="I58" s="75">
        <v>0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5">
        <v>0</v>
      </c>
      <c r="P58" s="75">
        <v>0</v>
      </c>
      <c r="Q58" s="44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5" ht="15.75">
      <c r="A59">
        <v>58</v>
      </c>
      <c r="B59" t="s">
        <v>213</v>
      </c>
      <c r="C59" t="s">
        <v>214</v>
      </c>
      <c r="D59" s="75">
        <v>1</v>
      </c>
      <c r="E59" s="79" t="s">
        <v>774</v>
      </c>
      <c r="F59" s="79">
        <v>0.5</v>
      </c>
      <c r="G59" s="79" t="s">
        <v>775</v>
      </c>
      <c r="H59" s="79">
        <v>0.5</v>
      </c>
      <c r="I59" s="75">
        <v>0</v>
      </c>
      <c r="J59" s="75">
        <v>0</v>
      </c>
      <c r="K59" s="75">
        <v>0.5</v>
      </c>
      <c r="L59" s="75">
        <v>0.5</v>
      </c>
      <c r="M59" s="75">
        <v>0</v>
      </c>
      <c r="N59" s="75">
        <v>0</v>
      </c>
      <c r="O59" s="75">
        <v>0</v>
      </c>
      <c r="P59" s="75">
        <v>0</v>
      </c>
      <c r="Q59" s="44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5" ht="15.75">
      <c r="A60">
        <v>59</v>
      </c>
      <c r="B60" t="s">
        <v>217</v>
      </c>
      <c r="C60" t="s">
        <v>218</v>
      </c>
      <c r="D60" s="75">
        <v>1</v>
      </c>
      <c r="E60" s="79" t="s">
        <v>774</v>
      </c>
      <c r="F60" s="79">
        <v>0.5</v>
      </c>
      <c r="G60" s="79" t="s">
        <v>775</v>
      </c>
      <c r="H60" s="79">
        <v>0.5</v>
      </c>
      <c r="I60" s="75">
        <v>0</v>
      </c>
      <c r="J60" s="75">
        <v>0</v>
      </c>
      <c r="K60" s="75">
        <v>0.5</v>
      </c>
      <c r="L60" s="75">
        <v>0.5</v>
      </c>
      <c r="M60" s="75">
        <v>0</v>
      </c>
      <c r="N60" s="75">
        <v>0</v>
      </c>
      <c r="O60" s="75">
        <v>0</v>
      </c>
      <c r="P60" s="75">
        <v>0</v>
      </c>
      <c r="Q60" s="44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5" ht="15.75">
      <c r="A61">
        <v>60</v>
      </c>
      <c r="B61" t="s">
        <v>220</v>
      </c>
      <c r="C61" t="s">
        <v>221</v>
      </c>
      <c r="D61" s="75">
        <v>1</v>
      </c>
      <c r="E61" s="79" t="s">
        <v>775</v>
      </c>
      <c r="F61" s="79">
        <v>1</v>
      </c>
      <c r="G61" s="79"/>
      <c r="H61" s="79">
        <v>0</v>
      </c>
      <c r="I61" s="75">
        <v>0</v>
      </c>
      <c r="J61" s="75">
        <v>0</v>
      </c>
      <c r="K61" s="75">
        <v>0</v>
      </c>
      <c r="L61" s="75">
        <v>1</v>
      </c>
      <c r="M61" s="75">
        <v>0</v>
      </c>
      <c r="N61" s="75">
        <v>0</v>
      </c>
      <c r="O61" s="75">
        <v>0</v>
      </c>
      <c r="P61" s="75">
        <v>0</v>
      </c>
      <c r="Q61" s="44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45" ht="15.75">
      <c r="A62">
        <v>61</v>
      </c>
      <c r="B62" t="s">
        <v>224</v>
      </c>
      <c r="C62" t="s">
        <v>225</v>
      </c>
      <c r="D62" s="75">
        <v>0</v>
      </c>
      <c r="E62" s="79"/>
      <c r="F62" s="79"/>
      <c r="G62" s="79"/>
      <c r="H62" s="79"/>
      <c r="I62" s="75">
        <v>0</v>
      </c>
      <c r="J62" s="75">
        <v>0</v>
      </c>
      <c r="K62" s="75">
        <v>0</v>
      </c>
      <c r="L62" s="75">
        <v>0</v>
      </c>
      <c r="M62" s="75">
        <v>0</v>
      </c>
      <c r="N62" s="75">
        <v>0</v>
      </c>
      <c r="O62" s="75">
        <v>0</v>
      </c>
      <c r="P62" s="75">
        <v>0</v>
      </c>
      <c r="Q62" s="44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5" ht="15.75">
      <c r="A63">
        <v>62</v>
      </c>
      <c r="B63" t="s">
        <v>227</v>
      </c>
      <c r="C63" t="s">
        <v>228</v>
      </c>
      <c r="D63" s="75">
        <v>0</v>
      </c>
      <c r="E63" s="79"/>
      <c r="F63" s="79"/>
      <c r="G63" s="79"/>
      <c r="H63" s="79"/>
      <c r="I63" s="75">
        <v>0</v>
      </c>
      <c r="J63" s="75">
        <v>0</v>
      </c>
      <c r="K63" s="75">
        <v>0</v>
      </c>
      <c r="L63" s="75">
        <v>0</v>
      </c>
      <c r="M63" s="75">
        <v>0</v>
      </c>
      <c r="N63" s="75">
        <v>0</v>
      </c>
      <c r="O63" s="75">
        <v>0</v>
      </c>
      <c r="P63" s="75">
        <v>0</v>
      </c>
      <c r="Q63" s="44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45" ht="15.75">
      <c r="A64">
        <v>63</v>
      </c>
      <c r="B64" t="s">
        <v>230</v>
      </c>
      <c r="C64" t="s">
        <v>231</v>
      </c>
      <c r="D64" s="75">
        <v>1</v>
      </c>
      <c r="E64" s="79" t="s">
        <v>774</v>
      </c>
      <c r="F64" s="79">
        <v>1</v>
      </c>
      <c r="G64" s="79"/>
      <c r="H64" s="79">
        <v>0</v>
      </c>
      <c r="I64" s="75">
        <v>0</v>
      </c>
      <c r="J64" s="75">
        <v>0</v>
      </c>
      <c r="K64" s="75">
        <v>1</v>
      </c>
      <c r="L64" s="75">
        <v>0</v>
      </c>
      <c r="M64" s="75">
        <v>0</v>
      </c>
      <c r="N64" s="75">
        <v>0</v>
      </c>
      <c r="O64" s="75">
        <v>0</v>
      </c>
      <c r="P64" s="75">
        <v>0</v>
      </c>
      <c r="Q64" s="44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5" ht="15.75">
      <c r="A65">
        <v>64</v>
      </c>
      <c r="B65" t="s">
        <v>232</v>
      </c>
      <c r="C65" t="s">
        <v>233</v>
      </c>
      <c r="D65" s="75">
        <v>1</v>
      </c>
      <c r="E65" s="79" t="s">
        <v>784</v>
      </c>
      <c r="F65" s="79">
        <v>1</v>
      </c>
      <c r="G65" s="79"/>
      <c r="H65" s="79">
        <v>0</v>
      </c>
      <c r="I65" s="75">
        <v>0</v>
      </c>
      <c r="J65" s="75">
        <v>0</v>
      </c>
      <c r="K65" s="75">
        <v>0</v>
      </c>
      <c r="L65" s="75">
        <v>0</v>
      </c>
      <c r="M65" s="75">
        <v>0</v>
      </c>
      <c r="N65" s="75">
        <v>1</v>
      </c>
      <c r="O65" s="75">
        <v>0</v>
      </c>
      <c r="P65" s="75">
        <v>0</v>
      </c>
      <c r="Q65" s="44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spans="1:45" ht="15.75">
      <c r="A66">
        <v>65</v>
      </c>
      <c r="B66" t="s">
        <v>235</v>
      </c>
      <c r="C66" t="s">
        <v>236</v>
      </c>
      <c r="D66" s="75">
        <v>0.7</v>
      </c>
      <c r="E66" s="79" t="s">
        <v>781</v>
      </c>
      <c r="F66" s="79">
        <v>1</v>
      </c>
      <c r="G66" s="79"/>
      <c r="H66" s="79">
        <v>0</v>
      </c>
      <c r="I66" s="75">
        <v>0</v>
      </c>
      <c r="J66" s="75">
        <v>0</v>
      </c>
      <c r="K66" s="75">
        <v>0</v>
      </c>
      <c r="L66" s="75">
        <v>1</v>
      </c>
      <c r="M66" s="75">
        <v>0</v>
      </c>
      <c r="N66" s="75">
        <v>0</v>
      </c>
      <c r="O66" s="75">
        <v>0</v>
      </c>
      <c r="P66" s="75">
        <v>0</v>
      </c>
      <c r="Q66" s="44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5" ht="15.75">
      <c r="A67">
        <v>66</v>
      </c>
      <c r="B67" t="s">
        <v>239</v>
      </c>
      <c r="C67" t="s">
        <v>240</v>
      </c>
      <c r="D67" s="75">
        <v>0.7</v>
      </c>
      <c r="E67" s="79" t="s">
        <v>781</v>
      </c>
      <c r="F67" s="79">
        <v>1</v>
      </c>
      <c r="G67" s="79"/>
      <c r="H67" s="79">
        <v>0</v>
      </c>
      <c r="I67" s="75">
        <v>0</v>
      </c>
      <c r="J67" s="75">
        <v>0</v>
      </c>
      <c r="K67" s="75">
        <v>0</v>
      </c>
      <c r="L67" s="75">
        <v>1</v>
      </c>
      <c r="M67" s="75">
        <v>0</v>
      </c>
      <c r="N67" s="75">
        <v>0</v>
      </c>
      <c r="O67" s="75">
        <v>0</v>
      </c>
      <c r="P67" s="75">
        <v>0</v>
      </c>
      <c r="Q67" s="44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5" ht="15.75">
      <c r="A68">
        <v>67</v>
      </c>
      <c r="B68" t="s">
        <v>242</v>
      </c>
      <c r="C68" t="s">
        <v>243</v>
      </c>
      <c r="D68" s="75">
        <v>0</v>
      </c>
      <c r="E68" s="79"/>
      <c r="F68" s="79"/>
      <c r="G68" s="79"/>
      <c r="H68" s="79"/>
      <c r="I68" s="75">
        <v>0</v>
      </c>
      <c r="J68" s="75">
        <v>0</v>
      </c>
      <c r="K68" s="75">
        <v>0</v>
      </c>
      <c r="L68" s="75">
        <v>0</v>
      </c>
      <c r="M68" s="75">
        <v>0</v>
      </c>
      <c r="N68" s="75">
        <v>0</v>
      </c>
      <c r="O68" s="75">
        <v>0</v>
      </c>
      <c r="P68" s="75">
        <v>0</v>
      </c>
      <c r="Q68" s="44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5" ht="15.75">
      <c r="A69">
        <v>68</v>
      </c>
      <c r="B69" t="s">
        <v>247</v>
      </c>
      <c r="C69" t="s">
        <v>248</v>
      </c>
      <c r="D69" s="75">
        <v>0</v>
      </c>
      <c r="E69" s="79"/>
      <c r="F69" s="79"/>
      <c r="G69" s="79"/>
      <c r="H69" s="79"/>
      <c r="I69" s="75">
        <v>0</v>
      </c>
      <c r="J69" s="75">
        <v>0</v>
      </c>
      <c r="K69" s="75">
        <v>0</v>
      </c>
      <c r="L69" s="75">
        <v>0</v>
      </c>
      <c r="M69" s="75">
        <v>0</v>
      </c>
      <c r="N69" s="75">
        <v>0</v>
      </c>
      <c r="O69" s="75">
        <v>0</v>
      </c>
      <c r="P69" s="75">
        <v>0</v>
      </c>
      <c r="Q69" s="44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5" ht="15.75">
      <c r="A70">
        <v>69</v>
      </c>
      <c r="B70" t="s">
        <v>250</v>
      </c>
      <c r="C70" t="s">
        <v>251</v>
      </c>
      <c r="D70" s="75">
        <v>1</v>
      </c>
      <c r="E70" s="79" t="s">
        <v>785</v>
      </c>
      <c r="F70" s="79">
        <v>1</v>
      </c>
      <c r="G70" s="79"/>
      <c r="H70" s="79">
        <v>0</v>
      </c>
      <c r="I70" s="75">
        <v>0</v>
      </c>
      <c r="J70" s="75">
        <v>1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44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5" ht="15.75">
      <c r="A71">
        <v>70</v>
      </c>
      <c r="B71" t="s">
        <v>253</v>
      </c>
      <c r="C71" t="s">
        <v>254</v>
      </c>
      <c r="D71" s="75">
        <v>1</v>
      </c>
      <c r="E71" s="79" t="s">
        <v>255</v>
      </c>
      <c r="F71" s="79">
        <v>1</v>
      </c>
      <c r="G71" s="79"/>
      <c r="H71" s="79">
        <v>0</v>
      </c>
      <c r="I71" s="75">
        <v>0</v>
      </c>
      <c r="J71" s="75">
        <v>1</v>
      </c>
      <c r="K71" s="75">
        <v>0</v>
      </c>
      <c r="L71" s="75">
        <v>0</v>
      </c>
      <c r="M71" s="75">
        <v>0</v>
      </c>
      <c r="N71" s="75">
        <v>0</v>
      </c>
      <c r="O71" s="75">
        <v>0</v>
      </c>
      <c r="P71" s="75">
        <v>0</v>
      </c>
      <c r="Q71" s="44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5" ht="15.75">
      <c r="A72">
        <v>71</v>
      </c>
      <c r="B72" t="s">
        <v>256</v>
      </c>
      <c r="C72" t="s">
        <v>257</v>
      </c>
      <c r="D72" s="75">
        <v>1</v>
      </c>
      <c r="E72" s="79" t="s">
        <v>255</v>
      </c>
      <c r="F72" s="79">
        <v>1</v>
      </c>
      <c r="G72" s="79"/>
      <c r="H72" s="79">
        <v>0</v>
      </c>
      <c r="I72" s="75">
        <v>0</v>
      </c>
      <c r="J72" s="75">
        <v>1</v>
      </c>
      <c r="K72" s="75">
        <v>0</v>
      </c>
      <c r="L72" s="75">
        <v>0</v>
      </c>
      <c r="M72" s="75">
        <v>0</v>
      </c>
      <c r="N72" s="75">
        <v>0</v>
      </c>
      <c r="O72" s="75">
        <v>0</v>
      </c>
      <c r="P72" s="75">
        <v>0</v>
      </c>
      <c r="Q72" s="44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5" ht="15.75">
      <c r="A73">
        <v>72</v>
      </c>
      <c r="B73" t="s">
        <v>258</v>
      </c>
      <c r="C73" t="s">
        <v>259</v>
      </c>
      <c r="D73" s="75">
        <v>1</v>
      </c>
      <c r="E73" s="79" t="s">
        <v>775</v>
      </c>
      <c r="F73" s="79">
        <v>1</v>
      </c>
      <c r="G73" s="79"/>
      <c r="H73" s="79">
        <v>0</v>
      </c>
      <c r="I73" s="75">
        <v>0</v>
      </c>
      <c r="J73" s="75">
        <v>0</v>
      </c>
      <c r="K73" s="75">
        <v>0</v>
      </c>
      <c r="L73" s="75">
        <v>1</v>
      </c>
      <c r="M73" s="75">
        <v>0</v>
      </c>
      <c r="N73" s="75">
        <v>0</v>
      </c>
      <c r="O73" s="75">
        <v>0</v>
      </c>
      <c r="P73" s="75">
        <v>0</v>
      </c>
      <c r="Q73" s="44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5" ht="15.75">
      <c r="A74">
        <v>73</v>
      </c>
      <c r="B74" t="s">
        <v>261</v>
      </c>
      <c r="C74" t="s">
        <v>262</v>
      </c>
      <c r="D74" s="75">
        <v>0</v>
      </c>
      <c r="E74" s="79"/>
      <c r="F74" s="79"/>
      <c r="G74" s="79"/>
      <c r="H74" s="79"/>
      <c r="I74" s="75">
        <v>0</v>
      </c>
      <c r="J74" s="75">
        <v>0</v>
      </c>
      <c r="K74" s="75">
        <v>0</v>
      </c>
      <c r="L74" s="75">
        <v>0</v>
      </c>
      <c r="M74" s="75">
        <v>0</v>
      </c>
      <c r="N74" s="75">
        <v>0</v>
      </c>
      <c r="O74" s="75">
        <v>0</v>
      </c>
      <c r="P74" s="75">
        <v>0</v>
      </c>
      <c r="Q74" s="44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5" ht="15.75">
      <c r="A75">
        <v>74</v>
      </c>
      <c r="B75" t="s">
        <v>265</v>
      </c>
      <c r="C75" t="s">
        <v>266</v>
      </c>
      <c r="D75" s="75">
        <v>0</v>
      </c>
      <c r="E75" s="79"/>
      <c r="F75" s="79"/>
      <c r="G75" s="79"/>
      <c r="H75" s="79"/>
      <c r="I75" s="75">
        <v>0</v>
      </c>
      <c r="J75" s="75">
        <v>0</v>
      </c>
      <c r="K75" s="75">
        <v>0</v>
      </c>
      <c r="L75" s="75">
        <v>0</v>
      </c>
      <c r="M75" s="75">
        <v>0</v>
      </c>
      <c r="N75" s="75">
        <v>0</v>
      </c>
      <c r="O75" s="75">
        <v>0</v>
      </c>
      <c r="P75" s="75">
        <v>0</v>
      </c>
      <c r="Q75" s="44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5" ht="15.75">
      <c r="A76">
        <v>75</v>
      </c>
      <c r="B76" t="s">
        <v>269</v>
      </c>
      <c r="C76" t="s">
        <v>270</v>
      </c>
      <c r="D76" s="75">
        <v>0</v>
      </c>
      <c r="E76" s="79"/>
      <c r="F76" s="79"/>
      <c r="G76" s="79"/>
      <c r="H76" s="79"/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44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5" ht="15.75">
      <c r="A77">
        <v>76</v>
      </c>
      <c r="B77" t="s">
        <v>273</v>
      </c>
      <c r="C77" t="s">
        <v>274</v>
      </c>
      <c r="D77" s="75">
        <v>0</v>
      </c>
      <c r="E77" s="79"/>
      <c r="F77" s="79"/>
      <c r="G77" s="79"/>
      <c r="H77" s="79"/>
      <c r="I77" s="75">
        <v>0</v>
      </c>
      <c r="J77" s="75">
        <v>0</v>
      </c>
      <c r="K77" s="75">
        <v>0</v>
      </c>
      <c r="L77" s="75">
        <v>0</v>
      </c>
      <c r="M77" s="75">
        <v>0</v>
      </c>
      <c r="N77" s="75">
        <v>0</v>
      </c>
      <c r="O77" s="75">
        <v>0</v>
      </c>
      <c r="P77" s="75">
        <v>0</v>
      </c>
      <c r="Q77" s="44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5" ht="15.75">
      <c r="A78">
        <v>77</v>
      </c>
      <c r="B78" t="s">
        <v>276</v>
      </c>
      <c r="C78" t="s">
        <v>277</v>
      </c>
      <c r="D78" s="75">
        <v>0.5</v>
      </c>
      <c r="E78" s="79" t="s">
        <v>35</v>
      </c>
      <c r="F78" s="79">
        <v>1</v>
      </c>
      <c r="G78" s="79"/>
      <c r="H78" s="79">
        <v>0</v>
      </c>
      <c r="I78" s="75">
        <v>0</v>
      </c>
      <c r="J78" s="75">
        <v>0</v>
      </c>
      <c r="K78" s="75">
        <v>0</v>
      </c>
      <c r="L78" s="75">
        <v>0</v>
      </c>
      <c r="M78" s="75">
        <v>0</v>
      </c>
      <c r="N78" s="75">
        <v>0</v>
      </c>
      <c r="O78" s="75">
        <v>0</v>
      </c>
      <c r="P78" s="75">
        <v>1</v>
      </c>
      <c r="Q78" s="44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</row>
    <row r="79" spans="1:45" ht="15.75">
      <c r="A79">
        <v>78</v>
      </c>
      <c r="B79" t="s">
        <v>278</v>
      </c>
      <c r="C79" t="s">
        <v>279</v>
      </c>
      <c r="D79" s="75">
        <v>0</v>
      </c>
      <c r="E79" s="79"/>
      <c r="F79" s="79"/>
      <c r="G79" s="79"/>
      <c r="H79" s="79"/>
      <c r="I79" s="75">
        <v>0</v>
      </c>
      <c r="J79" s="75">
        <v>0</v>
      </c>
      <c r="K79" s="75">
        <v>0</v>
      </c>
      <c r="L79" s="75">
        <v>0</v>
      </c>
      <c r="M79" s="75">
        <v>0</v>
      </c>
      <c r="N79" s="75">
        <v>0</v>
      </c>
      <c r="O79" s="75">
        <v>0</v>
      </c>
      <c r="P79" s="75">
        <v>0</v>
      </c>
      <c r="Q79" s="44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spans="1:45" ht="15.75">
      <c r="A80">
        <v>79</v>
      </c>
      <c r="B80" t="s">
        <v>280</v>
      </c>
      <c r="C80" t="s">
        <v>281</v>
      </c>
      <c r="D80" s="75">
        <v>0</v>
      </c>
      <c r="E80" s="79"/>
      <c r="F80" s="79"/>
      <c r="G80" s="79"/>
      <c r="H80" s="79"/>
      <c r="I80" s="75">
        <v>0</v>
      </c>
      <c r="J80" s="75">
        <v>0</v>
      </c>
      <c r="K80" s="75">
        <v>0</v>
      </c>
      <c r="L80" s="75">
        <v>0</v>
      </c>
      <c r="M80" s="75">
        <v>0</v>
      </c>
      <c r="N80" s="75">
        <v>0</v>
      </c>
      <c r="O80" s="75">
        <v>0</v>
      </c>
      <c r="P80" s="75">
        <v>0</v>
      </c>
      <c r="Q80" s="44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spans="1:45" ht="15.75">
      <c r="A81">
        <v>80</v>
      </c>
      <c r="B81" t="s">
        <v>282</v>
      </c>
      <c r="C81" t="s">
        <v>283</v>
      </c>
      <c r="D81" s="75">
        <v>0</v>
      </c>
      <c r="E81" s="79"/>
      <c r="F81" s="79"/>
      <c r="G81" s="79"/>
      <c r="H81" s="79"/>
      <c r="I81" s="75">
        <v>0</v>
      </c>
      <c r="J81" s="75">
        <v>0</v>
      </c>
      <c r="K81" s="75">
        <v>0</v>
      </c>
      <c r="L81" s="75">
        <v>0</v>
      </c>
      <c r="M81" s="75">
        <v>0</v>
      </c>
      <c r="N81" s="75">
        <v>0</v>
      </c>
      <c r="O81" s="75">
        <v>0</v>
      </c>
      <c r="P81" s="75">
        <v>0</v>
      </c>
      <c r="Q81" s="44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</row>
    <row r="82" spans="1:45" ht="15.75">
      <c r="A82">
        <v>81</v>
      </c>
      <c r="B82" t="s">
        <v>285</v>
      </c>
      <c r="C82" t="s">
        <v>286</v>
      </c>
      <c r="D82" s="75">
        <v>0</v>
      </c>
      <c r="E82" s="79"/>
      <c r="F82" s="79"/>
      <c r="G82" s="79"/>
      <c r="H82" s="79"/>
      <c r="I82" s="75">
        <v>0</v>
      </c>
      <c r="J82" s="75">
        <v>0</v>
      </c>
      <c r="K82" s="75">
        <v>0</v>
      </c>
      <c r="L82" s="75">
        <v>0</v>
      </c>
      <c r="M82" s="75">
        <v>0</v>
      </c>
      <c r="N82" s="75">
        <v>0</v>
      </c>
      <c r="O82" s="75">
        <v>0</v>
      </c>
      <c r="P82" s="75">
        <v>0</v>
      </c>
      <c r="Q82" s="44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</row>
    <row r="83" spans="1:45" ht="15.75">
      <c r="A83">
        <v>82</v>
      </c>
      <c r="B83" t="s">
        <v>287</v>
      </c>
      <c r="C83" t="s">
        <v>288</v>
      </c>
      <c r="D83" s="75">
        <v>0</v>
      </c>
      <c r="E83" s="79"/>
      <c r="F83" s="79"/>
      <c r="G83" s="79"/>
      <c r="H83" s="79"/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44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</row>
    <row r="84" spans="1:45" ht="15.75">
      <c r="A84">
        <v>83</v>
      </c>
      <c r="B84" t="s">
        <v>290</v>
      </c>
      <c r="C84" t="s">
        <v>291</v>
      </c>
      <c r="D84" s="75">
        <v>0</v>
      </c>
      <c r="E84" s="79"/>
      <c r="F84" s="79"/>
      <c r="G84" s="79"/>
      <c r="H84" s="79"/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44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</row>
    <row r="85" spans="1:45" ht="15.75">
      <c r="A85">
        <v>84</v>
      </c>
      <c r="B85" t="s">
        <v>292</v>
      </c>
      <c r="C85" t="s">
        <v>293</v>
      </c>
      <c r="D85" s="75">
        <v>0</v>
      </c>
      <c r="E85" s="79"/>
      <c r="F85" s="79"/>
      <c r="G85" s="79"/>
      <c r="H85" s="79"/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44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</row>
    <row r="86" spans="1:45" ht="15.75">
      <c r="A86">
        <v>85</v>
      </c>
      <c r="B86" t="s">
        <v>295</v>
      </c>
      <c r="C86" t="s">
        <v>296</v>
      </c>
      <c r="D86" s="75">
        <v>0</v>
      </c>
      <c r="E86" s="79"/>
      <c r="F86" s="79"/>
      <c r="G86" s="79"/>
      <c r="H86" s="79"/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44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</row>
    <row r="87" spans="1:45" ht="15.75">
      <c r="A87">
        <v>86</v>
      </c>
      <c r="B87" t="s">
        <v>298</v>
      </c>
      <c r="C87" t="s">
        <v>299</v>
      </c>
      <c r="D87" s="75">
        <v>1</v>
      </c>
      <c r="E87" s="79" t="s">
        <v>301</v>
      </c>
      <c r="F87" s="79">
        <v>1</v>
      </c>
      <c r="G87" s="79"/>
      <c r="H87" s="79">
        <v>0</v>
      </c>
      <c r="I87" s="75">
        <v>0</v>
      </c>
      <c r="J87" s="75">
        <v>1</v>
      </c>
      <c r="K87" s="75">
        <v>0</v>
      </c>
      <c r="L87" s="75">
        <v>0</v>
      </c>
      <c r="M87" s="75">
        <v>0</v>
      </c>
      <c r="N87" s="75">
        <v>0</v>
      </c>
      <c r="O87" s="75">
        <v>0</v>
      </c>
      <c r="P87" s="75">
        <v>0</v>
      </c>
      <c r="Q87" s="44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</row>
    <row r="88" spans="1:45" ht="15.75">
      <c r="A88">
        <v>87</v>
      </c>
      <c r="B88" t="s">
        <v>302</v>
      </c>
      <c r="C88" t="s">
        <v>303</v>
      </c>
      <c r="D88" s="75">
        <v>1</v>
      </c>
      <c r="E88" s="79" t="s">
        <v>301</v>
      </c>
      <c r="F88" s="79">
        <v>1</v>
      </c>
      <c r="G88" s="79"/>
      <c r="H88" s="79">
        <v>0</v>
      </c>
      <c r="I88" s="75">
        <v>0</v>
      </c>
      <c r="J88" s="75">
        <v>1</v>
      </c>
      <c r="K88" s="75">
        <v>0</v>
      </c>
      <c r="L88" s="75">
        <v>0</v>
      </c>
      <c r="M88" s="75">
        <v>0</v>
      </c>
      <c r="N88" s="75">
        <v>0</v>
      </c>
      <c r="O88" s="75">
        <v>0</v>
      </c>
      <c r="P88" s="75">
        <v>0</v>
      </c>
      <c r="Q88" s="44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</row>
    <row r="89" spans="1:45" ht="15.75">
      <c r="A89">
        <v>88</v>
      </c>
      <c r="B89" t="s">
        <v>305</v>
      </c>
      <c r="C89" t="s">
        <v>306</v>
      </c>
      <c r="D89" s="75">
        <v>1</v>
      </c>
      <c r="E89" s="79" t="s">
        <v>301</v>
      </c>
      <c r="F89" s="79">
        <v>1</v>
      </c>
      <c r="G89" s="79"/>
      <c r="H89" s="79">
        <v>0</v>
      </c>
      <c r="I89" s="75">
        <v>0</v>
      </c>
      <c r="J89" s="75">
        <v>1</v>
      </c>
      <c r="K89" s="75">
        <v>0</v>
      </c>
      <c r="L89" s="75">
        <v>0</v>
      </c>
      <c r="M89" s="75">
        <v>0</v>
      </c>
      <c r="N89" s="75">
        <v>0</v>
      </c>
      <c r="O89" s="75">
        <v>0</v>
      </c>
      <c r="P89" s="75">
        <v>0</v>
      </c>
      <c r="Q89" s="44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</row>
    <row r="90" spans="1:45" ht="15.75">
      <c r="A90">
        <v>89</v>
      </c>
      <c r="B90" t="s">
        <v>308</v>
      </c>
      <c r="C90" t="s">
        <v>309</v>
      </c>
      <c r="D90" s="75">
        <v>1</v>
      </c>
      <c r="E90" s="79" t="s">
        <v>301</v>
      </c>
      <c r="F90" s="79">
        <v>1</v>
      </c>
      <c r="G90" s="79"/>
      <c r="H90" s="79">
        <v>0</v>
      </c>
      <c r="I90" s="75">
        <v>0</v>
      </c>
      <c r="J90" s="75">
        <v>1</v>
      </c>
      <c r="K90" s="75">
        <v>0</v>
      </c>
      <c r="L90" s="75">
        <v>0</v>
      </c>
      <c r="M90" s="75">
        <v>0</v>
      </c>
      <c r="N90" s="75">
        <v>0</v>
      </c>
      <c r="O90" s="75">
        <v>0</v>
      </c>
      <c r="P90" s="75">
        <v>0</v>
      </c>
      <c r="Q90" s="44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</row>
    <row r="91" spans="1:45" ht="15.75">
      <c r="A91">
        <v>90</v>
      </c>
      <c r="B91" t="s">
        <v>311</v>
      </c>
      <c r="C91" t="s">
        <v>312</v>
      </c>
      <c r="D91" s="75">
        <v>1</v>
      </c>
      <c r="E91" s="79" t="s">
        <v>301</v>
      </c>
      <c r="F91" s="79">
        <v>1</v>
      </c>
      <c r="G91" s="79"/>
      <c r="H91" s="79">
        <v>0</v>
      </c>
      <c r="I91" s="75">
        <v>0</v>
      </c>
      <c r="J91" s="75">
        <v>1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44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</row>
    <row r="92" spans="1:45" ht="15.75">
      <c r="A92">
        <v>91</v>
      </c>
      <c r="B92" t="s">
        <v>314</v>
      </c>
      <c r="C92" t="s">
        <v>315</v>
      </c>
      <c r="D92" s="75">
        <v>1</v>
      </c>
      <c r="E92" s="79" t="s">
        <v>301</v>
      </c>
      <c r="F92" s="79">
        <v>1</v>
      </c>
      <c r="G92" s="79"/>
      <c r="H92" s="79">
        <v>0</v>
      </c>
      <c r="I92" s="75">
        <v>0</v>
      </c>
      <c r="J92" s="75">
        <v>1</v>
      </c>
      <c r="K92" s="75">
        <v>0</v>
      </c>
      <c r="L92" s="75">
        <v>0</v>
      </c>
      <c r="M92" s="75">
        <v>0</v>
      </c>
      <c r="N92" s="75">
        <v>0</v>
      </c>
      <c r="O92" s="75">
        <v>0</v>
      </c>
      <c r="P92" s="75">
        <v>0</v>
      </c>
      <c r="Q92" s="44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</row>
    <row r="93" spans="1:45" ht="15.75">
      <c r="A93">
        <v>92</v>
      </c>
      <c r="B93" t="s">
        <v>317</v>
      </c>
      <c r="C93" t="s">
        <v>318</v>
      </c>
      <c r="D93" s="75">
        <v>1</v>
      </c>
      <c r="E93" s="79" t="s">
        <v>301</v>
      </c>
      <c r="F93" s="79">
        <v>1</v>
      </c>
      <c r="G93" s="79"/>
      <c r="H93" s="79">
        <v>0</v>
      </c>
      <c r="I93" s="75">
        <v>0</v>
      </c>
      <c r="J93" s="75">
        <v>1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44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</row>
    <row r="94" spans="1:45" ht="15.75">
      <c r="A94">
        <v>93</v>
      </c>
      <c r="B94" t="s">
        <v>320</v>
      </c>
      <c r="C94" t="s">
        <v>321</v>
      </c>
      <c r="D94" s="75">
        <v>1</v>
      </c>
      <c r="E94" s="79" t="s">
        <v>301</v>
      </c>
      <c r="F94" s="79">
        <v>1</v>
      </c>
      <c r="G94" s="79"/>
      <c r="H94" s="79">
        <v>0</v>
      </c>
      <c r="I94" s="75">
        <v>0</v>
      </c>
      <c r="J94" s="75">
        <v>1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44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</row>
    <row r="95" spans="1:45" ht="15.75">
      <c r="A95">
        <v>94</v>
      </c>
      <c r="B95" t="s">
        <v>323</v>
      </c>
      <c r="C95" t="s">
        <v>324</v>
      </c>
      <c r="D95" s="75">
        <v>1</v>
      </c>
      <c r="E95" s="79" t="s">
        <v>301</v>
      </c>
      <c r="F95" s="79">
        <v>1</v>
      </c>
      <c r="G95" s="79"/>
      <c r="H95" s="79">
        <v>0</v>
      </c>
      <c r="I95" s="75">
        <v>0</v>
      </c>
      <c r="J95" s="75">
        <v>1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44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</row>
    <row r="96" spans="1:45" ht="15.75">
      <c r="A96">
        <v>95</v>
      </c>
      <c r="B96" t="s">
        <v>326</v>
      </c>
      <c r="C96" t="s">
        <v>327</v>
      </c>
      <c r="D96" s="75">
        <v>1</v>
      </c>
      <c r="E96" s="79" t="s">
        <v>301</v>
      </c>
      <c r="F96" s="79">
        <v>1</v>
      </c>
      <c r="G96" s="79"/>
      <c r="H96" s="79">
        <v>0</v>
      </c>
      <c r="I96" s="75">
        <v>0</v>
      </c>
      <c r="J96" s="75">
        <v>1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44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</row>
    <row r="97" spans="1:45" ht="15.75">
      <c r="A97">
        <v>96</v>
      </c>
      <c r="B97" t="s">
        <v>329</v>
      </c>
      <c r="C97" t="s">
        <v>330</v>
      </c>
      <c r="D97" s="75">
        <v>1</v>
      </c>
      <c r="E97" s="79" t="s">
        <v>301</v>
      </c>
      <c r="F97" s="79">
        <v>1</v>
      </c>
      <c r="G97" s="79"/>
      <c r="H97" s="79">
        <v>0</v>
      </c>
      <c r="I97" s="75">
        <v>0</v>
      </c>
      <c r="J97" s="75">
        <v>1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44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</row>
    <row r="98" spans="1:45" ht="15.75">
      <c r="A98">
        <v>97</v>
      </c>
      <c r="B98" t="s">
        <v>332</v>
      </c>
      <c r="C98" t="s">
        <v>333</v>
      </c>
      <c r="D98" s="75">
        <v>0</v>
      </c>
      <c r="E98" s="79"/>
      <c r="F98" s="79"/>
      <c r="G98" s="79"/>
      <c r="H98" s="79"/>
      <c r="I98" s="75">
        <v>0</v>
      </c>
      <c r="J98" s="75">
        <v>0</v>
      </c>
      <c r="K98" s="75">
        <v>0</v>
      </c>
      <c r="L98" s="75">
        <v>0</v>
      </c>
      <c r="M98" s="75">
        <v>0</v>
      </c>
      <c r="N98" s="75">
        <v>0</v>
      </c>
      <c r="O98" s="75">
        <v>0</v>
      </c>
      <c r="P98" s="75">
        <v>0</v>
      </c>
      <c r="Q98" s="44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</row>
    <row r="99" spans="1:45" ht="15.75">
      <c r="A99">
        <v>98</v>
      </c>
      <c r="B99" t="s">
        <v>336</v>
      </c>
      <c r="C99" t="s">
        <v>337</v>
      </c>
      <c r="D99" s="75">
        <v>1</v>
      </c>
      <c r="E99" s="79" t="s">
        <v>783</v>
      </c>
      <c r="F99" s="79">
        <v>1</v>
      </c>
      <c r="G99" s="79"/>
      <c r="H99" s="79">
        <v>0</v>
      </c>
      <c r="I99" s="75">
        <v>0</v>
      </c>
      <c r="J99" s="75">
        <v>1</v>
      </c>
      <c r="K99" s="75">
        <v>0</v>
      </c>
      <c r="L99" s="75">
        <v>0</v>
      </c>
      <c r="M99" s="75">
        <v>0</v>
      </c>
      <c r="N99" s="75">
        <v>0</v>
      </c>
      <c r="O99" s="75">
        <v>0</v>
      </c>
      <c r="P99" s="75">
        <v>0</v>
      </c>
      <c r="Q99" s="44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</row>
    <row r="100" spans="1:45" ht="15.75">
      <c r="A100">
        <v>99</v>
      </c>
      <c r="B100" t="s">
        <v>338</v>
      </c>
      <c r="C100" t="s">
        <v>339</v>
      </c>
      <c r="D100" s="75">
        <v>1</v>
      </c>
      <c r="E100" s="79" t="s">
        <v>783</v>
      </c>
      <c r="F100" s="79">
        <v>1</v>
      </c>
      <c r="G100" s="79"/>
      <c r="H100" s="79">
        <v>0</v>
      </c>
      <c r="I100" s="75">
        <v>0</v>
      </c>
      <c r="J100" s="75">
        <v>1</v>
      </c>
      <c r="K100" s="75">
        <v>0</v>
      </c>
      <c r="L100" s="75">
        <v>0</v>
      </c>
      <c r="M100" s="75">
        <v>0</v>
      </c>
      <c r="N100" s="75">
        <v>0</v>
      </c>
      <c r="O100" s="75">
        <v>0</v>
      </c>
      <c r="P100" s="75">
        <v>0</v>
      </c>
      <c r="Q100" s="44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</row>
    <row r="101" spans="1:45" ht="15.75">
      <c r="A101">
        <v>100</v>
      </c>
      <c r="B101" t="s">
        <v>340</v>
      </c>
      <c r="C101" t="s">
        <v>341</v>
      </c>
      <c r="D101" s="75">
        <v>1</v>
      </c>
      <c r="E101" s="79" t="s">
        <v>340</v>
      </c>
      <c r="F101" s="79">
        <v>1</v>
      </c>
      <c r="G101" s="79"/>
      <c r="H101" s="79">
        <v>0</v>
      </c>
      <c r="I101" s="75">
        <v>1</v>
      </c>
      <c r="J101" s="75">
        <v>0</v>
      </c>
      <c r="K101" s="75">
        <v>0</v>
      </c>
      <c r="L101" s="75">
        <v>0</v>
      </c>
      <c r="M101" s="75">
        <v>0</v>
      </c>
      <c r="N101" s="75">
        <v>0</v>
      </c>
      <c r="O101" s="75">
        <v>0</v>
      </c>
      <c r="P101" s="75">
        <v>0</v>
      </c>
      <c r="Q101" s="44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</row>
    <row r="102" spans="1:45" ht="15.75">
      <c r="A102">
        <v>101</v>
      </c>
      <c r="B102" t="s">
        <v>343</v>
      </c>
      <c r="C102" t="s">
        <v>344</v>
      </c>
      <c r="D102" s="75">
        <v>1</v>
      </c>
      <c r="E102" s="79" t="s">
        <v>783</v>
      </c>
      <c r="F102" s="79">
        <v>1</v>
      </c>
      <c r="G102" s="79"/>
      <c r="H102" s="79">
        <v>0</v>
      </c>
      <c r="I102" s="75">
        <v>0</v>
      </c>
      <c r="J102" s="75">
        <v>1</v>
      </c>
      <c r="K102" s="75">
        <v>0</v>
      </c>
      <c r="L102" s="75">
        <v>0</v>
      </c>
      <c r="M102" s="75">
        <v>0</v>
      </c>
      <c r="N102" s="75">
        <v>0</v>
      </c>
      <c r="O102" s="75">
        <v>0</v>
      </c>
      <c r="P102" s="75">
        <v>0</v>
      </c>
      <c r="Q102" s="44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</row>
    <row r="103" spans="1:45" ht="15.75">
      <c r="A103">
        <v>102</v>
      </c>
      <c r="B103" t="s">
        <v>345</v>
      </c>
      <c r="C103" t="s">
        <v>346</v>
      </c>
      <c r="D103" s="75">
        <v>0</v>
      </c>
      <c r="E103" s="79"/>
      <c r="F103" s="79"/>
      <c r="G103" s="79"/>
      <c r="H103" s="79"/>
      <c r="I103" s="75">
        <v>0</v>
      </c>
      <c r="J103" s="75">
        <v>0</v>
      </c>
      <c r="K103" s="75">
        <v>0</v>
      </c>
      <c r="L103" s="75">
        <v>0</v>
      </c>
      <c r="M103" s="75">
        <v>0</v>
      </c>
      <c r="N103" s="75">
        <v>0</v>
      </c>
      <c r="O103" s="75">
        <v>0</v>
      </c>
      <c r="P103" s="75">
        <v>0</v>
      </c>
      <c r="Q103" s="44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</row>
    <row r="104" spans="1:45" ht="15.75">
      <c r="A104">
        <v>103</v>
      </c>
      <c r="B104" t="s">
        <v>349</v>
      </c>
      <c r="C104" t="s">
        <v>350</v>
      </c>
      <c r="D104" s="75">
        <v>1</v>
      </c>
      <c r="E104" s="79" t="s">
        <v>786</v>
      </c>
      <c r="F104" s="79">
        <v>1</v>
      </c>
      <c r="G104" s="79"/>
      <c r="H104" s="79">
        <v>0</v>
      </c>
      <c r="I104" s="75">
        <v>0</v>
      </c>
      <c r="J104" s="75">
        <v>0</v>
      </c>
      <c r="K104" s="75">
        <v>0</v>
      </c>
      <c r="L104" s="75">
        <v>1</v>
      </c>
      <c r="M104" s="75">
        <v>0</v>
      </c>
      <c r="N104" s="75">
        <v>0</v>
      </c>
      <c r="O104" s="75">
        <v>0</v>
      </c>
      <c r="P104" s="75">
        <v>0</v>
      </c>
      <c r="Q104" s="44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</row>
    <row r="105" spans="1:45" ht="15.75">
      <c r="A105">
        <v>104</v>
      </c>
      <c r="B105" t="s">
        <v>352</v>
      </c>
      <c r="C105" t="s">
        <v>353</v>
      </c>
      <c r="D105" s="75">
        <v>0.8</v>
      </c>
      <c r="E105" s="79" t="s">
        <v>787</v>
      </c>
      <c r="F105" s="79">
        <v>1</v>
      </c>
      <c r="G105" s="79"/>
      <c r="H105" s="79">
        <v>0</v>
      </c>
      <c r="I105" s="75">
        <v>0</v>
      </c>
      <c r="J105" s="75">
        <v>0</v>
      </c>
      <c r="K105" s="75">
        <v>0</v>
      </c>
      <c r="L105" s="75">
        <v>0</v>
      </c>
      <c r="M105" s="75">
        <v>0</v>
      </c>
      <c r="N105" s="75">
        <v>0</v>
      </c>
      <c r="O105" s="75">
        <v>1</v>
      </c>
      <c r="P105" s="75">
        <v>0</v>
      </c>
      <c r="Q105" s="44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</row>
    <row r="106" spans="1:45" ht="15.75">
      <c r="A106">
        <v>105</v>
      </c>
      <c r="B106" t="s">
        <v>356</v>
      </c>
      <c r="C106" t="s">
        <v>357</v>
      </c>
      <c r="D106" s="75">
        <v>0</v>
      </c>
      <c r="E106" s="79" t="s">
        <v>788</v>
      </c>
      <c r="F106" s="79">
        <v>1</v>
      </c>
      <c r="G106" s="79"/>
      <c r="H106" s="79">
        <v>0</v>
      </c>
      <c r="I106" s="75">
        <v>0</v>
      </c>
      <c r="J106" s="75">
        <v>0</v>
      </c>
      <c r="K106" s="75">
        <v>0</v>
      </c>
      <c r="L106" s="75">
        <v>0</v>
      </c>
      <c r="M106" s="75">
        <v>0</v>
      </c>
      <c r="N106" s="75">
        <v>0</v>
      </c>
      <c r="O106" s="75">
        <v>0</v>
      </c>
      <c r="P106" s="75">
        <v>0</v>
      </c>
      <c r="Q106" s="44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</row>
    <row r="107" spans="1:45" ht="15.75">
      <c r="A107">
        <v>106</v>
      </c>
      <c r="B107" t="s">
        <v>359</v>
      </c>
      <c r="C107" t="s">
        <v>360</v>
      </c>
      <c r="D107" s="75">
        <v>0</v>
      </c>
      <c r="E107" s="79"/>
      <c r="F107" s="79"/>
      <c r="G107" s="79"/>
      <c r="H107" s="79"/>
      <c r="I107" s="75">
        <v>0</v>
      </c>
      <c r="J107" s="75">
        <v>0</v>
      </c>
      <c r="K107" s="75">
        <v>0</v>
      </c>
      <c r="L107" s="75">
        <v>0</v>
      </c>
      <c r="M107" s="75">
        <v>0</v>
      </c>
      <c r="N107" s="75">
        <v>0</v>
      </c>
      <c r="O107" s="75">
        <v>0</v>
      </c>
      <c r="P107" s="75">
        <v>0</v>
      </c>
      <c r="Q107" s="44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</row>
    <row r="108" spans="1:45" ht="15.75">
      <c r="A108">
        <v>107</v>
      </c>
      <c r="B108" t="s">
        <v>362</v>
      </c>
      <c r="C108" t="s">
        <v>363</v>
      </c>
      <c r="D108" s="75">
        <v>0</v>
      </c>
      <c r="E108" s="79"/>
      <c r="F108" s="79"/>
      <c r="G108" s="79"/>
      <c r="H108" s="79"/>
      <c r="I108" s="75">
        <v>0</v>
      </c>
      <c r="J108" s="75">
        <v>0</v>
      </c>
      <c r="K108" s="75">
        <v>0</v>
      </c>
      <c r="L108" s="75">
        <v>0</v>
      </c>
      <c r="M108" s="75">
        <v>0</v>
      </c>
      <c r="N108" s="75">
        <v>0</v>
      </c>
      <c r="O108" s="75">
        <v>0</v>
      </c>
      <c r="P108" s="75">
        <v>0</v>
      </c>
      <c r="Q108" s="44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</row>
    <row r="109" spans="1:45" ht="15.75">
      <c r="A109">
        <v>108</v>
      </c>
      <c r="B109" t="s">
        <v>365</v>
      </c>
      <c r="C109" t="s">
        <v>366</v>
      </c>
      <c r="D109" s="75">
        <v>0</v>
      </c>
      <c r="E109" s="79"/>
      <c r="F109" s="79"/>
      <c r="G109" s="79"/>
      <c r="H109" s="79"/>
      <c r="I109" s="75">
        <v>0</v>
      </c>
      <c r="J109" s="75">
        <v>0</v>
      </c>
      <c r="K109" s="75">
        <v>0</v>
      </c>
      <c r="L109" s="75">
        <v>0</v>
      </c>
      <c r="M109" s="75">
        <v>0</v>
      </c>
      <c r="N109" s="75">
        <v>0</v>
      </c>
      <c r="O109" s="75">
        <v>0</v>
      </c>
      <c r="P109" s="75">
        <v>0</v>
      </c>
      <c r="Q109" s="44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</row>
    <row r="110" spans="1:45" ht="15.75">
      <c r="A110">
        <v>109</v>
      </c>
      <c r="B110" t="s">
        <v>369</v>
      </c>
      <c r="C110" t="s">
        <v>370</v>
      </c>
      <c r="D110" s="75">
        <v>0</v>
      </c>
      <c r="E110" s="79"/>
      <c r="F110" s="79"/>
      <c r="G110" s="79"/>
      <c r="H110" s="79"/>
      <c r="I110" s="75">
        <v>0</v>
      </c>
      <c r="J110" s="75">
        <v>0</v>
      </c>
      <c r="K110" s="75">
        <v>0</v>
      </c>
      <c r="L110" s="75">
        <v>0</v>
      </c>
      <c r="M110" s="75">
        <v>0</v>
      </c>
      <c r="N110" s="75">
        <v>0</v>
      </c>
      <c r="O110" s="75">
        <v>0</v>
      </c>
      <c r="P110" s="75">
        <v>0</v>
      </c>
      <c r="Q110" s="44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</row>
    <row r="111" spans="1:45" ht="15.75">
      <c r="A111">
        <v>110</v>
      </c>
      <c r="B111" t="s">
        <v>372</v>
      </c>
      <c r="C111" t="s">
        <v>373</v>
      </c>
      <c r="D111" s="75">
        <v>0</v>
      </c>
      <c r="E111" s="79"/>
      <c r="F111" s="79"/>
      <c r="G111" s="79"/>
      <c r="H111" s="79"/>
      <c r="I111" s="75">
        <v>0</v>
      </c>
      <c r="J111" s="75">
        <v>0</v>
      </c>
      <c r="K111" s="75">
        <v>0</v>
      </c>
      <c r="L111" s="75">
        <v>0</v>
      </c>
      <c r="M111" s="75">
        <v>0</v>
      </c>
      <c r="N111" s="75">
        <v>0</v>
      </c>
      <c r="O111" s="75">
        <v>0</v>
      </c>
      <c r="P111" s="75">
        <v>0</v>
      </c>
      <c r="Q111" s="44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</row>
    <row r="112" spans="1:45" ht="15.75">
      <c r="A112">
        <v>111</v>
      </c>
      <c r="B112" t="s">
        <v>374</v>
      </c>
      <c r="C112" t="s">
        <v>375</v>
      </c>
      <c r="D112" s="75">
        <v>0</v>
      </c>
      <c r="E112" s="79"/>
      <c r="F112" s="79"/>
      <c r="G112" s="79"/>
      <c r="H112" s="79"/>
      <c r="I112" s="75">
        <v>0</v>
      </c>
      <c r="J112" s="75">
        <v>0</v>
      </c>
      <c r="K112" s="75">
        <v>0</v>
      </c>
      <c r="L112" s="75">
        <v>0</v>
      </c>
      <c r="M112" s="75">
        <v>0</v>
      </c>
      <c r="N112" s="75">
        <v>0</v>
      </c>
      <c r="O112" s="75">
        <v>0</v>
      </c>
      <c r="P112" s="75">
        <v>0</v>
      </c>
      <c r="Q112" s="44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</row>
    <row r="113" spans="1:45" ht="15.75">
      <c r="A113">
        <v>112</v>
      </c>
      <c r="B113" t="s">
        <v>377</v>
      </c>
      <c r="C113" t="s">
        <v>378</v>
      </c>
      <c r="D113" s="75">
        <v>0</v>
      </c>
      <c r="E113" s="79"/>
      <c r="F113" s="79"/>
      <c r="G113" s="79"/>
      <c r="H113" s="79"/>
      <c r="I113" s="75">
        <v>0</v>
      </c>
      <c r="J113" s="75">
        <v>0</v>
      </c>
      <c r="K113" s="75">
        <v>0</v>
      </c>
      <c r="L113" s="75">
        <v>0</v>
      </c>
      <c r="M113" s="75">
        <v>0</v>
      </c>
      <c r="N113" s="75">
        <v>0</v>
      </c>
      <c r="O113" s="75">
        <v>0</v>
      </c>
      <c r="P113" s="75">
        <v>0</v>
      </c>
      <c r="Q113" s="44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</row>
    <row r="114" spans="1:45" ht="15.75">
      <c r="A114">
        <v>113</v>
      </c>
      <c r="B114" t="s">
        <v>381</v>
      </c>
      <c r="C114" t="s">
        <v>382</v>
      </c>
      <c r="D114" s="75">
        <v>0</v>
      </c>
      <c r="E114" s="79"/>
      <c r="F114" s="79"/>
      <c r="G114" s="79"/>
      <c r="H114" s="79"/>
      <c r="I114" s="75">
        <v>0</v>
      </c>
      <c r="J114" s="75">
        <v>0</v>
      </c>
      <c r="K114" s="75">
        <v>0</v>
      </c>
      <c r="L114" s="75">
        <v>0</v>
      </c>
      <c r="M114" s="75">
        <v>0</v>
      </c>
      <c r="N114" s="75">
        <v>0</v>
      </c>
      <c r="O114" s="75">
        <v>0</v>
      </c>
      <c r="P114" s="75">
        <v>0</v>
      </c>
      <c r="Q114" s="44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</row>
    <row r="115" spans="1:45" ht="15.75">
      <c r="A115">
        <v>114</v>
      </c>
      <c r="B115" t="s">
        <v>385</v>
      </c>
      <c r="C115" t="s">
        <v>386</v>
      </c>
      <c r="D115" s="75">
        <v>0</v>
      </c>
      <c r="E115" s="79"/>
      <c r="F115" s="79"/>
      <c r="G115" s="79"/>
      <c r="H115" s="79"/>
      <c r="I115" s="75">
        <v>0</v>
      </c>
      <c r="J115" s="75">
        <v>0</v>
      </c>
      <c r="K115" s="75">
        <v>0</v>
      </c>
      <c r="L115" s="75">
        <v>0</v>
      </c>
      <c r="M115" s="75">
        <v>0</v>
      </c>
      <c r="N115" s="75">
        <v>0</v>
      </c>
      <c r="O115" s="75">
        <v>0</v>
      </c>
      <c r="P115" s="75">
        <v>0</v>
      </c>
      <c r="Q115" s="44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</row>
    <row r="116" spans="1:45" ht="15.75">
      <c r="A116">
        <v>115</v>
      </c>
      <c r="B116" t="s">
        <v>387</v>
      </c>
      <c r="C116" t="s">
        <v>388</v>
      </c>
      <c r="D116" s="75">
        <v>0</v>
      </c>
      <c r="E116" s="79"/>
      <c r="F116" s="79"/>
      <c r="G116" s="79"/>
      <c r="H116" s="79"/>
      <c r="I116" s="75">
        <v>0</v>
      </c>
      <c r="J116" s="75">
        <v>0</v>
      </c>
      <c r="K116" s="75">
        <v>0</v>
      </c>
      <c r="L116" s="75">
        <v>0</v>
      </c>
      <c r="M116" s="75">
        <v>0</v>
      </c>
      <c r="N116" s="75">
        <v>0</v>
      </c>
      <c r="O116" s="75">
        <v>0</v>
      </c>
      <c r="P116" s="75">
        <v>0</v>
      </c>
      <c r="Q116" s="44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</row>
    <row r="117" spans="1:45" ht="15.75">
      <c r="A117">
        <v>116</v>
      </c>
      <c r="B117" t="s">
        <v>389</v>
      </c>
      <c r="C117" t="s">
        <v>390</v>
      </c>
      <c r="D117" s="75">
        <v>0</v>
      </c>
      <c r="E117" s="79"/>
      <c r="F117" s="79"/>
      <c r="G117" s="79"/>
      <c r="H117" s="79"/>
      <c r="I117" s="75">
        <v>0</v>
      </c>
      <c r="J117" s="75">
        <v>0</v>
      </c>
      <c r="K117" s="75">
        <v>0</v>
      </c>
      <c r="L117" s="75">
        <v>0</v>
      </c>
      <c r="M117" s="75">
        <v>0</v>
      </c>
      <c r="N117" s="75">
        <v>0</v>
      </c>
      <c r="O117" s="75">
        <v>0</v>
      </c>
      <c r="P117" s="75">
        <v>0</v>
      </c>
      <c r="Q117" s="44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</row>
    <row r="118" spans="1:45" ht="15.75">
      <c r="A118">
        <v>117</v>
      </c>
      <c r="B118" t="s">
        <v>392</v>
      </c>
      <c r="C118" t="s">
        <v>393</v>
      </c>
      <c r="D118" s="75">
        <v>0</v>
      </c>
      <c r="E118" s="79"/>
      <c r="F118" s="79"/>
      <c r="G118" s="79"/>
      <c r="H118" s="79"/>
      <c r="I118" s="75">
        <v>0</v>
      </c>
      <c r="J118" s="75">
        <v>0</v>
      </c>
      <c r="K118" s="75">
        <v>0</v>
      </c>
      <c r="L118" s="75">
        <v>0</v>
      </c>
      <c r="M118" s="75">
        <v>0</v>
      </c>
      <c r="N118" s="75">
        <v>0</v>
      </c>
      <c r="O118" s="75">
        <v>0</v>
      </c>
      <c r="P118" s="75">
        <v>0</v>
      </c>
      <c r="Q118" s="44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</row>
    <row r="119" spans="1:45" ht="15.75">
      <c r="A119">
        <v>118</v>
      </c>
      <c r="B119" t="s">
        <v>395</v>
      </c>
      <c r="C119" t="s">
        <v>396</v>
      </c>
      <c r="D119" s="75">
        <v>1</v>
      </c>
      <c r="E119" s="79" t="s">
        <v>789</v>
      </c>
      <c r="F119" s="79">
        <v>1</v>
      </c>
      <c r="G119" s="79"/>
      <c r="H119" s="79">
        <v>0</v>
      </c>
      <c r="I119" s="75">
        <v>0</v>
      </c>
      <c r="J119" s="75">
        <v>0</v>
      </c>
      <c r="K119" s="75">
        <v>0</v>
      </c>
      <c r="L119" s="75">
        <v>1</v>
      </c>
      <c r="M119" s="75">
        <v>0</v>
      </c>
      <c r="N119" s="75">
        <v>0</v>
      </c>
      <c r="O119" s="75">
        <v>0</v>
      </c>
      <c r="P119" s="75">
        <v>0</v>
      </c>
      <c r="Q119" s="44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</row>
    <row r="120" spans="1:45" ht="15.75">
      <c r="A120">
        <v>119</v>
      </c>
      <c r="B120" t="s">
        <v>398</v>
      </c>
      <c r="C120" t="s">
        <v>399</v>
      </c>
      <c r="D120" s="75">
        <v>1</v>
      </c>
      <c r="E120" s="79" t="s">
        <v>790</v>
      </c>
      <c r="F120" s="79">
        <v>1</v>
      </c>
      <c r="G120" s="79"/>
      <c r="H120" s="79">
        <v>0</v>
      </c>
      <c r="I120" s="75">
        <v>0</v>
      </c>
      <c r="J120" s="75">
        <v>1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44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</row>
    <row r="121" spans="1:45" ht="15.75">
      <c r="A121">
        <v>120</v>
      </c>
      <c r="B121" t="s">
        <v>402</v>
      </c>
      <c r="C121" t="s">
        <v>403</v>
      </c>
      <c r="D121" s="75">
        <v>1</v>
      </c>
      <c r="E121" s="79" t="s">
        <v>404</v>
      </c>
      <c r="F121" s="79">
        <v>1</v>
      </c>
      <c r="G121" s="79"/>
      <c r="H121" s="79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1</v>
      </c>
      <c r="P121" s="75">
        <v>0</v>
      </c>
      <c r="Q121" s="44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</row>
    <row r="122" spans="1:45" ht="15.75">
      <c r="A122">
        <v>121</v>
      </c>
      <c r="B122" t="s">
        <v>405</v>
      </c>
      <c r="C122" t="s">
        <v>406</v>
      </c>
      <c r="D122" s="75">
        <v>0</v>
      </c>
      <c r="E122" s="79"/>
      <c r="F122" s="79"/>
      <c r="G122" s="79"/>
      <c r="H122" s="79"/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44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1"/>
  <sheetViews>
    <sheetView tabSelected="1" workbookViewId="0">
      <selection activeCell="B11" sqref="B11"/>
    </sheetView>
  </sheetViews>
  <sheetFormatPr defaultColWidth="12.5703125" defaultRowHeight="15"/>
  <cols>
    <col min="2" max="2" width="23.5703125" customWidth="1"/>
    <col min="3" max="3" width="21.28515625" customWidth="1"/>
    <col min="4" max="5" width="11.42578125" customWidth="1"/>
  </cols>
  <sheetData>
    <row r="1" spans="1:35" ht="18.75">
      <c r="A1" s="12" t="s">
        <v>1</v>
      </c>
      <c r="B1" s="12" t="s">
        <v>2</v>
      </c>
      <c r="C1" s="12" t="s">
        <v>3</v>
      </c>
      <c r="D1" s="12" t="s">
        <v>7</v>
      </c>
      <c r="E1" s="12" t="s">
        <v>14</v>
      </c>
      <c r="F1" s="12" t="s">
        <v>646</v>
      </c>
      <c r="G1" s="12" t="s">
        <v>647</v>
      </c>
      <c r="H1" s="12" t="s">
        <v>648</v>
      </c>
      <c r="I1" s="12" t="s">
        <v>649</v>
      </c>
      <c r="J1" s="12" t="s">
        <v>650</v>
      </c>
      <c r="K1" s="12" t="s">
        <v>651</v>
      </c>
      <c r="L1" s="12" t="s">
        <v>652</v>
      </c>
      <c r="M1" s="12" t="s">
        <v>653</v>
      </c>
      <c r="N1" s="12" t="s">
        <v>654</v>
      </c>
      <c r="O1" s="12" t="s">
        <v>655</v>
      </c>
      <c r="P1" s="12" t="s">
        <v>656</v>
      </c>
      <c r="Q1" s="12" t="s">
        <v>657</v>
      </c>
      <c r="R1" s="12" t="s">
        <v>658</v>
      </c>
      <c r="S1" s="12" t="s">
        <v>659</v>
      </c>
      <c r="T1" s="12" t="s">
        <v>660</v>
      </c>
      <c r="U1" s="12" t="s">
        <v>661</v>
      </c>
      <c r="V1" s="12" t="s">
        <v>662</v>
      </c>
      <c r="W1" s="12" t="s">
        <v>663</v>
      </c>
      <c r="X1" s="12" t="s">
        <v>664</v>
      </c>
      <c r="Y1" s="12" t="s">
        <v>665</v>
      </c>
      <c r="Z1" s="12" t="s">
        <v>666</v>
      </c>
      <c r="AA1" s="12" t="s">
        <v>667</v>
      </c>
      <c r="AB1" s="12" t="s">
        <v>668</v>
      </c>
      <c r="AC1" s="12" t="s">
        <v>669</v>
      </c>
      <c r="AD1" s="12" t="s">
        <v>670</v>
      </c>
      <c r="AE1" s="12" t="s">
        <v>671</v>
      </c>
      <c r="AF1" s="12" t="s">
        <v>672</v>
      </c>
      <c r="AG1" s="12" t="s">
        <v>673</v>
      </c>
      <c r="AH1" s="12" t="s">
        <v>674</v>
      </c>
      <c r="AI1" s="13" t="s">
        <v>772</v>
      </c>
    </row>
    <row r="2" spans="1:35">
      <c r="A2">
        <v>1</v>
      </c>
      <c r="B2" t="s">
        <v>16</v>
      </c>
      <c r="C2" t="s">
        <v>17</v>
      </c>
      <c r="D2" t="s">
        <v>19</v>
      </c>
      <c r="E2" t="s">
        <v>613</v>
      </c>
      <c r="F2" t="s">
        <v>709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>
        <v>0</v>
      </c>
      <c r="AF2" s="35">
        <v>0</v>
      </c>
      <c r="AG2" s="35">
        <v>0</v>
      </c>
      <c r="AH2" s="35">
        <v>0</v>
      </c>
      <c r="AI2" s="35">
        <v>0</v>
      </c>
    </row>
    <row r="3" spans="1:35">
      <c r="A3">
        <v>2</v>
      </c>
      <c r="B3" t="s">
        <v>23</v>
      </c>
      <c r="C3" t="s">
        <v>24</v>
      </c>
      <c r="D3" t="s">
        <v>19</v>
      </c>
      <c r="E3" t="s">
        <v>613</v>
      </c>
      <c r="F3" t="s">
        <v>709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>
        <v>1</v>
      </c>
      <c r="AF3" s="35">
        <v>1</v>
      </c>
      <c r="AG3" s="35">
        <v>1</v>
      </c>
      <c r="AH3" s="35">
        <v>1</v>
      </c>
      <c r="AI3" s="35">
        <v>1</v>
      </c>
    </row>
    <row r="4" spans="1:35">
      <c r="A4">
        <v>3</v>
      </c>
      <c r="B4" t="s">
        <v>26</v>
      </c>
      <c r="C4" t="s">
        <v>27</v>
      </c>
      <c r="D4" t="s">
        <v>19</v>
      </c>
      <c r="E4" t="s">
        <v>613</v>
      </c>
      <c r="F4" t="s">
        <v>709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>
        <v>1</v>
      </c>
      <c r="AF4" s="35">
        <v>1</v>
      </c>
      <c r="AG4" s="35">
        <v>1</v>
      </c>
      <c r="AH4" s="35">
        <v>1</v>
      </c>
      <c r="AI4" s="35">
        <v>1</v>
      </c>
    </row>
    <row r="5" spans="1:35">
      <c r="A5">
        <v>4</v>
      </c>
      <c r="B5" t="s">
        <v>32</v>
      </c>
      <c r="C5" t="s">
        <v>33</v>
      </c>
      <c r="D5" t="s">
        <v>19</v>
      </c>
      <c r="E5" t="s">
        <v>613</v>
      </c>
      <c r="F5" t="s">
        <v>709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>
        <v>0.5</v>
      </c>
      <c r="AF5" s="35">
        <v>0.5</v>
      </c>
      <c r="AG5" s="35">
        <v>0.5</v>
      </c>
      <c r="AH5" s="35">
        <v>0.5</v>
      </c>
      <c r="AI5" s="35">
        <v>0.5</v>
      </c>
    </row>
    <row r="6" spans="1:35">
      <c r="A6">
        <v>5</v>
      </c>
      <c r="B6" t="s">
        <v>38</v>
      </c>
      <c r="C6" t="s">
        <v>39</v>
      </c>
      <c r="D6" t="s">
        <v>19</v>
      </c>
      <c r="E6" t="s">
        <v>615</v>
      </c>
      <c r="F6" t="s">
        <v>709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>
        <v>1</v>
      </c>
      <c r="AF6" s="35">
        <v>1</v>
      </c>
      <c r="AG6" s="35">
        <v>1</v>
      </c>
      <c r="AH6" s="35">
        <v>1</v>
      </c>
      <c r="AI6" s="35">
        <v>1</v>
      </c>
    </row>
    <row r="7" spans="1:35">
      <c r="A7">
        <v>6</v>
      </c>
      <c r="B7" t="s">
        <v>41</v>
      </c>
      <c r="C7" t="s">
        <v>42</v>
      </c>
      <c r="D7" t="s">
        <v>19</v>
      </c>
      <c r="E7" t="s">
        <v>613</v>
      </c>
      <c r="F7" t="s">
        <v>709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>
        <v>1</v>
      </c>
      <c r="AF7" s="35">
        <v>1</v>
      </c>
      <c r="AG7" s="35">
        <v>1</v>
      </c>
      <c r="AH7" s="35">
        <v>1</v>
      </c>
      <c r="AI7" s="35">
        <v>1</v>
      </c>
    </row>
    <row r="8" spans="1:35">
      <c r="A8">
        <v>7</v>
      </c>
      <c r="B8" t="s">
        <v>44</v>
      </c>
      <c r="C8" t="s">
        <v>45</v>
      </c>
      <c r="D8" t="s">
        <v>19</v>
      </c>
      <c r="E8" t="s">
        <v>613</v>
      </c>
      <c r="F8" t="s">
        <v>709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>
        <v>1</v>
      </c>
      <c r="AF8" s="35">
        <v>1</v>
      </c>
      <c r="AG8" s="35">
        <v>1</v>
      </c>
      <c r="AH8" s="35">
        <v>1</v>
      </c>
      <c r="AI8" s="35">
        <v>1</v>
      </c>
    </row>
    <row r="9" spans="1:35">
      <c r="A9">
        <v>8</v>
      </c>
      <c r="B9" t="s">
        <v>46</v>
      </c>
      <c r="C9" t="s">
        <v>47</v>
      </c>
      <c r="D9" t="s">
        <v>19</v>
      </c>
      <c r="E9" t="s">
        <v>613</v>
      </c>
      <c r="F9" t="s">
        <v>709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>
        <v>1</v>
      </c>
      <c r="AF9" s="35">
        <v>1</v>
      </c>
      <c r="AG9" s="35">
        <v>1</v>
      </c>
      <c r="AH9" s="35">
        <v>1</v>
      </c>
      <c r="AI9" s="35">
        <v>1</v>
      </c>
    </row>
    <row r="10" spans="1:35">
      <c r="A10">
        <v>9</v>
      </c>
      <c r="B10" t="s">
        <v>49</v>
      </c>
      <c r="C10" t="s">
        <v>50</v>
      </c>
      <c r="D10" t="s">
        <v>19</v>
      </c>
      <c r="E10" t="s">
        <v>613</v>
      </c>
      <c r="F10" t="s">
        <v>709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>
        <v>0</v>
      </c>
      <c r="AF10" s="35">
        <v>0</v>
      </c>
      <c r="AG10" s="35">
        <v>0</v>
      </c>
      <c r="AH10" s="35">
        <v>0</v>
      </c>
      <c r="AI10" s="35">
        <v>0</v>
      </c>
    </row>
    <row r="11" spans="1:35">
      <c r="A11">
        <v>10</v>
      </c>
      <c r="B11" t="s">
        <v>52</v>
      </c>
      <c r="C11" t="s">
        <v>53</v>
      </c>
      <c r="D11" t="s">
        <v>19</v>
      </c>
      <c r="E11" t="s">
        <v>613</v>
      </c>
      <c r="F11" t="s">
        <v>709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>
        <v>1</v>
      </c>
      <c r="AF11" s="35">
        <v>1</v>
      </c>
      <c r="AG11" s="35">
        <v>1</v>
      </c>
      <c r="AH11" s="35">
        <v>1</v>
      </c>
      <c r="AI11" s="35">
        <v>1</v>
      </c>
    </row>
    <row r="12" spans="1:35">
      <c r="A12">
        <v>11</v>
      </c>
      <c r="B12" t="s">
        <v>56</v>
      </c>
      <c r="C12" t="s">
        <v>57</v>
      </c>
      <c r="D12" t="s">
        <v>19</v>
      </c>
      <c r="E12" t="s">
        <v>613</v>
      </c>
      <c r="F12" t="s">
        <v>709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>
        <v>1</v>
      </c>
      <c r="AF12" s="35">
        <v>1</v>
      </c>
      <c r="AG12" s="35">
        <v>1</v>
      </c>
      <c r="AH12" s="35">
        <v>1</v>
      </c>
      <c r="AI12" s="35">
        <v>1</v>
      </c>
    </row>
    <row r="13" spans="1:35">
      <c r="A13">
        <v>12</v>
      </c>
      <c r="B13" t="s">
        <v>59</v>
      </c>
      <c r="C13" t="s">
        <v>60</v>
      </c>
      <c r="D13" t="s">
        <v>19</v>
      </c>
      <c r="E13" t="s">
        <v>615</v>
      </c>
      <c r="F13" t="s">
        <v>709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>
        <v>0.5</v>
      </c>
      <c r="AF13" s="35">
        <v>0.5</v>
      </c>
      <c r="AG13" s="35">
        <v>0.5</v>
      </c>
      <c r="AH13" s="35">
        <v>0.5</v>
      </c>
      <c r="AI13" s="35">
        <v>0.5</v>
      </c>
    </row>
    <row r="14" spans="1:35">
      <c r="A14">
        <v>13</v>
      </c>
      <c r="B14" t="s">
        <v>63</v>
      </c>
      <c r="C14" t="s">
        <v>64</v>
      </c>
      <c r="D14" t="s">
        <v>19</v>
      </c>
      <c r="E14" t="s">
        <v>615</v>
      </c>
      <c r="F14" t="s">
        <v>709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>
        <v>0.5</v>
      </c>
      <c r="AF14" s="35">
        <v>0.5</v>
      </c>
      <c r="AG14" s="35">
        <v>0.5</v>
      </c>
      <c r="AH14" s="35">
        <v>0.5</v>
      </c>
      <c r="AI14" s="35">
        <v>0.5</v>
      </c>
    </row>
    <row r="15" spans="1:35">
      <c r="A15">
        <v>14</v>
      </c>
      <c r="B15" t="s">
        <v>66</v>
      </c>
      <c r="C15" t="s">
        <v>67</v>
      </c>
      <c r="D15" t="s">
        <v>19</v>
      </c>
      <c r="E15" t="s">
        <v>615</v>
      </c>
      <c r="F15" t="s">
        <v>709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>
        <v>0.5</v>
      </c>
      <c r="AF15" s="35">
        <v>0.5</v>
      </c>
      <c r="AG15" s="35">
        <v>0.5</v>
      </c>
      <c r="AH15" s="35">
        <v>0.5</v>
      </c>
      <c r="AI15" s="35">
        <v>0.5</v>
      </c>
    </row>
    <row r="16" spans="1:35">
      <c r="A16">
        <v>15</v>
      </c>
      <c r="B16" t="s">
        <v>69</v>
      </c>
      <c r="C16" t="s">
        <v>70</v>
      </c>
      <c r="D16" t="s">
        <v>19</v>
      </c>
      <c r="E16" t="s">
        <v>615</v>
      </c>
      <c r="F16" t="s">
        <v>709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>
        <v>0.5</v>
      </c>
      <c r="AF16" s="35">
        <v>0.5</v>
      </c>
      <c r="AG16" s="35">
        <v>0.5</v>
      </c>
      <c r="AH16" s="35">
        <v>0.5</v>
      </c>
      <c r="AI16" s="35">
        <v>0.5</v>
      </c>
    </row>
    <row r="17" spans="1:35">
      <c r="A17">
        <v>16</v>
      </c>
      <c r="B17" t="s">
        <v>71</v>
      </c>
      <c r="C17" t="s">
        <v>72</v>
      </c>
      <c r="D17" t="s">
        <v>19</v>
      </c>
      <c r="E17" t="s">
        <v>615</v>
      </c>
      <c r="F17" t="s">
        <v>709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>
        <v>0.5</v>
      </c>
      <c r="AF17" s="35">
        <v>0.5</v>
      </c>
      <c r="AG17" s="35">
        <v>0.5</v>
      </c>
      <c r="AH17" s="35">
        <v>0.5</v>
      </c>
      <c r="AI17" s="35">
        <v>0.5</v>
      </c>
    </row>
    <row r="18" spans="1:35">
      <c r="A18">
        <v>17</v>
      </c>
      <c r="B18" t="s">
        <v>74</v>
      </c>
      <c r="C18" t="s">
        <v>75</v>
      </c>
      <c r="D18" t="s">
        <v>19</v>
      </c>
      <c r="E18" t="s">
        <v>615</v>
      </c>
      <c r="F18" t="s">
        <v>709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>
        <v>0.5</v>
      </c>
      <c r="AF18" s="35">
        <v>0.5</v>
      </c>
      <c r="AG18" s="35">
        <v>0.5</v>
      </c>
      <c r="AH18" s="35">
        <v>0.5</v>
      </c>
      <c r="AI18" s="35">
        <v>0.5</v>
      </c>
    </row>
    <row r="19" spans="1:35">
      <c r="A19">
        <v>18</v>
      </c>
      <c r="B19" t="s">
        <v>77</v>
      </c>
      <c r="C19" t="s">
        <v>78</v>
      </c>
      <c r="D19" t="s">
        <v>19</v>
      </c>
      <c r="E19" t="s">
        <v>613</v>
      </c>
      <c r="F19" t="s">
        <v>709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>
        <v>0</v>
      </c>
      <c r="AF19" s="35">
        <v>0</v>
      </c>
      <c r="AG19" s="35">
        <v>0</v>
      </c>
      <c r="AH19" s="35">
        <v>0</v>
      </c>
      <c r="AI19" s="35">
        <v>0</v>
      </c>
    </row>
    <row r="20" spans="1:35">
      <c r="A20">
        <v>19</v>
      </c>
      <c r="B20" t="s">
        <v>82</v>
      </c>
      <c r="C20" t="s">
        <v>83</v>
      </c>
      <c r="D20" t="s">
        <v>19</v>
      </c>
      <c r="E20" t="s">
        <v>613</v>
      </c>
      <c r="F20" t="s">
        <v>709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>
        <v>0</v>
      </c>
      <c r="AF20" s="35">
        <v>0</v>
      </c>
      <c r="AG20" s="35">
        <v>0</v>
      </c>
      <c r="AH20" s="35">
        <v>0</v>
      </c>
      <c r="AI20" s="35">
        <v>0</v>
      </c>
    </row>
    <row r="21" spans="1:35">
      <c r="A21">
        <v>20</v>
      </c>
      <c r="B21" t="s">
        <v>86</v>
      </c>
      <c r="C21" t="s">
        <v>87</v>
      </c>
      <c r="D21" t="s">
        <v>19</v>
      </c>
      <c r="E21" t="s">
        <v>613</v>
      </c>
      <c r="F21" t="s">
        <v>709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>
        <v>0</v>
      </c>
      <c r="AF21" s="35">
        <v>0</v>
      </c>
      <c r="AG21" s="35">
        <v>0</v>
      </c>
      <c r="AH21" s="35">
        <v>0</v>
      </c>
      <c r="AI21" s="35">
        <v>0</v>
      </c>
    </row>
    <row r="22" spans="1:35">
      <c r="A22">
        <v>21</v>
      </c>
      <c r="B22" t="s">
        <v>89</v>
      </c>
      <c r="C22" t="s">
        <v>90</v>
      </c>
      <c r="D22" t="s">
        <v>19</v>
      </c>
      <c r="E22" t="s">
        <v>613</v>
      </c>
      <c r="F22" t="s">
        <v>709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>
        <v>0</v>
      </c>
      <c r="AF22" s="35">
        <v>0</v>
      </c>
      <c r="AG22" s="35">
        <v>0</v>
      </c>
      <c r="AH22" s="35">
        <v>0</v>
      </c>
      <c r="AI22" s="35">
        <v>0</v>
      </c>
    </row>
    <row r="23" spans="1:35">
      <c r="A23">
        <v>22</v>
      </c>
      <c r="B23" t="s">
        <v>93</v>
      </c>
      <c r="C23" t="s">
        <v>94</v>
      </c>
      <c r="D23" t="s">
        <v>19</v>
      </c>
      <c r="E23" t="s">
        <v>613</v>
      </c>
      <c r="F23" t="s">
        <v>709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>
        <v>0</v>
      </c>
      <c r="AF23" s="35">
        <v>0</v>
      </c>
      <c r="AG23" s="35">
        <v>0</v>
      </c>
      <c r="AH23" s="35">
        <v>0</v>
      </c>
      <c r="AI23" s="35">
        <v>0</v>
      </c>
    </row>
    <row r="24" spans="1:35">
      <c r="A24">
        <v>23</v>
      </c>
      <c r="B24" t="s">
        <v>97</v>
      </c>
      <c r="C24" t="s">
        <v>98</v>
      </c>
      <c r="D24" t="s">
        <v>19</v>
      </c>
      <c r="E24" t="s">
        <v>613</v>
      </c>
      <c r="F24" t="s">
        <v>709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>
        <v>0</v>
      </c>
      <c r="AF24" s="35">
        <v>0</v>
      </c>
      <c r="AG24" s="35">
        <v>0</v>
      </c>
      <c r="AH24" s="35">
        <v>0</v>
      </c>
      <c r="AI24" s="35">
        <v>0</v>
      </c>
    </row>
    <row r="25" spans="1:35">
      <c r="A25">
        <v>24</v>
      </c>
      <c r="B25" t="s">
        <v>100</v>
      </c>
      <c r="C25" t="s">
        <v>101</v>
      </c>
      <c r="D25" t="s">
        <v>19</v>
      </c>
      <c r="E25" t="s">
        <v>613</v>
      </c>
      <c r="F25" t="s">
        <v>709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>
        <v>0</v>
      </c>
      <c r="AF25" s="35">
        <v>0</v>
      </c>
      <c r="AG25" s="35">
        <v>0</v>
      </c>
      <c r="AH25" s="35">
        <v>0</v>
      </c>
      <c r="AI25" s="35">
        <v>0</v>
      </c>
    </row>
    <row r="26" spans="1:35">
      <c r="A26">
        <v>25</v>
      </c>
      <c r="B26" t="s">
        <v>103</v>
      </c>
      <c r="C26" t="s">
        <v>104</v>
      </c>
      <c r="D26" t="s">
        <v>19</v>
      </c>
      <c r="E26" t="s">
        <v>613</v>
      </c>
      <c r="F26" t="s">
        <v>709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>
        <v>1</v>
      </c>
      <c r="AF26" s="35">
        <v>1</v>
      </c>
      <c r="AG26" s="35">
        <v>1</v>
      </c>
      <c r="AH26" s="35">
        <v>1</v>
      </c>
      <c r="AI26" s="35">
        <v>1</v>
      </c>
    </row>
    <row r="27" spans="1:35">
      <c r="A27">
        <v>26</v>
      </c>
      <c r="B27" t="s">
        <v>107</v>
      </c>
      <c r="C27" t="s">
        <v>108</v>
      </c>
      <c r="D27" t="s">
        <v>19</v>
      </c>
      <c r="E27" t="s">
        <v>613</v>
      </c>
      <c r="F27" t="s">
        <v>709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>
        <v>0.7</v>
      </c>
      <c r="AF27" s="35">
        <v>0.7</v>
      </c>
      <c r="AG27" s="35">
        <v>0.7</v>
      </c>
      <c r="AH27" s="35">
        <v>0.7</v>
      </c>
      <c r="AI27" s="35">
        <v>0.7</v>
      </c>
    </row>
    <row r="28" spans="1:35">
      <c r="A28">
        <v>27</v>
      </c>
      <c r="B28" t="s">
        <v>110</v>
      </c>
      <c r="C28" t="s">
        <v>111</v>
      </c>
      <c r="D28" t="s">
        <v>19</v>
      </c>
      <c r="E28" t="s">
        <v>613</v>
      </c>
      <c r="F28" t="s">
        <v>709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>
        <v>0</v>
      </c>
      <c r="AF28" s="35">
        <v>0</v>
      </c>
      <c r="AG28" s="35">
        <v>0</v>
      </c>
      <c r="AH28" s="35">
        <v>0</v>
      </c>
      <c r="AI28" s="35">
        <v>0</v>
      </c>
    </row>
    <row r="29" spans="1:35">
      <c r="A29">
        <v>28</v>
      </c>
      <c r="B29" t="s">
        <v>113</v>
      </c>
      <c r="C29" t="s">
        <v>114</v>
      </c>
      <c r="D29" t="s">
        <v>19</v>
      </c>
      <c r="E29" t="s">
        <v>613</v>
      </c>
      <c r="F29" t="s">
        <v>709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>
        <v>0</v>
      </c>
      <c r="AF29" s="35">
        <v>0</v>
      </c>
      <c r="AG29" s="35">
        <v>0</v>
      </c>
      <c r="AH29" s="35">
        <v>0</v>
      </c>
      <c r="AI29" s="35">
        <v>0</v>
      </c>
    </row>
    <row r="30" spans="1:35">
      <c r="A30">
        <v>29</v>
      </c>
      <c r="B30" t="s">
        <v>117</v>
      </c>
      <c r="C30" t="s">
        <v>118</v>
      </c>
      <c r="D30" t="s">
        <v>19</v>
      </c>
      <c r="E30" t="s">
        <v>613</v>
      </c>
      <c r="F30" t="s">
        <v>709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>
        <v>0</v>
      </c>
      <c r="AF30" s="35">
        <v>0</v>
      </c>
      <c r="AG30" s="35">
        <v>0</v>
      </c>
      <c r="AH30" s="35">
        <v>0</v>
      </c>
      <c r="AI30" s="35">
        <v>0</v>
      </c>
    </row>
    <row r="31" spans="1:35">
      <c r="A31">
        <v>30</v>
      </c>
      <c r="B31" t="s">
        <v>121</v>
      </c>
      <c r="C31" t="s">
        <v>122</v>
      </c>
      <c r="D31" t="s">
        <v>19</v>
      </c>
      <c r="E31" t="s">
        <v>613</v>
      </c>
      <c r="F31" t="s">
        <v>709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>
        <v>0</v>
      </c>
      <c r="AF31" s="35">
        <v>0</v>
      </c>
      <c r="AG31" s="35">
        <v>0</v>
      </c>
      <c r="AH31" s="35">
        <v>0</v>
      </c>
      <c r="AI31" s="35">
        <v>0</v>
      </c>
    </row>
    <row r="32" spans="1:35">
      <c r="A32">
        <v>31</v>
      </c>
      <c r="B32" t="s">
        <v>124</v>
      </c>
      <c r="C32" t="s">
        <v>125</v>
      </c>
      <c r="D32" t="s">
        <v>19</v>
      </c>
      <c r="E32" t="s">
        <v>613</v>
      </c>
      <c r="F32" t="s">
        <v>709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>
        <v>1</v>
      </c>
      <c r="AF32" s="35">
        <v>1</v>
      </c>
      <c r="AG32" s="35">
        <v>1</v>
      </c>
      <c r="AH32" s="35">
        <v>1</v>
      </c>
      <c r="AI32" s="35">
        <v>1</v>
      </c>
    </row>
    <row r="33" spans="1:35">
      <c r="A33">
        <v>32</v>
      </c>
      <c r="B33" t="s">
        <v>127</v>
      </c>
      <c r="C33" t="s">
        <v>128</v>
      </c>
      <c r="D33" t="s">
        <v>19</v>
      </c>
      <c r="E33" t="s">
        <v>613</v>
      </c>
      <c r="F33" t="s">
        <v>709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>
        <v>0</v>
      </c>
      <c r="AF33" s="35">
        <v>0</v>
      </c>
      <c r="AG33" s="35">
        <v>0</v>
      </c>
      <c r="AH33" s="35">
        <v>0</v>
      </c>
      <c r="AI33" s="35">
        <v>0</v>
      </c>
    </row>
    <row r="34" spans="1:35">
      <c r="A34">
        <v>33</v>
      </c>
      <c r="B34" t="s">
        <v>130</v>
      </c>
      <c r="C34" t="s">
        <v>131</v>
      </c>
      <c r="D34" t="s">
        <v>19</v>
      </c>
      <c r="E34" t="s">
        <v>613</v>
      </c>
      <c r="F34" t="s">
        <v>709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>
        <v>0</v>
      </c>
      <c r="AF34" s="35">
        <v>0</v>
      </c>
      <c r="AG34" s="35">
        <v>0</v>
      </c>
      <c r="AH34" s="35">
        <v>0</v>
      </c>
      <c r="AI34" s="35">
        <v>0</v>
      </c>
    </row>
    <row r="35" spans="1:35">
      <c r="A35">
        <v>34</v>
      </c>
      <c r="B35" t="s">
        <v>133</v>
      </c>
      <c r="C35" t="s">
        <v>134</v>
      </c>
      <c r="D35" t="s">
        <v>19</v>
      </c>
      <c r="E35" t="s">
        <v>613</v>
      </c>
      <c r="F35" t="s">
        <v>709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>
        <v>0</v>
      </c>
      <c r="AF35" s="35">
        <v>0</v>
      </c>
      <c r="AG35" s="35">
        <v>0</v>
      </c>
      <c r="AH35" s="35">
        <v>0</v>
      </c>
      <c r="AI35" s="35">
        <v>0</v>
      </c>
    </row>
    <row r="36" spans="1:35">
      <c r="A36">
        <v>35</v>
      </c>
      <c r="B36" t="s">
        <v>137</v>
      </c>
      <c r="C36" t="s">
        <v>138</v>
      </c>
      <c r="D36" t="s">
        <v>19</v>
      </c>
      <c r="E36" t="s">
        <v>613</v>
      </c>
      <c r="F36" t="s">
        <v>709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>
        <v>1</v>
      </c>
      <c r="AF36" s="35">
        <v>1</v>
      </c>
      <c r="AG36" s="35">
        <v>1</v>
      </c>
      <c r="AH36" s="35">
        <v>1</v>
      </c>
      <c r="AI36" s="35">
        <v>1</v>
      </c>
    </row>
    <row r="37" spans="1:35">
      <c r="A37">
        <v>36</v>
      </c>
      <c r="B37" t="s">
        <v>140</v>
      </c>
      <c r="C37" t="s">
        <v>141</v>
      </c>
      <c r="D37" t="s">
        <v>19</v>
      </c>
      <c r="E37" t="s">
        <v>613</v>
      </c>
      <c r="F37" t="s">
        <v>709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>
        <v>0</v>
      </c>
      <c r="AF37" s="35">
        <v>0</v>
      </c>
      <c r="AG37" s="35">
        <v>0</v>
      </c>
      <c r="AH37" s="35">
        <v>0</v>
      </c>
      <c r="AI37" s="35">
        <v>0</v>
      </c>
    </row>
    <row r="38" spans="1:35">
      <c r="A38">
        <v>37</v>
      </c>
      <c r="B38" t="s">
        <v>143</v>
      </c>
      <c r="C38" t="s">
        <v>144</v>
      </c>
      <c r="D38" t="s">
        <v>19</v>
      </c>
      <c r="E38" t="s">
        <v>615</v>
      </c>
      <c r="F38" t="s">
        <v>709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>
        <v>0</v>
      </c>
      <c r="AF38" s="35">
        <v>0</v>
      </c>
      <c r="AG38" s="35">
        <v>0</v>
      </c>
      <c r="AH38" s="35">
        <v>0</v>
      </c>
      <c r="AI38" s="35">
        <v>0</v>
      </c>
    </row>
    <row r="39" spans="1:35">
      <c r="A39">
        <v>38</v>
      </c>
      <c r="B39" t="s">
        <v>148</v>
      </c>
      <c r="C39" t="s">
        <v>149</v>
      </c>
      <c r="D39" t="s">
        <v>19</v>
      </c>
      <c r="E39" t="s">
        <v>613</v>
      </c>
      <c r="F39" t="s">
        <v>709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>
        <v>1</v>
      </c>
      <c r="AF39" s="35">
        <v>1</v>
      </c>
      <c r="AG39" s="35">
        <v>1</v>
      </c>
      <c r="AH39" s="35">
        <v>1</v>
      </c>
      <c r="AI39" s="35">
        <v>1</v>
      </c>
    </row>
    <row r="40" spans="1:35">
      <c r="A40">
        <v>39</v>
      </c>
      <c r="B40" t="s">
        <v>151</v>
      </c>
      <c r="C40" t="s">
        <v>152</v>
      </c>
      <c r="D40" t="s">
        <v>19</v>
      </c>
      <c r="E40" t="s">
        <v>613</v>
      </c>
      <c r="F40" t="s">
        <v>709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>
        <v>1</v>
      </c>
      <c r="AF40" s="35">
        <v>1</v>
      </c>
      <c r="AG40" s="35">
        <v>1</v>
      </c>
      <c r="AH40" s="35">
        <v>1</v>
      </c>
      <c r="AI40" s="35">
        <v>1</v>
      </c>
    </row>
    <row r="41" spans="1:35">
      <c r="A41">
        <v>40</v>
      </c>
      <c r="B41" t="s">
        <v>153</v>
      </c>
      <c r="C41" t="s">
        <v>154</v>
      </c>
      <c r="D41" t="s">
        <v>19</v>
      </c>
      <c r="E41" t="s">
        <v>613</v>
      </c>
      <c r="F41" t="s">
        <v>709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>
        <v>0</v>
      </c>
      <c r="AF41" s="35">
        <v>0</v>
      </c>
      <c r="AG41" s="35">
        <v>0</v>
      </c>
      <c r="AH41" s="35">
        <v>0</v>
      </c>
      <c r="AI41" s="35">
        <v>0</v>
      </c>
    </row>
    <row r="42" spans="1:35">
      <c r="A42">
        <v>41</v>
      </c>
      <c r="B42" t="s">
        <v>157</v>
      </c>
      <c r="C42" t="s">
        <v>158</v>
      </c>
      <c r="D42" t="s">
        <v>19</v>
      </c>
      <c r="E42" t="s">
        <v>613</v>
      </c>
      <c r="F42" t="s">
        <v>709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>
        <v>0</v>
      </c>
      <c r="AF42" s="35">
        <v>0</v>
      </c>
      <c r="AG42" s="35">
        <v>0</v>
      </c>
      <c r="AH42" s="35">
        <v>0</v>
      </c>
      <c r="AI42" s="35">
        <v>0</v>
      </c>
    </row>
    <row r="43" spans="1:35">
      <c r="A43">
        <v>42</v>
      </c>
      <c r="B43" t="s">
        <v>161</v>
      </c>
      <c r="C43" t="s">
        <v>162</v>
      </c>
      <c r="D43" t="s">
        <v>19</v>
      </c>
      <c r="E43" t="s">
        <v>613</v>
      </c>
      <c r="F43" t="s">
        <v>709</v>
      </c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>
        <v>0.5</v>
      </c>
      <c r="AF43" s="35">
        <v>0.5</v>
      </c>
      <c r="AG43" s="35">
        <v>0.5</v>
      </c>
      <c r="AH43" s="35">
        <v>0.5</v>
      </c>
      <c r="AI43" s="35">
        <v>0.5</v>
      </c>
    </row>
    <row r="44" spans="1:35">
      <c r="A44">
        <v>43</v>
      </c>
      <c r="B44" t="s">
        <v>164</v>
      </c>
      <c r="C44" t="s">
        <v>165</v>
      </c>
      <c r="D44" t="s">
        <v>19</v>
      </c>
      <c r="E44" t="s">
        <v>613</v>
      </c>
      <c r="F44" t="s">
        <v>709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>
        <v>1</v>
      </c>
      <c r="AF44" s="35">
        <v>1</v>
      </c>
      <c r="AG44" s="35">
        <v>1</v>
      </c>
      <c r="AH44" s="35">
        <v>1</v>
      </c>
      <c r="AI44" s="35">
        <v>1</v>
      </c>
    </row>
    <row r="45" spans="1:35">
      <c r="A45">
        <v>44</v>
      </c>
      <c r="B45" t="s">
        <v>168</v>
      </c>
      <c r="C45" t="s">
        <v>169</v>
      </c>
      <c r="D45" t="s">
        <v>19</v>
      </c>
      <c r="E45" t="s">
        <v>613</v>
      </c>
      <c r="F45" t="s">
        <v>709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>
        <v>0</v>
      </c>
      <c r="AF45" s="35">
        <v>0</v>
      </c>
      <c r="AG45" s="35">
        <v>0</v>
      </c>
      <c r="AH45" s="35">
        <v>0</v>
      </c>
      <c r="AI45" s="35">
        <v>0</v>
      </c>
    </row>
    <row r="46" spans="1:35">
      <c r="A46">
        <v>45</v>
      </c>
      <c r="B46" t="s">
        <v>171</v>
      </c>
      <c r="C46" t="s">
        <v>172</v>
      </c>
      <c r="D46" t="s">
        <v>19</v>
      </c>
      <c r="E46" t="s">
        <v>613</v>
      </c>
      <c r="F46" t="s">
        <v>709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>
        <v>1</v>
      </c>
      <c r="AF46" s="35">
        <v>1</v>
      </c>
      <c r="AG46" s="35">
        <v>1</v>
      </c>
      <c r="AH46" s="35">
        <v>1</v>
      </c>
      <c r="AI46" s="35">
        <v>1</v>
      </c>
    </row>
    <row r="47" spans="1:35">
      <c r="A47">
        <v>46</v>
      </c>
      <c r="B47" t="s">
        <v>174</v>
      </c>
      <c r="C47" t="s">
        <v>175</v>
      </c>
      <c r="D47" t="s">
        <v>19</v>
      </c>
      <c r="E47" t="s">
        <v>613</v>
      </c>
      <c r="F47" t="s">
        <v>709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>
        <v>1</v>
      </c>
      <c r="AF47" s="35">
        <v>1</v>
      </c>
      <c r="AG47" s="35">
        <v>1</v>
      </c>
      <c r="AH47" s="35">
        <v>1</v>
      </c>
      <c r="AI47" s="35">
        <v>1</v>
      </c>
    </row>
    <row r="48" spans="1:35">
      <c r="A48">
        <v>47</v>
      </c>
      <c r="B48" t="s">
        <v>178</v>
      </c>
      <c r="C48" t="s">
        <v>179</v>
      </c>
      <c r="D48" t="s">
        <v>19</v>
      </c>
      <c r="E48" t="s">
        <v>613</v>
      </c>
      <c r="F48" t="s">
        <v>709</v>
      </c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>
        <v>0</v>
      </c>
      <c r="AF48" s="35">
        <v>0</v>
      </c>
      <c r="AG48" s="35">
        <v>0</v>
      </c>
      <c r="AH48" s="35">
        <v>0</v>
      </c>
      <c r="AI48" s="35">
        <v>0</v>
      </c>
    </row>
    <row r="49" spans="1:35">
      <c r="A49">
        <v>48</v>
      </c>
      <c r="B49" t="s">
        <v>181</v>
      </c>
      <c r="C49" t="s">
        <v>182</v>
      </c>
      <c r="D49" t="s">
        <v>19</v>
      </c>
      <c r="E49" t="s">
        <v>613</v>
      </c>
      <c r="F49" t="s">
        <v>709</v>
      </c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>
      <c r="A50">
        <v>49</v>
      </c>
      <c r="B50" t="s">
        <v>185</v>
      </c>
      <c r="C50" t="s">
        <v>186</v>
      </c>
      <c r="D50" t="s">
        <v>19</v>
      </c>
      <c r="E50" t="s">
        <v>613</v>
      </c>
      <c r="F50" t="s">
        <v>709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>
        <v>0</v>
      </c>
      <c r="AF50" s="35">
        <v>0</v>
      </c>
      <c r="AG50" s="35">
        <v>0</v>
      </c>
      <c r="AH50" s="35">
        <v>0</v>
      </c>
      <c r="AI50" s="35">
        <v>0</v>
      </c>
    </row>
    <row r="51" spans="1:35">
      <c r="A51">
        <v>50</v>
      </c>
      <c r="B51" t="s">
        <v>188</v>
      </c>
      <c r="C51" t="s">
        <v>189</v>
      </c>
      <c r="D51" t="s">
        <v>19</v>
      </c>
      <c r="E51" t="s">
        <v>613</v>
      </c>
      <c r="F51" t="s">
        <v>709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>
        <v>0</v>
      </c>
      <c r="AF51" s="35">
        <v>0</v>
      </c>
      <c r="AG51" s="35">
        <v>0</v>
      </c>
      <c r="AH51" s="35">
        <v>0</v>
      </c>
      <c r="AI51" s="35">
        <v>0</v>
      </c>
    </row>
    <row r="52" spans="1:35">
      <c r="A52">
        <v>51</v>
      </c>
      <c r="B52" t="s">
        <v>192</v>
      </c>
      <c r="C52" t="s">
        <v>193</v>
      </c>
      <c r="D52" t="s">
        <v>19</v>
      </c>
      <c r="E52" t="s">
        <v>613</v>
      </c>
      <c r="F52" t="s">
        <v>709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>
        <v>0.75</v>
      </c>
      <c r="AF52" s="35">
        <v>0.75</v>
      </c>
      <c r="AG52" s="35">
        <v>0.75</v>
      </c>
      <c r="AH52" s="35">
        <v>0.75</v>
      </c>
      <c r="AI52" s="35">
        <v>0.75</v>
      </c>
    </row>
    <row r="53" spans="1:35">
      <c r="A53">
        <v>52</v>
      </c>
      <c r="B53" t="s">
        <v>194</v>
      </c>
      <c r="C53" t="s">
        <v>195</v>
      </c>
      <c r="D53" t="s">
        <v>19</v>
      </c>
      <c r="E53" t="s">
        <v>613</v>
      </c>
      <c r="F53" t="s">
        <v>709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>
        <v>1</v>
      </c>
      <c r="AF53" s="35">
        <v>1</v>
      </c>
      <c r="AG53" s="35">
        <v>1</v>
      </c>
      <c r="AH53" s="35">
        <v>1</v>
      </c>
      <c r="AI53" s="35">
        <v>1</v>
      </c>
    </row>
    <row r="54" spans="1:35">
      <c r="A54">
        <v>53</v>
      </c>
      <c r="B54" t="s">
        <v>197</v>
      </c>
      <c r="C54" t="s">
        <v>198</v>
      </c>
      <c r="D54" t="s">
        <v>19</v>
      </c>
      <c r="E54" t="s">
        <v>613</v>
      </c>
      <c r="F54" t="s">
        <v>709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>
        <v>0</v>
      </c>
      <c r="AF54" s="35">
        <v>0</v>
      </c>
      <c r="AG54" s="35">
        <v>0</v>
      </c>
      <c r="AH54" s="35">
        <v>0</v>
      </c>
      <c r="AI54" s="35">
        <v>0</v>
      </c>
    </row>
    <row r="55" spans="1:35">
      <c r="A55">
        <v>54</v>
      </c>
      <c r="B55" t="s">
        <v>200</v>
      </c>
      <c r="C55" t="s">
        <v>201</v>
      </c>
      <c r="D55" t="s">
        <v>19</v>
      </c>
      <c r="E55" t="s">
        <v>613</v>
      </c>
      <c r="F55" t="s">
        <v>709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>
        <v>0</v>
      </c>
      <c r="AF55" s="35">
        <v>0</v>
      </c>
      <c r="AG55" s="35">
        <v>0</v>
      </c>
      <c r="AH55" s="35">
        <v>0</v>
      </c>
      <c r="AI55" s="35">
        <v>0</v>
      </c>
    </row>
    <row r="56" spans="1:35">
      <c r="A56">
        <v>55</v>
      </c>
      <c r="B56" t="s">
        <v>203</v>
      </c>
      <c r="C56" t="s">
        <v>204</v>
      </c>
      <c r="D56" t="s">
        <v>19</v>
      </c>
      <c r="E56" t="s">
        <v>613</v>
      </c>
      <c r="F56" t="s">
        <v>709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>
        <v>0</v>
      </c>
      <c r="AF56" s="35">
        <v>0</v>
      </c>
      <c r="AG56" s="35">
        <v>0</v>
      </c>
      <c r="AH56" s="35">
        <v>0</v>
      </c>
      <c r="AI56" s="35">
        <v>0</v>
      </c>
    </row>
    <row r="57" spans="1:35">
      <c r="A57">
        <v>56</v>
      </c>
      <c r="B57" t="s">
        <v>205</v>
      </c>
      <c r="C57" t="s">
        <v>206</v>
      </c>
      <c r="D57" t="s">
        <v>19</v>
      </c>
      <c r="E57" t="s">
        <v>613</v>
      </c>
      <c r="F57" t="s">
        <v>709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>
        <v>0</v>
      </c>
      <c r="AF57" s="35">
        <v>0</v>
      </c>
      <c r="AG57" s="35">
        <v>0</v>
      </c>
      <c r="AH57" s="35">
        <v>0</v>
      </c>
      <c r="AI57" s="35">
        <v>0</v>
      </c>
    </row>
    <row r="58" spans="1:35">
      <c r="A58">
        <v>57</v>
      </c>
      <c r="B58" t="s">
        <v>209</v>
      </c>
      <c r="C58" t="s">
        <v>210</v>
      </c>
      <c r="D58" t="s">
        <v>19</v>
      </c>
      <c r="E58" t="s">
        <v>613</v>
      </c>
      <c r="F58" t="s">
        <v>709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>
        <v>0</v>
      </c>
      <c r="AF58" s="35">
        <v>0</v>
      </c>
      <c r="AG58" s="35">
        <v>0</v>
      </c>
      <c r="AH58" s="35">
        <v>0</v>
      </c>
      <c r="AI58" s="35">
        <v>0</v>
      </c>
    </row>
    <row r="59" spans="1:35">
      <c r="A59">
        <v>58</v>
      </c>
      <c r="B59" t="s">
        <v>213</v>
      </c>
      <c r="C59" t="s">
        <v>214</v>
      </c>
      <c r="D59" t="s">
        <v>19</v>
      </c>
      <c r="E59" t="s">
        <v>613</v>
      </c>
      <c r="F59" t="s">
        <v>709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>
        <v>1</v>
      </c>
      <c r="AF59" s="35">
        <v>1</v>
      </c>
      <c r="AG59" s="35">
        <v>1</v>
      </c>
      <c r="AH59" s="35">
        <v>1</v>
      </c>
      <c r="AI59" s="35">
        <v>1</v>
      </c>
    </row>
    <row r="60" spans="1:35">
      <c r="A60">
        <v>59</v>
      </c>
      <c r="B60" t="s">
        <v>217</v>
      </c>
      <c r="C60" t="s">
        <v>218</v>
      </c>
      <c r="D60" t="s">
        <v>19</v>
      </c>
      <c r="E60" t="s">
        <v>613</v>
      </c>
      <c r="F60" t="s">
        <v>709</v>
      </c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>
        <v>1</v>
      </c>
      <c r="AF60" s="35">
        <v>1</v>
      </c>
      <c r="AG60" s="35">
        <v>1</v>
      </c>
      <c r="AH60" s="35">
        <v>1</v>
      </c>
      <c r="AI60" s="35">
        <v>1</v>
      </c>
    </row>
    <row r="61" spans="1:35">
      <c r="A61">
        <v>60</v>
      </c>
      <c r="B61" t="s">
        <v>220</v>
      </c>
      <c r="C61" t="s">
        <v>221</v>
      </c>
      <c r="D61" t="s">
        <v>19</v>
      </c>
      <c r="E61" t="s">
        <v>615</v>
      </c>
      <c r="F61" t="s">
        <v>709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>
        <v>1</v>
      </c>
      <c r="AF61" s="35">
        <v>1</v>
      </c>
      <c r="AG61" s="35">
        <v>1</v>
      </c>
      <c r="AH61" s="35">
        <v>1</v>
      </c>
      <c r="AI61" s="35">
        <v>1</v>
      </c>
    </row>
    <row r="62" spans="1:35">
      <c r="A62">
        <v>61</v>
      </c>
      <c r="B62" t="s">
        <v>224</v>
      </c>
      <c r="C62" t="s">
        <v>225</v>
      </c>
      <c r="D62" t="s">
        <v>19</v>
      </c>
      <c r="E62" t="s">
        <v>613</v>
      </c>
      <c r="F62" t="s">
        <v>709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>
        <v>0</v>
      </c>
      <c r="AF62" s="35">
        <v>0</v>
      </c>
      <c r="AG62" s="35">
        <v>0</v>
      </c>
      <c r="AH62" s="35">
        <v>0</v>
      </c>
      <c r="AI62" s="35">
        <v>0</v>
      </c>
    </row>
    <row r="63" spans="1:35">
      <c r="A63">
        <v>62</v>
      </c>
      <c r="B63" t="s">
        <v>227</v>
      </c>
      <c r="C63" t="s">
        <v>228</v>
      </c>
      <c r="D63" t="s">
        <v>19</v>
      </c>
      <c r="E63" t="s">
        <v>613</v>
      </c>
      <c r="F63" t="s">
        <v>709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>
        <v>0</v>
      </c>
      <c r="AF63" s="35">
        <v>0</v>
      </c>
      <c r="AG63" s="35">
        <v>0</v>
      </c>
      <c r="AH63" s="35">
        <v>0</v>
      </c>
      <c r="AI63" s="35">
        <v>0</v>
      </c>
    </row>
    <row r="64" spans="1:35">
      <c r="A64">
        <v>63</v>
      </c>
      <c r="B64" t="s">
        <v>230</v>
      </c>
      <c r="C64" t="s">
        <v>231</v>
      </c>
      <c r="D64" t="s">
        <v>19</v>
      </c>
      <c r="E64" t="s">
        <v>613</v>
      </c>
      <c r="F64" t="s">
        <v>709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>
        <v>1</v>
      </c>
      <c r="AF64" s="35">
        <v>1</v>
      </c>
      <c r="AG64" s="35">
        <v>1</v>
      </c>
      <c r="AH64" s="35">
        <v>1</v>
      </c>
      <c r="AI64" s="35">
        <v>1</v>
      </c>
    </row>
    <row r="65" spans="1:35">
      <c r="A65">
        <v>64</v>
      </c>
      <c r="B65" t="s">
        <v>232</v>
      </c>
      <c r="C65" t="s">
        <v>233</v>
      </c>
      <c r="D65" t="s">
        <v>19</v>
      </c>
      <c r="E65" t="s">
        <v>613</v>
      </c>
      <c r="F65" t="s">
        <v>709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>
        <v>1</v>
      </c>
      <c r="AF65" s="35">
        <v>1</v>
      </c>
      <c r="AG65" s="35">
        <v>1</v>
      </c>
      <c r="AH65" s="35">
        <v>1</v>
      </c>
      <c r="AI65" s="35">
        <v>1</v>
      </c>
    </row>
    <row r="66" spans="1:35">
      <c r="A66">
        <v>65</v>
      </c>
      <c r="B66" t="s">
        <v>235</v>
      </c>
      <c r="C66" t="s">
        <v>236</v>
      </c>
      <c r="D66" t="s">
        <v>19</v>
      </c>
      <c r="E66" t="s">
        <v>613</v>
      </c>
      <c r="F66" t="s">
        <v>709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>
        <v>0.7</v>
      </c>
      <c r="AF66" s="35">
        <v>0.7</v>
      </c>
      <c r="AG66" s="35">
        <v>0.7</v>
      </c>
      <c r="AH66" s="35">
        <v>0.7</v>
      </c>
      <c r="AI66" s="35">
        <v>0.7</v>
      </c>
    </row>
    <row r="67" spans="1:35">
      <c r="A67">
        <v>66</v>
      </c>
      <c r="B67" t="s">
        <v>239</v>
      </c>
      <c r="C67" t="s">
        <v>240</v>
      </c>
      <c r="D67" t="s">
        <v>19</v>
      </c>
      <c r="E67" t="s">
        <v>613</v>
      </c>
      <c r="F67" t="s">
        <v>709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>
        <v>0.7</v>
      </c>
      <c r="AF67" s="35">
        <v>0.7</v>
      </c>
      <c r="AG67" s="35">
        <v>0.7</v>
      </c>
      <c r="AH67" s="35">
        <v>0.7</v>
      </c>
      <c r="AI67" s="35">
        <v>0.7</v>
      </c>
    </row>
    <row r="68" spans="1:35">
      <c r="A68">
        <v>67</v>
      </c>
      <c r="B68" t="s">
        <v>242</v>
      </c>
      <c r="C68" t="s">
        <v>243</v>
      </c>
      <c r="D68" t="s">
        <v>19</v>
      </c>
      <c r="E68" t="s">
        <v>613</v>
      </c>
      <c r="F68" t="s">
        <v>709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>
        <v>0</v>
      </c>
      <c r="AF68" s="35">
        <v>0</v>
      </c>
      <c r="AG68" s="35">
        <v>0</v>
      </c>
      <c r="AH68" s="35">
        <v>0</v>
      </c>
      <c r="AI68" s="35">
        <v>0</v>
      </c>
    </row>
    <row r="69" spans="1:35">
      <c r="A69">
        <v>68</v>
      </c>
      <c r="B69" t="s">
        <v>247</v>
      </c>
      <c r="C69" t="s">
        <v>248</v>
      </c>
      <c r="D69" t="s">
        <v>19</v>
      </c>
      <c r="E69" t="s">
        <v>613</v>
      </c>
      <c r="F69" t="s">
        <v>709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>
        <v>0</v>
      </c>
      <c r="AF69" s="35">
        <v>0</v>
      </c>
      <c r="AG69" s="35">
        <v>0</v>
      </c>
      <c r="AH69" s="35">
        <v>0</v>
      </c>
      <c r="AI69" s="35">
        <v>0</v>
      </c>
    </row>
    <row r="70" spans="1:35">
      <c r="A70">
        <v>69</v>
      </c>
      <c r="B70" t="s">
        <v>250</v>
      </c>
      <c r="C70" t="s">
        <v>251</v>
      </c>
      <c r="D70" t="s">
        <v>19</v>
      </c>
      <c r="E70" t="s">
        <v>613</v>
      </c>
      <c r="F70" t="s">
        <v>709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>
        <v>1</v>
      </c>
      <c r="AF70" s="35">
        <v>1</v>
      </c>
      <c r="AG70" s="35">
        <v>1</v>
      </c>
      <c r="AH70" s="35">
        <v>1</v>
      </c>
      <c r="AI70" s="35">
        <v>1</v>
      </c>
    </row>
    <row r="71" spans="1:35">
      <c r="A71">
        <v>70</v>
      </c>
      <c r="B71" t="s">
        <v>253</v>
      </c>
      <c r="C71" t="s">
        <v>254</v>
      </c>
      <c r="D71" t="s">
        <v>19</v>
      </c>
      <c r="E71" t="s">
        <v>613</v>
      </c>
      <c r="F71" t="s">
        <v>709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>
        <v>1</v>
      </c>
      <c r="AF71" s="35">
        <v>1</v>
      </c>
      <c r="AG71" s="35">
        <v>1</v>
      </c>
      <c r="AH71" s="35">
        <v>1</v>
      </c>
      <c r="AI71" s="35">
        <v>1</v>
      </c>
    </row>
    <row r="72" spans="1:35">
      <c r="A72">
        <v>71</v>
      </c>
      <c r="B72" t="s">
        <v>256</v>
      </c>
      <c r="C72" t="s">
        <v>257</v>
      </c>
      <c r="D72" t="s">
        <v>19</v>
      </c>
      <c r="E72" t="s">
        <v>613</v>
      </c>
      <c r="F72" t="s">
        <v>709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>
        <v>1</v>
      </c>
      <c r="AF72" s="35">
        <v>1</v>
      </c>
      <c r="AG72" s="35">
        <v>1</v>
      </c>
      <c r="AH72" s="35">
        <v>1</v>
      </c>
      <c r="AI72" s="35">
        <v>1</v>
      </c>
    </row>
    <row r="73" spans="1:35">
      <c r="A73">
        <v>72</v>
      </c>
      <c r="B73" t="s">
        <v>258</v>
      </c>
      <c r="C73" t="s">
        <v>259</v>
      </c>
      <c r="D73" t="s">
        <v>19</v>
      </c>
      <c r="E73" t="s">
        <v>613</v>
      </c>
      <c r="F73" t="s">
        <v>709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>
        <v>1</v>
      </c>
      <c r="AF73" s="35">
        <v>1</v>
      </c>
      <c r="AG73" s="35">
        <v>1</v>
      </c>
      <c r="AH73" s="35">
        <v>1</v>
      </c>
      <c r="AI73" s="35">
        <v>1</v>
      </c>
    </row>
    <row r="74" spans="1:35">
      <c r="A74">
        <v>73</v>
      </c>
      <c r="B74" t="s">
        <v>261</v>
      </c>
      <c r="C74" t="s">
        <v>262</v>
      </c>
      <c r="D74" t="s">
        <v>19</v>
      </c>
      <c r="E74" t="s">
        <v>613</v>
      </c>
      <c r="F74" t="s">
        <v>709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>
        <v>0</v>
      </c>
      <c r="AF74" s="35">
        <v>0</v>
      </c>
      <c r="AG74" s="35">
        <v>0</v>
      </c>
      <c r="AH74" s="35">
        <v>0</v>
      </c>
      <c r="AI74" s="35">
        <v>0</v>
      </c>
    </row>
    <row r="75" spans="1:35">
      <c r="A75">
        <v>74</v>
      </c>
      <c r="B75" t="s">
        <v>265</v>
      </c>
      <c r="C75" t="s">
        <v>266</v>
      </c>
      <c r="D75" t="s">
        <v>19</v>
      </c>
      <c r="E75" t="s">
        <v>613</v>
      </c>
      <c r="F75" t="s">
        <v>709</v>
      </c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>
        <v>0</v>
      </c>
      <c r="AF75" s="35">
        <v>0</v>
      </c>
      <c r="AG75" s="35">
        <v>0</v>
      </c>
      <c r="AH75" s="35">
        <v>0</v>
      </c>
      <c r="AI75" s="35">
        <v>0</v>
      </c>
    </row>
    <row r="76" spans="1:35">
      <c r="A76">
        <v>75</v>
      </c>
      <c r="B76" t="s">
        <v>269</v>
      </c>
      <c r="C76" t="s">
        <v>270</v>
      </c>
      <c r="D76" t="s">
        <v>19</v>
      </c>
      <c r="E76" t="s">
        <v>613</v>
      </c>
      <c r="F76" t="s">
        <v>709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>
        <v>0</v>
      </c>
      <c r="AF76" s="35">
        <v>0</v>
      </c>
      <c r="AG76" s="35">
        <v>0</v>
      </c>
      <c r="AH76" s="35">
        <v>0</v>
      </c>
      <c r="AI76" s="35">
        <v>0</v>
      </c>
    </row>
    <row r="77" spans="1:35">
      <c r="A77">
        <v>76</v>
      </c>
      <c r="B77" t="s">
        <v>273</v>
      </c>
      <c r="C77" t="s">
        <v>274</v>
      </c>
      <c r="D77" t="s">
        <v>19</v>
      </c>
      <c r="E77" t="s">
        <v>613</v>
      </c>
      <c r="F77" t="s">
        <v>709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>
        <v>0</v>
      </c>
      <c r="AF77" s="35">
        <v>0</v>
      </c>
      <c r="AG77" s="35">
        <v>0</v>
      </c>
      <c r="AH77" s="35">
        <v>0</v>
      </c>
      <c r="AI77" s="35">
        <v>0</v>
      </c>
    </row>
    <row r="78" spans="1:35">
      <c r="A78">
        <v>77</v>
      </c>
      <c r="B78" t="s">
        <v>276</v>
      </c>
      <c r="C78" t="s">
        <v>277</v>
      </c>
      <c r="D78" t="s">
        <v>19</v>
      </c>
      <c r="E78" t="s">
        <v>613</v>
      </c>
      <c r="F78" t="s">
        <v>709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>
        <v>0.5</v>
      </c>
      <c r="AF78" s="35">
        <v>0.5</v>
      </c>
      <c r="AG78" s="35">
        <v>0.5</v>
      </c>
      <c r="AH78" s="35">
        <v>0.5</v>
      </c>
      <c r="AI78" s="35">
        <v>0.5</v>
      </c>
    </row>
    <row r="79" spans="1:35">
      <c r="A79">
        <v>78</v>
      </c>
      <c r="B79" t="s">
        <v>278</v>
      </c>
      <c r="C79" t="s">
        <v>279</v>
      </c>
      <c r="D79" t="s">
        <v>19</v>
      </c>
      <c r="E79" t="s">
        <v>615</v>
      </c>
      <c r="F79" t="s">
        <v>709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>
      <c r="A80">
        <v>79</v>
      </c>
      <c r="B80" t="s">
        <v>280</v>
      </c>
      <c r="C80" t="s">
        <v>281</v>
      </c>
      <c r="D80" t="s">
        <v>19</v>
      </c>
      <c r="E80" t="s">
        <v>613</v>
      </c>
      <c r="F80" t="s">
        <v>709</v>
      </c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>
        <v>0</v>
      </c>
      <c r="AF80" s="35">
        <v>0</v>
      </c>
      <c r="AG80" s="35">
        <v>0</v>
      </c>
      <c r="AH80" s="35">
        <v>0</v>
      </c>
      <c r="AI80" s="35">
        <v>0</v>
      </c>
    </row>
    <row r="81" spans="1:35">
      <c r="A81">
        <v>80</v>
      </c>
      <c r="B81" t="s">
        <v>282</v>
      </c>
      <c r="C81" t="s">
        <v>283</v>
      </c>
      <c r="D81" t="s">
        <v>19</v>
      </c>
      <c r="E81" t="s">
        <v>613</v>
      </c>
      <c r="F81" t="s">
        <v>709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>
        <v>0</v>
      </c>
      <c r="AF81" s="35">
        <v>0</v>
      </c>
      <c r="AG81" s="35">
        <v>0</v>
      </c>
      <c r="AH81" s="35">
        <v>0</v>
      </c>
      <c r="AI81" s="35">
        <v>0</v>
      </c>
    </row>
    <row r="82" spans="1:35">
      <c r="A82">
        <v>81</v>
      </c>
      <c r="B82" t="s">
        <v>285</v>
      </c>
      <c r="C82" t="s">
        <v>286</v>
      </c>
      <c r="D82" t="s">
        <v>19</v>
      </c>
      <c r="E82" t="s">
        <v>613</v>
      </c>
      <c r="F82" t="s">
        <v>709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>
        <v>0</v>
      </c>
      <c r="AF82" s="35">
        <v>0</v>
      </c>
      <c r="AG82" s="35">
        <v>0</v>
      </c>
      <c r="AH82" s="35">
        <v>0</v>
      </c>
      <c r="AI82" s="35">
        <v>0</v>
      </c>
    </row>
    <row r="83" spans="1:35">
      <c r="A83">
        <v>82</v>
      </c>
      <c r="B83" t="s">
        <v>287</v>
      </c>
      <c r="C83" t="s">
        <v>288</v>
      </c>
      <c r="D83" t="s">
        <v>19</v>
      </c>
      <c r="E83" t="s">
        <v>613</v>
      </c>
      <c r="F83" t="s">
        <v>709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>
        <v>0</v>
      </c>
      <c r="AF83" s="35">
        <v>0</v>
      </c>
      <c r="AG83" s="35">
        <v>0</v>
      </c>
      <c r="AH83" s="35">
        <v>0</v>
      </c>
      <c r="AI83" s="35">
        <v>0</v>
      </c>
    </row>
    <row r="84" spans="1:35">
      <c r="A84">
        <v>83</v>
      </c>
      <c r="B84" t="s">
        <v>290</v>
      </c>
      <c r="C84" t="s">
        <v>291</v>
      </c>
      <c r="D84" t="s">
        <v>19</v>
      </c>
      <c r="E84" t="s">
        <v>613</v>
      </c>
      <c r="F84" t="s">
        <v>709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>
        <v>0</v>
      </c>
      <c r="AF84" s="35">
        <v>0</v>
      </c>
      <c r="AG84" s="35">
        <v>0</v>
      </c>
      <c r="AH84" s="35">
        <v>0</v>
      </c>
      <c r="AI84" s="35">
        <v>0</v>
      </c>
    </row>
    <row r="85" spans="1:35">
      <c r="A85">
        <v>84</v>
      </c>
      <c r="B85" t="s">
        <v>292</v>
      </c>
      <c r="C85" t="s">
        <v>293</v>
      </c>
      <c r="D85" t="s">
        <v>19</v>
      </c>
      <c r="E85" t="s">
        <v>613</v>
      </c>
      <c r="F85" t="s">
        <v>709</v>
      </c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>
        <v>0</v>
      </c>
      <c r="AF85" s="35">
        <v>0</v>
      </c>
      <c r="AG85" s="35">
        <v>0</v>
      </c>
      <c r="AH85" s="35">
        <v>0</v>
      </c>
      <c r="AI85" s="35">
        <v>0</v>
      </c>
    </row>
    <row r="86" spans="1:35">
      <c r="A86">
        <v>85</v>
      </c>
      <c r="B86" t="s">
        <v>295</v>
      </c>
      <c r="C86" t="s">
        <v>296</v>
      </c>
      <c r="D86" t="s">
        <v>19</v>
      </c>
      <c r="E86" t="s">
        <v>613</v>
      </c>
      <c r="F86" t="s">
        <v>709</v>
      </c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>
        <v>0</v>
      </c>
      <c r="AF86" s="35">
        <v>0</v>
      </c>
      <c r="AG86" s="35">
        <v>0</v>
      </c>
      <c r="AH86" s="35">
        <v>0</v>
      </c>
      <c r="AI86" s="35">
        <v>0</v>
      </c>
    </row>
    <row r="87" spans="1:35">
      <c r="A87">
        <v>86</v>
      </c>
      <c r="B87" t="s">
        <v>298</v>
      </c>
      <c r="C87" t="s">
        <v>299</v>
      </c>
      <c r="D87" t="s">
        <v>19</v>
      </c>
      <c r="E87" t="s">
        <v>613</v>
      </c>
      <c r="F87" t="s">
        <v>709</v>
      </c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>
        <v>1</v>
      </c>
      <c r="AF87" s="35">
        <v>1</v>
      </c>
      <c r="AG87" s="35">
        <v>1</v>
      </c>
      <c r="AH87" s="35">
        <v>1</v>
      </c>
      <c r="AI87" s="35">
        <v>1</v>
      </c>
    </row>
    <row r="88" spans="1:35">
      <c r="A88">
        <v>87</v>
      </c>
      <c r="B88" t="s">
        <v>302</v>
      </c>
      <c r="C88" t="s">
        <v>303</v>
      </c>
      <c r="D88" t="s">
        <v>19</v>
      </c>
      <c r="E88" t="s">
        <v>613</v>
      </c>
      <c r="F88" t="s">
        <v>709</v>
      </c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>
        <v>1</v>
      </c>
      <c r="AF88" s="35">
        <v>1</v>
      </c>
      <c r="AG88" s="35">
        <v>1</v>
      </c>
      <c r="AH88" s="35">
        <v>1</v>
      </c>
      <c r="AI88" s="35">
        <v>1</v>
      </c>
    </row>
    <row r="89" spans="1:35">
      <c r="A89">
        <v>88</v>
      </c>
      <c r="B89" t="s">
        <v>305</v>
      </c>
      <c r="C89" t="s">
        <v>306</v>
      </c>
      <c r="D89" t="s">
        <v>19</v>
      </c>
      <c r="E89" t="s">
        <v>613</v>
      </c>
      <c r="F89" t="s">
        <v>709</v>
      </c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>
        <v>1</v>
      </c>
      <c r="AF89" s="35">
        <v>1</v>
      </c>
      <c r="AG89" s="35">
        <v>1</v>
      </c>
      <c r="AH89" s="35">
        <v>1</v>
      </c>
      <c r="AI89" s="35">
        <v>1</v>
      </c>
    </row>
    <row r="90" spans="1:35">
      <c r="A90">
        <v>89</v>
      </c>
      <c r="B90" t="s">
        <v>308</v>
      </c>
      <c r="C90" t="s">
        <v>309</v>
      </c>
      <c r="D90" t="s">
        <v>19</v>
      </c>
      <c r="E90" t="s">
        <v>613</v>
      </c>
      <c r="F90" t="s">
        <v>709</v>
      </c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>
        <v>1</v>
      </c>
      <c r="AF90" s="35">
        <v>1</v>
      </c>
      <c r="AG90" s="35">
        <v>1</v>
      </c>
      <c r="AH90" s="35">
        <v>1</v>
      </c>
      <c r="AI90" s="35">
        <v>1</v>
      </c>
    </row>
    <row r="91" spans="1:35">
      <c r="A91">
        <v>90</v>
      </c>
      <c r="B91" t="s">
        <v>311</v>
      </c>
      <c r="C91" t="s">
        <v>312</v>
      </c>
      <c r="D91" t="s">
        <v>19</v>
      </c>
      <c r="E91" t="s">
        <v>613</v>
      </c>
      <c r="F91" t="s">
        <v>709</v>
      </c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>
        <v>1</v>
      </c>
      <c r="AF91" s="35">
        <v>1</v>
      </c>
      <c r="AG91" s="35">
        <v>1</v>
      </c>
      <c r="AH91" s="35">
        <v>1</v>
      </c>
      <c r="AI91" s="35">
        <v>1</v>
      </c>
    </row>
    <row r="92" spans="1:35">
      <c r="A92">
        <v>91</v>
      </c>
      <c r="B92" t="s">
        <v>314</v>
      </c>
      <c r="C92" t="s">
        <v>315</v>
      </c>
      <c r="D92" t="s">
        <v>19</v>
      </c>
      <c r="E92" t="s">
        <v>613</v>
      </c>
      <c r="F92" t="s">
        <v>709</v>
      </c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>
        <v>1</v>
      </c>
      <c r="AF92" s="35">
        <v>1</v>
      </c>
      <c r="AG92" s="35">
        <v>1</v>
      </c>
      <c r="AH92" s="35">
        <v>1</v>
      </c>
      <c r="AI92" s="35">
        <v>1</v>
      </c>
    </row>
    <row r="93" spans="1:35">
      <c r="A93">
        <v>92</v>
      </c>
      <c r="B93" t="s">
        <v>317</v>
      </c>
      <c r="C93" t="s">
        <v>318</v>
      </c>
      <c r="D93" t="s">
        <v>19</v>
      </c>
      <c r="E93" t="s">
        <v>613</v>
      </c>
      <c r="F93" t="s">
        <v>709</v>
      </c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>
        <v>1</v>
      </c>
      <c r="AF93" s="35">
        <v>1</v>
      </c>
      <c r="AG93" s="35">
        <v>1</v>
      </c>
      <c r="AH93" s="35">
        <v>1</v>
      </c>
      <c r="AI93" s="35">
        <v>1</v>
      </c>
    </row>
    <row r="94" spans="1:35">
      <c r="A94">
        <v>93</v>
      </c>
      <c r="B94" t="s">
        <v>320</v>
      </c>
      <c r="C94" t="s">
        <v>321</v>
      </c>
      <c r="D94" t="s">
        <v>19</v>
      </c>
      <c r="E94" t="s">
        <v>613</v>
      </c>
      <c r="F94" t="s">
        <v>709</v>
      </c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>
        <v>1</v>
      </c>
      <c r="AF94" s="35">
        <v>1</v>
      </c>
      <c r="AG94" s="35">
        <v>1</v>
      </c>
      <c r="AH94" s="35">
        <v>1</v>
      </c>
      <c r="AI94" s="35">
        <v>1</v>
      </c>
    </row>
    <row r="95" spans="1:35">
      <c r="A95">
        <v>94</v>
      </c>
      <c r="B95" t="s">
        <v>323</v>
      </c>
      <c r="C95" t="s">
        <v>324</v>
      </c>
      <c r="D95" t="s">
        <v>19</v>
      </c>
      <c r="E95" t="s">
        <v>613</v>
      </c>
      <c r="F95" t="s">
        <v>709</v>
      </c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>
        <v>1</v>
      </c>
      <c r="AF95" s="35">
        <v>1</v>
      </c>
      <c r="AG95" s="35">
        <v>1</v>
      </c>
      <c r="AH95" s="35">
        <v>1</v>
      </c>
      <c r="AI95" s="35">
        <v>1</v>
      </c>
    </row>
    <row r="96" spans="1:35">
      <c r="A96">
        <v>95</v>
      </c>
      <c r="B96" t="s">
        <v>326</v>
      </c>
      <c r="C96" t="s">
        <v>327</v>
      </c>
      <c r="D96" t="s">
        <v>19</v>
      </c>
      <c r="E96" t="s">
        <v>613</v>
      </c>
      <c r="F96" t="s">
        <v>709</v>
      </c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>
        <v>1</v>
      </c>
      <c r="AF96" s="35">
        <v>1</v>
      </c>
      <c r="AG96" s="35">
        <v>1</v>
      </c>
      <c r="AH96" s="35">
        <v>1</v>
      </c>
      <c r="AI96" s="35">
        <v>1</v>
      </c>
    </row>
    <row r="97" spans="1:35">
      <c r="A97">
        <v>96</v>
      </c>
      <c r="B97" t="s">
        <v>329</v>
      </c>
      <c r="C97" t="s">
        <v>330</v>
      </c>
      <c r="D97" t="s">
        <v>19</v>
      </c>
      <c r="E97" t="s">
        <v>613</v>
      </c>
      <c r="F97" t="s">
        <v>709</v>
      </c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>
        <v>1</v>
      </c>
      <c r="AF97" s="35">
        <v>1</v>
      </c>
      <c r="AG97" s="35">
        <v>1</v>
      </c>
      <c r="AH97" s="35">
        <v>1</v>
      </c>
      <c r="AI97" s="35">
        <v>1</v>
      </c>
    </row>
    <row r="98" spans="1:35">
      <c r="A98">
        <v>97</v>
      </c>
      <c r="B98" t="s">
        <v>332</v>
      </c>
      <c r="C98" t="s">
        <v>333</v>
      </c>
      <c r="D98" t="s">
        <v>19</v>
      </c>
      <c r="E98" t="s">
        <v>613</v>
      </c>
      <c r="F98" t="s">
        <v>709</v>
      </c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>
        <v>0</v>
      </c>
      <c r="AF98" s="35">
        <v>0</v>
      </c>
      <c r="AG98" s="35">
        <v>0</v>
      </c>
      <c r="AH98" s="35">
        <v>0</v>
      </c>
      <c r="AI98" s="35">
        <v>0</v>
      </c>
    </row>
    <row r="99" spans="1:35">
      <c r="A99">
        <v>98</v>
      </c>
      <c r="B99" t="s">
        <v>336</v>
      </c>
      <c r="C99" t="s">
        <v>337</v>
      </c>
      <c r="D99" t="s">
        <v>19</v>
      </c>
      <c r="E99" t="s">
        <v>613</v>
      </c>
      <c r="F99" t="s">
        <v>709</v>
      </c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>
        <v>1</v>
      </c>
      <c r="AF99" s="35">
        <v>1</v>
      </c>
      <c r="AG99" s="35">
        <v>1</v>
      </c>
      <c r="AH99" s="35">
        <v>1</v>
      </c>
      <c r="AI99" s="35">
        <v>1</v>
      </c>
    </row>
    <row r="100" spans="1:35">
      <c r="A100">
        <v>99</v>
      </c>
      <c r="B100" t="s">
        <v>338</v>
      </c>
      <c r="C100" t="s">
        <v>339</v>
      </c>
      <c r="D100" t="s">
        <v>19</v>
      </c>
      <c r="E100" t="s">
        <v>613</v>
      </c>
      <c r="F100" t="s">
        <v>709</v>
      </c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>
        <v>1</v>
      </c>
      <c r="AF100" s="35">
        <v>1</v>
      </c>
      <c r="AG100" s="35">
        <v>1</v>
      </c>
      <c r="AH100" s="35">
        <v>1</v>
      </c>
      <c r="AI100" s="35">
        <v>1</v>
      </c>
    </row>
    <row r="101" spans="1:35">
      <c r="A101">
        <v>100</v>
      </c>
      <c r="B101" t="s">
        <v>340</v>
      </c>
      <c r="C101" t="s">
        <v>341</v>
      </c>
      <c r="D101" t="s">
        <v>19</v>
      </c>
      <c r="E101" t="s">
        <v>613</v>
      </c>
      <c r="F101" t="s">
        <v>709</v>
      </c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>
        <v>1</v>
      </c>
      <c r="AF101" s="35">
        <v>1</v>
      </c>
      <c r="AG101" s="35">
        <v>1</v>
      </c>
      <c r="AH101" s="35">
        <v>1</v>
      </c>
      <c r="AI101" s="35">
        <v>1</v>
      </c>
    </row>
    <row r="102" spans="1:35">
      <c r="A102">
        <v>101</v>
      </c>
      <c r="B102" t="s">
        <v>343</v>
      </c>
      <c r="C102" t="s">
        <v>344</v>
      </c>
      <c r="D102" t="s">
        <v>19</v>
      </c>
      <c r="E102" t="s">
        <v>613</v>
      </c>
      <c r="F102" t="s">
        <v>709</v>
      </c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>
        <v>1</v>
      </c>
      <c r="AF102" s="35">
        <v>1</v>
      </c>
      <c r="AG102" s="35">
        <v>1</v>
      </c>
      <c r="AH102" s="35">
        <v>1</v>
      </c>
      <c r="AI102" s="35">
        <v>1</v>
      </c>
    </row>
    <row r="103" spans="1:35">
      <c r="A103">
        <v>102</v>
      </c>
      <c r="B103" t="s">
        <v>345</v>
      </c>
      <c r="C103" t="s">
        <v>346</v>
      </c>
      <c r="D103" t="s">
        <v>19</v>
      </c>
      <c r="E103" t="s">
        <v>613</v>
      </c>
      <c r="F103" t="s">
        <v>709</v>
      </c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>
        <v>0</v>
      </c>
      <c r="AF103" s="35">
        <v>0</v>
      </c>
      <c r="AG103" s="35">
        <v>0</v>
      </c>
      <c r="AH103" s="35">
        <v>0</v>
      </c>
      <c r="AI103" s="35">
        <v>0</v>
      </c>
    </row>
    <row r="104" spans="1:35">
      <c r="A104">
        <v>103</v>
      </c>
      <c r="B104" t="s">
        <v>349</v>
      </c>
      <c r="C104" t="s">
        <v>350</v>
      </c>
      <c r="D104" t="s">
        <v>19</v>
      </c>
      <c r="E104" t="s">
        <v>613</v>
      </c>
      <c r="F104" t="s">
        <v>709</v>
      </c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>
        <v>1</v>
      </c>
      <c r="AF104" s="35">
        <v>1</v>
      </c>
      <c r="AG104" s="35">
        <v>1</v>
      </c>
      <c r="AH104" s="35">
        <v>1</v>
      </c>
      <c r="AI104" s="35">
        <v>1</v>
      </c>
    </row>
    <row r="105" spans="1:35">
      <c r="A105">
        <v>104</v>
      </c>
      <c r="B105" t="s">
        <v>352</v>
      </c>
      <c r="C105" t="s">
        <v>353</v>
      </c>
      <c r="D105" t="s">
        <v>19</v>
      </c>
      <c r="E105" t="s">
        <v>613</v>
      </c>
      <c r="F105" t="s">
        <v>709</v>
      </c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>
        <v>0.8</v>
      </c>
      <c r="AF105" s="35">
        <v>0.8</v>
      </c>
      <c r="AG105" s="35">
        <v>0.8</v>
      </c>
      <c r="AH105" s="35">
        <v>0.8</v>
      </c>
      <c r="AI105" s="35">
        <v>0.8</v>
      </c>
    </row>
    <row r="106" spans="1:35">
      <c r="A106">
        <v>105</v>
      </c>
      <c r="B106" t="s">
        <v>356</v>
      </c>
      <c r="C106" t="s">
        <v>357</v>
      </c>
      <c r="D106" t="s">
        <v>19</v>
      </c>
      <c r="E106" t="s">
        <v>613</v>
      </c>
      <c r="F106" t="s">
        <v>709</v>
      </c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>
        <v>0.4</v>
      </c>
      <c r="AF106" s="35">
        <v>0</v>
      </c>
      <c r="AG106" s="35">
        <v>0</v>
      </c>
      <c r="AH106" s="35">
        <v>0</v>
      </c>
      <c r="AI106" s="35">
        <v>0</v>
      </c>
    </row>
    <row r="107" spans="1:35">
      <c r="A107">
        <v>106</v>
      </c>
      <c r="B107" t="s">
        <v>359</v>
      </c>
      <c r="C107" t="s">
        <v>360</v>
      </c>
      <c r="D107" t="s">
        <v>19</v>
      </c>
      <c r="E107" t="s">
        <v>613</v>
      </c>
      <c r="F107" t="s">
        <v>709</v>
      </c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>
        <v>0</v>
      </c>
      <c r="AF107" s="35">
        <v>0</v>
      </c>
      <c r="AG107" s="35">
        <v>0</v>
      </c>
      <c r="AH107" s="35">
        <v>0</v>
      </c>
      <c r="AI107" s="35">
        <v>0</v>
      </c>
    </row>
    <row r="108" spans="1:35">
      <c r="A108">
        <v>107</v>
      </c>
      <c r="B108" t="s">
        <v>362</v>
      </c>
      <c r="C108" t="s">
        <v>363</v>
      </c>
      <c r="D108" t="s">
        <v>19</v>
      </c>
      <c r="E108" t="s">
        <v>613</v>
      </c>
      <c r="F108" t="s">
        <v>709</v>
      </c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>
        <v>0</v>
      </c>
      <c r="AF108" s="35">
        <v>0</v>
      </c>
      <c r="AG108" s="35">
        <v>0</v>
      </c>
      <c r="AH108" s="35">
        <v>0</v>
      </c>
      <c r="AI108" s="35">
        <v>0</v>
      </c>
    </row>
    <row r="109" spans="1:35">
      <c r="A109">
        <v>108</v>
      </c>
      <c r="B109" t="s">
        <v>365</v>
      </c>
      <c r="C109" t="s">
        <v>366</v>
      </c>
      <c r="D109" t="s">
        <v>19</v>
      </c>
      <c r="E109" t="s">
        <v>613</v>
      </c>
      <c r="F109" t="s">
        <v>709</v>
      </c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>
      <c r="A110">
        <v>109</v>
      </c>
      <c r="B110" t="s">
        <v>369</v>
      </c>
      <c r="C110" t="s">
        <v>370</v>
      </c>
      <c r="D110" t="s">
        <v>19</v>
      </c>
      <c r="E110" t="s">
        <v>613</v>
      </c>
      <c r="F110" t="s">
        <v>709</v>
      </c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>
        <v>0</v>
      </c>
      <c r="AF110" s="35">
        <v>0</v>
      </c>
      <c r="AG110" s="35">
        <v>0</v>
      </c>
      <c r="AH110" s="35">
        <v>0</v>
      </c>
      <c r="AI110" s="35">
        <v>0</v>
      </c>
    </row>
    <row r="111" spans="1:35">
      <c r="A111">
        <v>110</v>
      </c>
      <c r="B111" t="s">
        <v>372</v>
      </c>
      <c r="C111" t="s">
        <v>373</v>
      </c>
      <c r="D111" t="s">
        <v>19</v>
      </c>
      <c r="E111" t="s">
        <v>613</v>
      </c>
      <c r="F111" t="s">
        <v>709</v>
      </c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>
        <v>0</v>
      </c>
      <c r="AF111" s="35">
        <v>0</v>
      </c>
      <c r="AG111" s="35">
        <v>0</v>
      </c>
      <c r="AH111" s="35">
        <v>0</v>
      </c>
      <c r="AI111" s="35">
        <v>0</v>
      </c>
    </row>
    <row r="112" spans="1:35">
      <c r="A112">
        <v>111</v>
      </c>
      <c r="B112" t="s">
        <v>374</v>
      </c>
      <c r="C112" t="s">
        <v>375</v>
      </c>
      <c r="D112" t="s">
        <v>19</v>
      </c>
      <c r="E112" t="s">
        <v>613</v>
      </c>
      <c r="F112" t="s">
        <v>709</v>
      </c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>
        <v>0</v>
      </c>
      <c r="AF112" s="35">
        <v>0</v>
      </c>
      <c r="AG112" s="35">
        <v>0</v>
      </c>
      <c r="AH112" s="35">
        <v>0</v>
      </c>
      <c r="AI112" s="35">
        <v>0</v>
      </c>
    </row>
    <row r="113" spans="1:35">
      <c r="A113">
        <v>112</v>
      </c>
      <c r="B113" t="s">
        <v>377</v>
      </c>
      <c r="C113" t="s">
        <v>378</v>
      </c>
      <c r="D113" t="s">
        <v>19</v>
      </c>
      <c r="E113" t="s">
        <v>613</v>
      </c>
      <c r="F113" t="s">
        <v>709</v>
      </c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>
        <v>0</v>
      </c>
      <c r="AF113" s="35">
        <v>0</v>
      </c>
      <c r="AG113" s="35">
        <v>0</v>
      </c>
      <c r="AH113" s="35">
        <v>0</v>
      </c>
      <c r="AI113" s="35">
        <v>0</v>
      </c>
    </row>
    <row r="114" spans="1:35">
      <c r="A114">
        <v>113</v>
      </c>
      <c r="B114" t="s">
        <v>381</v>
      </c>
      <c r="C114" t="s">
        <v>382</v>
      </c>
      <c r="D114" t="s">
        <v>19</v>
      </c>
      <c r="E114" t="s">
        <v>613</v>
      </c>
      <c r="F114" t="s">
        <v>709</v>
      </c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>
        <v>0</v>
      </c>
      <c r="AF114" s="35">
        <v>0</v>
      </c>
      <c r="AG114" s="35">
        <v>0</v>
      </c>
      <c r="AH114" s="35">
        <v>0</v>
      </c>
      <c r="AI114" s="35">
        <v>0</v>
      </c>
    </row>
    <row r="115" spans="1:35">
      <c r="A115">
        <v>114</v>
      </c>
      <c r="B115" t="s">
        <v>385</v>
      </c>
      <c r="C115" t="s">
        <v>386</v>
      </c>
      <c r="D115" t="s">
        <v>19</v>
      </c>
      <c r="E115" t="s">
        <v>615</v>
      </c>
      <c r="F115" t="s">
        <v>709</v>
      </c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>
        <v>0</v>
      </c>
      <c r="AF115" s="35">
        <v>0</v>
      </c>
      <c r="AG115" s="35">
        <v>0</v>
      </c>
      <c r="AH115" s="35">
        <v>0</v>
      </c>
      <c r="AI115" s="35">
        <v>0</v>
      </c>
    </row>
    <row r="116" spans="1:35">
      <c r="A116">
        <v>115</v>
      </c>
      <c r="B116" t="s">
        <v>387</v>
      </c>
      <c r="C116" t="s">
        <v>388</v>
      </c>
      <c r="D116" t="s">
        <v>19</v>
      </c>
      <c r="E116" t="s">
        <v>615</v>
      </c>
      <c r="F116" t="s">
        <v>709</v>
      </c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>
        <v>0</v>
      </c>
      <c r="AF116" s="35">
        <v>0</v>
      </c>
      <c r="AG116" s="35">
        <v>0</v>
      </c>
      <c r="AH116" s="35">
        <v>0</v>
      </c>
      <c r="AI116" s="35">
        <v>0</v>
      </c>
    </row>
    <row r="117" spans="1:35">
      <c r="A117">
        <v>116</v>
      </c>
      <c r="B117" t="s">
        <v>389</v>
      </c>
      <c r="C117" t="s">
        <v>390</v>
      </c>
      <c r="D117" t="s">
        <v>19</v>
      </c>
      <c r="E117" t="s">
        <v>613</v>
      </c>
      <c r="F117" t="s">
        <v>709</v>
      </c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>
        <v>0</v>
      </c>
      <c r="AF117" s="35">
        <v>0</v>
      </c>
      <c r="AG117" s="35">
        <v>0</v>
      </c>
      <c r="AH117" s="35">
        <v>0</v>
      </c>
      <c r="AI117" s="35">
        <v>0</v>
      </c>
    </row>
    <row r="118" spans="1:35">
      <c r="A118">
        <v>117</v>
      </c>
      <c r="B118" t="s">
        <v>392</v>
      </c>
      <c r="C118" t="s">
        <v>393</v>
      </c>
      <c r="D118" t="s">
        <v>19</v>
      </c>
      <c r="E118" t="s">
        <v>613</v>
      </c>
      <c r="F118" t="s">
        <v>709</v>
      </c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>
        <v>0</v>
      </c>
      <c r="AF118" s="35">
        <v>0</v>
      </c>
      <c r="AG118" s="35">
        <v>0</v>
      </c>
      <c r="AH118" s="35">
        <v>0</v>
      </c>
      <c r="AI118" s="35">
        <v>0</v>
      </c>
    </row>
    <row r="119" spans="1:35">
      <c r="A119">
        <v>118</v>
      </c>
      <c r="B119" t="s">
        <v>395</v>
      </c>
      <c r="C119" t="s">
        <v>396</v>
      </c>
      <c r="D119" t="s">
        <v>19</v>
      </c>
      <c r="E119" t="s">
        <v>613</v>
      </c>
      <c r="F119" t="s">
        <v>709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>
        <v>1</v>
      </c>
      <c r="AF119" s="35">
        <v>1</v>
      </c>
      <c r="AG119" s="35">
        <v>1</v>
      </c>
      <c r="AH119" s="35">
        <v>1</v>
      </c>
      <c r="AI119" s="35">
        <v>1</v>
      </c>
    </row>
    <row r="120" spans="1:35">
      <c r="A120">
        <v>119</v>
      </c>
      <c r="B120" t="s">
        <v>398</v>
      </c>
      <c r="C120" t="s">
        <v>399</v>
      </c>
      <c r="D120" t="s">
        <v>19</v>
      </c>
      <c r="E120" t="s">
        <v>613</v>
      </c>
      <c r="F120" t="s">
        <v>709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>
        <v>1</v>
      </c>
      <c r="AF120" s="35">
        <v>1</v>
      </c>
      <c r="AG120" s="35">
        <v>1</v>
      </c>
      <c r="AH120" s="35">
        <v>1</v>
      </c>
      <c r="AI120" s="35">
        <v>1</v>
      </c>
    </row>
    <row r="121" spans="1:35">
      <c r="A121">
        <v>120</v>
      </c>
      <c r="B121" t="s">
        <v>402</v>
      </c>
      <c r="C121" t="s">
        <v>403</v>
      </c>
      <c r="D121" t="s">
        <v>19</v>
      </c>
      <c r="E121" t="s">
        <v>613</v>
      </c>
      <c r="F121" t="s">
        <v>709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>
        <v>1</v>
      </c>
      <c r="AF121" s="35">
        <v>1</v>
      </c>
      <c r="AG121" s="35">
        <v>1</v>
      </c>
      <c r="AH121" s="35">
        <v>1</v>
      </c>
      <c r="AI121" s="35">
        <v>1</v>
      </c>
    </row>
    <row r="122" spans="1:35">
      <c r="A122">
        <v>121</v>
      </c>
      <c r="B122" t="s">
        <v>405</v>
      </c>
      <c r="C122" t="s">
        <v>406</v>
      </c>
      <c r="D122" t="s">
        <v>19</v>
      </c>
      <c r="E122" t="s">
        <v>613</v>
      </c>
      <c r="F122" t="s">
        <v>709</v>
      </c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>
        <v>0</v>
      </c>
      <c r="AF122" s="35">
        <v>0</v>
      </c>
      <c r="AG122" s="35">
        <v>0</v>
      </c>
      <c r="AH122" s="35">
        <v>0</v>
      </c>
      <c r="AI122" s="35">
        <v>0</v>
      </c>
    </row>
    <row r="123" spans="1:35">
      <c r="A123">
        <v>122</v>
      </c>
      <c r="B123" s="14" t="s">
        <v>408</v>
      </c>
      <c r="D123" s="14" t="s">
        <v>410</v>
      </c>
      <c r="F123" t="s">
        <v>709</v>
      </c>
      <c r="AG123" s="14"/>
      <c r="AH123" s="14"/>
    </row>
    <row r="124" spans="1:35">
      <c r="A124">
        <v>123</v>
      </c>
      <c r="B124" s="14" t="s">
        <v>412</v>
      </c>
      <c r="D124" s="14" t="s">
        <v>414</v>
      </c>
      <c r="F124" t="s">
        <v>709</v>
      </c>
      <c r="AG124" s="14"/>
      <c r="AH124" s="14"/>
    </row>
    <row r="125" spans="1:35">
      <c r="A125">
        <v>124</v>
      </c>
      <c r="B125" s="14" t="s">
        <v>416</v>
      </c>
      <c r="D125" s="14" t="s">
        <v>418</v>
      </c>
      <c r="F125" t="s">
        <v>709</v>
      </c>
      <c r="AG125" s="14"/>
      <c r="AH125" s="14"/>
    </row>
    <row r="126" spans="1:35">
      <c r="A126">
        <v>125</v>
      </c>
      <c r="B126" s="14" t="s">
        <v>420</v>
      </c>
      <c r="D126" s="14" t="s">
        <v>421</v>
      </c>
      <c r="F126" t="s">
        <v>709</v>
      </c>
      <c r="AG126" s="14"/>
      <c r="AH126" s="14"/>
    </row>
    <row r="127" spans="1:35">
      <c r="A127">
        <v>126</v>
      </c>
      <c r="B127" s="14" t="s">
        <v>423</v>
      </c>
      <c r="D127" s="14" t="s">
        <v>425</v>
      </c>
      <c r="F127" t="s">
        <v>709</v>
      </c>
      <c r="AG127" s="14"/>
      <c r="AH127" s="14"/>
    </row>
    <row r="128" spans="1:35">
      <c r="A128">
        <v>127</v>
      </c>
      <c r="B128" s="14" t="s">
        <v>427</v>
      </c>
      <c r="D128" s="14" t="s">
        <v>428</v>
      </c>
      <c r="F128" t="s">
        <v>709</v>
      </c>
      <c r="AG128" s="14"/>
      <c r="AH128" s="14"/>
    </row>
    <row r="129" spans="1:34">
      <c r="A129">
        <v>128</v>
      </c>
      <c r="B129" s="14" t="s">
        <v>430</v>
      </c>
      <c r="D129" s="14" t="s">
        <v>410</v>
      </c>
      <c r="F129" t="s">
        <v>709</v>
      </c>
      <c r="AG129" s="14"/>
      <c r="AH129" s="14"/>
    </row>
    <row r="130" spans="1:34">
      <c r="A130">
        <v>129</v>
      </c>
      <c r="B130" s="14" t="s">
        <v>431</v>
      </c>
      <c r="D130" s="14" t="s">
        <v>433</v>
      </c>
      <c r="F130" t="s">
        <v>709</v>
      </c>
      <c r="AG130" s="14"/>
      <c r="AH130" s="14"/>
    </row>
    <row r="131" spans="1:34">
      <c r="A131">
        <v>130</v>
      </c>
      <c r="B131" s="14" t="s">
        <v>435</v>
      </c>
      <c r="D131" s="14" t="s">
        <v>410</v>
      </c>
      <c r="F131" t="s">
        <v>709</v>
      </c>
      <c r="AG131" s="14"/>
      <c r="AH131" s="14"/>
    </row>
    <row r="132" spans="1:34">
      <c r="A132">
        <v>131</v>
      </c>
      <c r="B132" s="14" t="s">
        <v>437</v>
      </c>
      <c r="D132" s="14" t="s">
        <v>438</v>
      </c>
      <c r="F132" t="s">
        <v>709</v>
      </c>
      <c r="AG132" s="14"/>
      <c r="AH132" s="14"/>
    </row>
    <row r="133" spans="1:34">
      <c r="A133">
        <v>132</v>
      </c>
      <c r="B133" s="14" t="s">
        <v>440</v>
      </c>
      <c r="D133" s="14" t="s">
        <v>441</v>
      </c>
      <c r="F133" t="s">
        <v>709</v>
      </c>
      <c r="AG133" s="14"/>
      <c r="AH133" s="14"/>
    </row>
    <row r="134" spans="1:34">
      <c r="A134">
        <v>133</v>
      </c>
      <c r="B134" s="14" t="s">
        <v>443</v>
      </c>
      <c r="D134" s="14" t="s">
        <v>445</v>
      </c>
      <c r="F134" t="s">
        <v>709</v>
      </c>
      <c r="AG134" s="14"/>
      <c r="AH134" s="14"/>
    </row>
    <row r="135" spans="1:34">
      <c r="A135">
        <v>134</v>
      </c>
      <c r="B135" s="14" t="s">
        <v>447</v>
      </c>
      <c r="D135" s="14" t="s">
        <v>410</v>
      </c>
      <c r="F135" t="s">
        <v>709</v>
      </c>
      <c r="AG135" s="14"/>
      <c r="AH135" s="14"/>
    </row>
    <row r="136" spans="1:34">
      <c r="A136">
        <v>135</v>
      </c>
      <c r="B136" s="14" t="s">
        <v>449</v>
      </c>
      <c r="D136" s="14" t="s">
        <v>450</v>
      </c>
      <c r="F136" t="s">
        <v>709</v>
      </c>
      <c r="AG136" s="14"/>
      <c r="AH136" s="14"/>
    </row>
    <row r="137" spans="1:34">
      <c r="A137">
        <v>136</v>
      </c>
      <c r="B137" s="14" t="s">
        <v>452</v>
      </c>
      <c r="D137" s="14" t="s">
        <v>453</v>
      </c>
      <c r="F137" t="s">
        <v>709</v>
      </c>
      <c r="AG137" s="14"/>
      <c r="AH137" s="14"/>
    </row>
    <row r="138" spans="1:34">
      <c r="A138">
        <v>137</v>
      </c>
      <c r="B138" s="14" t="s">
        <v>455</v>
      </c>
      <c r="D138" s="14" t="s">
        <v>456</v>
      </c>
      <c r="F138" t="s">
        <v>709</v>
      </c>
      <c r="AG138" s="14"/>
      <c r="AH138" s="14"/>
    </row>
    <row r="139" spans="1:34">
      <c r="A139">
        <v>138</v>
      </c>
      <c r="B139" s="14" t="s">
        <v>458</v>
      </c>
      <c r="D139" s="14" t="s">
        <v>425</v>
      </c>
      <c r="F139" t="s">
        <v>709</v>
      </c>
      <c r="AG139" s="14"/>
      <c r="AH139" s="14"/>
    </row>
    <row r="140" spans="1:34">
      <c r="A140">
        <v>139</v>
      </c>
      <c r="B140" s="14" t="s">
        <v>459</v>
      </c>
      <c r="D140" s="14" t="s">
        <v>461</v>
      </c>
      <c r="F140" t="s">
        <v>709</v>
      </c>
      <c r="AG140" s="14"/>
      <c r="AH140" s="14"/>
    </row>
    <row r="141" spans="1:34">
      <c r="A141">
        <v>140</v>
      </c>
      <c r="B141" s="14" t="s">
        <v>463</v>
      </c>
      <c r="D141" s="14" t="s">
        <v>410</v>
      </c>
      <c r="F141" t="s">
        <v>709</v>
      </c>
      <c r="AG141" s="14"/>
      <c r="AH141" s="14"/>
    </row>
    <row r="142" spans="1:34">
      <c r="A142">
        <v>141</v>
      </c>
      <c r="B142" s="14" t="s">
        <v>464</v>
      </c>
      <c r="D142" s="14" t="s">
        <v>466</v>
      </c>
      <c r="F142" t="s">
        <v>709</v>
      </c>
      <c r="AG142" s="14"/>
      <c r="AH142" s="14"/>
    </row>
    <row r="143" spans="1:34">
      <c r="A143">
        <v>142</v>
      </c>
      <c r="B143" s="14" t="s">
        <v>467</v>
      </c>
      <c r="D143" s="14" t="s">
        <v>468</v>
      </c>
      <c r="F143" t="s">
        <v>709</v>
      </c>
      <c r="AG143" s="14"/>
      <c r="AH143" s="14"/>
    </row>
    <row r="144" spans="1:34">
      <c r="A144">
        <v>143</v>
      </c>
      <c r="B144" s="14" t="s">
        <v>470</v>
      </c>
      <c r="D144" s="14" t="s">
        <v>466</v>
      </c>
      <c r="F144" t="s">
        <v>709</v>
      </c>
      <c r="AG144" s="14"/>
      <c r="AH144" s="14"/>
    </row>
    <row r="145" spans="1:34">
      <c r="A145">
        <v>144</v>
      </c>
      <c r="B145" s="14" t="s">
        <v>472</v>
      </c>
      <c r="D145" s="14" t="s">
        <v>468</v>
      </c>
      <c r="F145" t="s">
        <v>709</v>
      </c>
      <c r="AG145" s="14"/>
      <c r="AH145" s="14"/>
    </row>
    <row r="146" spans="1:34">
      <c r="A146">
        <v>145</v>
      </c>
      <c r="B146" s="14" t="s">
        <v>474</v>
      </c>
      <c r="D146" s="14" t="s">
        <v>418</v>
      </c>
      <c r="F146" t="s">
        <v>709</v>
      </c>
      <c r="AG146" s="14"/>
      <c r="AH146" s="14"/>
    </row>
    <row r="147" spans="1:34">
      <c r="A147">
        <v>146</v>
      </c>
      <c r="B147" s="14" t="s">
        <v>476</v>
      </c>
      <c r="D147" s="14" t="s">
        <v>477</v>
      </c>
      <c r="F147" t="s">
        <v>709</v>
      </c>
      <c r="AG147" s="14"/>
      <c r="AH147" s="14"/>
    </row>
    <row r="148" spans="1:34">
      <c r="A148">
        <v>147</v>
      </c>
      <c r="B148" s="14" t="s">
        <v>476</v>
      </c>
      <c r="D148" s="14" t="s">
        <v>477</v>
      </c>
      <c r="F148" t="s">
        <v>709</v>
      </c>
      <c r="AG148" s="14"/>
      <c r="AH148" s="14"/>
    </row>
    <row r="149" spans="1:34">
      <c r="A149">
        <v>148</v>
      </c>
      <c r="B149" s="14" t="s">
        <v>476</v>
      </c>
      <c r="D149" s="14" t="s">
        <v>477</v>
      </c>
      <c r="F149" t="s">
        <v>709</v>
      </c>
      <c r="AG149" s="14"/>
      <c r="AH149" s="14"/>
    </row>
    <row r="150" spans="1:34">
      <c r="A150">
        <v>149</v>
      </c>
      <c r="B150" s="14" t="s">
        <v>481</v>
      </c>
      <c r="D150" s="14" t="s">
        <v>461</v>
      </c>
      <c r="F150" t="s">
        <v>709</v>
      </c>
      <c r="AG150" s="14"/>
      <c r="AH150" s="14"/>
    </row>
    <row r="151" spans="1:34">
      <c r="A151">
        <v>150</v>
      </c>
      <c r="B151" s="14" t="s">
        <v>483</v>
      </c>
      <c r="D151" s="14" t="s">
        <v>484</v>
      </c>
      <c r="F151" t="s">
        <v>709</v>
      </c>
      <c r="AG151" s="14"/>
      <c r="AH151" s="14"/>
    </row>
    <row r="152" spans="1:34">
      <c r="A152">
        <v>151</v>
      </c>
      <c r="B152" s="14" t="s">
        <v>486</v>
      </c>
      <c r="D152" s="14" t="s">
        <v>487</v>
      </c>
      <c r="F152" t="s">
        <v>709</v>
      </c>
      <c r="AG152" s="14"/>
      <c r="AH152" s="14"/>
    </row>
    <row r="153" spans="1:34">
      <c r="A153">
        <v>152</v>
      </c>
      <c r="B153" s="14" t="s">
        <v>489</v>
      </c>
      <c r="D153" s="14" t="s">
        <v>490</v>
      </c>
      <c r="F153" t="s">
        <v>709</v>
      </c>
      <c r="AG153" s="14"/>
      <c r="AH153" s="14"/>
    </row>
    <row r="154" spans="1:34">
      <c r="A154">
        <v>153</v>
      </c>
      <c r="B154" s="14" t="s">
        <v>489</v>
      </c>
      <c r="D154" s="14" t="s">
        <v>490</v>
      </c>
      <c r="F154" t="s">
        <v>709</v>
      </c>
      <c r="AG154" s="14"/>
      <c r="AH154" s="14"/>
    </row>
    <row r="155" spans="1:34">
      <c r="A155">
        <v>154</v>
      </c>
      <c r="B155" s="14" t="s">
        <v>493</v>
      </c>
      <c r="D155" s="14" t="s">
        <v>484</v>
      </c>
      <c r="F155" t="s">
        <v>709</v>
      </c>
      <c r="AG155" s="14"/>
      <c r="AH155" s="14"/>
    </row>
    <row r="156" spans="1:34">
      <c r="A156">
        <v>155</v>
      </c>
      <c r="B156" s="14" t="s">
        <v>495</v>
      </c>
      <c r="D156" s="14" t="s">
        <v>496</v>
      </c>
      <c r="F156" t="s">
        <v>709</v>
      </c>
      <c r="AG156" s="14"/>
      <c r="AH156" s="14"/>
    </row>
    <row r="157" spans="1:34">
      <c r="A157">
        <v>156</v>
      </c>
      <c r="B157" s="14" t="s">
        <v>498</v>
      </c>
      <c r="D157" s="14" t="s">
        <v>410</v>
      </c>
      <c r="F157" t="s">
        <v>709</v>
      </c>
      <c r="AG157" s="14"/>
      <c r="AH157" s="14"/>
    </row>
    <row r="158" spans="1:34">
      <c r="A158">
        <v>157</v>
      </c>
      <c r="B158" s="14" t="s">
        <v>499</v>
      </c>
      <c r="D158" s="14" t="s">
        <v>500</v>
      </c>
      <c r="F158" t="s">
        <v>709</v>
      </c>
      <c r="AG158" s="14"/>
      <c r="AH158" s="14"/>
    </row>
    <row r="159" spans="1:34">
      <c r="A159">
        <v>158</v>
      </c>
      <c r="B159" s="14" t="s">
        <v>499</v>
      </c>
      <c r="D159" s="14" t="s">
        <v>500</v>
      </c>
      <c r="F159" t="s">
        <v>709</v>
      </c>
      <c r="AG159" s="14"/>
      <c r="AH159" s="14"/>
    </row>
    <row r="160" spans="1:34">
      <c r="A160">
        <v>159</v>
      </c>
      <c r="B160" s="14" t="s">
        <v>499</v>
      </c>
      <c r="D160" s="14" t="s">
        <v>500</v>
      </c>
      <c r="F160" t="s">
        <v>709</v>
      </c>
      <c r="AG160" s="14"/>
      <c r="AH160" s="14"/>
    </row>
    <row r="161" spans="1:34">
      <c r="A161">
        <v>160</v>
      </c>
      <c r="B161" s="14" t="s">
        <v>504</v>
      </c>
      <c r="D161" s="14" t="s">
        <v>490</v>
      </c>
      <c r="F161" t="s">
        <v>709</v>
      </c>
      <c r="AG161" s="14"/>
      <c r="AH161" s="14"/>
    </row>
    <row r="162" spans="1:34">
      <c r="A162">
        <v>161</v>
      </c>
      <c r="B162" s="14" t="s">
        <v>504</v>
      </c>
      <c r="D162" s="14" t="s">
        <v>490</v>
      </c>
      <c r="F162" t="s">
        <v>709</v>
      </c>
      <c r="AG162" s="14"/>
      <c r="AH162" s="14"/>
    </row>
    <row r="163" spans="1:34">
      <c r="A163">
        <v>162</v>
      </c>
      <c r="B163" s="14" t="s">
        <v>504</v>
      </c>
      <c r="D163" s="14" t="s">
        <v>490</v>
      </c>
      <c r="F163" t="s">
        <v>709</v>
      </c>
      <c r="AG163" s="14"/>
      <c r="AH163" s="14"/>
    </row>
    <row r="164" spans="1:34">
      <c r="A164">
        <v>163</v>
      </c>
      <c r="B164" s="14" t="s">
        <v>504</v>
      </c>
      <c r="D164" s="14" t="s">
        <v>490</v>
      </c>
      <c r="F164" t="s">
        <v>709</v>
      </c>
      <c r="AG164" s="14"/>
      <c r="AH164" s="14"/>
    </row>
    <row r="165" spans="1:34">
      <c r="A165">
        <v>164</v>
      </c>
      <c r="B165" s="14" t="s">
        <v>509</v>
      </c>
      <c r="D165" s="14" t="s">
        <v>510</v>
      </c>
      <c r="F165" t="s">
        <v>709</v>
      </c>
      <c r="AG165" s="14"/>
      <c r="AH165" s="14"/>
    </row>
    <row r="166" spans="1:34">
      <c r="A166">
        <v>165</v>
      </c>
      <c r="B166" s="14" t="s">
        <v>512</v>
      </c>
      <c r="D166" s="14" t="s">
        <v>513</v>
      </c>
      <c r="F166" t="s">
        <v>709</v>
      </c>
      <c r="AG166" s="14"/>
      <c r="AH166" s="14"/>
    </row>
    <row r="167" spans="1:34">
      <c r="A167">
        <v>166</v>
      </c>
      <c r="B167" s="14" t="s">
        <v>515</v>
      </c>
      <c r="D167" s="14" t="s">
        <v>500</v>
      </c>
      <c r="F167" t="s">
        <v>709</v>
      </c>
      <c r="AG167" s="14"/>
      <c r="AH167" s="14"/>
    </row>
    <row r="168" spans="1:34">
      <c r="A168">
        <v>167</v>
      </c>
      <c r="B168" s="14" t="s">
        <v>517</v>
      </c>
      <c r="D168" s="14" t="s">
        <v>477</v>
      </c>
      <c r="F168" t="s">
        <v>709</v>
      </c>
      <c r="AG168" s="14"/>
      <c r="AH168" s="14"/>
    </row>
    <row r="169" spans="1:34">
      <c r="A169">
        <v>168</v>
      </c>
      <c r="B169" s="14" t="s">
        <v>519</v>
      </c>
      <c r="D169" s="14" t="s">
        <v>433</v>
      </c>
      <c r="F169" t="s">
        <v>709</v>
      </c>
      <c r="AG169" s="14"/>
      <c r="AH169" s="14"/>
    </row>
    <row r="170" spans="1:34">
      <c r="A170">
        <v>169</v>
      </c>
      <c r="B170" s="14" t="s">
        <v>521</v>
      </c>
      <c r="D170" s="14" t="s">
        <v>468</v>
      </c>
      <c r="F170" t="s">
        <v>709</v>
      </c>
      <c r="AG170" s="14"/>
      <c r="AH170" s="14"/>
    </row>
    <row r="171" spans="1:34">
      <c r="A171">
        <v>170</v>
      </c>
      <c r="B171" s="14" t="s">
        <v>523</v>
      </c>
      <c r="D171" s="14" t="s">
        <v>524</v>
      </c>
      <c r="F171" t="s">
        <v>709</v>
      </c>
      <c r="AG171" s="14"/>
      <c r="AH171" s="14"/>
    </row>
    <row r="172" spans="1:34">
      <c r="A172">
        <v>171</v>
      </c>
      <c r="B172" s="14" t="s">
        <v>526</v>
      </c>
      <c r="D172" s="14" t="s">
        <v>527</v>
      </c>
      <c r="F172" t="s">
        <v>709</v>
      </c>
      <c r="AG172" s="14"/>
      <c r="AH172" s="14"/>
    </row>
    <row r="173" spans="1:34">
      <c r="A173">
        <v>172</v>
      </c>
      <c r="B173" s="14" t="s">
        <v>529</v>
      </c>
      <c r="D173" s="14" t="s">
        <v>468</v>
      </c>
      <c r="F173" t="s">
        <v>709</v>
      </c>
      <c r="AG173" s="14"/>
      <c r="AH173" s="14"/>
    </row>
    <row r="174" spans="1:34">
      <c r="A174">
        <v>173</v>
      </c>
      <c r="B174" s="14" t="s">
        <v>531</v>
      </c>
      <c r="D174" s="14" t="s">
        <v>468</v>
      </c>
      <c r="F174" t="s">
        <v>709</v>
      </c>
      <c r="AG174" s="14"/>
      <c r="AH174" s="14"/>
    </row>
    <row r="175" spans="1:34">
      <c r="A175">
        <v>174</v>
      </c>
      <c r="B175" s="14" t="s">
        <v>533</v>
      </c>
      <c r="D175" s="14" t="s">
        <v>410</v>
      </c>
      <c r="F175" t="s">
        <v>709</v>
      </c>
      <c r="AG175" s="14"/>
      <c r="AH175" s="14"/>
    </row>
    <row r="176" spans="1:34">
      <c r="A176">
        <v>175</v>
      </c>
      <c r="B176" s="14" t="s">
        <v>534</v>
      </c>
      <c r="D176" s="14" t="s">
        <v>468</v>
      </c>
      <c r="F176" t="s">
        <v>709</v>
      </c>
      <c r="AG176" s="14"/>
      <c r="AH176" s="14"/>
    </row>
    <row r="177" spans="1:34">
      <c r="A177">
        <v>176</v>
      </c>
      <c r="B177" s="14" t="s">
        <v>535</v>
      </c>
      <c r="D177" s="14" t="s">
        <v>536</v>
      </c>
      <c r="F177" t="s">
        <v>709</v>
      </c>
      <c r="AG177" s="14"/>
      <c r="AH177" s="14"/>
    </row>
    <row r="178" spans="1:34">
      <c r="A178">
        <v>177</v>
      </c>
      <c r="B178" s="14" t="s">
        <v>538</v>
      </c>
      <c r="D178" s="14" t="s">
        <v>425</v>
      </c>
      <c r="F178" t="s">
        <v>709</v>
      </c>
      <c r="AG178" s="14"/>
      <c r="AH178" s="14"/>
    </row>
    <row r="179" spans="1:34">
      <c r="A179">
        <v>178</v>
      </c>
      <c r="B179" s="14" t="s">
        <v>539</v>
      </c>
      <c r="D179" s="14" t="s">
        <v>410</v>
      </c>
      <c r="F179" t="s">
        <v>709</v>
      </c>
      <c r="AG179" s="14"/>
      <c r="AH179" s="14"/>
    </row>
    <row r="180" spans="1:34">
      <c r="A180">
        <v>179</v>
      </c>
      <c r="B180" s="14" t="s">
        <v>540</v>
      </c>
      <c r="D180" s="14" t="s">
        <v>541</v>
      </c>
      <c r="F180" t="s">
        <v>709</v>
      </c>
      <c r="AG180" s="14"/>
      <c r="AH180" s="14"/>
    </row>
    <row r="181" spans="1:34">
      <c r="A181">
        <v>180</v>
      </c>
      <c r="B181" s="14" t="s">
        <v>540</v>
      </c>
      <c r="D181" s="14" t="s">
        <v>543</v>
      </c>
      <c r="F181" t="s">
        <v>709</v>
      </c>
      <c r="AG181" s="14"/>
      <c r="AH181" s="14"/>
    </row>
    <row r="182" spans="1:34">
      <c r="A182">
        <v>181</v>
      </c>
      <c r="B182" s="14" t="s">
        <v>545</v>
      </c>
      <c r="D182" s="14" t="s">
        <v>546</v>
      </c>
      <c r="F182" t="s">
        <v>709</v>
      </c>
      <c r="AG182" s="14"/>
      <c r="AH182" s="14"/>
    </row>
    <row r="183" spans="1:34">
      <c r="A183">
        <v>182</v>
      </c>
      <c r="B183" s="14" t="s">
        <v>548</v>
      </c>
      <c r="D183" s="14" t="s">
        <v>477</v>
      </c>
      <c r="F183" t="s">
        <v>709</v>
      </c>
      <c r="AG183" s="14"/>
      <c r="AH183" s="14"/>
    </row>
    <row r="184" spans="1:34">
      <c r="A184">
        <v>183</v>
      </c>
      <c r="B184" s="14" t="s">
        <v>550</v>
      </c>
      <c r="D184" s="14" t="s">
        <v>477</v>
      </c>
      <c r="F184" t="s">
        <v>709</v>
      </c>
      <c r="AG184" s="14"/>
      <c r="AH184" s="14"/>
    </row>
    <row r="185" spans="1:34">
      <c r="A185">
        <v>184</v>
      </c>
      <c r="B185" s="14" t="s">
        <v>551</v>
      </c>
      <c r="D185" s="14" t="s">
        <v>552</v>
      </c>
      <c r="F185" t="s">
        <v>709</v>
      </c>
      <c r="AG185" s="14"/>
      <c r="AH185" s="14"/>
    </row>
    <row r="186" spans="1:34">
      <c r="A186">
        <v>185</v>
      </c>
      <c r="B186" s="14" t="s">
        <v>554</v>
      </c>
      <c r="D186" s="14" t="s">
        <v>500</v>
      </c>
      <c r="F186" t="s">
        <v>709</v>
      </c>
      <c r="AG186" s="14"/>
      <c r="AH186" s="14"/>
    </row>
    <row r="187" spans="1:34">
      <c r="A187">
        <v>186</v>
      </c>
      <c r="B187" s="14" t="s">
        <v>556</v>
      </c>
      <c r="D187" s="14" t="s">
        <v>468</v>
      </c>
      <c r="F187" t="s">
        <v>709</v>
      </c>
      <c r="AG187" s="14"/>
      <c r="AH187" s="14"/>
    </row>
    <row r="188" spans="1:34">
      <c r="A188">
        <v>187</v>
      </c>
      <c r="B188" s="14" t="s">
        <v>558</v>
      </c>
      <c r="D188" s="14" t="s">
        <v>524</v>
      </c>
      <c r="F188" t="s">
        <v>709</v>
      </c>
      <c r="AG188" s="14"/>
      <c r="AH188" s="14"/>
    </row>
    <row r="189" spans="1:34">
      <c r="A189">
        <v>188</v>
      </c>
      <c r="B189" s="14" t="s">
        <v>560</v>
      </c>
      <c r="D189" s="14" t="s">
        <v>561</v>
      </c>
      <c r="F189" t="s">
        <v>709</v>
      </c>
      <c r="AG189" s="14"/>
      <c r="AH189" s="14"/>
    </row>
    <row r="190" spans="1:34">
      <c r="A190">
        <v>189</v>
      </c>
      <c r="B190" s="14" t="s">
        <v>563</v>
      </c>
      <c r="D190" s="14" t="s">
        <v>564</v>
      </c>
      <c r="F190" t="s">
        <v>709</v>
      </c>
      <c r="AG190" s="14"/>
      <c r="AH190" s="14"/>
    </row>
    <row r="191" spans="1:34">
      <c r="A191">
        <v>190</v>
      </c>
      <c r="B191" s="14" t="s">
        <v>566</v>
      </c>
      <c r="D191" s="14" t="s">
        <v>466</v>
      </c>
      <c r="F191" t="s">
        <v>709</v>
      </c>
      <c r="AG191" s="14"/>
      <c r="AH191" s="14"/>
    </row>
    <row r="192" spans="1:34">
      <c r="A192">
        <v>191</v>
      </c>
      <c r="B192" s="14" t="s">
        <v>567</v>
      </c>
      <c r="D192" s="14" t="s">
        <v>568</v>
      </c>
      <c r="F192" t="s">
        <v>709</v>
      </c>
      <c r="AG192" s="14"/>
      <c r="AH192" s="14"/>
    </row>
    <row r="193" spans="1:34">
      <c r="A193">
        <v>192</v>
      </c>
      <c r="B193" s="14" t="s">
        <v>570</v>
      </c>
      <c r="D193" s="14" t="s">
        <v>571</v>
      </c>
      <c r="F193" t="s">
        <v>709</v>
      </c>
      <c r="AG193" s="14"/>
      <c r="AH193" s="14"/>
    </row>
    <row r="194" spans="1:34">
      <c r="A194">
        <v>193</v>
      </c>
      <c r="B194" s="14" t="s">
        <v>573</v>
      </c>
      <c r="D194" s="14" t="s">
        <v>524</v>
      </c>
      <c r="F194" t="s">
        <v>709</v>
      </c>
      <c r="AG194" s="14"/>
      <c r="AH194" s="14"/>
    </row>
    <row r="195" spans="1:34">
      <c r="A195">
        <v>194</v>
      </c>
      <c r="B195" s="14" t="s">
        <v>575</v>
      </c>
      <c r="D195" s="14" t="s">
        <v>468</v>
      </c>
      <c r="F195" t="s">
        <v>709</v>
      </c>
      <c r="AG195" s="14"/>
      <c r="AH195" s="14"/>
    </row>
    <row r="196" spans="1:34">
      <c r="A196">
        <v>195</v>
      </c>
      <c r="B196" s="14" t="s">
        <v>577</v>
      </c>
      <c r="D196" s="14" t="s">
        <v>410</v>
      </c>
      <c r="F196" t="s">
        <v>709</v>
      </c>
      <c r="AG196" s="14"/>
      <c r="AH196" s="14"/>
    </row>
    <row r="197" spans="1:34">
      <c r="A197">
        <v>196</v>
      </c>
      <c r="B197" s="14" t="s">
        <v>577</v>
      </c>
      <c r="D197" s="14" t="s">
        <v>410</v>
      </c>
      <c r="F197" t="s">
        <v>709</v>
      </c>
      <c r="AG197" s="14"/>
      <c r="AH197" s="14"/>
    </row>
    <row r="198" spans="1:34">
      <c r="A198">
        <v>197</v>
      </c>
      <c r="B198" s="14" t="s">
        <v>579</v>
      </c>
      <c r="D198" s="14" t="s">
        <v>580</v>
      </c>
      <c r="F198" t="s">
        <v>709</v>
      </c>
      <c r="AG198" s="14"/>
      <c r="AH198" s="14"/>
    </row>
    <row r="199" spans="1:34">
      <c r="A199">
        <v>198</v>
      </c>
      <c r="B199" s="14" t="s">
        <v>582</v>
      </c>
      <c r="D199" s="14" t="s">
        <v>583</v>
      </c>
      <c r="F199" t="s">
        <v>709</v>
      </c>
      <c r="AG199" s="14"/>
      <c r="AH199" s="14"/>
    </row>
    <row r="200" spans="1:34">
      <c r="A200">
        <v>199</v>
      </c>
      <c r="B200" s="14" t="s">
        <v>584</v>
      </c>
      <c r="D200" s="14" t="s">
        <v>490</v>
      </c>
      <c r="F200" t="s">
        <v>709</v>
      </c>
      <c r="AG200" s="14"/>
      <c r="AH200" s="14"/>
    </row>
    <row r="201" spans="1:34">
      <c r="A201">
        <v>200</v>
      </c>
      <c r="B201" s="14" t="s">
        <v>586</v>
      </c>
      <c r="D201" s="14" t="s">
        <v>587</v>
      </c>
      <c r="F201" t="s">
        <v>709</v>
      </c>
      <c r="AG201" s="14"/>
      <c r="AH201" s="14"/>
    </row>
    <row r="202" spans="1:34">
      <c r="A202">
        <v>201</v>
      </c>
      <c r="B202" s="14" t="s">
        <v>589</v>
      </c>
      <c r="D202" s="14" t="s">
        <v>590</v>
      </c>
      <c r="F202" t="s">
        <v>709</v>
      </c>
      <c r="AG202" s="14"/>
      <c r="AH202" s="14"/>
    </row>
    <row r="203" spans="1:34">
      <c r="A203">
        <v>202</v>
      </c>
      <c r="B203" s="14" t="s">
        <v>592</v>
      </c>
      <c r="D203" s="14" t="s">
        <v>466</v>
      </c>
      <c r="F203" t="s">
        <v>709</v>
      </c>
      <c r="AG203" s="14"/>
      <c r="AH203" s="14"/>
    </row>
    <row r="204" spans="1:34">
      <c r="A204">
        <v>203</v>
      </c>
      <c r="B204" s="14" t="s">
        <v>593</v>
      </c>
      <c r="D204" s="14" t="s">
        <v>510</v>
      </c>
      <c r="F204" t="s">
        <v>709</v>
      </c>
      <c r="AG204" s="14"/>
      <c r="AH204" s="14"/>
    </row>
    <row r="205" spans="1:34">
      <c r="A205">
        <v>204</v>
      </c>
      <c r="B205" s="14" t="s">
        <v>593</v>
      </c>
      <c r="D205" s="14" t="s">
        <v>510</v>
      </c>
      <c r="F205" t="s">
        <v>709</v>
      </c>
      <c r="AG205" s="14"/>
      <c r="AH205" s="14"/>
    </row>
    <row r="206" spans="1:34">
      <c r="A206">
        <v>205</v>
      </c>
      <c r="B206" s="14" t="s">
        <v>593</v>
      </c>
      <c r="D206" s="14" t="s">
        <v>541</v>
      </c>
      <c r="F206" t="s">
        <v>709</v>
      </c>
      <c r="AG206" s="14"/>
      <c r="AH206" s="14"/>
    </row>
    <row r="207" spans="1:34">
      <c r="A207">
        <v>206</v>
      </c>
      <c r="B207" s="14" t="s">
        <v>597</v>
      </c>
      <c r="D207" s="14" t="s">
        <v>598</v>
      </c>
      <c r="F207" t="s">
        <v>709</v>
      </c>
      <c r="AG207" s="14"/>
      <c r="AH207" s="14"/>
    </row>
    <row r="208" spans="1:34">
      <c r="A208">
        <v>207</v>
      </c>
      <c r="B208" s="14" t="s">
        <v>600</v>
      </c>
      <c r="D208" s="14" t="s">
        <v>500</v>
      </c>
      <c r="F208" t="s">
        <v>709</v>
      </c>
      <c r="AG208" s="14"/>
      <c r="AH208" s="14"/>
    </row>
    <row r="209" spans="1:34">
      <c r="A209">
        <v>208</v>
      </c>
      <c r="B209" s="14" t="s">
        <v>602</v>
      </c>
      <c r="D209" s="14" t="s">
        <v>500</v>
      </c>
      <c r="F209" t="s">
        <v>709</v>
      </c>
      <c r="AG209" s="14"/>
      <c r="AH209" s="14"/>
    </row>
    <row r="210" spans="1:34">
      <c r="A210">
        <v>209</v>
      </c>
      <c r="B210" s="14" t="s">
        <v>604</v>
      </c>
      <c r="D210" s="14" t="s">
        <v>421</v>
      </c>
      <c r="F210" t="s">
        <v>709</v>
      </c>
      <c r="AG210" s="14"/>
      <c r="AH210" s="14"/>
    </row>
    <row r="211" spans="1:34">
      <c r="A211">
        <v>210</v>
      </c>
      <c r="B211" s="14" t="s">
        <v>605</v>
      </c>
      <c r="D211" s="14" t="s">
        <v>468</v>
      </c>
      <c r="F211" t="s">
        <v>709</v>
      </c>
      <c r="AG211" s="14"/>
      <c r="AH211" s="14"/>
    </row>
    <row r="212" spans="1:34">
      <c r="A212">
        <v>211</v>
      </c>
      <c r="B212" s="14" t="s">
        <v>607</v>
      </c>
      <c r="D212" s="14" t="s">
        <v>510</v>
      </c>
      <c r="F212" t="s">
        <v>709</v>
      </c>
      <c r="AG212" s="14"/>
      <c r="AH212" s="14"/>
    </row>
    <row r="213" spans="1:34">
      <c r="A213">
        <v>212</v>
      </c>
      <c r="B213" s="14" t="s">
        <v>609</v>
      </c>
      <c r="D213" s="14" t="s">
        <v>477</v>
      </c>
      <c r="F213" t="s">
        <v>709</v>
      </c>
      <c r="AG213" s="14"/>
      <c r="AH213" s="14"/>
    </row>
    <row r="214" spans="1:34">
      <c r="A214">
        <v>213</v>
      </c>
      <c r="B214" s="14" t="s">
        <v>610</v>
      </c>
      <c r="D214" s="14" t="s">
        <v>477</v>
      </c>
      <c r="F214" t="s">
        <v>709</v>
      </c>
      <c r="AG214" s="14"/>
      <c r="AH214" s="14"/>
    </row>
    <row r="215" spans="1:34">
      <c r="A215">
        <v>214</v>
      </c>
      <c r="B215" s="14" t="s">
        <v>611</v>
      </c>
      <c r="D215" s="14" t="s">
        <v>418</v>
      </c>
      <c r="F215" t="s">
        <v>709</v>
      </c>
      <c r="AG215" s="14"/>
      <c r="AH215" s="14"/>
    </row>
    <row r="216" spans="1:34">
      <c r="A216">
        <v>215</v>
      </c>
      <c r="AG216" s="14"/>
      <c r="AH216" s="14"/>
    </row>
    <row r="217" spans="1:34">
      <c r="A217">
        <v>216</v>
      </c>
      <c r="AG217" s="14"/>
      <c r="AH217" s="14"/>
    </row>
    <row r="218" spans="1:34">
      <c r="A218">
        <v>217</v>
      </c>
      <c r="AG218" s="14"/>
      <c r="AH218" s="14"/>
    </row>
    <row r="219" spans="1:34">
      <c r="A219">
        <v>218</v>
      </c>
      <c r="AG219" s="14"/>
      <c r="AH219" s="14"/>
    </row>
    <row r="220" spans="1:34">
      <c r="A220">
        <v>219</v>
      </c>
      <c r="AG220" s="14"/>
      <c r="AH220" s="14"/>
    </row>
    <row r="221" spans="1:34">
      <c r="A221">
        <v>220</v>
      </c>
      <c r="AG221" s="14"/>
      <c r="AH221" s="14"/>
    </row>
    <row r="222" spans="1:34">
      <c r="A222">
        <v>221</v>
      </c>
      <c r="AG222" s="14"/>
      <c r="AH222" s="14"/>
    </row>
    <row r="223" spans="1:34">
      <c r="A223">
        <v>222</v>
      </c>
      <c r="AG223" s="14"/>
      <c r="AH223" s="14"/>
    </row>
    <row r="224" spans="1:34">
      <c r="A224">
        <v>223</v>
      </c>
      <c r="AG224" s="14"/>
      <c r="AH224" s="14"/>
    </row>
    <row r="225" spans="1:34">
      <c r="A225">
        <v>224</v>
      </c>
      <c r="AG225" s="14"/>
      <c r="AH225" s="14"/>
    </row>
    <row r="226" spans="1:34">
      <c r="A226">
        <v>225</v>
      </c>
      <c r="AG226" s="14"/>
      <c r="AH226" s="14"/>
    </row>
    <row r="227" spans="1:34">
      <c r="A227">
        <v>226</v>
      </c>
      <c r="AG227" s="14"/>
      <c r="AH227" s="14"/>
    </row>
    <row r="228" spans="1:34">
      <c r="A228">
        <v>227</v>
      </c>
      <c r="AG228" s="14"/>
      <c r="AH228" s="14"/>
    </row>
    <row r="229" spans="1:34">
      <c r="A229">
        <v>228</v>
      </c>
      <c r="AG229" s="14"/>
      <c r="AH229" s="14"/>
    </row>
    <row r="230" spans="1:34">
      <c r="A230">
        <v>229</v>
      </c>
      <c r="AG230" s="14"/>
      <c r="AH230" s="14"/>
    </row>
    <row r="231" spans="1:34">
      <c r="A231">
        <v>230</v>
      </c>
      <c r="AG231" s="14"/>
      <c r="AH231" s="14"/>
    </row>
    <row r="232" spans="1:34">
      <c r="A232">
        <v>231</v>
      </c>
      <c r="AG232" s="14"/>
      <c r="AH232" s="14"/>
    </row>
    <row r="233" spans="1:34">
      <c r="A233">
        <v>232</v>
      </c>
      <c r="AG233" s="14"/>
      <c r="AH233" s="14"/>
    </row>
    <row r="234" spans="1:34">
      <c r="A234">
        <v>233</v>
      </c>
      <c r="AG234" s="14"/>
      <c r="AH234" s="14"/>
    </row>
    <row r="235" spans="1:34">
      <c r="A235">
        <v>234</v>
      </c>
      <c r="AG235" s="14"/>
      <c r="AH235" s="14"/>
    </row>
    <row r="236" spans="1:34">
      <c r="A236">
        <v>235</v>
      </c>
      <c r="AG236" s="14"/>
      <c r="AH236" s="14"/>
    </row>
    <row r="237" spans="1:34">
      <c r="A237">
        <v>236</v>
      </c>
      <c r="AG237" s="14"/>
      <c r="AH237" s="14"/>
    </row>
    <row r="238" spans="1:34">
      <c r="A238">
        <v>237</v>
      </c>
      <c r="AG238" s="14"/>
      <c r="AH238" s="14"/>
    </row>
    <row r="239" spans="1:34">
      <c r="A239">
        <v>238</v>
      </c>
      <c r="AG239" s="14"/>
      <c r="AH239" s="14"/>
    </row>
    <row r="240" spans="1:34">
      <c r="A240">
        <v>239</v>
      </c>
      <c r="AG240" s="14"/>
      <c r="AH240" s="14"/>
    </row>
    <row r="241" spans="1:34">
      <c r="A241">
        <v>240</v>
      </c>
      <c r="AG241" s="14"/>
      <c r="AH241" s="14"/>
    </row>
    <row r="242" spans="1:34">
      <c r="A242">
        <v>241</v>
      </c>
      <c r="AG242" s="14"/>
      <c r="AH242" s="14"/>
    </row>
    <row r="243" spans="1:34">
      <c r="A243">
        <v>242</v>
      </c>
      <c r="AG243" s="14"/>
      <c r="AH243" s="14"/>
    </row>
    <row r="244" spans="1:34">
      <c r="A244">
        <v>243</v>
      </c>
      <c r="AG244" s="14"/>
      <c r="AH244" s="14"/>
    </row>
    <row r="245" spans="1:34">
      <c r="A245">
        <v>244</v>
      </c>
      <c r="AG245" s="14"/>
      <c r="AH245" s="14"/>
    </row>
    <row r="246" spans="1:34">
      <c r="A246">
        <v>245</v>
      </c>
      <c r="AG246" s="14"/>
      <c r="AH246" s="14"/>
    </row>
    <row r="247" spans="1:34">
      <c r="A247">
        <v>246</v>
      </c>
      <c r="AG247" s="14"/>
      <c r="AH247" s="14"/>
    </row>
    <row r="248" spans="1:34">
      <c r="A248">
        <v>247</v>
      </c>
      <c r="AG248" s="14"/>
      <c r="AH248" s="14"/>
    </row>
    <row r="249" spans="1:34">
      <c r="A249">
        <v>248</v>
      </c>
      <c r="AG249" s="14"/>
      <c r="AH249" s="14"/>
    </row>
    <row r="250" spans="1:34">
      <c r="A250">
        <v>249</v>
      </c>
      <c r="AG250" s="14"/>
      <c r="AH250" s="14"/>
    </row>
    <row r="251" spans="1:34">
      <c r="A251">
        <v>250</v>
      </c>
      <c r="AG251" s="14"/>
      <c r="AH251" s="14"/>
    </row>
    <row r="252" spans="1:34">
      <c r="A252">
        <v>251</v>
      </c>
      <c r="AG252" s="14"/>
      <c r="AH252" s="14"/>
    </row>
    <row r="253" spans="1:34">
      <c r="A253">
        <v>252</v>
      </c>
      <c r="AG253" s="14"/>
      <c r="AH253" s="14"/>
    </row>
    <row r="254" spans="1:34">
      <c r="A254">
        <v>253</v>
      </c>
      <c r="AG254" s="14"/>
      <c r="AH254" s="14"/>
    </row>
    <row r="255" spans="1:34">
      <c r="A255">
        <v>254</v>
      </c>
      <c r="AG255" s="14"/>
      <c r="AH255" s="14"/>
    </row>
    <row r="256" spans="1:34">
      <c r="A256">
        <v>255</v>
      </c>
      <c r="AG256" s="14"/>
      <c r="AH256" s="14"/>
    </row>
    <row r="257" spans="1:34">
      <c r="A257">
        <v>256</v>
      </c>
      <c r="AG257" s="14"/>
      <c r="AH257" s="14"/>
    </row>
    <row r="258" spans="1:34">
      <c r="A258">
        <v>257</v>
      </c>
      <c r="AG258" s="14"/>
      <c r="AH258" s="14"/>
    </row>
    <row r="259" spans="1:34">
      <c r="A259">
        <v>258</v>
      </c>
      <c r="AG259" s="14"/>
      <c r="AH259" s="14"/>
    </row>
    <row r="260" spans="1:34">
      <c r="A260">
        <v>259</v>
      </c>
      <c r="AG260" s="14"/>
      <c r="AH260" s="14"/>
    </row>
    <row r="261" spans="1:34">
      <c r="A261">
        <v>260</v>
      </c>
      <c r="AG261" s="14"/>
      <c r="AH261" s="14"/>
    </row>
    <row r="262" spans="1:34">
      <c r="A262">
        <v>261</v>
      </c>
      <c r="AG262" s="14"/>
      <c r="AH262" s="14"/>
    </row>
    <row r="263" spans="1:34">
      <c r="A263">
        <v>262</v>
      </c>
      <c r="AG263" s="14"/>
      <c r="AH263" s="14"/>
    </row>
    <row r="264" spans="1:34">
      <c r="A264">
        <v>263</v>
      </c>
      <c r="AG264" s="14"/>
      <c r="AH264" s="14"/>
    </row>
    <row r="265" spans="1:34">
      <c r="A265">
        <v>264</v>
      </c>
      <c r="AG265" s="14"/>
      <c r="AH265" s="14"/>
    </row>
    <row r="266" spans="1:34">
      <c r="A266">
        <v>265</v>
      </c>
      <c r="AG266" s="14"/>
      <c r="AH266" s="14"/>
    </row>
    <row r="267" spans="1:34">
      <c r="A267">
        <v>266</v>
      </c>
      <c r="AG267" s="14"/>
      <c r="AH267" s="14"/>
    </row>
    <row r="268" spans="1:34">
      <c r="A268">
        <v>267</v>
      </c>
      <c r="AG268" s="14"/>
      <c r="AH268" s="14"/>
    </row>
    <row r="269" spans="1:34">
      <c r="A269">
        <v>268</v>
      </c>
      <c r="AG269" s="14"/>
      <c r="AH269" s="14"/>
    </row>
    <row r="270" spans="1:34">
      <c r="A270">
        <v>269</v>
      </c>
      <c r="AG270" s="14"/>
      <c r="AH270" s="14"/>
    </row>
    <row r="271" spans="1:34">
      <c r="A271">
        <v>270</v>
      </c>
      <c r="AG271" s="14"/>
      <c r="AH271" s="14"/>
    </row>
    <row r="272" spans="1:34">
      <c r="A272">
        <v>271</v>
      </c>
      <c r="AG272" s="14"/>
      <c r="AH272" s="14"/>
    </row>
    <row r="273" spans="1:34">
      <c r="A273">
        <v>272</v>
      </c>
      <c r="AG273" s="14"/>
      <c r="AH273" s="14"/>
    </row>
    <row r="274" spans="1:34">
      <c r="A274">
        <v>273</v>
      </c>
      <c r="AG274" s="14"/>
      <c r="AH274" s="14"/>
    </row>
    <row r="275" spans="1:34">
      <c r="A275">
        <v>274</v>
      </c>
      <c r="AG275" s="14"/>
      <c r="AH275" s="14"/>
    </row>
    <row r="276" spans="1:34">
      <c r="A276">
        <v>275</v>
      </c>
      <c r="AG276" s="14"/>
      <c r="AH276" s="14"/>
    </row>
    <row r="277" spans="1:34">
      <c r="A277">
        <v>276</v>
      </c>
      <c r="AG277" s="14"/>
      <c r="AH277" s="14"/>
    </row>
    <row r="278" spans="1:34">
      <c r="A278">
        <v>277</v>
      </c>
      <c r="AG278" s="14"/>
      <c r="AH278" s="14"/>
    </row>
    <row r="279" spans="1:34">
      <c r="A279">
        <v>278</v>
      </c>
      <c r="AG279" s="14"/>
      <c r="AH279" s="14"/>
    </row>
    <row r="280" spans="1:34">
      <c r="A280">
        <v>279</v>
      </c>
      <c r="AG280" s="14"/>
      <c r="AH280" s="14"/>
    </row>
    <row r="281" spans="1:34">
      <c r="A281">
        <v>280</v>
      </c>
      <c r="AG281" s="14"/>
      <c r="AH281" s="14"/>
    </row>
    <row r="282" spans="1:34">
      <c r="A282">
        <v>281</v>
      </c>
      <c r="AG282" s="14"/>
      <c r="AH282" s="14"/>
    </row>
    <row r="283" spans="1:34">
      <c r="A283">
        <v>282</v>
      </c>
      <c r="AG283" s="14"/>
      <c r="AH283" s="14"/>
    </row>
    <row r="284" spans="1:34">
      <c r="A284">
        <v>283</v>
      </c>
      <c r="AG284" s="14"/>
      <c r="AH284" s="14"/>
    </row>
    <row r="285" spans="1:34">
      <c r="A285">
        <v>284</v>
      </c>
      <c r="AG285" s="14"/>
      <c r="AH285" s="14"/>
    </row>
    <row r="286" spans="1:34">
      <c r="A286">
        <v>285</v>
      </c>
      <c r="AG286" s="14"/>
      <c r="AH286" s="14"/>
    </row>
    <row r="287" spans="1:34">
      <c r="A287">
        <v>286</v>
      </c>
      <c r="AG287" s="14"/>
      <c r="AH287" s="14"/>
    </row>
    <row r="288" spans="1:34">
      <c r="A288">
        <v>287</v>
      </c>
      <c r="AG288" s="14"/>
      <c r="AH288" s="14"/>
    </row>
    <row r="289" spans="1:34">
      <c r="A289">
        <v>288</v>
      </c>
      <c r="AG289" s="14"/>
      <c r="AH289" s="14"/>
    </row>
    <row r="290" spans="1:34">
      <c r="A290">
        <v>289</v>
      </c>
      <c r="AG290" s="14"/>
      <c r="AH290" s="14"/>
    </row>
    <row r="291" spans="1:34">
      <c r="A291">
        <v>290</v>
      </c>
      <c r="AG291" s="14"/>
      <c r="AH291" s="14"/>
    </row>
    <row r="292" spans="1:34">
      <c r="A292">
        <v>291</v>
      </c>
      <c r="AG292" s="14"/>
      <c r="AH292" s="14"/>
    </row>
    <row r="293" spans="1:34">
      <c r="A293">
        <v>292</v>
      </c>
      <c r="AG293" s="14"/>
      <c r="AH293" s="14"/>
    </row>
    <row r="294" spans="1:34">
      <c r="A294">
        <v>293</v>
      </c>
      <c r="AG294" s="14"/>
      <c r="AH294" s="14"/>
    </row>
    <row r="295" spans="1:34">
      <c r="A295">
        <v>294</v>
      </c>
      <c r="AG295" s="14"/>
      <c r="AH295" s="14"/>
    </row>
    <row r="296" spans="1:34">
      <c r="A296">
        <v>295</v>
      </c>
      <c r="AG296" s="14"/>
      <c r="AH296" s="14"/>
    </row>
    <row r="297" spans="1:34">
      <c r="A297">
        <v>296</v>
      </c>
      <c r="AG297" s="14"/>
      <c r="AH297" s="14"/>
    </row>
    <row r="298" spans="1:34">
      <c r="A298">
        <v>297</v>
      </c>
      <c r="AG298" s="14"/>
      <c r="AH298" s="14"/>
    </row>
    <row r="299" spans="1:34">
      <c r="A299">
        <v>298</v>
      </c>
      <c r="AG299" s="14"/>
      <c r="AH299" s="14"/>
    </row>
    <row r="300" spans="1:34">
      <c r="A300">
        <v>299</v>
      </c>
      <c r="AG300" s="14"/>
      <c r="AH300" s="14"/>
    </row>
    <row r="301" spans="1:34">
      <c r="A301">
        <v>300</v>
      </c>
      <c r="AG301" s="14"/>
      <c r="AH301" s="1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workbookViewId="0"/>
  </sheetViews>
  <sheetFormatPr defaultRowHeight="15"/>
  <sheetData>
    <row r="1" spans="1:30" ht="18.75">
      <c r="A1" s="33" t="s">
        <v>791</v>
      </c>
      <c r="B1" s="12" t="s">
        <v>647</v>
      </c>
      <c r="C1" s="12" t="s">
        <v>648</v>
      </c>
      <c r="D1" s="12" t="s">
        <v>649</v>
      </c>
      <c r="E1" s="12" t="s">
        <v>650</v>
      </c>
      <c r="F1" s="12" t="s">
        <v>651</v>
      </c>
      <c r="G1" s="12" t="s">
        <v>652</v>
      </c>
      <c r="H1" s="12" t="s">
        <v>653</v>
      </c>
      <c r="I1" s="12" t="s">
        <v>654</v>
      </c>
      <c r="J1" s="12" t="s">
        <v>655</v>
      </c>
      <c r="K1" s="12" t="s">
        <v>656</v>
      </c>
      <c r="L1" s="12" t="s">
        <v>657</v>
      </c>
      <c r="M1" s="12" t="s">
        <v>658</v>
      </c>
      <c r="N1" s="12" t="s">
        <v>659</v>
      </c>
      <c r="O1" s="12" t="s">
        <v>660</v>
      </c>
      <c r="P1" s="12" t="s">
        <v>661</v>
      </c>
      <c r="Q1" s="12" t="s">
        <v>662</v>
      </c>
      <c r="R1" s="12" t="s">
        <v>663</v>
      </c>
      <c r="S1" s="12" t="s">
        <v>664</v>
      </c>
      <c r="T1" s="12" t="s">
        <v>665</v>
      </c>
      <c r="U1" s="12" t="s">
        <v>666</v>
      </c>
      <c r="V1" s="12" t="s">
        <v>667</v>
      </c>
      <c r="W1" s="12" t="s">
        <v>668</v>
      </c>
      <c r="X1" s="12" t="s">
        <v>669</v>
      </c>
      <c r="Y1" s="12" t="s">
        <v>670</v>
      </c>
      <c r="Z1" s="12" t="s">
        <v>671</v>
      </c>
      <c r="AA1" s="12" t="s">
        <v>672</v>
      </c>
      <c r="AB1" s="12" t="s">
        <v>673</v>
      </c>
      <c r="AC1" s="12" t="s">
        <v>674</v>
      </c>
      <c r="AD1" s="13" t="s">
        <v>724</v>
      </c>
    </row>
    <row r="2" spans="1:30" ht="15.75">
      <c r="A2" s="44" t="s">
        <v>773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>
        <v>1726.56096391754</v>
      </c>
      <c r="AA2" s="10">
        <v>1726.56096391754</v>
      </c>
      <c r="AB2" s="10">
        <v>1726.56096391754</v>
      </c>
      <c r="AC2" s="10">
        <v>1726.56096391754</v>
      </c>
      <c r="AD2" s="10">
        <v>1574.7102387871414</v>
      </c>
    </row>
    <row r="3" spans="1:30" ht="15.75">
      <c r="A3" s="44" t="s">
        <v>774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>
        <v>2266.1653670663727</v>
      </c>
      <c r="AA3" s="10">
        <v>2266.1653670663727</v>
      </c>
      <c r="AB3" s="10">
        <v>2266.1653670663727</v>
      </c>
      <c r="AC3" s="10">
        <v>2266.1653670663727</v>
      </c>
      <c r="AD3" s="10">
        <v>2054.513218738703</v>
      </c>
    </row>
    <row r="4" spans="1:30" ht="15.75">
      <c r="A4" s="44" t="s">
        <v>35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>
        <v>2230.7759652944892</v>
      </c>
      <c r="AA4" s="10">
        <v>2230.7759652944892</v>
      </c>
      <c r="AB4" s="10">
        <v>2230.7759652944892</v>
      </c>
      <c r="AC4" s="10">
        <v>2230.7759652944892</v>
      </c>
      <c r="AD4" s="10">
        <v>2233</v>
      </c>
    </row>
    <row r="5" spans="1:30" ht="15.75">
      <c r="A5" s="44" t="s">
        <v>775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>
        <v>2170.4594533813315</v>
      </c>
      <c r="AA5" s="10">
        <v>2170.4594533813315</v>
      </c>
      <c r="AB5" s="10">
        <v>2170.4594533813315</v>
      </c>
      <c r="AC5" s="10">
        <v>2170.4594533813315</v>
      </c>
      <c r="AD5" s="10">
        <v>2050</v>
      </c>
    </row>
    <row r="6" spans="1:30" ht="15.75">
      <c r="A6" s="44" t="s">
        <v>776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>
        <v>1828.2187322691673</v>
      </c>
      <c r="AA6" s="10">
        <v>1828.2187322691673</v>
      </c>
      <c r="AB6" s="10">
        <v>1828.2187322691673</v>
      </c>
      <c r="AC6" s="10">
        <v>1828.2187322691673</v>
      </c>
      <c r="AD6" s="10">
        <v>1787.0115781134436</v>
      </c>
    </row>
    <row r="7" spans="1:30" ht="15.75">
      <c r="A7" s="44" t="s">
        <v>777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>
        <v>2100.2653258618616</v>
      </c>
      <c r="AA7" s="10">
        <v>2100.2653258618616</v>
      </c>
      <c r="AB7" s="10">
        <v>2100.2653258618616</v>
      </c>
      <c r="AC7" s="10">
        <v>2100.2653258618616</v>
      </c>
      <c r="AD7" s="10">
        <v>1963.8832923512725</v>
      </c>
    </row>
    <row r="8" spans="1:30" ht="15.75">
      <c r="A8" s="44" t="s">
        <v>778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>
        <v>2297.0839780208453</v>
      </c>
      <c r="AA8" s="10">
        <v>2297.0839780208453</v>
      </c>
      <c r="AB8" s="10">
        <v>2297.0839780208453</v>
      </c>
      <c r="AC8" s="10">
        <v>2297.0839780208453</v>
      </c>
      <c r="AD8" s="10">
        <v>2280</v>
      </c>
    </row>
    <row r="9" spans="1:30" ht="15.75">
      <c r="A9" s="44" t="s">
        <v>779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>
        <v>1582.6173106478125</v>
      </c>
      <c r="AA9" s="10">
        <v>1582.6173106478125</v>
      </c>
      <c r="AB9" s="10">
        <v>1582.6173106478125</v>
      </c>
      <c r="AC9" s="10">
        <v>1582.6173106478125</v>
      </c>
      <c r="AD9" s="10">
        <v>1442.2805214749653</v>
      </c>
    </row>
    <row r="10" spans="1:30" ht="15.75">
      <c r="A10" s="44" t="s">
        <v>780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>
        <v>2110.9436505277763</v>
      </c>
      <c r="AA10" s="10">
        <v>2110.9436505277763</v>
      </c>
      <c r="AB10" s="10">
        <v>2110.9436505277763</v>
      </c>
      <c r="AC10" s="10">
        <v>2110.9436505277763</v>
      </c>
      <c r="AD10" s="10">
        <v>2047.5910877795488</v>
      </c>
    </row>
    <row r="11" spans="1:30" ht="15.75">
      <c r="A11" s="44" t="s">
        <v>150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>
        <v>2226.8005596581452</v>
      </c>
      <c r="AA11" s="10">
        <v>2226.8005596581452</v>
      </c>
      <c r="AB11" s="10">
        <v>2226.8005596581452</v>
      </c>
      <c r="AC11" s="10">
        <v>2226.8005596581452</v>
      </c>
      <c r="AD11" s="10">
        <v>2123.6182370149381</v>
      </c>
    </row>
    <row r="12" spans="1:30" ht="15.75">
      <c r="A12" s="44" t="s">
        <v>781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v>2316.9831238296933</v>
      </c>
      <c r="AA12" s="10">
        <v>2316.9831238296933</v>
      </c>
      <c r="AB12" s="10">
        <v>2316.9831238296933</v>
      </c>
      <c r="AC12" s="10">
        <v>2316.9831238296933</v>
      </c>
      <c r="AD12" s="10">
        <v>2170</v>
      </c>
    </row>
    <row r="13" spans="1:30" ht="15.75">
      <c r="A13" s="44" t="s">
        <v>782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2415.5384939731266</v>
      </c>
      <c r="AA13" s="10">
        <v>2415.5384939731266</v>
      </c>
      <c r="AB13" s="10">
        <v>2415.5384939731266</v>
      </c>
      <c r="AC13" s="10">
        <v>2415.5384939731266</v>
      </c>
      <c r="AD13" s="10">
        <v>2139.3175221488832</v>
      </c>
    </row>
    <row r="14" spans="1:30" ht="15.75">
      <c r="A14" s="44" t="s">
        <v>783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2271.5874827941002</v>
      </c>
      <c r="AA14" s="10">
        <v>2271.5874827941002</v>
      </c>
      <c r="AB14" s="10">
        <v>2271.5874827941002</v>
      </c>
      <c r="AC14" s="10">
        <v>2271.5874827941002</v>
      </c>
      <c r="AD14" s="10">
        <v>2240</v>
      </c>
    </row>
    <row r="15" spans="1:30" ht="15.75">
      <c r="A15" s="44" t="s">
        <v>784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>
        <v>2133.4593593414511</v>
      </c>
      <c r="AA15" s="10">
        <v>2133.4593593414511</v>
      </c>
      <c r="AB15" s="10">
        <v>2133.4593593414511</v>
      </c>
      <c r="AC15" s="10">
        <v>2133.4593593414511</v>
      </c>
      <c r="AD15" s="10">
        <v>2134.328356215563</v>
      </c>
    </row>
    <row r="16" spans="1:30" ht="15.75">
      <c r="A16" s="44" t="s">
        <v>785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>
        <v>2254.8143413297566</v>
      </c>
      <c r="AA16" s="10">
        <v>2254.8143413297566</v>
      </c>
      <c r="AB16" s="10">
        <v>2254.8143413297566</v>
      </c>
      <c r="AC16" s="10">
        <v>2254.8143413297566</v>
      </c>
      <c r="AD16" s="10">
        <v>2151.1199468783102</v>
      </c>
    </row>
    <row r="17" spans="1:30" ht="15.75">
      <c r="A17" s="44" t="s">
        <v>255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>
        <v>2030.2570215238115</v>
      </c>
      <c r="AA17" s="10">
        <v>2030.2570215238115</v>
      </c>
      <c r="AB17" s="10">
        <v>2030.2570215238115</v>
      </c>
      <c r="AC17" s="10">
        <v>2030.2570215238115</v>
      </c>
      <c r="AD17" s="10">
        <v>1950</v>
      </c>
    </row>
    <row r="18" spans="1:30" ht="15.75">
      <c r="A18" s="44" t="s">
        <v>301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>
        <v>2105.713169350206</v>
      </c>
      <c r="AA18" s="10">
        <v>2105.713169350206</v>
      </c>
      <c r="AB18" s="10">
        <v>2105.713169350206</v>
      </c>
      <c r="AC18" s="10">
        <v>2105.713169350206</v>
      </c>
      <c r="AD18" s="10">
        <v>1988</v>
      </c>
    </row>
    <row r="19" spans="1:30" ht="15.75">
      <c r="A19" s="44" t="s">
        <v>340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>
        <v>1683.6881683049426</v>
      </c>
      <c r="AA19" s="10">
        <v>1683.6881683049426</v>
      </c>
      <c r="AB19" s="10">
        <v>1683.6881683049426</v>
      </c>
      <c r="AC19" s="10">
        <v>1683.6881683049426</v>
      </c>
      <c r="AD19" s="10">
        <v>1650.2031881687262</v>
      </c>
    </row>
    <row r="20" spans="1:30" ht="15.75">
      <c r="A20" s="44" t="s">
        <v>786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>
        <v>2349.2462330239955</v>
      </c>
      <c r="AA20" s="10">
        <v>2349.2462330239955</v>
      </c>
      <c r="AB20" s="10">
        <v>2349.2462330239955</v>
      </c>
      <c r="AC20" s="10">
        <v>2349.2462330239955</v>
      </c>
      <c r="AD20" s="10">
        <v>2233.0903879334896</v>
      </c>
    </row>
    <row r="21" spans="1:30" ht="15.75">
      <c r="A21" s="44" t="s">
        <v>787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>
        <v>2183.4667736218385</v>
      </c>
      <c r="AA21" s="10">
        <v>2183.4667736218385</v>
      </c>
      <c r="AB21" s="10">
        <v>2183.4667736218385</v>
      </c>
      <c r="AC21" s="10">
        <v>2183.4667736218385</v>
      </c>
      <c r="AD21" s="10">
        <v>2023.0183391692681</v>
      </c>
    </row>
    <row r="22" spans="1:30" ht="15.75">
      <c r="A22" s="44" t="s">
        <v>788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80">
        <v>2300</v>
      </c>
      <c r="AA22" s="80">
        <v>2300</v>
      </c>
      <c r="AB22" s="80">
        <v>2300</v>
      </c>
      <c r="AC22" s="80">
        <v>2300</v>
      </c>
      <c r="AD22" s="80">
        <v>2300</v>
      </c>
    </row>
    <row r="23" spans="1:30" ht="15.75">
      <c r="A23" s="44" t="s">
        <v>789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>
        <v>2152.6293463308057</v>
      </c>
      <c r="AA23" s="10">
        <v>2152.6293463308057</v>
      </c>
      <c r="AB23" s="10">
        <v>2152.6293463308057</v>
      </c>
      <c r="AC23" s="10">
        <v>2152.6293463308057</v>
      </c>
      <c r="AD23" s="10">
        <v>2157.1451754506725</v>
      </c>
    </row>
    <row r="24" spans="1:30" ht="15.75">
      <c r="A24" s="44" t="s">
        <v>790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>
        <v>2300</v>
      </c>
      <c r="AA24" s="10">
        <v>2300</v>
      </c>
      <c r="AB24" s="10">
        <v>2300</v>
      </c>
      <c r="AC24" s="10">
        <v>2300</v>
      </c>
      <c r="AD24" s="10">
        <v>1967.5091776210015</v>
      </c>
    </row>
    <row r="25" spans="1:30" ht="15.75">
      <c r="A25" s="44" t="s">
        <v>404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>
        <v>2100</v>
      </c>
      <c r="AA25" s="10">
        <v>2100</v>
      </c>
      <c r="AB25" s="10">
        <v>2100</v>
      </c>
      <c r="AC25" s="10">
        <v>2100</v>
      </c>
      <c r="AD25" s="10">
        <v>1890.1683547921962</v>
      </c>
    </row>
    <row r="26" spans="1:30" ht="15.75">
      <c r="A26" s="4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30" ht="15.75">
      <c r="A27" s="4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30" ht="15.75">
      <c r="A28" s="4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30" ht="15.75">
      <c r="A29" s="4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30" ht="15.75">
      <c r="A30" s="4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30" ht="15.75">
      <c r="A31" s="4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30" ht="15.75">
      <c r="A32" s="4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ht="15.75">
      <c r="A33" s="4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ht="15.75">
      <c r="A34" s="4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ht="15.75">
      <c r="A35" s="4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ht="15.75">
      <c r="A36" s="4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ht="15.75">
      <c r="A37" s="4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ht="15.75">
      <c r="A38" s="4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ht="15.75">
      <c r="A39" s="4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ht="15.75">
      <c r="A40" s="4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ht="15.75">
      <c r="A41" s="4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ht="15.75">
      <c r="A42" s="44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ht="15.75">
      <c r="A43" s="4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ht="15.75">
      <c r="A44" s="4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ht="15.75">
      <c r="A45" s="4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B1" sqref="B1"/>
    </sheetView>
  </sheetViews>
  <sheetFormatPr defaultRowHeight="15"/>
  <sheetData>
    <row r="1" spans="1:9" ht="15.75">
      <c r="A1" s="32" t="s">
        <v>9</v>
      </c>
      <c r="B1" s="74" t="s">
        <v>21</v>
      </c>
      <c r="C1" s="74" t="s">
        <v>191</v>
      </c>
      <c r="D1" s="74" t="s">
        <v>51</v>
      </c>
      <c r="E1" s="74" t="s">
        <v>55</v>
      </c>
      <c r="F1" s="74" t="s">
        <v>62</v>
      </c>
      <c r="G1" s="74" t="s">
        <v>30</v>
      </c>
      <c r="H1" s="74" t="s">
        <v>136</v>
      </c>
      <c r="I1" s="74" t="s">
        <v>81</v>
      </c>
    </row>
    <row r="2" spans="1:9">
      <c r="A2" s="7" t="s">
        <v>21</v>
      </c>
      <c r="B2" s="41">
        <v>40</v>
      </c>
      <c r="C2" s="41"/>
      <c r="D2" s="41"/>
      <c r="E2" s="41"/>
      <c r="F2" s="41"/>
      <c r="G2" s="41"/>
      <c r="H2" s="41"/>
      <c r="I2" s="41"/>
    </row>
    <row r="3" spans="1:9">
      <c r="A3" s="7" t="s">
        <v>30</v>
      </c>
      <c r="B3" s="41">
        <v>200</v>
      </c>
      <c r="C3" s="41">
        <v>170</v>
      </c>
      <c r="D3" s="41">
        <v>195</v>
      </c>
      <c r="E3" s="41">
        <v>185</v>
      </c>
      <c r="F3" s="41"/>
      <c r="G3" s="41"/>
      <c r="H3" s="41"/>
      <c r="I3" s="41"/>
    </row>
    <row r="4" spans="1:9">
      <c r="A4" s="7" t="s">
        <v>36</v>
      </c>
      <c r="B4" s="41">
        <v>240</v>
      </c>
      <c r="C4" s="41"/>
      <c r="D4" s="41"/>
      <c r="E4" s="41"/>
      <c r="F4" s="41"/>
      <c r="G4" s="41"/>
      <c r="H4" s="41">
        <v>145</v>
      </c>
      <c r="I4" s="41">
        <v>140</v>
      </c>
    </row>
    <row r="5" spans="1:9">
      <c r="A5" s="7" t="s">
        <v>43</v>
      </c>
      <c r="B5" s="41"/>
      <c r="C5" s="41"/>
      <c r="D5" s="41">
        <v>325</v>
      </c>
      <c r="E5" s="41">
        <v>325</v>
      </c>
      <c r="F5" s="41"/>
      <c r="G5" s="41"/>
      <c r="H5" s="41"/>
      <c r="I5" s="41"/>
    </row>
    <row r="6" spans="1:9">
      <c r="A6" s="7" t="s">
        <v>48</v>
      </c>
      <c r="B6" s="41"/>
      <c r="C6" s="41"/>
      <c r="D6" s="41">
        <v>200</v>
      </c>
      <c r="E6" s="41">
        <v>180</v>
      </c>
      <c r="F6" s="41"/>
      <c r="G6" s="41">
        <v>170</v>
      </c>
      <c r="H6" s="41"/>
      <c r="I6" s="41"/>
    </row>
    <row r="7" spans="1:9">
      <c r="A7" s="7" t="s">
        <v>51</v>
      </c>
      <c r="B7" s="41"/>
      <c r="C7" s="41">
        <v>180</v>
      </c>
      <c r="D7" s="41">
        <v>30</v>
      </c>
      <c r="E7" s="41"/>
      <c r="F7" s="41"/>
      <c r="G7" s="41"/>
      <c r="H7" s="41"/>
      <c r="I7" s="41"/>
    </row>
    <row r="8" spans="1:9">
      <c r="A8" s="7" t="s">
        <v>55</v>
      </c>
      <c r="B8" s="41"/>
      <c r="C8" s="41"/>
      <c r="D8" s="41"/>
      <c r="E8" s="41">
        <v>15</v>
      </c>
      <c r="F8" s="41"/>
      <c r="G8" s="41"/>
      <c r="H8" s="41"/>
      <c r="I8" s="41"/>
    </row>
    <row r="9" spans="1:9">
      <c r="A9" s="7" t="s">
        <v>62</v>
      </c>
      <c r="B9" s="41">
        <v>155</v>
      </c>
      <c r="C9" s="41"/>
      <c r="D9" s="41"/>
      <c r="E9" s="41"/>
      <c r="F9" s="41"/>
      <c r="G9" s="41"/>
      <c r="H9" s="41"/>
      <c r="I9" s="41"/>
    </row>
    <row r="10" spans="1:9">
      <c r="A10" s="7" t="s">
        <v>81</v>
      </c>
      <c r="B10" s="41"/>
      <c r="C10" s="41"/>
      <c r="D10" s="41"/>
      <c r="E10" s="41"/>
      <c r="F10" s="41"/>
      <c r="G10" s="41"/>
      <c r="H10" s="41">
        <v>70</v>
      </c>
      <c r="I10" s="41">
        <v>15</v>
      </c>
    </row>
    <row r="11" spans="1:9">
      <c r="A11" s="7" t="s">
        <v>92</v>
      </c>
      <c r="B11" s="41"/>
      <c r="C11" s="41"/>
      <c r="D11" s="41"/>
      <c r="E11" s="41"/>
      <c r="F11" s="41"/>
      <c r="G11" s="41"/>
      <c r="H11" s="41"/>
      <c r="I11" s="41">
        <v>100</v>
      </c>
    </row>
    <row r="12" spans="1:9">
      <c r="A12" s="7" t="s">
        <v>109</v>
      </c>
      <c r="B12" s="41"/>
      <c r="C12" s="41">
        <v>500</v>
      </c>
      <c r="D12" s="41">
        <v>500</v>
      </c>
      <c r="E12" s="41">
        <v>450</v>
      </c>
      <c r="F12" s="41"/>
      <c r="G12" s="41"/>
      <c r="H12" s="41"/>
      <c r="I12" s="41"/>
    </row>
    <row r="13" spans="1:9">
      <c r="A13" s="7" t="s">
        <v>116</v>
      </c>
      <c r="B13" s="41">
        <v>150</v>
      </c>
      <c r="C13" s="41">
        <v>150</v>
      </c>
      <c r="D13" s="41"/>
      <c r="E13" s="41"/>
      <c r="F13" s="41"/>
      <c r="G13" s="41"/>
      <c r="H13" s="41"/>
      <c r="I13" s="41"/>
    </row>
    <row r="14" spans="1:9">
      <c r="A14" s="7" t="s">
        <v>136</v>
      </c>
      <c r="B14" s="41">
        <v>70</v>
      </c>
      <c r="C14" s="41"/>
      <c r="D14" s="41"/>
      <c r="E14" s="41"/>
      <c r="F14" s="41"/>
      <c r="G14" s="41"/>
      <c r="H14" s="41">
        <v>10</v>
      </c>
      <c r="I14" s="41"/>
    </row>
    <row r="15" spans="1:9">
      <c r="A15" s="7" t="s">
        <v>147</v>
      </c>
      <c r="B15" s="41"/>
      <c r="C15" s="41"/>
      <c r="D15" s="41">
        <v>120</v>
      </c>
      <c r="E15" s="41"/>
      <c r="F15" s="41"/>
      <c r="G15" s="41"/>
      <c r="H15" s="41">
        <v>200</v>
      </c>
      <c r="I15" s="41">
        <v>150</v>
      </c>
    </row>
    <row r="16" spans="1:9">
      <c r="A16" s="7" t="s">
        <v>191</v>
      </c>
      <c r="B16" s="41"/>
      <c r="C16" s="41">
        <v>5</v>
      </c>
      <c r="D16" s="41"/>
      <c r="E16" s="41"/>
      <c r="F16" s="41"/>
      <c r="G16" s="41"/>
      <c r="H16" s="41"/>
      <c r="I16" s="41"/>
    </row>
    <row r="17" spans="1:9">
      <c r="A17" s="7" t="s">
        <v>208</v>
      </c>
      <c r="B17" s="41"/>
      <c r="C17" s="41"/>
      <c r="D17" s="41">
        <v>150</v>
      </c>
      <c r="E17" s="41"/>
      <c r="F17" s="41"/>
      <c r="G17" s="41"/>
      <c r="H17" s="41"/>
      <c r="I17" s="41"/>
    </row>
    <row r="18" spans="1:9">
      <c r="A18" s="7" t="s">
        <v>238</v>
      </c>
      <c r="B18" s="41"/>
      <c r="C18" s="41">
        <v>170</v>
      </c>
      <c r="D18" s="41"/>
      <c r="E18" s="41">
        <v>140</v>
      </c>
      <c r="F18" s="41"/>
      <c r="G18" s="41"/>
      <c r="H18" s="41"/>
      <c r="I18" s="41"/>
    </row>
    <row r="19" spans="1:9">
      <c r="A19" s="7" t="s">
        <v>246</v>
      </c>
      <c r="B19" s="41"/>
      <c r="C19" s="41"/>
      <c r="D19" s="41"/>
      <c r="E19" s="41">
        <v>100</v>
      </c>
      <c r="F19" s="41"/>
      <c r="G19" s="41"/>
      <c r="H19" s="41"/>
      <c r="I19" s="41"/>
    </row>
    <row r="20" spans="1:9">
      <c r="A20" s="7" t="s">
        <v>380</v>
      </c>
      <c r="B20" s="41"/>
      <c r="C20" s="41">
        <v>100</v>
      </c>
      <c r="D20" s="41"/>
      <c r="E20" s="41">
        <v>100</v>
      </c>
      <c r="F20" s="41"/>
      <c r="G20" s="41"/>
      <c r="H20" s="41"/>
      <c r="I20" s="4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301"/>
  <sheetViews>
    <sheetView workbookViewId="0">
      <selection activeCell="I17" sqref="I17"/>
    </sheetView>
  </sheetViews>
  <sheetFormatPr defaultRowHeight="15"/>
  <sheetData>
    <row r="1" spans="2:36" ht="18.75">
      <c r="B1" s="12" t="s">
        <v>1</v>
      </c>
      <c r="C1" s="12" t="s">
        <v>2</v>
      </c>
      <c r="D1" s="12" t="s">
        <v>3</v>
      </c>
      <c r="E1" s="12" t="s">
        <v>7</v>
      </c>
      <c r="F1" s="12" t="s">
        <v>14</v>
      </c>
      <c r="G1" s="12" t="s">
        <v>646</v>
      </c>
      <c r="H1" s="12" t="s">
        <v>647</v>
      </c>
      <c r="I1" s="12" t="s">
        <v>648</v>
      </c>
      <c r="J1" s="12" t="s">
        <v>649</v>
      </c>
      <c r="K1" s="12" t="s">
        <v>650</v>
      </c>
      <c r="L1" s="12" t="s">
        <v>651</v>
      </c>
      <c r="M1" s="12" t="s">
        <v>652</v>
      </c>
      <c r="N1" s="12" t="s">
        <v>653</v>
      </c>
      <c r="O1" s="12" t="s">
        <v>654</v>
      </c>
      <c r="P1" s="12" t="s">
        <v>655</v>
      </c>
      <c r="Q1" s="12" t="s">
        <v>656</v>
      </c>
      <c r="R1" s="12" t="s">
        <v>657</v>
      </c>
      <c r="S1" s="12" t="s">
        <v>658</v>
      </c>
      <c r="T1" s="12" t="s">
        <v>659</v>
      </c>
      <c r="U1" s="12" t="s">
        <v>660</v>
      </c>
      <c r="V1" s="12" t="s">
        <v>661</v>
      </c>
      <c r="W1" s="12" t="s">
        <v>662</v>
      </c>
      <c r="X1" s="12" t="s">
        <v>663</v>
      </c>
      <c r="Y1" s="12" t="s">
        <v>664</v>
      </c>
      <c r="Z1" s="12" t="s">
        <v>665</v>
      </c>
      <c r="AA1" s="12" t="s">
        <v>666</v>
      </c>
      <c r="AB1" s="12" t="s">
        <v>667</v>
      </c>
      <c r="AC1" s="12" t="s">
        <v>668</v>
      </c>
      <c r="AD1" s="12" t="s">
        <v>669</v>
      </c>
      <c r="AE1" s="12" t="s">
        <v>670</v>
      </c>
      <c r="AF1" s="12" t="s">
        <v>671</v>
      </c>
      <c r="AG1" s="12" t="s">
        <v>672</v>
      </c>
      <c r="AH1" s="12" t="s">
        <v>673</v>
      </c>
      <c r="AI1" s="12" t="s">
        <v>674</v>
      </c>
      <c r="AJ1" s="13" t="s">
        <v>708</v>
      </c>
    </row>
    <row r="2" spans="2:36">
      <c r="B2">
        <v>1</v>
      </c>
      <c r="C2" t="s">
        <v>16</v>
      </c>
      <c r="D2" t="s">
        <v>17</v>
      </c>
      <c r="E2" t="s">
        <v>19</v>
      </c>
      <c r="F2" t="s">
        <v>613</v>
      </c>
      <c r="G2" t="s">
        <v>709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>
        <v>0</v>
      </c>
      <c r="AG2" s="35">
        <v>0</v>
      </c>
      <c r="AH2" s="35">
        <v>0</v>
      </c>
      <c r="AI2" s="35">
        <v>0</v>
      </c>
      <c r="AJ2" s="35">
        <v>0</v>
      </c>
    </row>
    <row r="3" spans="2:36">
      <c r="B3">
        <v>2</v>
      </c>
      <c r="C3" t="s">
        <v>23</v>
      </c>
      <c r="D3" t="s">
        <v>24</v>
      </c>
      <c r="E3" t="s">
        <v>19</v>
      </c>
      <c r="F3" t="s">
        <v>613</v>
      </c>
      <c r="G3" t="s">
        <v>709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>
        <v>1</v>
      </c>
      <c r="AG3" s="35">
        <v>1</v>
      </c>
      <c r="AH3" s="35">
        <v>1</v>
      </c>
      <c r="AI3" s="35">
        <v>1</v>
      </c>
      <c r="AJ3" s="35">
        <v>1</v>
      </c>
    </row>
    <row r="4" spans="2:36">
      <c r="B4">
        <v>3</v>
      </c>
      <c r="C4" t="s">
        <v>26</v>
      </c>
      <c r="D4" t="s">
        <v>27</v>
      </c>
      <c r="E4" t="s">
        <v>19</v>
      </c>
      <c r="F4" t="s">
        <v>613</v>
      </c>
      <c r="G4" t="s">
        <v>709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>
        <v>1</v>
      </c>
      <c r="AG4" s="35">
        <v>1</v>
      </c>
      <c r="AH4" s="35">
        <v>1</v>
      </c>
      <c r="AI4" s="35">
        <v>1</v>
      </c>
      <c r="AJ4" s="35">
        <v>1</v>
      </c>
    </row>
    <row r="5" spans="2:36">
      <c r="B5">
        <v>4</v>
      </c>
      <c r="C5" t="s">
        <v>32</v>
      </c>
      <c r="D5" t="s">
        <v>33</v>
      </c>
      <c r="E5" t="s">
        <v>19</v>
      </c>
      <c r="F5" t="s">
        <v>613</v>
      </c>
      <c r="G5" t="s">
        <v>709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>
        <v>0.5</v>
      </c>
      <c r="AG5" s="35">
        <v>0.5</v>
      </c>
      <c r="AH5" s="35">
        <v>0.5</v>
      </c>
      <c r="AI5" s="35">
        <v>0.5</v>
      </c>
      <c r="AJ5" s="35">
        <v>0.5</v>
      </c>
    </row>
    <row r="6" spans="2:36">
      <c r="B6">
        <v>5</v>
      </c>
      <c r="C6" t="s">
        <v>38</v>
      </c>
      <c r="D6" t="s">
        <v>39</v>
      </c>
      <c r="E6" t="s">
        <v>19</v>
      </c>
      <c r="F6" t="s">
        <v>615</v>
      </c>
      <c r="G6" t="s">
        <v>709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>
        <v>1</v>
      </c>
      <c r="AG6" s="35">
        <v>1</v>
      </c>
      <c r="AH6" s="35">
        <v>1</v>
      </c>
      <c r="AI6" s="35">
        <v>1</v>
      </c>
      <c r="AJ6" s="35">
        <v>1</v>
      </c>
    </row>
    <row r="7" spans="2:36">
      <c r="B7">
        <v>6</v>
      </c>
      <c r="C7" t="s">
        <v>41</v>
      </c>
      <c r="D7" t="s">
        <v>42</v>
      </c>
      <c r="E7" t="s">
        <v>19</v>
      </c>
      <c r="F7" t="s">
        <v>613</v>
      </c>
      <c r="G7" t="s">
        <v>709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>
        <v>1</v>
      </c>
      <c r="AG7" s="35">
        <v>1</v>
      </c>
      <c r="AH7" s="35">
        <v>1</v>
      </c>
      <c r="AI7" s="35">
        <v>1</v>
      </c>
      <c r="AJ7" s="35">
        <v>1</v>
      </c>
    </row>
    <row r="8" spans="2:36">
      <c r="B8">
        <v>7</v>
      </c>
      <c r="C8" t="s">
        <v>44</v>
      </c>
      <c r="D8" t="s">
        <v>45</v>
      </c>
      <c r="E8" t="s">
        <v>19</v>
      </c>
      <c r="F8" t="s">
        <v>613</v>
      </c>
      <c r="G8" t="s">
        <v>709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>
        <v>1</v>
      </c>
      <c r="AG8" s="35">
        <v>1</v>
      </c>
      <c r="AH8" s="35">
        <v>1</v>
      </c>
      <c r="AI8" s="35">
        <v>1</v>
      </c>
      <c r="AJ8" s="35">
        <v>1</v>
      </c>
    </row>
    <row r="9" spans="2:36">
      <c r="B9">
        <v>8</v>
      </c>
      <c r="C9" t="s">
        <v>46</v>
      </c>
      <c r="D9" t="s">
        <v>47</v>
      </c>
      <c r="E9" t="s">
        <v>19</v>
      </c>
      <c r="F9" t="s">
        <v>613</v>
      </c>
      <c r="G9" t="s">
        <v>709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>
        <v>1</v>
      </c>
      <c r="AG9" s="35">
        <v>1</v>
      </c>
      <c r="AH9" s="35">
        <v>1</v>
      </c>
      <c r="AI9" s="35">
        <v>1</v>
      </c>
      <c r="AJ9" s="35">
        <v>1</v>
      </c>
    </row>
    <row r="10" spans="2:36">
      <c r="B10">
        <v>9</v>
      </c>
      <c r="C10" t="s">
        <v>49</v>
      </c>
      <c r="D10" t="s">
        <v>50</v>
      </c>
      <c r="E10" t="s">
        <v>19</v>
      </c>
      <c r="F10" t="s">
        <v>613</v>
      </c>
      <c r="G10" t="s">
        <v>709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>
        <v>0</v>
      </c>
      <c r="AG10" s="35">
        <v>0</v>
      </c>
      <c r="AH10" s="35">
        <v>0</v>
      </c>
      <c r="AI10" s="35">
        <v>0</v>
      </c>
      <c r="AJ10" s="35">
        <v>0</v>
      </c>
    </row>
    <row r="11" spans="2:36">
      <c r="B11">
        <v>10</v>
      </c>
      <c r="C11" t="s">
        <v>52</v>
      </c>
      <c r="D11" t="s">
        <v>53</v>
      </c>
      <c r="E11" t="s">
        <v>19</v>
      </c>
      <c r="F11" t="s">
        <v>613</v>
      </c>
      <c r="G11" t="s">
        <v>709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>
        <v>1</v>
      </c>
      <c r="AG11" s="35">
        <v>1</v>
      </c>
      <c r="AH11" s="35">
        <v>1</v>
      </c>
      <c r="AI11" s="35">
        <v>1</v>
      </c>
      <c r="AJ11" s="35">
        <v>1</v>
      </c>
    </row>
    <row r="12" spans="2:36">
      <c r="B12">
        <v>11</v>
      </c>
      <c r="C12" t="s">
        <v>56</v>
      </c>
      <c r="D12" t="s">
        <v>57</v>
      </c>
      <c r="E12" t="s">
        <v>19</v>
      </c>
      <c r="F12" t="s">
        <v>613</v>
      </c>
      <c r="G12" t="s">
        <v>709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>
        <v>1</v>
      </c>
      <c r="AG12" s="35">
        <v>1</v>
      </c>
      <c r="AH12" s="35">
        <v>1</v>
      </c>
      <c r="AI12" s="35">
        <v>1</v>
      </c>
      <c r="AJ12" s="35">
        <v>1</v>
      </c>
    </row>
    <row r="13" spans="2:36">
      <c r="B13">
        <v>12</v>
      </c>
      <c r="C13" t="s">
        <v>59</v>
      </c>
      <c r="D13" t="s">
        <v>60</v>
      </c>
      <c r="E13" t="s">
        <v>19</v>
      </c>
      <c r="F13" t="s">
        <v>615</v>
      </c>
      <c r="G13" t="s">
        <v>709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>
        <v>0.5</v>
      </c>
      <c r="AG13" s="35">
        <v>0.5</v>
      </c>
      <c r="AH13" s="35">
        <v>0.5</v>
      </c>
      <c r="AI13" s="35">
        <v>0.5</v>
      </c>
      <c r="AJ13" s="35">
        <v>0.5</v>
      </c>
    </row>
    <row r="14" spans="2:36">
      <c r="B14">
        <v>13</v>
      </c>
      <c r="C14" t="s">
        <v>63</v>
      </c>
      <c r="D14" t="s">
        <v>64</v>
      </c>
      <c r="E14" t="s">
        <v>19</v>
      </c>
      <c r="F14" t="s">
        <v>615</v>
      </c>
      <c r="G14" t="s">
        <v>709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>
        <v>0.5</v>
      </c>
      <c r="AG14" s="35">
        <v>0.5</v>
      </c>
      <c r="AH14" s="35">
        <v>0.5</v>
      </c>
      <c r="AI14" s="35">
        <v>0.5</v>
      </c>
      <c r="AJ14" s="35">
        <v>0.5</v>
      </c>
    </row>
    <row r="15" spans="2:36">
      <c r="B15">
        <v>14</v>
      </c>
      <c r="C15" t="s">
        <v>66</v>
      </c>
      <c r="D15" t="s">
        <v>67</v>
      </c>
      <c r="E15" t="s">
        <v>19</v>
      </c>
      <c r="F15" t="s">
        <v>615</v>
      </c>
      <c r="G15" t="s">
        <v>709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>
        <v>0.5</v>
      </c>
      <c r="AG15" s="35">
        <v>0.5</v>
      </c>
      <c r="AH15" s="35">
        <v>0.5</v>
      </c>
      <c r="AI15" s="35">
        <v>0.5</v>
      </c>
      <c r="AJ15" s="35">
        <v>0.5</v>
      </c>
    </row>
    <row r="16" spans="2:36">
      <c r="B16">
        <v>15</v>
      </c>
      <c r="C16" t="s">
        <v>69</v>
      </c>
      <c r="D16" t="s">
        <v>70</v>
      </c>
      <c r="E16" t="s">
        <v>19</v>
      </c>
      <c r="F16" t="s">
        <v>615</v>
      </c>
      <c r="G16" t="s">
        <v>709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>
        <v>0.5</v>
      </c>
      <c r="AG16" s="35">
        <v>0.5</v>
      </c>
      <c r="AH16" s="35">
        <v>0.5</v>
      </c>
      <c r="AI16" s="35">
        <v>0.5</v>
      </c>
      <c r="AJ16" s="35">
        <v>0.5</v>
      </c>
    </row>
    <row r="17" spans="2:36">
      <c r="B17">
        <v>16</v>
      </c>
      <c r="C17" t="s">
        <v>71</v>
      </c>
      <c r="D17" t="s">
        <v>72</v>
      </c>
      <c r="E17" t="s">
        <v>19</v>
      </c>
      <c r="F17" t="s">
        <v>615</v>
      </c>
      <c r="G17" t="s">
        <v>709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>
        <v>0.5</v>
      </c>
      <c r="AG17" s="35">
        <v>0.5</v>
      </c>
      <c r="AH17" s="35">
        <v>0.5</v>
      </c>
      <c r="AI17" s="35">
        <v>0.5</v>
      </c>
      <c r="AJ17" s="35">
        <v>0.5</v>
      </c>
    </row>
    <row r="18" spans="2:36">
      <c r="B18">
        <v>17</v>
      </c>
      <c r="C18" t="s">
        <v>74</v>
      </c>
      <c r="D18" t="s">
        <v>75</v>
      </c>
      <c r="E18" t="s">
        <v>19</v>
      </c>
      <c r="F18" t="s">
        <v>615</v>
      </c>
      <c r="G18" t="s">
        <v>709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>
        <v>0.5</v>
      </c>
      <c r="AG18" s="35">
        <v>0.5</v>
      </c>
      <c r="AH18" s="35">
        <v>0.5</v>
      </c>
      <c r="AI18" s="35">
        <v>0.5</v>
      </c>
      <c r="AJ18" s="35">
        <v>0.5</v>
      </c>
    </row>
    <row r="19" spans="2:36">
      <c r="B19">
        <v>18</v>
      </c>
      <c r="C19" t="s">
        <v>77</v>
      </c>
      <c r="D19" t="s">
        <v>78</v>
      </c>
      <c r="E19" t="s">
        <v>19</v>
      </c>
      <c r="F19" t="s">
        <v>613</v>
      </c>
      <c r="G19" t="s">
        <v>709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>
        <v>0</v>
      </c>
      <c r="AG19" s="35">
        <v>0</v>
      </c>
      <c r="AH19" s="35">
        <v>0</v>
      </c>
      <c r="AI19" s="35">
        <v>0</v>
      </c>
      <c r="AJ19" s="35">
        <v>0</v>
      </c>
    </row>
    <row r="20" spans="2:36">
      <c r="B20">
        <v>19</v>
      </c>
      <c r="C20" t="s">
        <v>82</v>
      </c>
      <c r="D20" t="s">
        <v>83</v>
      </c>
      <c r="E20" t="s">
        <v>19</v>
      </c>
      <c r="F20" t="s">
        <v>613</v>
      </c>
      <c r="G20" t="s">
        <v>709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>
        <v>0</v>
      </c>
      <c r="AG20" s="35">
        <v>0</v>
      </c>
      <c r="AH20" s="35">
        <v>0</v>
      </c>
      <c r="AI20" s="35">
        <v>0</v>
      </c>
      <c r="AJ20" s="35">
        <v>0</v>
      </c>
    </row>
    <row r="21" spans="2:36">
      <c r="B21">
        <v>20</v>
      </c>
      <c r="C21" t="s">
        <v>86</v>
      </c>
      <c r="D21" t="s">
        <v>87</v>
      </c>
      <c r="E21" t="s">
        <v>19</v>
      </c>
      <c r="F21" t="s">
        <v>613</v>
      </c>
      <c r="G21" t="s">
        <v>709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>
        <v>0</v>
      </c>
      <c r="AG21" s="35">
        <v>0</v>
      </c>
      <c r="AH21" s="35">
        <v>0</v>
      </c>
      <c r="AI21" s="35">
        <v>0</v>
      </c>
      <c r="AJ21" s="35">
        <v>0</v>
      </c>
    </row>
    <row r="22" spans="2:36">
      <c r="B22">
        <v>21</v>
      </c>
      <c r="C22" t="s">
        <v>89</v>
      </c>
      <c r="D22" t="s">
        <v>90</v>
      </c>
      <c r="E22" t="s">
        <v>19</v>
      </c>
      <c r="F22" t="s">
        <v>613</v>
      </c>
      <c r="G22" t="s">
        <v>709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>
        <v>0</v>
      </c>
      <c r="AG22" s="35">
        <v>0</v>
      </c>
      <c r="AH22" s="35">
        <v>0</v>
      </c>
      <c r="AI22" s="35">
        <v>0</v>
      </c>
      <c r="AJ22" s="35">
        <v>0</v>
      </c>
    </row>
    <row r="23" spans="2:36">
      <c r="B23">
        <v>22</v>
      </c>
      <c r="C23" t="s">
        <v>93</v>
      </c>
      <c r="D23" t="s">
        <v>94</v>
      </c>
      <c r="E23" t="s">
        <v>19</v>
      </c>
      <c r="F23" t="s">
        <v>613</v>
      </c>
      <c r="G23" t="s">
        <v>709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>
        <v>0</v>
      </c>
      <c r="AG23" s="35">
        <v>0</v>
      </c>
      <c r="AH23" s="35">
        <v>0</v>
      </c>
      <c r="AI23" s="35">
        <v>0</v>
      </c>
      <c r="AJ23" s="35">
        <v>0</v>
      </c>
    </row>
    <row r="24" spans="2:36">
      <c r="B24">
        <v>23</v>
      </c>
      <c r="C24" t="s">
        <v>97</v>
      </c>
      <c r="D24" t="s">
        <v>98</v>
      </c>
      <c r="E24" t="s">
        <v>19</v>
      </c>
      <c r="F24" t="s">
        <v>613</v>
      </c>
      <c r="G24" t="s">
        <v>709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>
        <v>0</v>
      </c>
      <c r="AG24" s="35">
        <v>0</v>
      </c>
      <c r="AH24" s="35">
        <v>0</v>
      </c>
      <c r="AI24" s="35">
        <v>0</v>
      </c>
      <c r="AJ24" s="35">
        <v>0</v>
      </c>
    </row>
    <row r="25" spans="2:36">
      <c r="B25">
        <v>24</v>
      </c>
      <c r="C25" t="s">
        <v>100</v>
      </c>
      <c r="D25" t="s">
        <v>101</v>
      </c>
      <c r="E25" t="s">
        <v>19</v>
      </c>
      <c r="F25" t="s">
        <v>613</v>
      </c>
      <c r="G25" t="s">
        <v>709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>
        <v>0</v>
      </c>
      <c r="AG25" s="35">
        <v>0</v>
      </c>
      <c r="AH25" s="35">
        <v>0</v>
      </c>
      <c r="AI25" s="35">
        <v>0</v>
      </c>
      <c r="AJ25" s="35">
        <v>0</v>
      </c>
    </row>
    <row r="26" spans="2:36">
      <c r="B26">
        <v>25</v>
      </c>
      <c r="C26" t="s">
        <v>103</v>
      </c>
      <c r="D26" t="s">
        <v>104</v>
      </c>
      <c r="E26" t="s">
        <v>19</v>
      </c>
      <c r="F26" t="s">
        <v>613</v>
      </c>
      <c r="G26" t="s">
        <v>709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>
        <v>1</v>
      </c>
      <c r="AG26" s="35">
        <v>1</v>
      </c>
      <c r="AH26" s="35">
        <v>1</v>
      </c>
      <c r="AI26" s="35">
        <v>1</v>
      </c>
      <c r="AJ26" s="35">
        <v>1</v>
      </c>
    </row>
    <row r="27" spans="2:36">
      <c r="B27">
        <v>26</v>
      </c>
      <c r="C27" t="s">
        <v>107</v>
      </c>
      <c r="D27" t="s">
        <v>108</v>
      </c>
      <c r="E27" t="s">
        <v>19</v>
      </c>
      <c r="F27" t="s">
        <v>613</v>
      </c>
      <c r="G27" t="s">
        <v>709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>
        <v>0.7</v>
      </c>
      <c r="AG27" s="35">
        <v>0.7</v>
      </c>
      <c r="AH27" s="35">
        <v>0.7</v>
      </c>
      <c r="AI27" s="35">
        <v>0.7</v>
      </c>
      <c r="AJ27" s="35">
        <v>0.7</v>
      </c>
    </row>
    <row r="28" spans="2:36">
      <c r="B28">
        <v>27</v>
      </c>
      <c r="C28" t="s">
        <v>110</v>
      </c>
      <c r="D28" t="s">
        <v>111</v>
      </c>
      <c r="E28" t="s">
        <v>19</v>
      </c>
      <c r="F28" t="s">
        <v>613</v>
      </c>
      <c r="G28" t="s">
        <v>709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>
        <v>0</v>
      </c>
      <c r="AG28" s="35">
        <v>0</v>
      </c>
      <c r="AH28" s="35">
        <v>0</v>
      </c>
      <c r="AI28" s="35">
        <v>0</v>
      </c>
      <c r="AJ28" s="35">
        <v>0</v>
      </c>
    </row>
    <row r="29" spans="2:36">
      <c r="B29">
        <v>28</v>
      </c>
      <c r="C29" t="s">
        <v>113</v>
      </c>
      <c r="D29" t="s">
        <v>114</v>
      </c>
      <c r="E29" t="s">
        <v>19</v>
      </c>
      <c r="F29" t="s">
        <v>613</v>
      </c>
      <c r="G29" t="s">
        <v>709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>
        <v>0</v>
      </c>
      <c r="AG29" s="35">
        <v>0</v>
      </c>
      <c r="AH29" s="35">
        <v>0</v>
      </c>
      <c r="AI29" s="35">
        <v>0</v>
      </c>
      <c r="AJ29" s="35">
        <v>0</v>
      </c>
    </row>
    <row r="30" spans="2:36">
      <c r="B30">
        <v>29</v>
      </c>
      <c r="C30" t="s">
        <v>117</v>
      </c>
      <c r="D30" t="s">
        <v>118</v>
      </c>
      <c r="E30" t="s">
        <v>19</v>
      </c>
      <c r="F30" t="s">
        <v>613</v>
      </c>
      <c r="G30" t="s">
        <v>709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>
        <v>0</v>
      </c>
      <c r="AG30" s="35">
        <v>0</v>
      </c>
      <c r="AH30" s="35">
        <v>0</v>
      </c>
      <c r="AI30" s="35">
        <v>0</v>
      </c>
      <c r="AJ30" s="35">
        <v>0</v>
      </c>
    </row>
    <row r="31" spans="2:36">
      <c r="B31">
        <v>30</v>
      </c>
      <c r="C31" t="s">
        <v>121</v>
      </c>
      <c r="D31" t="s">
        <v>122</v>
      </c>
      <c r="E31" t="s">
        <v>19</v>
      </c>
      <c r="F31" t="s">
        <v>613</v>
      </c>
      <c r="G31" t="s">
        <v>709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>
        <v>0</v>
      </c>
      <c r="AG31" s="35">
        <v>0</v>
      </c>
      <c r="AH31" s="35">
        <v>0</v>
      </c>
      <c r="AI31" s="35">
        <v>0</v>
      </c>
      <c r="AJ31" s="35">
        <v>0</v>
      </c>
    </row>
    <row r="32" spans="2:36">
      <c r="B32">
        <v>31</v>
      </c>
      <c r="C32" t="s">
        <v>124</v>
      </c>
      <c r="D32" t="s">
        <v>125</v>
      </c>
      <c r="E32" t="s">
        <v>19</v>
      </c>
      <c r="F32" t="s">
        <v>613</v>
      </c>
      <c r="G32" t="s">
        <v>709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>
        <v>1</v>
      </c>
      <c r="AG32" s="35">
        <v>1</v>
      </c>
      <c r="AH32" s="35">
        <v>1</v>
      </c>
      <c r="AI32" s="35">
        <v>1</v>
      </c>
      <c r="AJ32" s="35">
        <v>1</v>
      </c>
    </row>
    <row r="33" spans="2:36">
      <c r="B33">
        <v>32</v>
      </c>
      <c r="C33" t="s">
        <v>127</v>
      </c>
      <c r="D33" t="s">
        <v>128</v>
      </c>
      <c r="E33" t="s">
        <v>19</v>
      </c>
      <c r="F33" t="s">
        <v>613</v>
      </c>
      <c r="G33" t="s">
        <v>709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>
        <v>0</v>
      </c>
      <c r="AG33" s="35">
        <v>0</v>
      </c>
      <c r="AH33" s="35">
        <v>0</v>
      </c>
      <c r="AI33" s="35">
        <v>0</v>
      </c>
      <c r="AJ33" s="35">
        <v>0</v>
      </c>
    </row>
    <row r="34" spans="2:36">
      <c r="B34">
        <v>33</v>
      </c>
      <c r="C34" t="s">
        <v>130</v>
      </c>
      <c r="D34" t="s">
        <v>131</v>
      </c>
      <c r="E34" t="s">
        <v>19</v>
      </c>
      <c r="F34" t="s">
        <v>613</v>
      </c>
      <c r="G34" t="s">
        <v>709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>
        <v>0</v>
      </c>
      <c r="AG34" s="35">
        <v>0</v>
      </c>
      <c r="AH34" s="35">
        <v>0</v>
      </c>
      <c r="AI34" s="35">
        <v>0</v>
      </c>
      <c r="AJ34" s="35">
        <v>0</v>
      </c>
    </row>
    <row r="35" spans="2:36">
      <c r="B35">
        <v>34</v>
      </c>
      <c r="C35" t="s">
        <v>133</v>
      </c>
      <c r="D35" t="s">
        <v>134</v>
      </c>
      <c r="E35" t="s">
        <v>19</v>
      </c>
      <c r="F35" t="s">
        <v>613</v>
      </c>
      <c r="G35" t="s">
        <v>709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>
        <v>0</v>
      </c>
      <c r="AG35" s="35">
        <v>0</v>
      </c>
      <c r="AH35" s="35">
        <v>0</v>
      </c>
      <c r="AI35" s="35">
        <v>0</v>
      </c>
      <c r="AJ35" s="35">
        <v>0</v>
      </c>
    </row>
    <row r="36" spans="2:36">
      <c r="B36">
        <v>35</v>
      </c>
      <c r="C36" t="s">
        <v>137</v>
      </c>
      <c r="D36" t="s">
        <v>138</v>
      </c>
      <c r="E36" t="s">
        <v>19</v>
      </c>
      <c r="F36" t="s">
        <v>613</v>
      </c>
      <c r="G36" t="s">
        <v>709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>
        <v>1</v>
      </c>
      <c r="AG36" s="35">
        <v>1</v>
      </c>
      <c r="AH36" s="35">
        <v>1</v>
      </c>
      <c r="AI36" s="35">
        <v>1</v>
      </c>
      <c r="AJ36" s="35">
        <v>1</v>
      </c>
    </row>
    <row r="37" spans="2:36">
      <c r="B37">
        <v>36</v>
      </c>
      <c r="C37" t="s">
        <v>140</v>
      </c>
      <c r="D37" t="s">
        <v>141</v>
      </c>
      <c r="E37" t="s">
        <v>19</v>
      </c>
      <c r="F37" t="s">
        <v>613</v>
      </c>
      <c r="G37" t="s">
        <v>709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>
        <v>0</v>
      </c>
      <c r="AG37" s="35">
        <v>0</v>
      </c>
      <c r="AH37" s="35">
        <v>0</v>
      </c>
      <c r="AI37" s="35">
        <v>0</v>
      </c>
      <c r="AJ37" s="35">
        <v>0</v>
      </c>
    </row>
    <row r="38" spans="2:36">
      <c r="B38">
        <v>37</v>
      </c>
      <c r="C38" t="s">
        <v>143</v>
      </c>
      <c r="D38" t="s">
        <v>144</v>
      </c>
      <c r="E38" t="s">
        <v>19</v>
      </c>
      <c r="F38" t="s">
        <v>615</v>
      </c>
      <c r="G38" t="s">
        <v>709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>
        <v>0</v>
      </c>
      <c r="AG38" s="35">
        <v>0</v>
      </c>
      <c r="AH38" s="35">
        <v>0</v>
      </c>
      <c r="AI38" s="35">
        <v>0</v>
      </c>
      <c r="AJ38" s="35">
        <v>0</v>
      </c>
    </row>
    <row r="39" spans="2:36">
      <c r="B39">
        <v>38</v>
      </c>
      <c r="C39" t="s">
        <v>148</v>
      </c>
      <c r="D39" t="s">
        <v>149</v>
      </c>
      <c r="E39" t="s">
        <v>19</v>
      </c>
      <c r="F39" t="s">
        <v>613</v>
      </c>
      <c r="G39" t="s">
        <v>709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>
        <v>1</v>
      </c>
      <c r="AG39" s="35">
        <v>1</v>
      </c>
      <c r="AH39" s="35">
        <v>1</v>
      </c>
      <c r="AI39" s="35">
        <v>1</v>
      </c>
      <c r="AJ39" s="35">
        <v>1</v>
      </c>
    </row>
    <row r="40" spans="2:36">
      <c r="B40">
        <v>39</v>
      </c>
      <c r="C40" t="s">
        <v>151</v>
      </c>
      <c r="D40" t="s">
        <v>152</v>
      </c>
      <c r="E40" t="s">
        <v>19</v>
      </c>
      <c r="F40" t="s">
        <v>613</v>
      </c>
      <c r="G40" t="s">
        <v>709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>
        <v>1</v>
      </c>
      <c r="AG40" s="35">
        <v>1</v>
      </c>
      <c r="AH40" s="35">
        <v>1</v>
      </c>
      <c r="AI40" s="35">
        <v>1</v>
      </c>
      <c r="AJ40" s="35">
        <v>1</v>
      </c>
    </row>
    <row r="41" spans="2:36">
      <c r="B41">
        <v>40</v>
      </c>
      <c r="C41" t="s">
        <v>153</v>
      </c>
      <c r="D41" t="s">
        <v>154</v>
      </c>
      <c r="E41" t="s">
        <v>19</v>
      </c>
      <c r="F41" t="s">
        <v>613</v>
      </c>
      <c r="G41" t="s">
        <v>709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>
        <v>0</v>
      </c>
      <c r="AG41" s="35">
        <v>0</v>
      </c>
      <c r="AH41" s="35">
        <v>0</v>
      </c>
      <c r="AI41" s="35">
        <v>0</v>
      </c>
      <c r="AJ41" s="35">
        <v>0</v>
      </c>
    </row>
    <row r="42" spans="2:36">
      <c r="B42">
        <v>41</v>
      </c>
      <c r="C42" t="s">
        <v>157</v>
      </c>
      <c r="D42" t="s">
        <v>158</v>
      </c>
      <c r="E42" t="s">
        <v>19</v>
      </c>
      <c r="F42" t="s">
        <v>613</v>
      </c>
      <c r="G42" t="s">
        <v>709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>
        <v>0</v>
      </c>
      <c r="AG42" s="35">
        <v>0</v>
      </c>
      <c r="AH42" s="35">
        <v>0</v>
      </c>
      <c r="AI42" s="35">
        <v>0</v>
      </c>
      <c r="AJ42" s="35">
        <v>0</v>
      </c>
    </row>
    <row r="43" spans="2:36">
      <c r="B43">
        <v>42</v>
      </c>
      <c r="C43" t="s">
        <v>161</v>
      </c>
      <c r="D43" t="s">
        <v>162</v>
      </c>
      <c r="E43" t="s">
        <v>19</v>
      </c>
      <c r="F43" t="s">
        <v>613</v>
      </c>
      <c r="G43" t="s">
        <v>709</v>
      </c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>
        <v>0.5</v>
      </c>
      <c r="AG43" s="35">
        <v>0.5</v>
      </c>
      <c r="AH43" s="35">
        <v>0.5</v>
      </c>
      <c r="AI43" s="35">
        <v>0.5</v>
      </c>
      <c r="AJ43" s="35">
        <v>0.5</v>
      </c>
    </row>
    <row r="44" spans="2:36">
      <c r="B44">
        <v>43</v>
      </c>
      <c r="C44" t="s">
        <v>164</v>
      </c>
      <c r="D44" t="s">
        <v>165</v>
      </c>
      <c r="E44" t="s">
        <v>19</v>
      </c>
      <c r="F44" t="s">
        <v>613</v>
      </c>
      <c r="G44" t="s">
        <v>709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>
        <v>1</v>
      </c>
      <c r="AG44" s="35">
        <v>1</v>
      </c>
      <c r="AH44" s="35">
        <v>1</v>
      </c>
      <c r="AI44" s="35">
        <v>1</v>
      </c>
      <c r="AJ44" s="35">
        <v>1</v>
      </c>
    </row>
    <row r="45" spans="2:36">
      <c r="B45">
        <v>44</v>
      </c>
      <c r="C45" t="s">
        <v>168</v>
      </c>
      <c r="D45" t="s">
        <v>169</v>
      </c>
      <c r="E45" t="s">
        <v>19</v>
      </c>
      <c r="F45" t="s">
        <v>613</v>
      </c>
      <c r="G45" t="s">
        <v>709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>
        <v>0</v>
      </c>
      <c r="AG45" s="35">
        <v>0</v>
      </c>
      <c r="AH45" s="35">
        <v>0</v>
      </c>
      <c r="AI45" s="35">
        <v>0</v>
      </c>
      <c r="AJ45" s="35">
        <v>0</v>
      </c>
    </row>
    <row r="46" spans="2:36">
      <c r="B46">
        <v>45</v>
      </c>
      <c r="C46" t="s">
        <v>171</v>
      </c>
      <c r="D46" t="s">
        <v>172</v>
      </c>
      <c r="E46" t="s">
        <v>19</v>
      </c>
      <c r="F46" t="s">
        <v>613</v>
      </c>
      <c r="G46" t="s">
        <v>709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>
        <v>1</v>
      </c>
      <c r="AG46" s="35">
        <v>1</v>
      </c>
      <c r="AH46" s="35">
        <v>1</v>
      </c>
      <c r="AI46" s="35">
        <v>1</v>
      </c>
      <c r="AJ46" s="35">
        <v>1</v>
      </c>
    </row>
    <row r="47" spans="2:36">
      <c r="B47">
        <v>46</v>
      </c>
      <c r="C47" t="s">
        <v>174</v>
      </c>
      <c r="D47" t="s">
        <v>175</v>
      </c>
      <c r="E47" t="s">
        <v>19</v>
      </c>
      <c r="F47" t="s">
        <v>613</v>
      </c>
      <c r="G47" t="s">
        <v>709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>
        <v>1</v>
      </c>
      <c r="AG47" s="35">
        <v>1</v>
      </c>
      <c r="AH47" s="35">
        <v>1</v>
      </c>
      <c r="AI47" s="35">
        <v>1</v>
      </c>
      <c r="AJ47" s="35">
        <v>1</v>
      </c>
    </row>
    <row r="48" spans="2:36">
      <c r="B48">
        <v>47</v>
      </c>
      <c r="C48" t="s">
        <v>178</v>
      </c>
      <c r="D48" t="s">
        <v>179</v>
      </c>
      <c r="E48" t="s">
        <v>19</v>
      </c>
      <c r="F48" t="s">
        <v>613</v>
      </c>
      <c r="G48" t="s">
        <v>709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>
        <v>0</v>
      </c>
      <c r="AG48" s="35">
        <v>0</v>
      </c>
      <c r="AH48" s="35">
        <v>0</v>
      </c>
      <c r="AI48" s="35">
        <v>0</v>
      </c>
      <c r="AJ48" s="35">
        <v>0</v>
      </c>
    </row>
    <row r="49" spans="2:36">
      <c r="B49">
        <v>48</v>
      </c>
      <c r="C49" t="s">
        <v>181</v>
      </c>
      <c r="D49" t="s">
        <v>182</v>
      </c>
      <c r="E49" t="s">
        <v>19</v>
      </c>
      <c r="F49" t="s">
        <v>613</v>
      </c>
      <c r="G49" t="s">
        <v>709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>
        <v>0</v>
      </c>
      <c r="AG49" s="35">
        <v>0</v>
      </c>
      <c r="AH49" s="35">
        <v>0</v>
      </c>
      <c r="AI49" s="35">
        <v>0</v>
      </c>
      <c r="AJ49" s="35">
        <v>0</v>
      </c>
    </row>
    <row r="50" spans="2:36">
      <c r="B50">
        <v>49</v>
      </c>
      <c r="C50" t="s">
        <v>185</v>
      </c>
      <c r="D50" t="s">
        <v>186</v>
      </c>
      <c r="E50" t="s">
        <v>19</v>
      </c>
      <c r="F50" t="s">
        <v>613</v>
      </c>
      <c r="G50" t="s">
        <v>709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>
        <v>0</v>
      </c>
      <c r="AG50" s="35">
        <v>0</v>
      </c>
      <c r="AH50" s="35">
        <v>0</v>
      </c>
      <c r="AI50" s="35">
        <v>0</v>
      </c>
      <c r="AJ50" s="35">
        <v>0</v>
      </c>
    </row>
    <row r="51" spans="2:36">
      <c r="B51">
        <v>50</v>
      </c>
      <c r="C51" t="s">
        <v>188</v>
      </c>
      <c r="D51" t="s">
        <v>189</v>
      </c>
      <c r="E51" t="s">
        <v>19</v>
      </c>
      <c r="F51" t="s">
        <v>613</v>
      </c>
      <c r="G51" t="s">
        <v>709</v>
      </c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>
        <v>0</v>
      </c>
      <c r="AG51" s="35">
        <v>0</v>
      </c>
      <c r="AH51" s="35">
        <v>0</v>
      </c>
      <c r="AI51" s="35">
        <v>0</v>
      </c>
      <c r="AJ51" s="35">
        <v>0</v>
      </c>
    </row>
    <row r="52" spans="2:36">
      <c r="B52">
        <v>51</v>
      </c>
      <c r="C52" t="s">
        <v>192</v>
      </c>
      <c r="D52" t="s">
        <v>193</v>
      </c>
      <c r="E52" t="s">
        <v>19</v>
      </c>
      <c r="F52" t="s">
        <v>613</v>
      </c>
      <c r="G52" t="s">
        <v>709</v>
      </c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>
        <v>0.75</v>
      </c>
      <c r="AG52" s="35">
        <v>0.75</v>
      </c>
      <c r="AH52" s="35">
        <v>0.75</v>
      </c>
      <c r="AI52" s="35">
        <v>0.75</v>
      </c>
      <c r="AJ52" s="35">
        <v>0.75</v>
      </c>
    </row>
    <row r="53" spans="2:36">
      <c r="B53">
        <v>52</v>
      </c>
      <c r="C53" t="s">
        <v>194</v>
      </c>
      <c r="D53" t="s">
        <v>195</v>
      </c>
      <c r="E53" t="s">
        <v>19</v>
      </c>
      <c r="F53" t="s">
        <v>613</v>
      </c>
      <c r="G53" t="s">
        <v>709</v>
      </c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>
        <v>1</v>
      </c>
      <c r="AG53" s="35">
        <v>1</v>
      </c>
      <c r="AH53" s="35">
        <v>1</v>
      </c>
      <c r="AI53" s="35">
        <v>1</v>
      </c>
      <c r="AJ53" s="35">
        <v>1</v>
      </c>
    </row>
    <row r="54" spans="2:36">
      <c r="B54">
        <v>53</v>
      </c>
      <c r="C54" t="s">
        <v>197</v>
      </c>
      <c r="D54" t="s">
        <v>198</v>
      </c>
      <c r="E54" t="s">
        <v>19</v>
      </c>
      <c r="F54" t="s">
        <v>613</v>
      </c>
      <c r="G54" t="s">
        <v>709</v>
      </c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>
        <v>0</v>
      </c>
      <c r="AG54" s="35">
        <v>0</v>
      </c>
      <c r="AH54" s="35">
        <v>0</v>
      </c>
      <c r="AI54" s="35">
        <v>0</v>
      </c>
      <c r="AJ54" s="35">
        <v>0</v>
      </c>
    </row>
    <row r="55" spans="2:36">
      <c r="B55">
        <v>54</v>
      </c>
      <c r="C55" t="s">
        <v>200</v>
      </c>
      <c r="D55" t="s">
        <v>201</v>
      </c>
      <c r="E55" t="s">
        <v>19</v>
      </c>
      <c r="F55" t="s">
        <v>613</v>
      </c>
      <c r="G55" t="s">
        <v>709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>
        <v>0</v>
      </c>
      <c r="AG55" s="35">
        <v>0</v>
      </c>
      <c r="AH55" s="35">
        <v>0</v>
      </c>
      <c r="AI55" s="35">
        <v>0</v>
      </c>
      <c r="AJ55" s="35">
        <v>0</v>
      </c>
    </row>
    <row r="56" spans="2:36">
      <c r="B56">
        <v>55</v>
      </c>
      <c r="C56" t="s">
        <v>203</v>
      </c>
      <c r="D56" t="s">
        <v>204</v>
      </c>
      <c r="E56" t="s">
        <v>19</v>
      </c>
      <c r="F56" t="s">
        <v>613</v>
      </c>
      <c r="G56" t="s">
        <v>709</v>
      </c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>
        <v>0</v>
      </c>
      <c r="AG56" s="35">
        <v>0</v>
      </c>
      <c r="AH56" s="35">
        <v>0</v>
      </c>
      <c r="AI56" s="35">
        <v>0</v>
      </c>
      <c r="AJ56" s="35">
        <v>0</v>
      </c>
    </row>
    <row r="57" spans="2:36">
      <c r="B57">
        <v>56</v>
      </c>
      <c r="C57" t="s">
        <v>205</v>
      </c>
      <c r="D57" t="s">
        <v>206</v>
      </c>
      <c r="E57" t="s">
        <v>19</v>
      </c>
      <c r="F57" t="s">
        <v>613</v>
      </c>
      <c r="G57" t="s">
        <v>709</v>
      </c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>
        <v>0</v>
      </c>
      <c r="AG57" s="35">
        <v>0</v>
      </c>
      <c r="AH57" s="35">
        <v>0</v>
      </c>
      <c r="AI57" s="35">
        <v>0</v>
      </c>
      <c r="AJ57" s="35">
        <v>0</v>
      </c>
    </row>
    <row r="58" spans="2:36">
      <c r="B58">
        <v>57</v>
      </c>
      <c r="C58" t="s">
        <v>209</v>
      </c>
      <c r="D58" t="s">
        <v>210</v>
      </c>
      <c r="E58" t="s">
        <v>19</v>
      </c>
      <c r="F58" t="s">
        <v>613</v>
      </c>
      <c r="G58" t="s">
        <v>709</v>
      </c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>
        <v>0</v>
      </c>
      <c r="AG58" s="35">
        <v>0</v>
      </c>
      <c r="AH58" s="35">
        <v>0</v>
      </c>
      <c r="AI58" s="35">
        <v>0</v>
      </c>
      <c r="AJ58" s="35">
        <v>0</v>
      </c>
    </row>
    <row r="59" spans="2:36">
      <c r="B59">
        <v>58</v>
      </c>
      <c r="C59" t="s">
        <v>213</v>
      </c>
      <c r="D59" t="s">
        <v>214</v>
      </c>
      <c r="E59" t="s">
        <v>19</v>
      </c>
      <c r="F59" t="s">
        <v>613</v>
      </c>
      <c r="G59" t="s">
        <v>709</v>
      </c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>
        <v>1</v>
      </c>
      <c r="AG59" s="35">
        <v>1</v>
      </c>
      <c r="AH59" s="35">
        <v>1</v>
      </c>
      <c r="AI59" s="35">
        <v>1</v>
      </c>
      <c r="AJ59" s="35">
        <v>1</v>
      </c>
    </row>
    <row r="60" spans="2:36">
      <c r="B60">
        <v>59</v>
      </c>
      <c r="C60" t="s">
        <v>217</v>
      </c>
      <c r="D60" t="s">
        <v>218</v>
      </c>
      <c r="E60" t="s">
        <v>19</v>
      </c>
      <c r="F60" t="s">
        <v>613</v>
      </c>
      <c r="G60" t="s">
        <v>709</v>
      </c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>
        <v>1</v>
      </c>
      <c r="AG60" s="35">
        <v>1</v>
      </c>
      <c r="AH60" s="35">
        <v>1</v>
      </c>
      <c r="AI60" s="35">
        <v>1</v>
      </c>
      <c r="AJ60" s="35">
        <v>1</v>
      </c>
    </row>
    <row r="61" spans="2:36">
      <c r="B61">
        <v>60</v>
      </c>
      <c r="C61" t="s">
        <v>220</v>
      </c>
      <c r="D61" t="s">
        <v>221</v>
      </c>
      <c r="E61" t="s">
        <v>19</v>
      </c>
      <c r="F61" t="s">
        <v>615</v>
      </c>
      <c r="G61" t="s">
        <v>709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>
        <v>1</v>
      </c>
      <c r="AG61" s="35">
        <v>1</v>
      </c>
      <c r="AH61" s="35">
        <v>1</v>
      </c>
      <c r="AI61" s="35">
        <v>1</v>
      </c>
      <c r="AJ61" s="35">
        <v>1</v>
      </c>
    </row>
    <row r="62" spans="2:36">
      <c r="B62">
        <v>61</v>
      </c>
      <c r="C62" t="s">
        <v>224</v>
      </c>
      <c r="D62" t="s">
        <v>225</v>
      </c>
      <c r="E62" t="s">
        <v>19</v>
      </c>
      <c r="F62" t="s">
        <v>613</v>
      </c>
      <c r="G62" t="s">
        <v>709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>
        <v>0</v>
      </c>
      <c r="AG62" s="35">
        <v>0</v>
      </c>
      <c r="AH62" s="35">
        <v>0</v>
      </c>
      <c r="AI62" s="35">
        <v>0</v>
      </c>
      <c r="AJ62" s="35">
        <v>0</v>
      </c>
    </row>
    <row r="63" spans="2:36">
      <c r="B63">
        <v>62</v>
      </c>
      <c r="C63" t="s">
        <v>227</v>
      </c>
      <c r="D63" t="s">
        <v>228</v>
      </c>
      <c r="E63" t="s">
        <v>19</v>
      </c>
      <c r="F63" t="s">
        <v>613</v>
      </c>
      <c r="G63" t="s">
        <v>709</v>
      </c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>
        <v>0</v>
      </c>
      <c r="AG63" s="35">
        <v>0</v>
      </c>
      <c r="AH63" s="35">
        <v>0</v>
      </c>
      <c r="AI63" s="35">
        <v>0</v>
      </c>
      <c r="AJ63" s="35">
        <v>0</v>
      </c>
    </row>
    <row r="64" spans="2:36">
      <c r="B64">
        <v>63</v>
      </c>
      <c r="C64" t="s">
        <v>230</v>
      </c>
      <c r="D64" t="s">
        <v>231</v>
      </c>
      <c r="E64" t="s">
        <v>19</v>
      </c>
      <c r="F64" t="s">
        <v>613</v>
      </c>
      <c r="G64" t="s">
        <v>709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>
        <v>1</v>
      </c>
      <c r="AG64" s="35">
        <v>1</v>
      </c>
      <c r="AH64" s="35">
        <v>1</v>
      </c>
      <c r="AI64" s="35">
        <v>1</v>
      </c>
      <c r="AJ64" s="35">
        <v>1</v>
      </c>
    </row>
    <row r="65" spans="2:36">
      <c r="B65">
        <v>64</v>
      </c>
      <c r="C65" t="s">
        <v>232</v>
      </c>
      <c r="D65" t="s">
        <v>233</v>
      </c>
      <c r="E65" t="s">
        <v>19</v>
      </c>
      <c r="F65" t="s">
        <v>613</v>
      </c>
      <c r="G65" t="s">
        <v>709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>
        <v>1</v>
      </c>
      <c r="AG65" s="35">
        <v>1</v>
      </c>
      <c r="AH65" s="35">
        <v>1</v>
      </c>
      <c r="AI65" s="35">
        <v>1</v>
      </c>
      <c r="AJ65" s="35">
        <v>1</v>
      </c>
    </row>
    <row r="66" spans="2:36">
      <c r="B66">
        <v>65</v>
      </c>
      <c r="C66" t="s">
        <v>235</v>
      </c>
      <c r="D66" t="s">
        <v>236</v>
      </c>
      <c r="E66" t="s">
        <v>19</v>
      </c>
      <c r="F66" t="s">
        <v>613</v>
      </c>
      <c r="G66" t="s">
        <v>709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>
        <v>0.7</v>
      </c>
      <c r="AG66" s="35">
        <v>0.7</v>
      </c>
      <c r="AH66" s="35">
        <v>0.7</v>
      </c>
      <c r="AI66" s="35">
        <v>0.7</v>
      </c>
      <c r="AJ66" s="35">
        <v>0.7</v>
      </c>
    </row>
    <row r="67" spans="2:36">
      <c r="B67">
        <v>66</v>
      </c>
      <c r="C67" t="s">
        <v>239</v>
      </c>
      <c r="D67" t="s">
        <v>240</v>
      </c>
      <c r="E67" t="s">
        <v>19</v>
      </c>
      <c r="F67" t="s">
        <v>613</v>
      </c>
      <c r="G67" t="s">
        <v>709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>
        <v>0.7</v>
      </c>
      <c r="AG67" s="35">
        <v>0.7</v>
      </c>
      <c r="AH67" s="35">
        <v>0.7</v>
      </c>
      <c r="AI67" s="35">
        <v>0.7</v>
      </c>
      <c r="AJ67" s="35">
        <v>0.7</v>
      </c>
    </row>
    <row r="68" spans="2:36">
      <c r="B68">
        <v>67</v>
      </c>
      <c r="C68" t="s">
        <v>242</v>
      </c>
      <c r="D68" t="s">
        <v>243</v>
      </c>
      <c r="E68" t="s">
        <v>19</v>
      </c>
      <c r="F68" t="s">
        <v>613</v>
      </c>
      <c r="G68" t="s">
        <v>709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>
        <v>0</v>
      </c>
      <c r="AG68" s="35">
        <v>0</v>
      </c>
      <c r="AH68" s="35">
        <v>0</v>
      </c>
      <c r="AI68" s="35">
        <v>0</v>
      </c>
      <c r="AJ68" s="35">
        <v>0</v>
      </c>
    </row>
    <row r="69" spans="2:36">
      <c r="B69">
        <v>68</v>
      </c>
      <c r="C69" t="s">
        <v>247</v>
      </c>
      <c r="D69" t="s">
        <v>248</v>
      </c>
      <c r="E69" t="s">
        <v>19</v>
      </c>
      <c r="F69" t="s">
        <v>613</v>
      </c>
      <c r="G69" t="s">
        <v>709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>
        <v>0</v>
      </c>
      <c r="AG69" s="35">
        <v>0</v>
      </c>
      <c r="AH69" s="35">
        <v>0</v>
      </c>
      <c r="AI69" s="35">
        <v>0</v>
      </c>
      <c r="AJ69" s="35">
        <v>0</v>
      </c>
    </row>
    <row r="70" spans="2:36">
      <c r="B70">
        <v>69</v>
      </c>
      <c r="C70" t="s">
        <v>250</v>
      </c>
      <c r="D70" t="s">
        <v>251</v>
      </c>
      <c r="E70" t="s">
        <v>19</v>
      </c>
      <c r="F70" t="s">
        <v>613</v>
      </c>
      <c r="G70" t="s">
        <v>709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>
        <v>1</v>
      </c>
      <c r="AG70" s="35">
        <v>1</v>
      </c>
      <c r="AH70" s="35">
        <v>1</v>
      </c>
      <c r="AI70" s="35">
        <v>1</v>
      </c>
      <c r="AJ70" s="35">
        <v>1</v>
      </c>
    </row>
    <row r="71" spans="2:36">
      <c r="B71">
        <v>70</v>
      </c>
      <c r="C71" t="s">
        <v>253</v>
      </c>
      <c r="D71" t="s">
        <v>254</v>
      </c>
      <c r="E71" t="s">
        <v>19</v>
      </c>
      <c r="F71" t="s">
        <v>613</v>
      </c>
      <c r="G71" t="s">
        <v>709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>
        <v>1</v>
      </c>
      <c r="AG71" s="35">
        <v>1</v>
      </c>
      <c r="AH71" s="35">
        <v>1</v>
      </c>
      <c r="AI71" s="35">
        <v>1</v>
      </c>
      <c r="AJ71" s="35">
        <v>1</v>
      </c>
    </row>
    <row r="72" spans="2:36">
      <c r="B72">
        <v>71</v>
      </c>
      <c r="C72" t="s">
        <v>256</v>
      </c>
      <c r="D72" t="s">
        <v>257</v>
      </c>
      <c r="E72" t="s">
        <v>19</v>
      </c>
      <c r="F72" t="s">
        <v>613</v>
      </c>
      <c r="G72" t="s">
        <v>709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>
        <v>1</v>
      </c>
      <c r="AG72" s="35">
        <v>1</v>
      </c>
      <c r="AH72" s="35">
        <v>1</v>
      </c>
      <c r="AI72" s="35">
        <v>1</v>
      </c>
      <c r="AJ72" s="35">
        <v>1</v>
      </c>
    </row>
    <row r="73" spans="2:36">
      <c r="B73">
        <v>72</v>
      </c>
      <c r="C73" t="s">
        <v>258</v>
      </c>
      <c r="D73" t="s">
        <v>259</v>
      </c>
      <c r="E73" t="s">
        <v>19</v>
      </c>
      <c r="F73" t="s">
        <v>613</v>
      </c>
      <c r="G73" t="s">
        <v>709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>
        <v>1</v>
      </c>
      <c r="AG73" s="35">
        <v>1</v>
      </c>
      <c r="AH73" s="35">
        <v>1</v>
      </c>
      <c r="AI73" s="35">
        <v>1</v>
      </c>
      <c r="AJ73" s="35">
        <v>1</v>
      </c>
    </row>
    <row r="74" spans="2:36">
      <c r="B74">
        <v>73</v>
      </c>
      <c r="C74" t="s">
        <v>261</v>
      </c>
      <c r="D74" t="s">
        <v>262</v>
      </c>
      <c r="E74" t="s">
        <v>19</v>
      </c>
      <c r="F74" t="s">
        <v>613</v>
      </c>
      <c r="G74" t="s">
        <v>709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>
        <v>0</v>
      </c>
      <c r="AG74" s="35">
        <v>0</v>
      </c>
      <c r="AH74" s="35">
        <v>0</v>
      </c>
      <c r="AI74" s="35">
        <v>0</v>
      </c>
      <c r="AJ74" s="35">
        <v>0</v>
      </c>
    </row>
    <row r="75" spans="2:36">
      <c r="B75">
        <v>74</v>
      </c>
      <c r="C75" t="s">
        <v>265</v>
      </c>
      <c r="D75" t="s">
        <v>266</v>
      </c>
      <c r="E75" t="s">
        <v>19</v>
      </c>
      <c r="F75" t="s">
        <v>613</v>
      </c>
      <c r="G75" t="s">
        <v>709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>
        <v>0</v>
      </c>
      <c r="AG75" s="35">
        <v>0</v>
      </c>
      <c r="AH75" s="35">
        <v>0</v>
      </c>
      <c r="AI75" s="35">
        <v>0</v>
      </c>
      <c r="AJ75" s="35">
        <v>0</v>
      </c>
    </row>
    <row r="76" spans="2:36">
      <c r="B76">
        <v>75</v>
      </c>
      <c r="C76" t="s">
        <v>269</v>
      </c>
      <c r="D76" t="s">
        <v>270</v>
      </c>
      <c r="E76" t="s">
        <v>19</v>
      </c>
      <c r="F76" t="s">
        <v>613</v>
      </c>
      <c r="G76" t="s">
        <v>709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>
        <v>0</v>
      </c>
      <c r="AG76" s="35">
        <v>0</v>
      </c>
      <c r="AH76" s="35">
        <v>0</v>
      </c>
      <c r="AI76" s="35">
        <v>0</v>
      </c>
      <c r="AJ76" s="35">
        <v>0</v>
      </c>
    </row>
    <row r="77" spans="2:36">
      <c r="B77">
        <v>76</v>
      </c>
      <c r="C77" t="s">
        <v>273</v>
      </c>
      <c r="D77" t="s">
        <v>274</v>
      </c>
      <c r="E77" t="s">
        <v>19</v>
      </c>
      <c r="F77" t="s">
        <v>613</v>
      </c>
      <c r="G77" t="s">
        <v>709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>
        <v>0</v>
      </c>
      <c r="AG77" s="35">
        <v>0</v>
      </c>
      <c r="AH77" s="35">
        <v>0</v>
      </c>
      <c r="AI77" s="35">
        <v>0</v>
      </c>
      <c r="AJ77" s="35">
        <v>0</v>
      </c>
    </row>
    <row r="78" spans="2:36">
      <c r="B78">
        <v>77</v>
      </c>
      <c r="C78" t="s">
        <v>276</v>
      </c>
      <c r="D78" t="s">
        <v>277</v>
      </c>
      <c r="E78" t="s">
        <v>19</v>
      </c>
      <c r="F78" t="s">
        <v>613</v>
      </c>
      <c r="G78" t="s">
        <v>709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>
        <v>0.5</v>
      </c>
      <c r="AG78" s="35">
        <v>0.5</v>
      </c>
      <c r="AH78" s="35">
        <v>0.5</v>
      </c>
      <c r="AI78" s="35">
        <v>0.5</v>
      </c>
      <c r="AJ78" s="35">
        <v>0.5</v>
      </c>
    </row>
    <row r="79" spans="2:36">
      <c r="B79">
        <v>78</v>
      </c>
      <c r="C79" t="s">
        <v>278</v>
      </c>
      <c r="D79" t="s">
        <v>279</v>
      </c>
      <c r="E79" t="s">
        <v>19</v>
      </c>
      <c r="F79" t="s">
        <v>615</v>
      </c>
      <c r="G79" t="s">
        <v>709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>
        <v>0</v>
      </c>
      <c r="AG79" s="35">
        <v>0</v>
      </c>
      <c r="AH79" s="35">
        <v>0</v>
      </c>
      <c r="AI79" s="35">
        <v>0</v>
      </c>
      <c r="AJ79" s="35">
        <v>0</v>
      </c>
    </row>
    <row r="80" spans="2:36">
      <c r="B80">
        <v>79</v>
      </c>
      <c r="C80" t="s">
        <v>280</v>
      </c>
      <c r="D80" t="s">
        <v>281</v>
      </c>
      <c r="E80" t="s">
        <v>19</v>
      </c>
      <c r="F80" t="s">
        <v>613</v>
      </c>
      <c r="G80" t="s">
        <v>709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>
        <v>0</v>
      </c>
      <c r="AG80" s="35">
        <v>0</v>
      </c>
      <c r="AH80" s="35">
        <v>0</v>
      </c>
      <c r="AI80" s="35">
        <v>0</v>
      </c>
      <c r="AJ80" s="35">
        <v>0</v>
      </c>
    </row>
    <row r="81" spans="2:36">
      <c r="B81">
        <v>80</v>
      </c>
      <c r="C81" t="s">
        <v>282</v>
      </c>
      <c r="D81" t="s">
        <v>283</v>
      </c>
      <c r="E81" t="s">
        <v>19</v>
      </c>
      <c r="F81" t="s">
        <v>613</v>
      </c>
      <c r="G81" t="s">
        <v>709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>
        <v>0</v>
      </c>
      <c r="AG81" s="35">
        <v>0</v>
      </c>
      <c r="AH81" s="35">
        <v>0</v>
      </c>
      <c r="AI81" s="35">
        <v>0</v>
      </c>
      <c r="AJ81" s="35">
        <v>0</v>
      </c>
    </row>
    <row r="82" spans="2:36">
      <c r="B82">
        <v>81</v>
      </c>
      <c r="C82" t="s">
        <v>285</v>
      </c>
      <c r="D82" t="s">
        <v>286</v>
      </c>
      <c r="E82" t="s">
        <v>19</v>
      </c>
      <c r="F82" t="s">
        <v>613</v>
      </c>
      <c r="G82" t="s">
        <v>709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>
        <v>0</v>
      </c>
      <c r="AG82" s="35">
        <v>0</v>
      </c>
      <c r="AH82" s="35">
        <v>0</v>
      </c>
      <c r="AI82" s="35">
        <v>0</v>
      </c>
      <c r="AJ82" s="35">
        <v>0</v>
      </c>
    </row>
    <row r="83" spans="2:36">
      <c r="B83">
        <v>82</v>
      </c>
      <c r="C83" t="s">
        <v>287</v>
      </c>
      <c r="D83" t="s">
        <v>288</v>
      </c>
      <c r="E83" t="s">
        <v>19</v>
      </c>
      <c r="F83" t="s">
        <v>613</v>
      </c>
      <c r="G83" t="s">
        <v>709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>
        <v>0</v>
      </c>
      <c r="AG83" s="35">
        <v>0</v>
      </c>
      <c r="AH83" s="35">
        <v>0</v>
      </c>
      <c r="AI83" s="35">
        <v>0</v>
      </c>
      <c r="AJ83" s="35">
        <v>0</v>
      </c>
    </row>
    <row r="84" spans="2:36">
      <c r="B84">
        <v>83</v>
      </c>
      <c r="C84" t="s">
        <v>290</v>
      </c>
      <c r="D84" t="s">
        <v>291</v>
      </c>
      <c r="E84" t="s">
        <v>19</v>
      </c>
      <c r="F84" t="s">
        <v>613</v>
      </c>
      <c r="G84" t="s">
        <v>709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>
        <v>0</v>
      </c>
      <c r="AG84" s="35">
        <v>0</v>
      </c>
      <c r="AH84" s="35">
        <v>0</v>
      </c>
      <c r="AI84" s="35">
        <v>0</v>
      </c>
      <c r="AJ84" s="35">
        <v>0</v>
      </c>
    </row>
    <row r="85" spans="2:36">
      <c r="B85">
        <v>84</v>
      </c>
      <c r="C85" t="s">
        <v>292</v>
      </c>
      <c r="D85" t="s">
        <v>293</v>
      </c>
      <c r="E85" t="s">
        <v>19</v>
      </c>
      <c r="F85" t="s">
        <v>613</v>
      </c>
      <c r="G85" t="s">
        <v>709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>
        <v>0</v>
      </c>
      <c r="AG85" s="35">
        <v>0</v>
      </c>
      <c r="AH85" s="35">
        <v>0</v>
      </c>
      <c r="AI85" s="35">
        <v>0</v>
      </c>
      <c r="AJ85" s="35">
        <v>0</v>
      </c>
    </row>
    <row r="86" spans="2:36">
      <c r="B86">
        <v>85</v>
      </c>
      <c r="C86" t="s">
        <v>295</v>
      </c>
      <c r="D86" t="s">
        <v>296</v>
      </c>
      <c r="E86" t="s">
        <v>19</v>
      </c>
      <c r="F86" t="s">
        <v>613</v>
      </c>
      <c r="G86" t="s">
        <v>709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>
        <v>0</v>
      </c>
      <c r="AG86" s="35">
        <v>0</v>
      </c>
      <c r="AH86" s="35">
        <v>0</v>
      </c>
      <c r="AI86" s="35">
        <v>0</v>
      </c>
      <c r="AJ86" s="35">
        <v>0</v>
      </c>
    </row>
    <row r="87" spans="2:36">
      <c r="B87">
        <v>86</v>
      </c>
      <c r="C87" t="s">
        <v>298</v>
      </c>
      <c r="D87" t="s">
        <v>299</v>
      </c>
      <c r="E87" t="s">
        <v>19</v>
      </c>
      <c r="F87" t="s">
        <v>613</v>
      </c>
      <c r="G87" t="s">
        <v>709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>
        <v>1</v>
      </c>
      <c r="AG87" s="35">
        <v>1</v>
      </c>
      <c r="AH87" s="35">
        <v>1</v>
      </c>
      <c r="AI87" s="35">
        <v>1</v>
      </c>
      <c r="AJ87" s="35">
        <v>1</v>
      </c>
    </row>
    <row r="88" spans="2:36">
      <c r="B88">
        <v>87</v>
      </c>
      <c r="C88" t="s">
        <v>302</v>
      </c>
      <c r="D88" t="s">
        <v>303</v>
      </c>
      <c r="E88" t="s">
        <v>19</v>
      </c>
      <c r="F88" t="s">
        <v>613</v>
      </c>
      <c r="G88" t="s">
        <v>709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>
        <v>1</v>
      </c>
      <c r="AG88" s="35">
        <v>1</v>
      </c>
      <c r="AH88" s="35">
        <v>1</v>
      </c>
      <c r="AI88" s="35">
        <v>1</v>
      </c>
      <c r="AJ88" s="35">
        <v>1</v>
      </c>
    </row>
    <row r="89" spans="2:36">
      <c r="B89">
        <v>88</v>
      </c>
      <c r="C89" t="s">
        <v>305</v>
      </c>
      <c r="D89" t="s">
        <v>306</v>
      </c>
      <c r="E89" t="s">
        <v>19</v>
      </c>
      <c r="F89" t="s">
        <v>613</v>
      </c>
      <c r="G89" t="s">
        <v>709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>
        <v>1</v>
      </c>
      <c r="AG89" s="35">
        <v>1</v>
      </c>
      <c r="AH89" s="35">
        <v>1</v>
      </c>
      <c r="AI89" s="35">
        <v>1</v>
      </c>
      <c r="AJ89" s="35">
        <v>1</v>
      </c>
    </row>
    <row r="90" spans="2:36">
      <c r="B90">
        <v>89</v>
      </c>
      <c r="C90" t="s">
        <v>308</v>
      </c>
      <c r="D90" t="s">
        <v>309</v>
      </c>
      <c r="E90" t="s">
        <v>19</v>
      </c>
      <c r="F90" t="s">
        <v>613</v>
      </c>
      <c r="G90" t="s">
        <v>709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>
        <v>1</v>
      </c>
      <c r="AG90" s="35">
        <v>1</v>
      </c>
      <c r="AH90" s="35">
        <v>1</v>
      </c>
      <c r="AI90" s="35">
        <v>1</v>
      </c>
      <c r="AJ90" s="35">
        <v>1</v>
      </c>
    </row>
    <row r="91" spans="2:36">
      <c r="B91">
        <v>90</v>
      </c>
      <c r="C91" t="s">
        <v>311</v>
      </c>
      <c r="D91" t="s">
        <v>312</v>
      </c>
      <c r="E91" t="s">
        <v>19</v>
      </c>
      <c r="F91" t="s">
        <v>613</v>
      </c>
      <c r="G91" t="s">
        <v>709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>
        <v>1</v>
      </c>
      <c r="AG91" s="35">
        <v>1</v>
      </c>
      <c r="AH91" s="35">
        <v>1</v>
      </c>
      <c r="AI91" s="35">
        <v>1</v>
      </c>
      <c r="AJ91" s="35">
        <v>1</v>
      </c>
    </row>
    <row r="92" spans="2:36">
      <c r="B92">
        <v>91</v>
      </c>
      <c r="C92" t="s">
        <v>314</v>
      </c>
      <c r="D92" t="s">
        <v>315</v>
      </c>
      <c r="E92" t="s">
        <v>19</v>
      </c>
      <c r="F92" t="s">
        <v>613</v>
      </c>
      <c r="G92" t="s">
        <v>709</v>
      </c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>
        <v>1</v>
      </c>
      <c r="AG92" s="35">
        <v>1</v>
      </c>
      <c r="AH92" s="35">
        <v>1</v>
      </c>
      <c r="AI92" s="35">
        <v>1</v>
      </c>
      <c r="AJ92" s="35">
        <v>1</v>
      </c>
    </row>
    <row r="93" spans="2:36">
      <c r="B93">
        <v>92</v>
      </c>
      <c r="C93" t="s">
        <v>317</v>
      </c>
      <c r="D93" t="s">
        <v>318</v>
      </c>
      <c r="E93" t="s">
        <v>19</v>
      </c>
      <c r="F93" t="s">
        <v>613</v>
      </c>
      <c r="G93" t="s">
        <v>709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>
        <v>1</v>
      </c>
      <c r="AG93" s="35">
        <v>1</v>
      </c>
      <c r="AH93" s="35">
        <v>1</v>
      </c>
      <c r="AI93" s="35">
        <v>1</v>
      </c>
      <c r="AJ93" s="35">
        <v>1</v>
      </c>
    </row>
    <row r="94" spans="2:36">
      <c r="B94">
        <v>93</v>
      </c>
      <c r="C94" t="s">
        <v>320</v>
      </c>
      <c r="D94" t="s">
        <v>321</v>
      </c>
      <c r="E94" t="s">
        <v>19</v>
      </c>
      <c r="F94" t="s">
        <v>613</v>
      </c>
      <c r="G94" t="s">
        <v>709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>
        <v>1</v>
      </c>
      <c r="AG94" s="35">
        <v>1</v>
      </c>
      <c r="AH94" s="35">
        <v>1</v>
      </c>
      <c r="AI94" s="35">
        <v>1</v>
      </c>
      <c r="AJ94" s="35">
        <v>1</v>
      </c>
    </row>
    <row r="95" spans="2:36">
      <c r="B95">
        <v>94</v>
      </c>
      <c r="C95" t="s">
        <v>323</v>
      </c>
      <c r="D95" t="s">
        <v>324</v>
      </c>
      <c r="E95" t="s">
        <v>19</v>
      </c>
      <c r="F95" t="s">
        <v>613</v>
      </c>
      <c r="G95" t="s">
        <v>709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>
        <v>1</v>
      </c>
      <c r="AG95" s="35">
        <v>1</v>
      </c>
      <c r="AH95" s="35">
        <v>1</v>
      </c>
      <c r="AI95" s="35">
        <v>1</v>
      </c>
      <c r="AJ95" s="35">
        <v>1</v>
      </c>
    </row>
    <row r="96" spans="2:36">
      <c r="B96">
        <v>95</v>
      </c>
      <c r="C96" t="s">
        <v>326</v>
      </c>
      <c r="D96" t="s">
        <v>327</v>
      </c>
      <c r="E96" t="s">
        <v>19</v>
      </c>
      <c r="F96" t="s">
        <v>613</v>
      </c>
      <c r="G96" t="s">
        <v>709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>
        <v>1</v>
      </c>
      <c r="AG96" s="35">
        <v>1</v>
      </c>
      <c r="AH96" s="35">
        <v>1</v>
      </c>
      <c r="AI96" s="35">
        <v>1</v>
      </c>
      <c r="AJ96" s="35">
        <v>1</v>
      </c>
    </row>
    <row r="97" spans="2:36">
      <c r="B97">
        <v>96</v>
      </c>
      <c r="C97" t="s">
        <v>329</v>
      </c>
      <c r="D97" t="s">
        <v>330</v>
      </c>
      <c r="E97" t="s">
        <v>19</v>
      </c>
      <c r="F97" t="s">
        <v>613</v>
      </c>
      <c r="G97" t="s">
        <v>709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>
        <v>1</v>
      </c>
      <c r="AG97" s="35">
        <v>1</v>
      </c>
      <c r="AH97" s="35">
        <v>1</v>
      </c>
      <c r="AI97" s="35">
        <v>1</v>
      </c>
      <c r="AJ97" s="35">
        <v>1</v>
      </c>
    </row>
    <row r="98" spans="2:36">
      <c r="B98">
        <v>97</v>
      </c>
      <c r="C98" t="s">
        <v>332</v>
      </c>
      <c r="D98" t="s">
        <v>333</v>
      </c>
      <c r="E98" t="s">
        <v>19</v>
      </c>
      <c r="F98" t="s">
        <v>613</v>
      </c>
      <c r="G98" t="s">
        <v>709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>
        <v>0</v>
      </c>
      <c r="AG98" s="35">
        <v>0</v>
      </c>
      <c r="AH98" s="35">
        <v>0</v>
      </c>
      <c r="AI98" s="35">
        <v>0</v>
      </c>
      <c r="AJ98" s="35">
        <v>0</v>
      </c>
    </row>
    <row r="99" spans="2:36">
      <c r="B99">
        <v>98</v>
      </c>
      <c r="C99" t="s">
        <v>336</v>
      </c>
      <c r="D99" t="s">
        <v>337</v>
      </c>
      <c r="E99" t="s">
        <v>19</v>
      </c>
      <c r="F99" t="s">
        <v>613</v>
      </c>
      <c r="G99" t="s">
        <v>709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>
        <v>1</v>
      </c>
      <c r="AG99" s="35">
        <v>1</v>
      </c>
      <c r="AH99" s="35">
        <v>1</v>
      </c>
      <c r="AI99" s="35">
        <v>1</v>
      </c>
      <c r="AJ99" s="35">
        <v>1</v>
      </c>
    </row>
    <row r="100" spans="2:36">
      <c r="B100">
        <v>99</v>
      </c>
      <c r="C100" t="s">
        <v>338</v>
      </c>
      <c r="D100" t="s">
        <v>339</v>
      </c>
      <c r="E100" t="s">
        <v>19</v>
      </c>
      <c r="F100" t="s">
        <v>613</v>
      </c>
      <c r="G100" t="s">
        <v>709</v>
      </c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>
        <v>1</v>
      </c>
      <c r="AG100" s="35">
        <v>1</v>
      </c>
      <c r="AH100" s="35">
        <v>1</v>
      </c>
      <c r="AI100" s="35">
        <v>1</v>
      </c>
      <c r="AJ100" s="35">
        <v>1</v>
      </c>
    </row>
    <row r="101" spans="2:36">
      <c r="B101">
        <v>100</v>
      </c>
      <c r="C101" t="s">
        <v>340</v>
      </c>
      <c r="D101" t="s">
        <v>341</v>
      </c>
      <c r="E101" t="s">
        <v>19</v>
      </c>
      <c r="F101" t="s">
        <v>613</v>
      </c>
      <c r="G101" t="s">
        <v>709</v>
      </c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>
        <v>1</v>
      </c>
      <c r="AG101" s="35">
        <v>1</v>
      </c>
      <c r="AH101" s="35">
        <v>1</v>
      </c>
      <c r="AI101" s="35">
        <v>1</v>
      </c>
      <c r="AJ101" s="35">
        <v>1</v>
      </c>
    </row>
    <row r="102" spans="2:36">
      <c r="B102">
        <v>101</v>
      </c>
      <c r="C102" t="s">
        <v>343</v>
      </c>
      <c r="D102" t="s">
        <v>344</v>
      </c>
      <c r="E102" t="s">
        <v>19</v>
      </c>
      <c r="F102" t="s">
        <v>613</v>
      </c>
      <c r="G102" t="s">
        <v>709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>
        <v>1</v>
      </c>
      <c r="AG102" s="35">
        <v>1</v>
      </c>
      <c r="AH102" s="35">
        <v>1</v>
      </c>
      <c r="AI102" s="35">
        <v>1</v>
      </c>
      <c r="AJ102" s="35">
        <v>1</v>
      </c>
    </row>
    <row r="103" spans="2:36">
      <c r="B103">
        <v>102</v>
      </c>
      <c r="C103" t="s">
        <v>345</v>
      </c>
      <c r="D103" t="s">
        <v>346</v>
      </c>
      <c r="E103" t="s">
        <v>19</v>
      </c>
      <c r="F103" t="s">
        <v>613</v>
      </c>
      <c r="G103" t="s">
        <v>709</v>
      </c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>
        <v>0</v>
      </c>
      <c r="AG103" s="35">
        <v>0</v>
      </c>
      <c r="AH103" s="35">
        <v>0</v>
      </c>
      <c r="AI103" s="35">
        <v>0</v>
      </c>
      <c r="AJ103" s="35">
        <v>0</v>
      </c>
    </row>
    <row r="104" spans="2:36">
      <c r="B104">
        <v>103</v>
      </c>
      <c r="C104" t="s">
        <v>349</v>
      </c>
      <c r="D104" t="s">
        <v>350</v>
      </c>
      <c r="E104" t="s">
        <v>19</v>
      </c>
      <c r="F104" t="s">
        <v>613</v>
      </c>
      <c r="G104" t="s">
        <v>709</v>
      </c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>
        <v>1</v>
      </c>
      <c r="AG104" s="35">
        <v>1</v>
      </c>
      <c r="AH104" s="35">
        <v>1</v>
      </c>
      <c r="AI104" s="35">
        <v>1</v>
      </c>
      <c r="AJ104" s="35">
        <v>1</v>
      </c>
    </row>
    <row r="105" spans="2:36">
      <c r="B105">
        <v>104</v>
      </c>
      <c r="C105" t="s">
        <v>352</v>
      </c>
      <c r="D105" t="s">
        <v>353</v>
      </c>
      <c r="E105" t="s">
        <v>19</v>
      </c>
      <c r="F105" t="s">
        <v>613</v>
      </c>
      <c r="G105" t="s">
        <v>709</v>
      </c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>
        <v>0.8</v>
      </c>
      <c r="AG105" s="35">
        <v>0.8</v>
      </c>
      <c r="AH105" s="35">
        <v>0.8</v>
      </c>
      <c r="AI105" s="35">
        <v>0.8</v>
      </c>
      <c r="AJ105" s="35">
        <v>0.8</v>
      </c>
    </row>
    <row r="106" spans="2:36">
      <c r="B106">
        <v>105</v>
      </c>
      <c r="C106" t="s">
        <v>356</v>
      </c>
      <c r="D106" t="s">
        <v>357</v>
      </c>
      <c r="E106" t="s">
        <v>19</v>
      </c>
      <c r="F106" t="s">
        <v>613</v>
      </c>
      <c r="G106" t="s">
        <v>709</v>
      </c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>
        <v>0.4</v>
      </c>
      <c r="AG106" s="35">
        <v>0</v>
      </c>
      <c r="AH106" s="35">
        <v>0</v>
      </c>
      <c r="AI106" s="35">
        <v>0</v>
      </c>
      <c r="AJ106" s="35">
        <v>0</v>
      </c>
    </row>
    <row r="107" spans="2:36">
      <c r="B107">
        <v>106</v>
      </c>
      <c r="C107" t="s">
        <v>359</v>
      </c>
      <c r="D107" t="s">
        <v>360</v>
      </c>
      <c r="E107" t="s">
        <v>19</v>
      </c>
      <c r="F107" t="s">
        <v>613</v>
      </c>
      <c r="G107" t="s">
        <v>709</v>
      </c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>
        <v>0</v>
      </c>
      <c r="AG107" s="35">
        <v>0</v>
      </c>
      <c r="AH107" s="35">
        <v>0</v>
      </c>
      <c r="AI107" s="35">
        <v>0</v>
      </c>
      <c r="AJ107" s="35">
        <v>0</v>
      </c>
    </row>
    <row r="108" spans="2:36">
      <c r="B108">
        <v>107</v>
      </c>
      <c r="C108" t="s">
        <v>362</v>
      </c>
      <c r="D108" t="s">
        <v>363</v>
      </c>
      <c r="E108" t="s">
        <v>19</v>
      </c>
      <c r="F108" t="s">
        <v>613</v>
      </c>
      <c r="G108" t="s">
        <v>709</v>
      </c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>
        <v>0</v>
      </c>
      <c r="AG108" s="35">
        <v>0</v>
      </c>
      <c r="AH108" s="35">
        <v>0</v>
      </c>
      <c r="AI108" s="35">
        <v>0</v>
      </c>
      <c r="AJ108" s="35">
        <v>0</v>
      </c>
    </row>
    <row r="109" spans="2:36">
      <c r="B109">
        <v>108</v>
      </c>
      <c r="C109" t="s">
        <v>365</v>
      </c>
      <c r="D109" t="s">
        <v>366</v>
      </c>
      <c r="E109" t="s">
        <v>19</v>
      </c>
      <c r="F109" t="s">
        <v>613</v>
      </c>
      <c r="G109" t="s">
        <v>709</v>
      </c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>
        <v>0</v>
      </c>
      <c r="AG109" s="35">
        <v>0</v>
      </c>
      <c r="AH109" s="35">
        <v>0</v>
      </c>
      <c r="AI109" s="35">
        <v>0</v>
      </c>
      <c r="AJ109" s="35">
        <v>0</v>
      </c>
    </row>
    <row r="110" spans="2:36">
      <c r="B110">
        <v>109</v>
      </c>
      <c r="C110" t="s">
        <v>369</v>
      </c>
      <c r="D110" t="s">
        <v>370</v>
      </c>
      <c r="E110" t="s">
        <v>19</v>
      </c>
      <c r="F110" t="s">
        <v>613</v>
      </c>
      <c r="G110" t="s">
        <v>709</v>
      </c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>
        <v>0</v>
      </c>
      <c r="AG110" s="35">
        <v>0</v>
      </c>
      <c r="AH110" s="35">
        <v>0</v>
      </c>
      <c r="AI110" s="35">
        <v>0</v>
      </c>
      <c r="AJ110" s="35">
        <v>0</v>
      </c>
    </row>
    <row r="111" spans="2:36">
      <c r="B111">
        <v>110</v>
      </c>
      <c r="C111" t="s">
        <v>372</v>
      </c>
      <c r="D111" t="s">
        <v>373</v>
      </c>
      <c r="E111" t="s">
        <v>19</v>
      </c>
      <c r="F111" t="s">
        <v>613</v>
      </c>
      <c r="G111" t="s">
        <v>709</v>
      </c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>
        <v>0</v>
      </c>
      <c r="AG111" s="35">
        <v>0</v>
      </c>
      <c r="AH111" s="35">
        <v>0</v>
      </c>
      <c r="AI111" s="35">
        <v>0</v>
      </c>
      <c r="AJ111" s="35">
        <v>0</v>
      </c>
    </row>
    <row r="112" spans="2:36">
      <c r="B112">
        <v>111</v>
      </c>
      <c r="C112" t="s">
        <v>374</v>
      </c>
      <c r="D112" t="s">
        <v>375</v>
      </c>
      <c r="E112" t="s">
        <v>19</v>
      </c>
      <c r="F112" t="s">
        <v>613</v>
      </c>
      <c r="G112" t="s">
        <v>709</v>
      </c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>
        <v>0</v>
      </c>
      <c r="AG112" s="35">
        <v>0</v>
      </c>
      <c r="AH112" s="35">
        <v>0</v>
      </c>
      <c r="AI112" s="35">
        <v>0</v>
      </c>
      <c r="AJ112" s="35">
        <v>0</v>
      </c>
    </row>
    <row r="113" spans="2:36">
      <c r="B113">
        <v>112</v>
      </c>
      <c r="C113" t="s">
        <v>377</v>
      </c>
      <c r="D113" t="s">
        <v>378</v>
      </c>
      <c r="E113" t="s">
        <v>19</v>
      </c>
      <c r="F113" t="s">
        <v>613</v>
      </c>
      <c r="G113" t="s">
        <v>709</v>
      </c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>
        <v>0</v>
      </c>
      <c r="AG113" s="35">
        <v>0</v>
      </c>
      <c r="AH113" s="35">
        <v>0</v>
      </c>
      <c r="AI113" s="35">
        <v>0</v>
      </c>
      <c r="AJ113" s="35">
        <v>0</v>
      </c>
    </row>
    <row r="114" spans="2:36">
      <c r="B114">
        <v>113</v>
      </c>
      <c r="C114" t="s">
        <v>381</v>
      </c>
      <c r="D114" t="s">
        <v>382</v>
      </c>
      <c r="E114" t="s">
        <v>19</v>
      </c>
      <c r="F114" t="s">
        <v>613</v>
      </c>
      <c r="G114" t="s">
        <v>709</v>
      </c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>
        <v>0</v>
      </c>
      <c r="AG114" s="35">
        <v>0</v>
      </c>
      <c r="AH114" s="35">
        <v>0</v>
      </c>
      <c r="AI114" s="35">
        <v>0</v>
      </c>
      <c r="AJ114" s="35">
        <v>0</v>
      </c>
    </row>
    <row r="115" spans="2:36">
      <c r="B115">
        <v>114</v>
      </c>
      <c r="C115" t="s">
        <v>385</v>
      </c>
      <c r="D115" t="s">
        <v>386</v>
      </c>
      <c r="E115" t="s">
        <v>19</v>
      </c>
      <c r="F115" t="s">
        <v>615</v>
      </c>
      <c r="G115" t="s">
        <v>709</v>
      </c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>
        <v>0</v>
      </c>
      <c r="AG115" s="35">
        <v>0</v>
      </c>
      <c r="AH115" s="35">
        <v>0</v>
      </c>
      <c r="AI115" s="35">
        <v>0</v>
      </c>
      <c r="AJ115" s="35">
        <v>0</v>
      </c>
    </row>
    <row r="116" spans="2:36">
      <c r="B116">
        <v>115</v>
      </c>
      <c r="C116" t="s">
        <v>387</v>
      </c>
      <c r="D116" t="s">
        <v>388</v>
      </c>
      <c r="E116" t="s">
        <v>19</v>
      </c>
      <c r="F116" t="s">
        <v>615</v>
      </c>
      <c r="G116" t="s">
        <v>709</v>
      </c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>
        <v>0</v>
      </c>
      <c r="AG116" s="35">
        <v>0</v>
      </c>
      <c r="AH116" s="35">
        <v>0</v>
      </c>
      <c r="AI116" s="35">
        <v>0</v>
      </c>
      <c r="AJ116" s="35">
        <v>0</v>
      </c>
    </row>
    <row r="117" spans="2:36">
      <c r="B117">
        <v>116</v>
      </c>
      <c r="C117" t="s">
        <v>389</v>
      </c>
      <c r="D117" t="s">
        <v>390</v>
      </c>
      <c r="E117" t="s">
        <v>19</v>
      </c>
      <c r="F117" t="s">
        <v>613</v>
      </c>
      <c r="G117" t="s">
        <v>709</v>
      </c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>
        <v>0</v>
      </c>
      <c r="AG117" s="35">
        <v>0</v>
      </c>
      <c r="AH117" s="35">
        <v>0</v>
      </c>
      <c r="AI117" s="35">
        <v>0</v>
      </c>
      <c r="AJ117" s="35">
        <v>0</v>
      </c>
    </row>
    <row r="118" spans="2:36">
      <c r="B118">
        <v>117</v>
      </c>
      <c r="C118" t="s">
        <v>392</v>
      </c>
      <c r="D118" t="s">
        <v>393</v>
      </c>
      <c r="E118" t="s">
        <v>19</v>
      </c>
      <c r="F118" t="s">
        <v>613</v>
      </c>
      <c r="G118" t="s">
        <v>709</v>
      </c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>
        <v>0</v>
      </c>
      <c r="AG118" s="35">
        <v>0</v>
      </c>
      <c r="AH118" s="35">
        <v>0</v>
      </c>
      <c r="AI118" s="35">
        <v>0</v>
      </c>
      <c r="AJ118" s="35">
        <v>0</v>
      </c>
    </row>
    <row r="119" spans="2:36">
      <c r="B119">
        <v>118</v>
      </c>
      <c r="C119" t="s">
        <v>395</v>
      </c>
      <c r="D119" t="s">
        <v>396</v>
      </c>
      <c r="E119" t="s">
        <v>19</v>
      </c>
      <c r="F119" t="s">
        <v>613</v>
      </c>
      <c r="G119" t="s">
        <v>709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>
        <v>1</v>
      </c>
      <c r="AG119" s="35">
        <v>1</v>
      </c>
      <c r="AH119" s="35">
        <v>1</v>
      </c>
      <c r="AI119" s="35">
        <v>1</v>
      </c>
      <c r="AJ119" s="35">
        <v>1</v>
      </c>
    </row>
    <row r="120" spans="2:36">
      <c r="B120">
        <v>119</v>
      </c>
      <c r="C120" t="s">
        <v>398</v>
      </c>
      <c r="D120" t="s">
        <v>399</v>
      </c>
      <c r="E120" t="s">
        <v>19</v>
      </c>
      <c r="F120" t="s">
        <v>613</v>
      </c>
      <c r="G120" t="s">
        <v>709</v>
      </c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>
        <v>1</v>
      </c>
      <c r="AG120" s="35">
        <v>1</v>
      </c>
      <c r="AH120" s="35">
        <v>1</v>
      </c>
      <c r="AI120" s="35">
        <v>1</v>
      </c>
      <c r="AJ120" s="35">
        <v>1</v>
      </c>
    </row>
    <row r="121" spans="2:36">
      <c r="B121">
        <v>120</v>
      </c>
      <c r="C121" t="s">
        <v>402</v>
      </c>
      <c r="D121" t="s">
        <v>403</v>
      </c>
      <c r="E121" t="s">
        <v>19</v>
      </c>
      <c r="F121" t="s">
        <v>613</v>
      </c>
      <c r="G121" t="s">
        <v>709</v>
      </c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>
        <v>1</v>
      </c>
      <c r="AG121" s="35">
        <v>1</v>
      </c>
      <c r="AH121" s="35">
        <v>1</v>
      </c>
      <c r="AI121" s="35">
        <v>1</v>
      </c>
      <c r="AJ121" s="35">
        <v>1</v>
      </c>
    </row>
    <row r="122" spans="2:36">
      <c r="B122">
        <v>121</v>
      </c>
      <c r="C122" t="s">
        <v>405</v>
      </c>
      <c r="D122" t="s">
        <v>406</v>
      </c>
      <c r="E122" t="s">
        <v>19</v>
      </c>
      <c r="F122" t="s">
        <v>613</v>
      </c>
      <c r="G122" t="s">
        <v>709</v>
      </c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>
        <v>0</v>
      </c>
      <c r="AG122" s="35">
        <v>0</v>
      </c>
      <c r="AH122" s="35">
        <v>0</v>
      </c>
      <c r="AI122" s="35">
        <v>0</v>
      </c>
      <c r="AJ122" s="35">
        <v>0</v>
      </c>
    </row>
    <row r="123" spans="2:36">
      <c r="B123">
        <v>122</v>
      </c>
      <c r="C123" s="14" t="s">
        <v>408</v>
      </c>
      <c r="E123" s="14" t="s">
        <v>410</v>
      </c>
      <c r="G123" t="s">
        <v>709</v>
      </c>
      <c r="AH123" s="14"/>
      <c r="AI123" s="14"/>
    </row>
    <row r="124" spans="2:36">
      <c r="B124">
        <v>123</v>
      </c>
      <c r="C124" s="14" t="s">
        <v>412</v>
      </c>
      <c r="E124" s="14" t="s">
        <v>414</v>
      </c>
      <c r="G124" t="s">
        <v>709</v>
      </c>
      <c r="AH124" s="14"/>
      <c r="AI124" s="14"/>
    </row>
    <row r="125" spans="2:36">
      <c r="B125">
        <v>124</v>
      </c>
      <c r="C125" s="14" t="s">
        <v>416</v>
      </c>
      <c r="E125" s="14" t="s">
        <v>418</v>
      </c>
      <c r="G125" t="s">
        <v>709</v>
      </c>
      <c r="AH125" s="14"/>
      <c r="AI125" s="14"/>
    </row>
    <row r="126" spans="2:36">
      <c r="B126">
        <v>125</v>
      </c>
      <c r="C126" s="14" t="s">
        <v>420</v>
      </c>
      <c r="E126" s="14" t="s">
        <v>421</v>
      </c>
      <c r="G126" t="s">
        <v>709</v>
      </c>
      <c r="AH126" s="14"/>
      <c r="AI126" s="14"/>
    </row>
    <row r="127" spans="2:36">
      <c r="B127">
        <v>126</v>
      </c>
      <c r="C127" s="14" t="s">
        <v>423</v>
      </c>
      <c r="E127" s="14" t="s">
        <v>425</v>
      </c>
      <c r="G127" t="s">
        <v>709</v>
      </c>
      <c r="AH127" s="14"/>
      <c r="AI127" s="14"/>
    </row>
    <row r="128" spans="2:36">
      <c r="B128">
        <v>127</v>
      </c>
      <c r="C128" s="14" t="s">
        <v>427</v>
      </c>
      <c r="E128" s="14" t="s">
        <v>428</v>
      </c>
      <c r="G128" t="s">
        <v>709</v>
      </c>
      <c r="AH128" s="14"/>
      <c r="AI128" s="14"/>
    </row>
    <row r="129" spans="2:35">
      <c r="B129">
        <v>128</v>
      </c>
      <c r="C129" s="14" t="s">
        <v>430</v>
      </c>
      <c r="E129" s="14" t="s">
        <v>410</v>
      </c>
      <c r="G129" t="s">
        <v>709</v>
      </c>
      <c r="AH129" s="14"/>
      <c r="AI129" s="14"/>
    </row>
    <row r="130" spans="2:35">
      <c r="B130">
        <v>129</v>
      </c>
      <c r="C130" s="14" t="s">
        <v>431</v>
      </c>
      <c r="E130" s="14" t="s">
        <v>433</v>
      </c>
      <c r="G130" t="s">
        <v>709</v>
      </c>
      <c r="AH130" s="14"/>
      <c r="AI130" s="14"/>
    </row>
    <row r="131" spans="2:35">
      <c r="B131">
        <v>130</v>
      </c>
      <c r="C131" s="14" t="s">
        <v>435</v>
      </c>
      <c r="E131" s="14" t="s">
        <v>410</v>
      </c>
      <c r="G131" t="s">
        <v>709</v>
      </c>
      <c r="AH131" s="14"/>
      <c r="AI131" s="14"/>
    </row>
    <row r="132" spans="2:35">
      <c r="B132">
        <v>131</v>
      </c>
      <c r="C132" s="14" t="s">
        <v>437</v>
      </c>
      <c r="E132" s="14" t="s">
        <v>438</v>
      </c>
      <c r="G132" t="s">
        <v>709</v>
      </c>
      <c r="AH132" s="14"/>
      <c r="AI132" s="14"/>
    </row>
    <row r="133" spans="2:35">
      <c r="B133">
        <v>132</v>
      </c>
      <c r="C133" s="14" t="s">
        <v>440</v>
      </c>
      <c r="E133" s="14" t="s">
        <v>441</v>
      </c>
      <c r="G133" t="s">
        <v>709</v>
      </c>
      <c r="AH133" s="14"/>
      <c r="AI133" s="14"/>
    </row>
    <row r="134" spans="2:35">
      <c r="B134">
        <v>133</v>
      </c>
      <c r="C134" s="14" t="s">
        <v>443</v>
      </c>
      <c r="E134" s="14" t="s">
        <v>445</v>
      </c>
      <c r="G134" t="s">
        <v>709</v>
      </c>
      <c r="AH134" s="14"/>
      <c r="AI134" s="14"/>
    </row>
    <row r="135" spans="2:35">
      <c r="B135">
        <v>134</v>
      </c>
      <c r="C135" s="14" t="s">
        <v>447</v>
      </c>
      <c r="E135" s="14" t="s">
        <v>410</v>
      </c>
      <c r="G135" t="s">
        <v>709</v>
      </c>
      <c r="AH135" s="14"/>
      <c r="AI135" s="14"/>
    </row>
    <row r="136" spans="2:35">
      <c r="B136">
        <v>135</v>
      </c>
      <c r="C136" s="14" t="s">
        <v>449</v>
      </c>
      <c r="E136" s="14" t="s">
        <v>450</v>
      </c>
      <c r="G136" t="s">
        <v>709</v>
      </c>
      <c r="AH136" s="14"/>
      <c r="AI136" s="14"/>
    </row>
    <row r="137" spans="2:35">
      <c r="B137">
        <v>136</v>
      </c>
      <c r="C137" s="14" t="s">
        <v>452</v>
      </c>
      <c r="E137" s="14" t="s">
        <v>453</v>
      </c>
      <c r="G137" t="s">
        <v>709</v>
      </c>
      <c r="AH137" s="14"/>
      <c r="AI137" s="14"/>
    </row>
    <row r="138" spans="2:35">
      <c r="B138">
        <v>137</v>
      </c>
      <c r="C138" s="14" t="s">
        <v>455</v>
      </c>
      <c r="E138" s="14" t="s">
        <v>456</v>
      </c>
      <c r="G138" t="s">
        <v>709</v>
      </c>
      <c r="AH138" s="14"/>
      <c r="AI138" s="14"/>
    </row>
    <row r="139" spans="2:35">
      <c r="B139">
        <v>138</v>
      </c>
      <c r="C139" s="14" t="s">
        <v>458</v>
      </c>
      <c r="E139" s="14" t="s">
        <v>425</v>
      </c>
      <c r="G139" t="s">
        <v>709</v>
      </c>
      <c r="AH139" s="14"/>
      <c r="AI139" s="14"/>
    </row>
    <row r="140" spans="2:35">
      <c r="B140">
        <v>139</v>
      </c>
      <c r="C140" s="14" t="s">
        <v>459</v>
      </c>
      <c r="E140" s="14" t="s">
        <v>461</v>
      </c>
      <c r="G140" t="s">
        <v>709</v>
      </c>
      <c r="AH140" s="14"/>
      <c r="AI140" s="14"/>
    </row>
    <row r="141" spans="2:35">
      <c r="B141">
        <v>140</v>
      </c>
      <c r="C141" s="14" t="s">
        <v>463</v>
      </c>
      <c r="E141" s="14" t="s">
        <v>410</v>
      </c>
      <c r="G141" t="s">
        <v>709</v>
      </c>
      <c r="AH141" s="14"/>
      <c r="AI141" s="14"/>
    </row>
    <row r="142" spans="2:35">
      <c r="B142">
        <v>141</v>
      </c>
      <c r="C142" s="14" t="s">
        <v>464</v>
      </c>
      <c r="E142" s="14" t="s">
        <v>466</v>
      </c>
      <c r="G142" t="s">
        <v>709</v>
      </c>
      <c r="AH142" s="14"/>
      <c r="AI142" s="14"/>
    </row>
    <row r="143" spans="2:35">
      <c r="B143">
        <v>142</v>
      </c>
      <c r="C143" s="14" t="s">
        <v>467</v>
      </c>
      <c r="E143" s="14" t="s">
        <v>468</v>
      </c>
      <c r="G143" t="s">
        <v>709</v>
      </c>
      <c r="AH143" s="14"/>
      <c r="AI143" s="14"/>
    </row>
    <row r="144" spans="2:35">
      <c r="B144">
        <v>143</v>
      </c>
      <c r="C144" s="14" t="s">
        <v>470</v>
      </c>
      <c r="E144" s="14" t="s">
        <v>466</v>
      </c>
      <c r="G144" t="s">
        <v>709</v>
      </c>
      <c r="AH144" s="14"/>
      <c r="AI144" s="14"/>
    </row>
    <row r="145" spans="2:35">
      <c r="B145">
        <v>144</v>
      </c>
      <c r="C145" s="14" t="s">
        <v>472</v>
      </c>
      <c r="E145" s="14" t="s">
        <v>468</v>
      </c>
      <c r="G145" t="s">
        <v>709</v>
      </c>
      <c r="AH145" s="14"/>
      <c r="AI145" s="14"/>
    </row>
    <row r="146" spans="2:35">
      <c r="B146">
        <v>145</v>
      </c>
      <c r="C146" s="14" t="s">
        <v>474</v>
      </c>
      <c r="E146" s="14" t="s">
        <v>418</v>
      </c>
      <c r="G146" t="s">
        <v>709</v>
      </c>
      <c r="AH146" s="14"/>
      <c r="AI146" s="14"/>
    </row>
    <row r="147" spans="2:35">
      <c r="B147">
        <v>146</v>
      </c>
      <c r="C147" s="14" t="s">
        <v>476</v>
      </c>
      <c r="E147" s="14" t="s">
        <v>477</v>
      </c>
      <c r="G147" t="s">
        <v>709</v>
      </c>
      <c r="AH147" s="14"/>
      <c r="AI147" s="14"/>
    </row>
    <row r="148" spans="2:35">
      <c r="B148">
        <v>147</v>
      </c>
      <c r="C148" s="14" t="s">
        <v>476</v>
      </c>
      <c r="E148" s="14" t="s">
        <v>477</v>
      </c>
      <c r="G148" t="s">
        <v>709</v>
      </c>
      <c r="AH148" s="14"/>
      <c r="AI148" s="14"/>
    </row>
    <row r="149" spans="2:35">
      <c r="B149">
        <v>148</v>
      </c>
      <c r="C149" s="14" t="s">
        <v>476</v>
      </c>
      <c r="E149" s="14" t="s">
        <v>477</v>
      </c>
      <c r="G149" t="s">
        <v>709</v>
      </c>
      <c r="AH149" s="14"/>
      <c r="AI149" s="14"/>
    </row>
    <row r="150" spans="2:35">
      <c r="B150">
        <v>149</v>
      </c>
      <c r="C150" s="14" t="s">
        <v>481</v>
      </c>
      <c r="E150" s="14" t="s">
        <v>461</v>
      </c>
      <c r="G150" t="s">
        <v>709</v>
      </c>
      <c r="AH150" s="14"/>
      <c r="AI150" s="14"/>
    </row>
    <row r="151" spans="2:35">
      <c r="B151">
        <v>150</v>
      </c>
      <c r="C151" s="14" t="s">
        <v>483</v>
      </c>
      <c r="E151" s="14" t="s">
        <v>484</v>
      </c>
      <c r="G151" t="s">
        <v>709</v>
      </c>
      <c r="AH151" s="14"/>
      <c r="AI151" s="14"/>
    </row>
    <row r="152" spans="2:35">
      <c r="B152">
        <v>151</v>
      </c>
      <c r="C152" s="14" t="s">
        <v>486</v>
      </c>
      <c r="E152" s="14" t="s">
        <v>487</v>
      </c>
      <c r="G152" t="s">
        <v>709</v>
      </c>
      <c r="AH152" s="14"/>
      <c r="AI152" s="14"/>
    </row>
    <row r="153" spans="2:35">
      <c r="B153">
        <v>152</v>
      </c>
      <c r="C153" s="14" t="s">
        <v>489</v>
      </c>
      <c r="E153" s="14" t="s">
        <v>490</v>
      </c>
      <c r="G153" t="s">
        <v>709</v>
      </c>
      <c r="AH153" s="14"/>
      <c r="AI153" s="14"/>
    </row>
    <row r="154" spans="2:35">
      <c r="B154">
        <v>153</v>
      </c>
      <c r="C154" s="14" t="s">
        <v>489</v>
      </c>
      <c r="E154" s="14" t="s">
        <v>490</v>
      </c>
      <c r="G154" t="s">
        <v>709</v>
      </c>
      <c r="AH154" s="14"/>
      <c r="AI154" s="14"/>
    </row>
    <row r="155" spans="2:35">
      <c r="B155">
        <v>154</v>
      </c>
      <c r="C155" s="14" t="s">
        <v>493</v>
      </c>
      <c r="E155" s="14" t="s">
        <v>484</v>
      </c>
      <c r="G155" t="s">
        <v>709</v>
      </c>
      <c r="AH155" s="14"/>
      <c r="AI155" s="14"/>
    </row>
    <row r="156" spans="2:35">
      <c r="B156">
        <v>155</v>
      </c>
      <c r="C156" s="14" t="s">
        <v>495</v>
      </c>
      <c r="E156" s="14" t="s">
        <v>496</v>
      </c>
      <c r="G156" t="s">
        <v>709</v>
      </c>
      <c r="AH156" s="14"/>
      <c r="AI156" s="14"/>
    </row>
    <row r="157" spans="2:35">
      <c r="B157">
        <v>156</v>
      </c>
      <c r="C157" s="14" t="s">
        <v>498</v>
      </c>
      <c r="E157" s="14" t="s">
        <v>410</v>
      </c>
      <c r="G157" t="s">
        <v>709</v>
      </c>
      <c r="AH157" s="14"/>
      <c r="AI157" s="14"/>
    </row>
    <row r="158" spans="2:35">
      <c r="B158">
        <v>157</v>
      </c>
      <c r="C158" s="14" t="s">
        <v>499</v>
      </c>
      <c r="E158" s="14" t="s">
        <v>500</v>
      </c>
      <c r="G158" t="s">
        <v>709</v>
      </c>
      <c r="AH158" s="14"/>
      <c r="AI158" s="14"/>
    </row>
    <row r="159" spans="2:35">
      <c r="B159">
        <v>158</v>
      </c>
      <c r="C159" s="14" t="s">
        <v>499</v>
      </c>
      <c r="E159" s="14" t="s">
        <v>500</v>
      </c>
      <c r="G159" t="s">
        <v>709</v>
      </c>
      <c r="AH159" s="14"/>
      <c r="AI159" s="14"/>
    </row>
    <row r="160" spans="2:35">
      <c r="B160">
        <v>159</v>
      </c>
      <c r="C160" s="14" t="s">
        <v>499</v>
      </c>
      <c r="E160" s="14" t="s">
        <v>500</v>
      </c>
      <c r="G160" t="s">
        <v>709</v>
      </c>
      <c r="AH160" s="14"/>
      <c r="AI160" s="14"/>
    </row>
    <row r="161" spans="2:35">
      <c r="B161">
        <v>160</v>
      </c>
      <c r="C161" s="14" t="s">
        <v>504</v>
      </c>
      <c r="E161" s="14" t="s">
        <v>490</v>
      </c>
      <c r="G161" t="s">
        <v>709</v>
      </c>
      <c r="AH161" s="14"/>
      <c r="AI161" s="14"/>
    </row>
    <row r="162" spans="2:35">
      <c r="B162">
        <v>161</v>
      </c>
      <c r="C162" s="14" t="s">
        <v>504</v>
      </c>
      <c r="E162" s="14" t="s">
        <v>490</v>
      </c>
      <c r="G162" t="s">
        <v>709</v>
      </c>
      <c r="AH162" s="14"/>
      <c r="AI162" s="14"/>
    </row>
    <row r="163" spans="2:35">
      <c r="B163">
        <v>162</v>
      </c>
      <c r="C163" s="14" t="s">
        <v>504</v>
      </c>
      <c r="E163" s="14" t="s">
        <v>490</v>
      </c>
      <c r="G163" t="s">
        <v>709</v>
      </c>
      <c r="AH163" s="14"/>
      <c r="AI163" s="14"/>
    </row>
    <row r="164" spans="2:35">
      <c r="B164">
        <v>163</v>
      </c>
      <c r="C164" s="14" t="s">
        <v>504</v>
      </c>
      <c r="E164" s="14" t="s">
        <v>490</v>
      </c>
      <c r="G164" t="s">
        <v>709</v>
      </c>
      <c r="AH164" s="14"/>
      <c r="AI164" s="14"/>
    </row>
    <row r="165" spans="2:35">
      <c r="B165">
        <v>164</v>
      </c>
      <c r="C165" s="14" t="s">
        <v>509</v>
      </c>
      <c r="E165" s="14" t="s">
        <v>510</v>
      </c>
      <c r="G165" t="s">
        <v>709</v>
      </c>
      <c r="AH165" s="14"/>
      <c r="AI165" s="14"/>
    </row>
    <row r="166" spans="2:35">
      <c r="B166">
        <v>165</v>
      </c>
      <c r="C166" s="14" t="s">
        <v>512</v>
      </c>
      <c r="E166" s="14" t="s">
        <v>513</v>
      </c>
      <c r="G166" t="s">
        <v>709</v>
      </c>
      <c r="AH166" s="14"/>
      <c r="AI166" s="14"/>
    </row>
    <row r="167" spans="2:35">
      <c r="B167">
        <v>166</v>
      </c>
      <c r="C167" s="14" t="s">
        <v>515</v>
      </c>
      <c r="E167" s="14" t="s">
        <v>500</v>
      </c>
      <c r="G167" t="s">
        <v>709</v>
      </c>
      <c r="AH167" s="14"/>
      <c r="AI167" s="14"/>
    </row>
    <row r="168" spans="2:35">
      <c r="B168">
        <v>167</v>
      </c>
      <c r="C168" s="14" t="s">
        <v>517</v>
      </c>
      <c r="E168" s="14" t="s">
        <v>477</v>
      </c>
      <c r="G168" t="s">
        <v>709</v>
      </c>
      <c r="AH168" s="14"/>
      <c r="AI168" s="14"/>
    </row>
    <row r="169" spans="2:35">
      <c r="B169">
        <v>168</v>
      </c>
      <c r="C169" s="14" t="s">
        <v>519</v>
      </c>
      <c r="E169" s="14" t="s">
        <v>433</v>
      </c>
      <c r="G169" t="s">
        <v>709</v>
      </c>
      <c r="AH169" s="14"/>
      <c r="AI169" s="14"/>
    </row>
    <row r="170" spans="2:35">
      <c r="B170">
        <v>169</v>
      </c>
      <c r="C170" s="14" t="s">
        <v>521</v>
      </c>
      <c r="E170" s="14" t="s">
        <v>468</v>
      </c>
      <c r="G170" t="s">
        <v>709</v>
      </c>
      <c r="AH170" s="14"/>
      <c r="AI170" s="14"/>
    </row>
    <row r="171" spans="2:35">
      <c r="B171">
        <v>170</v>
      </c>
      <c r="C171" s="14" t="s">
        <v>523</v>
      </c>
      <c r="E171" s="14" t="s">
        <v>524</v>
      </c>
      <c r="G171" t="s">
        <v>709</v>
      </c>
      <c r="AH171" s="14"/>
      <c r="AI171" s="14"/>
    </row>
    <row r="172" spans="2:35">
      <c r="B172">
        <v>171</v>
      </c>
      <c r="C172" s="14" t="s">
        <v>526</v>
      </c>
      <c r="E172" s="14" t="s">
        <v>527</v>
      </c>
      <c r="G172" t="s">
        <v>709</v>
      </c>
      <c r="AH172" s="14"/>
      <c r="AI172" s="14"/>
    </row>
    <row r="173" spans="2:35">
      <c r="B173">
        <v>172</v>
      </c>
      <c r="C173" s="14" t="s">
        <v>529</v>
      </c>
      <c r="E173" s="14" t="s">
        <v>468</v>
      </c>
      <c r="G173" t="s">
        <v>709</v>
      </c>
      <c r="AH173" s="14"/>
      <c r="AI173" s="14"/>
    </row>
    <row r="174" spans="2:35">
      <c r="B174">
        <v>173</v>
      </c>
      <c r="C174" s="14" t="s">
        <v>531</v>
      </c>
      <c r="E174" s="14" t="s">
        <v>468</v>
      </c>
      <c r="G174" t="s">
        <v>709</v>
      </c>
      <c r="AH174" s="14"/>
      <c r="AI174" s="14"/>
    </row>
    <row r="175" spans="2:35">
      <c r="B175">
        <v>174</v>
      </c>
      <c r="C175" s="14" t="s">
        <v>533</v>
      </c>
      <c r="E175" s="14" t="s">
        <v>410</v>
      </c>
      <c r="G175" t="s">
        <v>709</v>
      </c>
      <c r="AH175" s="14"/>
      <c r="AI175" s="14"/>
    </row>
    <row r="176" spans="2:35">
      <c r="B176">
        <v>175</v>
      </c>
      <c r="C176" s="14" t="s">
        <v>534</v>
      </c>
      <c r="E176" s="14" t="s">
        <v>468</v>
      </c>
      <c r="G176" t="s">
        <v>709</v>
      </c>
      <c r="AH176" s="14"/>
      <c r="AI176" s="14"/>
    </row>
    <row r="177" spans="2:35">
      <c r="B177">
        <v>176</v>
      </c>
      <c r="C177" s="14" t="s">
        <v>535</v>
      </c>
      <c r="E177" s="14" t="s">
        <v>536</v>
      </c>
      <c r="G177" t="s">
        <v>709</v>
      </c>
      <c r="AH177" s="14"/>
      <c r="AI177" s="14"/>
    </row>
    <row r="178" spans="2:35">
      <c r="B178">
        <v>177</v>
      </c>
      <c r="C178" s="14" t="s">
        <v>538</v>
      </c>
      <c r="E178" s="14" t="s">
        <v>425</v>
      </c>
      <c r="G178" t="s">
        <v>709</v>
      </c>
      <c r="AH178" s="14"/>
      <c r="AI178" s="14"/>
    </row>
    <row r="179" spans="2:35">
      <c r="B179">
        <v>178</v>
      </c>
      <c r="C179" s="14" t="s">
        <v>539</v>
      </c>
      <c r="E179" s="14" t="s">
        <v>410</v>
      </c>
      <c r="G179" t="s">
        <v>709</v>
      </c>
      <c r="AH179" s="14"/>
      <c r="AI179" s="14"/>
    </row>
    <row r="180" spans="2:35">
      <c r="B180">
        <v>179</v>
      </c>
      <c r="C180" s="14" t="s">
        <v>540</v>
      </c>
      <c r="E180" s="14" t="s">
        <v>541</v>
      </c>
      <c r="G180" t="s">
        <v>709</v>
      </c>
      <c r="AH180" s="14"/>
      <c r="AI180" s="14"/>
    </row>
    <row r="181" spans="2:35">
      <c r="B181">
        <v>180</v>
      </c>
      <c r="C181" s="14" t="s">
        <v>540</v>
      </c>
      <c r="E181" s="14" t="s">
        <v>543</v>
      </c>
      <c r="G181" t="s">
        <v>709</v>
      </c>
      <c r="AH181" s="14"/>
      <c r="AI181" s="14"/>
    </row>
    <row r="182" spans="2:35">
      <c r="B182">
        <v>181</v>
      </c>
      <c r="C182" s="14" t="s">
        <v>545</v>
      </c>
      <c r="E182" s="14" t="s">
        <v>546</v>
      </c>
      <c r="G182" t="s">
        <v>709</v>
      </c>
      <c r="AH182" s="14"/>
      <c r="AI182" s="14"/>
    </row>
    <row r="183" spans="2:35">
      <c r="B183">
        <v>182</v>
      </c>
      <c r="C183" s="14" t="s">
        <v>548</v>
      </c>
      <c r="E183" s="14" t="s">
        <v>477</v>
      </c>
      <c r="G183" t="s">
        <v>709</v>
      </c>
      <c r="AH183" s="14"/>
      <c r="AI183" s="14"/>
    </row>
    <row r="184" spans="2:35">
      <c r="B184">
        <v>183</v>
      </c>
      <c r="C184" s="14" t="s">
        <v>550</v>
      </c>
      <c r="E184" s="14" t="s">
        <v>477</v>
      </c>
      <c r="G184" t="s">
        <v>709</v>
      </c>
      <c r="AH184" s="14"/>
      <c r="AI184" s="14"/>
    </row>
    <row r="185" spans="2:35">
      <c r="B185">
        <v>184</v>
      </c>
      <c r="C185" s="14" t="s">
        <v>551</v>
      </c>
      <c r="E185" s="14" t="s">
        <v>552</v>
      </c>
      <c r="G185" t="s">
        <v>709</v>
      </c>
      <c r="AH185" s="14"/>
      <c r="AI185" s="14"/>
    </row>
    <row r="186" spans="2:35">
      <c r="B186">
        <v>185</v>
      </c>
      <c r="C186" s="14" t="s">
        <v>554</v>
      </c>
      <c r="E186" s="14" t="s">
        <v>500</v>
      </c>
      <c r="G186" t="s">
        <v>709</v>
      </c>
      <c r="AH186" s="14"/>
      <c r="AI186" s="14"/>
    </row>
    <row r="187" spans="2:35">
      <c r="B187">
        <v>186</v>
      </c>
      <c r="C187" s="14" t="s">
        <v>556</v>
      </c>
      <c r="E187" s="14" t="s">
        <v>468</v>
      </c>
      <c r="G187" t="s">
        <v>709</v>
      </c>
      <c r="AH187" s="14"/>
      <c r="AI187" s="14"/>
    </row>
    <row r="188" spans="2:35">
      <c r="B188">
        <v>187</v>
      </c>
      <c r="C188" s="14" t="s">
        <v>558</v>
      </c>
      <c r="E188" s="14" t="s">
        <v>524</v>
      </c>
      <c r="G188" t="s">
        <v>709</v>
      </c>
      <c r="AH188" s="14"/>
      <c r="AI188" s="14"/>
    </row>
    <row r="189" spans="2:35">
      <c r="B189">
        <v>188</v>
      </c>
      <c r="C189" s="14" t="s">
        <v>560</v>
      </c>
      <c r="E189" s="14" t="s">
        <v>561</v>
      </c>
      <c r="G189" t="s">
        <v>709</v>
      </c>
      <c r="AH189" s="14"/>
      <c r="AI189" s="14"/>
    </row>
    <row r="190" spans="2:35">
      <c r="B190">
        <v>189</v>
      </c>
      <c r="C190" s="14" t="s">
        <v>563</v>
      </c>
      <c r="E190" s="14" t="s">
        <v>564</v>
      </c>
      <c r="G190" t="s">
        <v>709</v>
      </c>
      <c r="AH190" s="14"/>
      <c r="AI190" s="14"/>
    </row>
    <row r="191" spans="2:35">
      <c r="B191">
        <v>190</v>
      </c>
      <c r="C191" s="14" t="s">
        <v>566</v>
      </c>
      <c r="E191" s="14" t="s">
        <v>466</v>
      </c>
      <c r="G191" t="s">
        <v>709</v>
      </c>
      <c r="AH191" s="14"/>
      <c r="AI191" s="14"/>
    </row>
    <row r="192" spans="2:35">
      <c r="B192">
        <v>191</v>
      </c>
      <c r="C192" s="14" t="s">
        <v>567</v>
      </c>
      <c r="E192" s="14" t="s">
        <v>568</v>
      </c>
      <c r="G192" t="s">
        <v>709</v>
      </c>
      <c r="AH192" s="14"/>
      <c r="AI192" s="14"/>
    </row>
    <row r="193" spans="2:35">
      <c r="B193">
        <v>192</v>
      </c>
      <c r="C193" s="14" t="s">
        <v>570</v>
      </c>
      <c r="E193" s="14" t="s">
        <v>571</v>
      </c>
      <c r="G193" t="s">
        <v>709</v>
      </c>
      <c r="AH193" s="14"/>
      <c r="AI193" s="14"/>
    </row>
    <row r="194" spans="2:35">
      <c r="B194">
        <v>193</v>
      </c>
      <c r="C194" s="14" t="s">
        <v>573</v>
      </c>
      <c r="E194" s="14" t="s">
        <v>524</v>
      </c>
      <c r="G194" t="s">
        <v>709</v>
      </c>
      <c r="AH194" s="14"/>
      <c r="AI194" s="14"/>
    </row>
    <row r="195" spans="2:35">
      <c r="B195">
        <v>194</v>
      </c>
      <c r="C195" s="14" t="s">
        <v>575</v>
      </c>
      <c r="E195" s="14" t="s">
        <v>468</v>
      </c>
      <c r="G195" t="s">
        <v>709</v>
      </c>
      <c r="AH195" s="14"/>
      <c r="AI195" s="14"/>
    </row>
    <row r="196" spans="2:35">
      <c r="B196">
        <v>195</v>
      </c>
      <c r="C196" s="14" t="s">
        <v>577</v>
      </c>
      <c r="E196" s="14" t="s">
        <v>410</v>
      </c>
      <c r="G196" t="s">
        <v>709</v>
      </c>
      <c r="AH196" s="14"/>
      <c r="AI196" s="14"/>
    </row>
    <row r="197" spans="2:35">
      <c r="B197">
        <v>196</v>
      </c>
      <c r="C197" s="14" t="s">
        <v>577</v>
      </c>
      <c r="E197" s="14" t="s">
        <v>410</v>
      </c>
      <c r="G197" t="s">
        <v>709</v>
      </c>
      <c r="AH197" s="14"/>
      <c r="AI197" s="14"/>
    </row>
    <row r="198" spans="2:35">
      <c r="B198">
        <v>197</v>
      </c>
      <c r="C198" s="14" t="s">
        <v>579</v>
      </c>
      <c r="E198" s="14" t="s">
        <v>580</v>
      </c>
      <c r="G198" t="s">
        <v>709</v>
      </c>
      <c r="AH198" s="14"/>
      <c r="AI198" s="14"/>
    </row>
    <row r="199" spans="2:35">
      <c r="B199">
        <v>198</v>
      </c>
      <c r="C199" s="14" t="s">
        <v>582</v>
      </c>
      <c r="E199" s="14" t="s">
        <v>583</v>
      </c>
      <c r="G199" t="s">
        <v>709</v>
      </c>
      <c r="AH199" s="14"/>
      <c r="AI199" s="14"/>
    </row>
    <row r="200" spans="2:35">
      <c r="B200">
        <v>199</v>
      </c>
      <c r="C200" s="14" t="s">
        <v>584</v>
      </c>
      <c r="E200" s="14" t="s">
        <v>490</v>
      </c>
      <c r="G200" t="s">
        <v>709</v>
      </c>
      <c r="AH200" s="14"/>
      <c r="AI200" s="14"/>
    </row>
    <row r="201" spans="2:35">
      <c r="B201">
        <v>200</v>
      </c>
      <c r="C201" s="14" t="s">
        <v>586</v>
      </c>
      <c r="E201" s="14" t="s">
        <v>587</v>
      </c>
      <c r="G201" t="s">
        <v>709</v>
      </c>
      <c r="AH201" s="14"/>
      <c r="AI201" s="14"/>
    </row>
    <row r="202" spans="2:35">
      <c r="B202">
        <v>201</v>
      </c>
      <c r="C202" s="14" t="s">
        <v>589</v>
      </c>
      <c r="E202" s="14" t="s">
        <v>590</v>
      </c>
      <c r="G202" t="s">
        <v>709</v>
      </c>
      <c r="AH202" s="14"/>
      <c r="AI202" s="14"/>
    </row>
    <row r="203" spans="2:35">
      <c r="B203">
        <v>202</v>
      </c>
      <c r="C203" s="14" t="s">
        <v>592</v>
      </c>
      <c r="E203" s="14" t="s">
        <v>466</v>
      </c>
      <c r="G203" t="s">
        <v>709</v>
      </c>
      <c r="AH203" s="14"/>
      <c r="AI203" s="14"/>
    </row>
    <row r="204" spans="2:35">
      <c r="B204">
        <v>203</v>
      </c>
      <c r="C204" s="14" t="s">
        <v>593</v>
      </c>
      <c r="E204" s="14" t="s">
        <v>510</v>
      </c>
      <c r="G204" t="s">
        <v>709</v>
      </c>
      <c r="AH204" s="14"/>
      <c r="AI204" s="14"/>
    </row>
    <row r="205" spans="2:35">
      <c r="B205">
        <v>204</v>
      </c>
      <c r="C205" s="14" t="s">
        <v>593</v>
      </c>
      <c r="E205" s="14" t="s">
        <v>510</v>
      </c>
      <c r="G205" t="s">
        <v>709</v>
      </c>
      <c r="AH205" s="14"/>
      <c r="AI205" s="14"/>
    </row>
    <row r="206" spans="2:35">
      <c r="B206">
        <v>205</v>
      </c>
      <c r="C206" s="14" t="s">
        <v>593</v>
      </c>
      <c r="E206" s="14" t="s">
        <v>541</v>
      </c>
      <c r="G206" t="s">
        <v>709</v>
      </c>
      <c r="AH206" s="14"/>
      <c r="AI206" s="14"/>
    </row>
    <row r="207" spans="2:35">
      <c r="B207">
        <v>206</v>
      </c>
      <c r="C207" s="14" t="s">
        <v>597</v>
      </c>
      <c r="E207" s="14" t="s">
        <v>598</v>
      </c>
      <c r="G207" t="s">
        <v>709</v>
      </c>
      <c r="AH207" s="14"/>
      <c r="AI207" s="14"/>
    </row>
    <row r="208" spans="2:35">
      <c r="B208">
        <v>207</v>
      </c>
      <c r="C208" s="14" t="s">
        <v>600</v>
      </c>
      <c r="E208" s="14" t="s">
        <v>500</v>
      </c>
      <c r="G208" t="s">
        <v>709</v>
      </c>
      <c r="AH208" s="14"/>
      <c r="AI208" s="14"/>
    </row>
    <row r="209" spans="2:35">
      <c r="B209">
        <v>208</v>
      </c>
      <c r="C209" s="14" t="s">
        <v>602</v>
      </c>
      <c r="E209" s="14" t="s">
        <v>500</v>
      </c>
      <c r="G209" t="s">
        <v>709</v>
      </c>
      <c r="AH209" s="14"/>
      <c r="AI209" s="14"/>
    </row>
    <row r="210" spans="2:35">
      <c r="B210">
        <v>209</v>
      </c>
      <c r="C210" s="14" t="s">
        <v>604</v>
      </c>
      <c r="E210" s="14" t="s">
        <v>421</v>
      </c>
      <c r="G210" t="s">
        <v>709</v>
      </c>
      <c r="AH210" s="14"/>
      <c r="AI210" s="14"/>
    </row>
    <row r="211" spans="2:35">
      <c r="B211">
        <v>210</v>
      </c>
      <c r="C211" s="14" t="s">
        <v>605</v>
      </c>
      <c r="E211" s="14" t="s">
        <v>468</v>
      </c>
      <c r="G211" t="s">
        <v>709</v>
      </c>
      <c r="AH211" s="14"/>
      <c r="AI211" s="14"/>
    </row>
    <row r="212" spans="2:35">
      <c r="B212">
        <v>211</v>
      </c>
      <c r="C212" s="14" t="s">
        <v>607</v>
      </c>
      <c r="E212" s="14" t="s">
        <v>510</v>
      </c>
      <c r="G212" t="s">
        <v>709</v>
      </c>
      <c r="AH212" s="14"/>
      <c r="AI212" s="14"/>
    </row>
    <row r="213" spans="2:35">
      <c r="B213">
        <v>212</v>
      </c>
      <c r="C213" s="14" t="s">
        <v>609</v>
      </c>
      <c r="E213" s="14" t="s">
        <v>477</v>
      </c>
      <c r="G213" t="s">
        <v>709</v>
      </c>
      <c r="AH213" s="14"/>
      <c r="AI213" s="14"/>
    </row>
    <row r="214" spans="2:35">
      <c r="B214">
        <v>213</v>
      </c>
      <c r="C214" s="14" t="s">
        <v>610</v>
      </c>
      <c r="E214" s="14" t="s">
        <v>477</v>
      </c>
      <c r="G214" t="s">
        <v>709</v>
      </c>
      <c r="AH214" s="14"/>
      <c r="AI214" s="14"/>
    </row>
    <row r="215" spans="2:35">
      <c r="B215">
        <v>214</v>
      </c>
      <c r="C215" s="14" t="s">
        <v>611</v>
      </c>
      <c r="E215" s="14" t="s">
        <v>418</v>
      </c>
      <c r="G215" t="s">
        <v>709</v>
      </c>
      <c r="AH215" s="14"/>
      <c r="AI215" s="14"/>
    </row>
    <row r="216" spans="2:35">
      <c r="B216">
        <v>215</v>
      </c>
      <c r="AH216" s="14"/>
      <c r="AI216" s="14"/>
    </row>
    <row r="217" spans="2:35">
      <c r="B217">
        <v>216</v>
      </c>
      <c r="AH217" s="14"/>
      <c r="AI217" s="14"/>
    </row>
    <row r="218" spans="2:35">
      <c r="B218">
        <v>217</v>
      </c>
      <c r="AH218" s="14"/>
      <c r="AI218" s="14"/>
    </row>
    <row r="219" spans="2:35">
      <c r="B219">
        <v>218</v>
      </c>
      <c r="AH219" s="14"/>
      <c r="AI219" s="14"/>
    </row>
    <row r="220" spans="2:35">
      <c r="B220">
        <v>219</v>
      </c>
      <c r="AH220" s="14"/>
      <c r="AI220" s="14"/>
    </row>
    <row r="221" spans="2:35">
      <c r="B221">
        <v>220</v>
      </c>
      <c r="AH221" s="14"/>
      <c r="AI221" s="14"/>
    </row>
    <row r="222" spans="2:35">
      <c r="B222">
        <v>221</v>
      </c>
      <c r="AH222" s="14"/>
      <c r="AI222" s="14"/>
    </row>
    <row r="223" spans="2:35">
      <c r="B223">
        <v>222</v>
      </c>
      <c r="AH223" s="14"/>
      <c r="AI223" s="14"/>
    </row>
    <row r="224" spans="2:35">
      <c r="B224">
        <v>223</v>
      </c>
      <c r="AH224" s="14"/>
      <c r="AI224" s="14"/>
    </row>
    <row r="225" spans="2:35">
      <c r="B225">
        <v>224</v>
      </c>
      <c r="AH225" s="14"/>
      <c r="AI225" s="14"/>
    </row>
    <row r="226" spans="2:35">
      <c r="B226">
        <v>225</v>
      </c>
      <c r="AH226" s="14"/>
      <c r="AI226" s="14"/>
    </row>
    <row r="227" spans="2:35">
      <c r="B227">
        <v>226</v>
      </c>
      <c r="AH227" s="14"/>
      <c r="AI227" s="14"/>
    </row>
    <row r="228" spans="2:35">
      <c r="B228">
        <v>227</v>
      </c>
      <c r="AH228" s="14"/>
      <c r="AI228" s="14"/>
    </row>
    <row r="229" spans="2:35">
      <c r="B229">
        <v>228</v>
      </c>
      <c r="AH229" s="14"/>
      <c r="AI229" s="14"/>
    </row>
    <row r="230" spans="2:35">
      <c r="B230">
        <v>229</v>
      </c>
      <c r="AH230" s="14"/>
      <c r="AI230" s="14"/>
    </row>
    <row r="231" spans="2:35">
      <c r="B231">
        <v>230</v>
      </c>
      <c r="AH231" s="14"/>
      <c r="AI231" s="14"/>
    </row>
    <row r="232" spans="2:35">
      <c r="B232">
        <v>231</v>
      </c>
      <c r="AH232" s="14"/>
      <c r="AI232" s="14"/>
    </row>
    <row r="233" spans="2:35">
      <c r="B233">
        <v>232</v>
      </c>
      <c r="AH233" s="14"/>
      <c r="AI233" s="14"/>
    </row>
    <row r="234" spans="2:35">
      <c r="B234">
        <v>233</v>
      </c>
      <c r="AH234" s="14"/>
      <c r="AI234" s="14"/>
    </row>
    <row r="235" spans="2:35">
      <c r="B235">
        <v>234</v>
      </c>
      <c r="AH235" s="14"/>
      <c r="AI235" s="14"/>
    </row>
    <row r="236" spans="2:35">
      <c r="B236">
        <v>235</v>
      </c>
      <c r="AH236" s="14"/>
      <c r="AI236" s="14"/>
    </row>
    <row r="237" spans="2:35">
      <c r="B237">
        <v>236</v>
      </c>
      <c r="AH237" s="14"/>
      <c r="AI237" s="14"/>
    </row>
    <row r="238" spans="2:35">
      <c r="B238">
        <v>237</v>
      </c>
      <c r="AH238" s="14"/>
      <c r="AI238" s="14"/>
    </row>
    <row r="239" spans="2:35">
      <c r="B239">
        <v>238</v>
      </c>
      <c r="AH239" s="14"/>
      <c r="AI239" s="14"/>
    </row>
    <row r="240" spans="2:35">
      <c r="B240">
        <v>239</v>
      </c>
      <c r="AH240" s="14"/>
      <c r="AI240" s="14"/>
    </row>
    <row r="241" spans="2:35">
      <c r="B241">
        <v>240</v>
      </c>
      <c r="AH241" s="14"/>
      <c r="AI241" s="14"/>
    </row>
    <row r="242" spans="2:35">
      <c r="B242">
        <v>241</v>
      </c>
      <c r="AH242" s="14"/>
      <c r="AI242" s="14"/>
    </row>
    <row r="243" spans="2:35">
      <c r="B243">
        <v>242</v>
      </c>
      <c r="AH243" s="14"/>
      <c r="AI243" s="14"/>
    </row>
    <row r="244" spans="2:35">
      <c r="B244">
        <v>243</v>
      </c>
      <c r="AH244" s="14"/>
      <c r="AI244" s="14"/>
    </row>
    <row r="245" spans="2:35">
      <c r="B245">
        <v>244</v>
      </c>
      <c r="AH245" s="14"/>
      <c r="AI245" s="14"/>
    </row>
    <row r="246" spans="2:35">
      <c r="B246">
        <v>245</v>
      </c>
      <c r="AH246" s="14"/>
      <c r="AI246" s="14"/>
    </row>
    <row r="247" spans="2:35">
      <c r="B247">
        <v>246</v>
      </c>
      <c r="AH247" s="14"/>
      <c r="AI247" s="14"/>
    </row>
    <row r="248" spans="2:35">
      <c r="B248">
        <v>247</v>
      </c>
      <c r="AH248" s="14"/>
      <c r="AI248" s="14"/>
    </row>
    <row r="249" spans="2:35">
      <c r="B249">
        <v>248</v>
      </c>
      <c r="AH249" s="14"/>
      <c r="AI249" s="14"/>
    </row>
    <row r="250" spans="2:35">
      <c r="B250">
        <v>249</v>
      </c>
      <c r="AH250" s="14"/>
      <c r="AI250" s="14"/>
    </row>
    <row r="251" spans="2:35">
      <c r="B251">
        <v>250</v>
      </c>
      <c r="AH251" s="14"/>
      <c r="AI251" s="14"/>
    </row>
    <row r="252" spans="2:35">
      <c r="B252">
        <v>251</v>
      </c>
      <c r="AH252" s="14"/>
      <c r="AI252" s="14"/>
    </row>
    <row r="253" spans="2:35">
      <c r="B253">
        <v>252</v>
      </c>
      <c r="AH253" s="14"/>
      <c r="AI253" s="14"/>
    </row>
    <row r="254" spans="2:35">
      <c r="B254">
        <v>253</v>
      </c>
      <c r="AH254" s="14"/>
      <c r="AI254" s="14"/>
    </row>
    <row r="255" spans="2:35">
      <c r="B255">
        <v>254</v>
      </c>
      <c r="AH255" s="14"/>
      <c r="AI255" s="14"/>
    </row>
    <row r="256" spans="2:35">
      <c r="B256">
        <v>255</v>
      </c>
      <c r="AH256" s="14"/>
      <c r="AI256" s="14"/>
    </row>
    <row r="257" spans="2:35">
      <c r="B257">
        <v>256</v>
      </c>
      <c r="AH257" s="14"/>
      <c r="AI257" s="14"/>
    </row>
    <row r="258" spans="2:35">
      <c r="B258">
        <v>257</v>
      </c>
      <c r="AH258" s="14"/>
      <c r="AI258" s="14"/>
    </row>
    <row r="259" spans="2:35">
      <c r="B259">
        <v>258</v>
      </c>
      <c r="AH259" s="14"/>
      <c r="AI259" s="14"/>
    </row>
    <row r="260" spans="2:35">
      <c r="B260">
        <v>259</v>
      </c>
      <c r="AH260" s="14"/>
      <c r="AI260" s="14"/>
    </row>
    <row r="261" spans="2:35">
      <c r="B261">
        <v>260</v>
      </c>
      <c r="AH261" s="14"/>
      <c r="AI261" s="14"/>
    </row>
    <row r="262" spans="2:35">
      <c r="B262">
        <v>261</v>
      </c>
      <c r="AH262" s="14"/>
      <c r="AI262" s="14"/>
    </row>
    <row r="263" spans="2:35">
      <c r="B263">
        <v>262</v>
      </c>
      <c r="AH263" s="14"/>
      <c r="AI263" s="14"/>
    </row>
    <row r="264" spans="2:35">
      <c r="B264">
        <v>263</v>
      </c>
      <c r="AH264" s="14"/>
      <c r="AI264" s="14"/>
    </row>
    <row r="265" spans="2:35">
      <c r="B265">
        <v>264</v>
      </c>
      <c r="AH265" s="14"/>
      <c r="AI265" s="14"/>
    </row>
    <row r="266" spans="2:35">
      <c r="B266">
        <v>265</v>
      </c>
      <c r="AH266" s="14"/>
      <c r="AI266" s="14"/>
    </row>
    <row r="267" spans="2:35">
      <c r="B267">
        <v>266</v>
      </c>
      <c r="AH267" s="14"/>
      <c r="AI267" s="14"/>
    </row>
    <row r="268" spans="2:35">
      <c r="B268">
        <v>267</v>
      </c>
      <c r="AH268" s="14"/>
      <c r="AI268" s="14"/>
    </row>
    <row r="269" spans="2:35">
      <c r="B269">
        <v>268</v>
      </c>
      <c r="AH269" s="14"/>
      <c r="AI269" s="14"/>
    </row>
    <row r="270" spans="2:35">
      <c r="B270">
        <v>269</v>
      </c>
      <c r="AH270" s="14"/>
      <c r="AI270" s="14"/>
    </row>
    <row r="271" spans="2:35">
      <c r="B271">
        <v>270</v>
      </c>
      <c r="AH271" s="14"/>
      <c r="AI271" s="14"/>
    </row>
    <row r="272" spans="2:35">
      <c r="B272">
        <v>271</v>
      </c>
      <c r="AH272" s="14"/>
      <c r="AI272" s="14"/>
    </row>
    <row r="273" spans="2:35">
      <c r="B273">
        <v>272</v>
      </c>
      <c r="AH273" s="14"/>
      <c r="AI273" s="14"/>
    </row>
    <row r="274" spans="2:35">
      <c r="B274">
        <v>273</v>
      </c>
      <c r="AH274" s="14"/>
      <c r="AI274" s="14"/>
    </row>
    <row r="275" spans="2:35">
      <c r="B275">
        <v>274</v>
      </c>
      <c r="AH275" s="14"/>
      <c r="AI275" s="14"/>
    </row>
    <row r="276" spans="2:35">
      <c r="B276">
        <v>275</v>
      </c>
      <c r="AH276" s="14"/>
      <c r="AI276" s="14"/>
    </row>
    <row r="277" spans="2:35">
      <c r="B277">
        <v>276</v>
      </c>
      <c r="AH277" s="14"/>
      <c r="AI277" s="14"/>
    </row>
    <row r="278" spans="2:35">
      <c r="B278">
        <v>277</v>
      </c>
      <c r="AH278" s="14"/>
      <c r="AI278" s="14"/>
    </row>
    <row r="279" spans="2:35">
      <c r="B279">
        <v>278</v>
      </c>
      <c r="AH279" s="14"/>
      <c r="AI279" s="14"/>
    </row>
    <row r="280" spans="2:35">
      <c r="B280">
        <v>279</v>
      </c>
      <c r="AH280" s="14"/>
      <c r="AI280" s="14"/>
    </row>
    <row r="281" spans="2:35">
      <c r="B281">
        <v>280</v>
      </c>
      <c r="AH281" s="14"/>
      <c r="AI281" s="14"/>
    </row>
    <row r="282" spans="2:35">
      <c r="B282">
        <v>281</v>
      </c>
      <c r="AH282" s="14"/>
      <c r="AI282" s="14"/>
    </row>
    <row r="283" spans="2:35">
      <c r="B283">
        <v>282</v>
      </c>
      <c r="AH283" s="14"/>
      <c r="AI283" s="14"/>
    </row>
    <row r="284" spans="2:35">
      <c r="B284">
        <v>283</v>
      </c>
      <c r="AH284" s="14"/>
      <c r="AI284" s="14"/>
    </row>
    <row r="285" spans="2:35">
      <c r="B285">
        <v>284</v>
      </c>
      <c r="AH285" s="14"/>
      <c r="AI285" s="14"/>
    </row>
    <row r="286" spans="2:35">
      <c r="B286">
        <v>285</v>
      </c>
      <c r="AH286" s="14"/>
      <c r="AI286" s="14"/>
    </row>
    <row r="287" spans="2:35">
      <c r="B287">
        <v>286</v>
      </c>
      <c r="AH287" s="14"/>
      <c r="AI287" s="14"/>
    </row>
    <row r="288" spans="2:35">
      <c r="B288">
        <v>287</v>
      </c>
      <c r="AH288" s="14"/>
      <c r="AI288" s="14"/>
    </row>
    <row r="289" spans="2:35">
      <c r="B289">
        <v>288</v>
      </c>
      <c r="AH289" s="14"/>
      <c r="AI289" s="14"/>
    </row>
    <row r="290" spans="2:35">
      <c r="B290">
        <v>289</v>
      </c>
      <c r="AH290" s="14"/>
      <c r="AI290" s="14"/>
    </row>
    <row r="291" spans="2:35">
      <c r="B291">
        <v>290</v>
      </c>
      <c r="AH291" s="14"/>
      <c r="AI291" s="14"/>
    </row>
    <row r="292" spans="2:35">
      <c r="B292">
        <v>291</v>
      </c>
      <c r="AH292" s="14"/>
      <c r="AI292" s="14"/>
    </row>
    <row r="293" spans="2:35">
      <c r="B293">
        <v>292</v>
      </c>
      <c r="AH293" s="14"/>
      <c r="AI293" s="14"/>
    </row>
    <row r="294" spans="2:35">
      <c r="B294">
        <v>293</v>
      </c>
      <c r="AH294" s="14"/>
      <c r="AI294" s="14"/>
    </row>
    <row r="295" spans="2:35">
      <c r="B295">
        <v>294</v>
      </c>
      <c r="AH295" s="14"/>
      <c r="AI295" s="14"/>
    </row>
    <row r="296" spans="2:35">
      <c r="B296">
        <v>295</v>
      </c>
      <c r="AH296" s="14"/>
      <c r="AI296" s="14"/>
    </row>
    <row r="297" spans="2:35">
      <c r="B297">
        <v>296</v>
      </c>
      <c r="AH297" s="14"/>
      <c r="AI297" s="14"/>
    </row>
    <row r="298" spans="2:35">
      <c r="B298">
        <v>297</v>
      </c>
      <c r="AH298" s="14"/>
      <c r="AI298" s="14"/>
    </row>
    <row r="299" spans="2:35">
      <c r="B299">
        <v>298</v>
      </c>
      <c r="AH299" s="14"/>
      <c r="AI299" s="14"/>
    </row>
    <row r="300" spans="2:35">
      <c r="B300">
        <v>299</v>
      </c>
      <c r="AH300" s="14"/>
      <c r="AI300" s="14"/>
    </row>
    <row r="301" spans="2:35">
      <c r="B301">
        <v>300</v>
      </c>
      <c r="AH301" s="14"/>
      <c r="AI30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 Engine</vt:lpstr>
      <vt:lpstr>Capital Cost</vt:lpstr>
      <vt:lpstr>AlF3_Price</vt:lpstr>
      <vt:lpstr>carbon price</vt:lpstr>
      <vt:lpstr>Carbon Source</vt:lpstr>
      <vt:lpstr>CapitalCost</vt:lpstr>
      <vt:lpstr>Captive power cost</vt:lpstr>
      <vt:lpstr>Electricity Consumption</vt:lpstr>
      <vt:lpstr>Electricity Grid</vt:lpstr>
      <vt:lpstr>Electricity Source</vt:lpstr>
      <vt:lpstr>NaturalGasPrice</vt:lpstr>
      <vt:lpstr>Salary</vt:lpstr>
      <vt:lpstr>Currency</vt:lpstr>
      <vt:lpstr>Smelter Capacity</vt:lpstr>
      <vt:lpstr>Smelter Production</vt:lpstr>
      <vt:lpstr>Aa Source</vt:lpstr>
      <vt:lpstr>web3</vt:lpstr>
      <vt:lpstr>SelfsuppliedAacost</vt:lpstr>
      <vt:lpstr>AaselfsupplyRatio</vt:lpstr>
      <vt:lpstr>SelfSuppliedRefinary</vt:lpstr>
      <vt:lpstr>AaSource</vt:lpstr>
      <vt:lpstr>Aa SelfSupply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2020-06-16T19:25:48Z</dcterms:modified>
</cp:coreProperties>
</file>