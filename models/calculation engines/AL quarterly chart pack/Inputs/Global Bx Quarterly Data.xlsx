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980" firstSheet="8" activeTab="8"/>
  </bookViews>
  <sheets>
    <sheet name="CM Global Bx Production" sheetId="2" r:id="rId1"/>
    <sheet name="Rio Quarterly Report" sheetId="3" r:id="rId2"/>
    <sheet name="Rusal Quarterly Report" sheetId="4" r:id="rId3"/>
    <sheet name="Hydro Quarterly Bx " sheetId="5" r:id="rId4"/>
    <sheet name="South 32 Alumina Production" sheetId="6" r:id="rId5"/>
    <sheet name="Hindalco" sheetId="7" r:id="rId6"/>
    <sheet name="Vedanta" sheetId="8" r:id="rId7"/>
    <sheet name="NALCO" sheetId="9" r:id="rId8"/>
    <sheet name="Production for Main Companies" sheetId="10" r:id="rId9"/>
  </sheets>
  <calcPr calcId="144525"/>
</workbook>
</file>

<file path=xl/comments1.xml><?xml version="1.0" encoding="utf-8"?>
<comments xmlns="http://schemas.openxmlformats.org/spreadsheetml/2006/main">
  <authors>
    <author>Liping Li</author>
  </authors>
  <commentList>
    <comment ref="C8" authorId="0">
      <text>
        <r>
          <rPr>
            <b/>
            <sz val="10"/>
            <color rgb="FF000000"/>
            <rFont val="Tahoma"/>
            <charset val="134"/>
          </rPr>
          <t>Liping Li:</t>
        </r>
        <r>
          <rPr>
            <sz val="10"/>
            <color rgb="FF000000"/>
            <rFont val="Tahoma"/>
            <charset val="134"/>
          </rPr>
          <t xml:space="preserve">
Estimate</t>
        </r>
      </text>
    </comment>
    <comment ref="C9" authorId="0">
      <text>
        <r>
          <rPr>
            <b/>
            <sz val="10"/>
            <color rgb="FF000000"/>
            <rFont val="Tahoma"/>
            <charset val="134"/>
          </rPr>
          <t>Liping Li:</t>
        </r>
        <r>
          <rPr>
            <sz val="10"/>
            <color rgb="FF000000"/>
            <rFont val="Tahoma"/>
            <charset val="134"/>
          </rPr>
          <t xml:space="preserve">
Estimate
</t>
        </r>
      </text>
    </comment>
  </commentList>
</comments>
</file>

<file path=xl/comments2.xml><?xml version="1.0" encoding="utf-8"?>
<comments xmlns="http://schemas.openxmlformats.org/spreadsheetml/2006/main">
  <authors>
    <author>Microsoft Office User</author>
  </authors>
  <commentList>
    <comment ref="C1" authorId="0">
      <text>
        <r>
          <rPr>
            <b/>
            <sz val="10"/>
            <color rgb="FF000000"/>
            <rFont val="Calibri"/>
            <charset val="134"/>
          </rPr>
          <t xml:space="preserve">Liping: Worsley + 14.8% of MRN
</t>
        </r>
      </text>
    </comment>
    <comment ref="E1" authorId="0">
      <text>
        <r>
          <rPr>
            <sz val="10"/>
            <color rgb="FF000000"/>
            <rFont val="Calibri"/>
            <charset val="134"/>
          </rPr>
          <t xml:space="preserve">Liping: 
100% GOVE + WEIPA
22.95% CBG + 12% MRN
</t>
        </r>
      </text>
    </comment>
    <comment ref="G1" authorId="0">
      <text>
        <r>
          <rPr>
            <sz val="10"/>
            <color rgb="FF000000"/>
            <rFont val="Calibri"/>
            <charset val="134"/>
          </rPr>
          <t xml:space="preserve">Liping: Paragominas + MRN (40% offtake Vale +5% ownership)
</t>
        </r>
      </text>
    </comment>
  </commentList>
</comments>
</file>

<file path=xl/sharedStrings.xml><?xml version="1.0" encoding="utf-8"?>
<sst xmlns="http://schemas.openxmlformats.org/spreadsheetml/2006/main" count="203" uniqueCount="34">
  <si>
    <t>Year</t>
  </si>
  <si>
    <t>Quarter</t>
  </si>
  <si>
    <t>China</t>
  </si>
  <si>
    <t>Australia</t>
  </si>
  <si>
    <t>Guinea</t>
  </si>
  <si>
    <t>Brazil</t>
  </si>
  <si>
    <t>India</t>
  </si>
  <si>
    <t>Russia</t>
  </si>
  <si>
    <t>Jamaica</t>
  </si>
  <si>
    <t>Malaysia</t>
  </si>
  <si>
    <t>Other</t>
  </si>
  <si>
    <t>Q1</t>
  </si>
  <si>
    <t>Q2</t>
  </si>
  <si>
    <t>Q3</t>
  </si>
  <si>
    <t>Q4</t>
  </si>
  <si>
    <t>Gove (100%)</t>
  </si>
  <si>
    <t>MRN (12%)</t>
  </si>
  <si>
    <t>CBG (45%)</t>
  </si>
  <si>
    <t>Weipa (100%)</t>
  </si>
  <si>
    <t>Alcoa Quarterly Report</t>
  </si>
  <si>
    <t>Guyana</t>
  </si>
  <si>
    <t>Paragominas</t>
  </si>
  <si>
    <t>Worsley</t>
  </si>
  <si>
    <t>Alumina (Including Utkal)</t>
  </si>
  <si>
    <t>Alumina</t>
  </si>
  <si>
    <t>S32</t>
  </si>
  <si>
    <t>Alcoa</t>
  </si>
  <si>
    <t>Rio</t>
  </si>
  <si>
    <t>Rusal</t>
  </si>
  <si>
    <t>Hydro</t>
  </si>
  <si>
    <t>Chalco</t>
  </si>
  <si>
    <t>Noranda</t>
  </si>
  <si>
    <t>Votorantim</t>
  </si>
  <si>
    <t>SMB</t>
  </si>
</sst>
</file>

<file path=xl/styles.xml><?xml version="1.0" encoding="utf-8"?>
<styleSheet xmlns="http://schemas.openxmlformats.org/spreadsheetml/2006/main">
  <numFmts count="6">
    <numFmt numFmtId="176" formatCode="_(* #,##0_);_(* \(#,##0\);_(* &quot;-&quot;??_);_(@_)"/>
    <numFmt numFmtId="177" formatCode="_-* #,##0.00_-;\-* #,##0.00_-;_-* &quot;-&quot;??_-;_-@_-"/>
    <numFmt numFmtId="178" formatCode="_-&quot;£&quot;* #,##0_-;\-&quot;£&quot;* #,##0_-;_-&quot;£&quot;* &quot;-&quot;_-;_-@_-"/>
    <numFmt numFmtId="179" formatCode="_-&quot;£&quot;* #,##0.00_-;\-&quot;£&quot;* #,##0.00_-;_-&quot;£&quot;* &quot;-&quot;??_-;_-@_-"/>
    <numFmt numFmtId="180" formatCode="_(* #,##0.0_);_(* \(#,##0.0\);_(* &quot;-&quot;??_);_(@_)"/>
    <numFmt numFmtId="181" formatCode="_-* #,##0_-;\-* #,##0_-;_-* &quot;-&quot;_-;_-@_-"/>
  </numFmts>
  <fonts count="29">
    <font>
      <sz val="11"/>
      <color theme="1"/>
      <name val="Calibri"/>
      <charset val="134"/>
      <scheme val="minor"/>
    </font>
    <font>
      <sz val="10"/>
      <name val="Arial"/>
      <charset val="134"/>
    </font>
    <font>
      <sz val="10"/>
      <name val="Verdana"/>
      <charset val="134"/>
    </font>
    <font>
      <sz val="12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0"/>
      <color rgb="FFFF0000"/>
      <name val="Verdana"/>
      <charset val="134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Tahoma"/>
      <charset val="134"/>
    </font>
    <font>
      <b/>
      <sz val="10"/>
      <color rgb="FF000000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4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4" fillId="36" borderId="8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3" fillId="36" borderId="6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Fill="1" applyAlignment="1"/>
    <xf numFmtId="180" fontId="3" fillId="3" borderId="0" xfId="2" applyNumberFormat="1" applyFont="1" applyFill="1" applyAlignment="1"/>
    <xf numFmtId="2" fontId="3" fillId="4" borderId="0" xfId="2" applyNumberFormat="1" applyFont="1" applyFill="1" applyAlignment="1"/>
    <xf numFmtId="2" fontId="3" fillId="5" borderId="0" xfId="2" applyNumberFormat="1" applyFont="1" applyFill="1" applyAlignment="1"/>
    <xf numFmtId="180" fontId="4" fillId="3" borderId="0" xfId="2" applyNumberFormat="1" applyFont="1" applyFill="1" applyAlignment="1"/>
    <xf numFmtId="180" fontId="4" fillId="3" borderId="0" xfId="2" applyNumberFormat="1" applyFont="1" applyFill="1" applyBorder="1" applyAlignment="1"/>
    <xf numFmtId="0" fontId="2" fillId="3" borderId="0" xfId="0" applyFont="1" applyFill="1" applyAlignment="1"/>
    <xf numFmtId="0" fontId="4" fillId="3" borderId="0" xfId="0" applyFont="1" applyFill="1" applyAlignment="1"/>
    <xf numFmtId="176" fontId="3" fillId="3" borderId="0" xfId="2" applyNumberFormat="1" applyFont="1" applyFill="1" applyAlignment="1"/>
    <xf numFmtId="0" fontId="2" fillId="3" borderId="0" xfId="0" applyFont="1" applyFill="1" applyBorder="1" applyAlignment="1"/>
    <xf numFmtId="1" fontId="2" fillId="3" borderId="0" xfId="0" applyNumberFormat="1" applyFont="1" applyFill="1" applyBorder="1" applyAlignment="1"/>
    <xf numFmtId="1" fontId="2" fillId="3" borderId="0" xfId="0" applyNumberFormat="1" applyFont="1" applyFill="1" applyAlignment="1"/>
    <xf numFmtId="0" fontId="5" fillId="3" borderId="0" xfId="0" applyFont="1" applyFill="1" applyBorder="1" applyAlignment="1"/>
    <xf numFmtId="0" fontId="5" fillId="3" borderId="0" xfId="0" applyFont="1" applyFill="1" applyAlignment="1"/>
    <xf numFmtId="176" fontId="2" fillId="3" borderId="0" xfId="2" applyNumberFormat="1" applyFont="1" applyFill="1" applyAlignment="1"/>
    <xf numFmtId="176" fontId="2" fillId="3" borderId="0" xfId="2" applyNumberFormat="1" applyFont="1" applyFill="1" applyBorder="1" applyAlignment="1"/>
    <xf numFmtId="3" fontId="2" fillId="3" borderId="0" xfId="0" applyNumberFormat="1" applyFont="1" applyFill="1" applyAlignment="1"/>
    <xf numFmtId="176" fontId="2" fillId="3" borderId="0" xfId="2" applyNumberFormat="1" applyFont="1" applyFill="1" applyAlignment="1">
      <alignment horizontal="center"/>
    </xf>
    <xf numFmtId="3" fontId="2" fillId="3" borderId="0" xfId="0" applyNumberFormat="1" applyFont="1" applyFill="1" applyBorder="1" applyAlignment="1"/>
    <xf numFmtId="176" fontId="2" fillId="3" borderId="0" xfId="2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/>
    <xf numFmtId="0" fontId="2" fillId="0" borderId="0" xfId="0" applyFont="1" applyFill="1" applyBorder="1" applyAlignment="1"/>
    <xf numFmtId="2" fontId="2" fillId="4" borderId="0" xfId="2" applyNumberFormat="1" applyFont="1" applyFill="1" applyBorder="1" applyAlignment="1"/>
    <xf numFmtId="2" fontId="2" fillId="5" borderId="0" xfId="2" applyNumberFormat="1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opLeftCell="A14" workbookViewId="0">
      <selection activeCell="D35" sqref="D35"/>
    </sheetView>
  </sheetViews>
  <sheetFormatPr defaultColWidth="9.14285714285714" defaultRowHeight="15"/>
  <cols>
    <col min="3" max="5" width="9.42857142857143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2016</v>
      </c>
      <c r="B2" s="2" t="s">
        <v>11</v>
      </c>
      <c r="C2" s="24"/>
      <c r="D2" s="24"/>
      <c r="E2" s="24"/>
      <c r="F2" s="24"/>
      <c r="G2" s="24"/>
      <c r="H2" s="24"/>
      <c r="I2" s="24"/>
      <c r="J2" s="24"/>
      <c r="K2" s="24"/>
    </row>
    <row r="3" spans="1:11">
      <c r="A3" s="2">
        <v>2016</v>
      </c>
      <c r="B3" s="2" t="s">
        <v>12</v>
      </c>
      <c r="C3" s="24"/>
      <c r="D3" s="24"/>
      <c r="E3" s="24"/>
      <c r="F3" s="24"/>
      <c r="G3" s="24"/>
      <c r="H3" s="24"/>
      <c r="I3" s="24"/>
      <c r="J3" s="24"/>
      <c r="K3" s="24"/>
    </row>
    <row r="4" spans="1:11">
      <c r="A4" s="2">
        <v>2016</v>
      </c>
      <c r="B4" s="2" t="s">
        <v>13</v>
      </c>
      <c r="C4" s="3"/>
      <c r="D4" s="3"/>
      <c r="E4" s="3"/>
      <c r="F4" s="3"/>
      <c r="G4" s="3"/>
      <c r="H4" s="3"/>
      <c r="I4" s="3"/>
      <c r="J4" s="3"/>
      <c r="K4" s="3"/>
    </row>
    <row r="5" spans="1:11">
      <c r="A5" s="2">
        <v>2016</v>
      </c>
      <c r="B5" s="2" t="s">
        <v>14</v>
      </c>
      <c r="C5" s="3"/>
      <c r="D5" s="3"/>
      <c r="E5" s="3"/>
      <c r="F5" s="3"/>
      <c r="G5" s="3"/>
      <c r="H5" s="3"/>
      <c r="I5" s="3"/>
      <c r="J5" s="3"/>
      <c r="K5" s="3"/>
    </row>
    <row r="6" spans="1:11">
      <c r="A6" s="2">
        <v>2017</v>
      </c>
      <c r="B6" s="2" t="s">
        <v>11</v>
      </c>
      <c r="C6" s="17">
        <v>32024.075383585</v>
      </c>
      <c r="D6" s="17">
        <v>21231.9184557729</v>
      </c>
      <c r="E6" s="17">
        <v>9258.112555</v>
      </c>
      <c r="F6" s="17">
        <v>7425.76655863014</v>
      </c>
      <c r="G6" s="17">
        <v>4156.543</v>
      </c>
      <c r="H6" s="17">
        <v>1312</v>
      </c>
      <c r="I6" s="17">
        <v>1851.48482191781</v>
      </c>
      <c r="J6" s="17">
        <v>1136.553</v>
      </c>
      <c r="K6" s="17">
        <v>4165.90218381147</v>
      </c>
    </row>
    <row r="7" spans="1:11">
      <c r="A7" s="2">
        <v>2017</v>
      </c>
      <c r="B7" s="2" t="s">
        <v>12</v>
      </c>
      <c r="C7" s="17">
        <v>32540.208289005</v>
      </c>
      <c r="D7" s="17">
        <v>22558.7463011448</v>
      </c>
      <c r="E7" s="17">
        <v>12009.260027</v>
      </c>
      <c r="F7" s="17">
        <v>9061.75285372603</v>
      </c>
      <c r="G7" s="17">
        <v>4458.503</v>
      </c>
      <c r="H7" s="17">
        <v>1503</v>
      </c>
      <c r="I7" s="17">
        <v>2160.24576438356</v>
      </c>
      <c r="J7" s="17">
        <v>2258.378</v>
      </c>
      <c r="K7" s="17">
        <v>4165.90218381148</v>
      </c>
    </row>
    <row r="8" spans="1:11">
      <c r="A8" s="2">
        <v>2017</v>
      </c>
      <c r="B8" s="2" t="s">
        <v>13</v>
      </c>
      <c r="C8" s="17">
        <v>32922.5114138996</v>
      </c>
      <c r="D8" s="17">
        <v>22927.9929308486</v>
      </c>
      <c r="E8" s="17">
        <v>12218.2725661111</v>
      </c>
      <c r="F8" s="17">
        <v>9263.73914882192</v>
      </c>
      <c r="G8" s="17">
        <v>4049.177</v>
      </c>
      <c r="H8" s="17">
        <v>1387</v>
      </c>
      <c r="I8" s="17">
        <v>2165.00670684932</v>
      </c>
      <c r="J8" s="17">
        <v>1276.791197</v>
      </c>
      <c r="K8" s="17">
        <v>4211.68132868852</v>
      </c>
    </row>
    <row r="9" spans="1:11">
      <c r="A9" s="2">
        <v>2017</v>
      </c>
      <c r="B9" s="2" t="s">
        <v>14</v>
      </c>
      <c r="C9" s="17">
        <v>31380.729956519</v>
      </c>
      <c r="D9" s="17">
        <v>24036.9208865958</v>
      </c>
      <c r="E9" s="17">
        <v>11599.7423</v>
      </c>
      <c r="F9" s="17">
        <v>8779.73914882192</v>
      </c>
      <c r="G9" s="17">
        <v>3732.688</v>
      </c>
      <c r="H9" s="17">
        <v>1322</v>
      </c>
      <c r="I9" s="17">
        <v>2735.00670684932</v>
      </c>
      <c r="J9" s="17">
        <v>185.61159</v>
      </c>
      <c r="K9" s="17">
        <v>4211.68132868852</v>
      </c>
    </row>
    <row r="10" spans="1:11">
      <c r="A10" s="2">
        <v>2018</v>
      </c>
      <c r="B10" s="2" t="s">
        <v>11</v>
      </c>
      <c r="C10" s="17">
        <v>30880.6427111637</v>
      </c>
      <c r="D10" s="17">
        <v>22330.8501127907</v>
      </c>
      <c r="E10" s="17">
        <v>14886.398</v>
      </c>
      <c r="F10" s="17">
        <v>7036.02438333333</v>
      </c>
      <c r="G10" s="17">
        <v>3763.535</v>
      </c>
      <c r="H10" s="17">
        <v>1310</v>
      </c>
      <c r="I10" s="17">
        <v>2710</v>
      </c>
      <c r="J10" s="17">
        <v>51.632</v>
      </c>
      <c r="K10" s="17">
        <v>7359</v>
      </c>
    </row>
    <row r="11" spans="1:11">
      <c r="A11" s="2">
        <v>2018</v>
      </c>
      <c r="B11" s="2" t="s">
        <v>12</v>
      </c>
      <c r="C11" s="17">
        <v>33537.463758349</v>
      </c>
      <c r="D11" s="17">
        <v>23728.4820490116</v>
      </c>
      <c r="E11" s="17">
        <v>14429</v>
      </c>
      <c r="F11" s="17">
        <v>6504.4694975</v>
      </c>
      <c r="G11" s="17">
        <v>3760.26666666667</v>
      </c>
      <c r="H11" s="17">
        <v>1468</v>
      </c>
      <c r="I11" s="17">
        <v>2860</v>
      </c>
      <c r="J11" s="17">
        <v>35.13</v>
      </c>
      <c r="K11" s="17">
        <v>8380</v>
      </c>
    </row>
    <row r="12" spans="1:11">
      <c r="A12" s="2">
        <v>2018</v>
      </c>
      <c r="B12" s="2" t="s">
        <v>13</v>
      </c>
      <c r="C12" s="17">
        <v>33586.4700384431</v>
      </c>
      <c r="D12" s="17">
        <v>23873.6869848837</v>
      </c>
      <c r="E12" s="17">
        <v>13490.3542222222</v>
      </c>
      <c r="F12" s="17">
        <v>6101.14255</v>
      </c>
      <c r="G12" s="17">
        <v>3973.20866666667</v>
      </c>
      <c r="H12" s="17">
        <v>1609</v>
      </c>
      <c r="I12" s="17">
        <v>2816</v>
      </c>
      <c r="J12" s="17">
        <v>211.13632</v>
      </c>
      <c r="K12" s="17">
        <v>8214</v>
      </c>
    </row>
    <row r="13" spans="1:11">
      <c r="A13" s="2">
        <v>2018</v>
      </c>
      <c r="B13" s="2" t="s">
        <v>14</v>
      </c>
      <c r="C13" s="17">
        <v>33506.2948626319</v>
      </c>
      <c r="D13" s="17">
        <v>23647.7261537209</v>
      </c>
      <c r="E13" s="17">
        <v>14189.5635555556</v>
      </c>
      <c r="F13" s="17">
        <v>7310.78273</v>
      </c>
      <c r="G13" s="17">
        <v>3993.41466666667</v>
      </c>
      <c r="H13" s="17">
        <v>1264</v>
      </c>
      <c r="I13" s="17">
        <v>3146</v>
      </c>
      <c r="J13" s="17">
        <v>259.386</v>
      </c>
      <c r="K13" s="17">
        <v>9049</v>
      </c>
    </row>
    <row r="14" spans="1:11">
      <c r="A14" s="2">
        <v>2019</v>
      </c>
      <c r="B14" s="2" t="s">
        <v>11</v>
      </c>
      <c r="C14" s="25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</row>
    <row r="15" spans="1:11">
      <c r="A15" s="2">
        <v>2019</v>
      </c>
      <c r="B15" s="2" t="s">
        <v>12</v>
      </c>
      <c r="C15" s="25">
        <v>0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</row>
    <row r="16" spans="1:11">
      <c r="A16" s="2">
        <v>2019</v>
      </c>
      <c r="B16" s="2" t="s">
        <v>13</v>
      </c>
      <c r="C16" s="25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</row>
    <row r="17" spans="1:11">
      <c r="A17" s="2">
        <v>2019</v>
      </c>
      <c r="B17" s="2" t="s">
        <v>14</v>
      </c>
      <c r="C17" s="25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</row>
    <row r="18" spans="1:11">
      <c r="A18" s="2">
        <v>2020</v>
      </c>
      <c r="B18" s="2" t="s">
        <v>11</v>
      </c>
      <c r="C18" s="25">
        <v>0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G1" sqref="G1"/>
    </sheetView>
  </sheetViews>
  <sheetFormatPr defaultColWidth="9.14285714285714" defaultRowHeight="15" outlineLevelCol="7"/>
  <sheetData>
    <row r="1" spans="1:8">
      <c r="A1" t="s">
        <v>0</v>
      </c>
      <c r="B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H1" t="s">
        <v>19</v>
      </c>
    </row>
    <row r="2" spans="1:8">
      <c r="A2" s="2">
        <v>2016</v>
      </c>
      <c r="B2" s="2" t="s">
        <v>11</v>
      </c>
      <c r="C2" s="19">
        <v>2214</v>
      </c>
      <c r="D2" s="19">
        <v>457</v>
      </c>
      <c r="E2" s="19">
        <v>1892</v>
      </c>
      <c r="F2" s="19">
        <v>6524</v>
      </c>
      <c r="H2" s="20">
        <v>11.3</v>
      </c>
    </row>
    <row r="3" spans="1:8">
      <c r="A3" s="2">
        <v>2016</v>
      </c>
      <c r="B3" s="2" t="s">
        <v>12</v>
      </c>
      <c r="C3" s="19">
        <v>2186</v>
      </c>
      <c r="D3" s="19">
        <v>470</v>
      </c>
      <c r="E3" s="19">
        <v>1857</v>
      </c>
      <c r="F3" s="19">
        <v>7560</v>
      </c>
      <c r="H3" s="20">
        <v>10.8</v>
      </c>
    </row>
    <row r="4" spans="1:8">
      <c r="A4" s="2">
        <v>2016</v>
      </c>
      <c r="B4" s="2" t="s">
        <v>13</v>
      </c>
      <c r="C4" s="19">
        <v>2521</v>
      </c>
      <c r="D4" s="19">
        <v>533</v>
      </c>
      <c r="E4" s="19">
        <v>1726</v>
      </c>
      <c r="F4" s="19">
        <v>7642</v>
      </c>
      <c r="H4" s="20">
        <v>11.1</v>
      </c>
    </row>
    <row r="5" spans="1:8">
      <c r="A5" s="2">
        <v>2016</v>
      </c>
      <c r="B5" s="2" t="s">
        <v>14</v>
      </c>
      <c r="C5" s="19">
        <v>2169</v>
      </c>
      <c r="D5" s="19">
        <v>516</v>
      </c>
      <c r="E5" s="19">
        <v>1735</v>
      </c>
      <c r="F5" s="19">
        <v>7700</v>
      </c>
      <c r="H5" s="20">
        <v>11.8</v>
      </c>
    </row>
    <row r="6" spans="1:8">
      <c r="A6" s="2">
        <v>2017</v>
      </c>
      <c r="B6" s="2" t="s">
        <v>11</v>
      </c>
      <c r="C6" s="19">
        <v>2388</v>
      </c>
      <c r="D6" s="19">
        <v>357</v>
      </c>
      <c r="E6" s="19">
        <v>1665</v>
      </c>
      <c r="F6" s="19">
        <v>6893</v>
      </c>
      <c r="H6" s="20">
        <v>11.1</v>
      </c>
    </row>
    <row r="7" spans="1:8">
      <c r="A7" s="2">
        <v>2017</v>
      </c>
      <c r="B7" s="2" t="s">
        <v>12</v>
      </c>
      <c r="C7" s="19">
        <v>2780</v>
      </c>
      <c r="D7" s="19">
        <v>489</v>
      </c>
      <c r="E7" s="19">
        <v>1791</v>
      </c>
      <c r="F7" s="19">
        <v>7805</v>
      </c>
      <c r="H7" s="20">
        <v>11</v>
      </c>
    </row>
    <row r="8" spans="1:8">
      <c r="A8" s="2">
        <v>2017</v>
      </c>
      <c r="B8" s="2" t="s">
        <v>13</v>
      </c>
      <c r="C8" s="19">
        <v>2809</v>
      </c>
      <c r="D8" s="19">
        <v>492</v>
      </c>
      <c r="E8" s="19">
        <v>1670</v>
      </c>
      <c r="F8" s="19">
        <v>7895</v>
      </c>
      <c r="H8" s="20">
        <v>11.6</v>
      </c>
    </row>
    <row r="9" spans="1:8">
      <c r="A9" s="2">
        <v>2017</v>
      </c>
      <c r="B9" s="2" t="s">
        <v>14</v>
      </c>
      <c r="C9" s="19">
        <v>3224</v>
      </c>
      <c r="D9" s="19">
        <v>426</v>
      </c>
      <c r="E9" s="19">
        <v>1809</v>
      </c>
      <c r="F9" s="19">
        <v>8304</v>
      </c>
      <c r="H9" s="20">
        <v>12.1</v>
      </c>
    </row>
    <row r="10" spans="1:8">
      <c r="A10" s="2">
        <v>2018</v>
      </c>
      <c r="B10" s="2" t="s">
        <v>11</v>
      </c>
      <c r="C10" s="19">
        <v>3124</v>
      </c>
      <c r="D10" s="19">
        <v>353</v>
      </c>
      <c r="E10" s="19">
        <v>1746</v>
      </c>
      <c r="F10" s="19">
        <v>7431</v>
      </c>
      <c r="H10" s="20">
        <v>11.2</v>
      </c>
    </row>
    <row r="11" spans="1:8">
      <c r="A11" s="2">
        <v>2018</v>
      </c>
      <c r="B11" s="2" t="s">
        <v>12</v>
      </c>
      <c r="C11" s="19">
        <v>3274</v>
      </c>
      <c r="D11" s="19">
        <v>392.76</v>
      </c>
      <c r="E11" s="19">
        <v>1657.35</v>
      </c>
      <c r="F11" s="19">
        <v>7955</v>
      </c>
      <c r="H11" s="20">
        <v>11.3</v>
      </c>
    </row>
    <row r="12" spans="1:8">
      <c r="A12" s="2">
        <v>2018</v>
      </c>
      <c r="B12" s="2" t="s">
        <v>13</v>
      </c>
      <c r="C12" s="21">
        <v>2893</v>
      </c>
      <c r="D12" s="21">
        <v>342</v>
      </c>
      <c r="E12" s="21">
        <v>1261</v>
      </c>
      <c r="F12" s="21">
        <v>8204</v>
      </c>
      <c r="H12" s="22">
        <v>11.5</v>
      </c>
    </row>
    <row r="13" spans="1:8">
      <c r="A13" s="2">
        <v>2018</v>
      </c>
      <c r="B13" s="2" t="s">
        <v>14</v>
      </c>
      <c r="C13" s="12">
        <v>3250</v>
      </c>
      <c r="D13" s="13">
        <f>4073*12%</f>
        <v>488.76</v>
      </c>
      <c r="E13" s="12">
        <v>1204</v>
      </c>
      <c r="F13" s="12">
        <v>6847</v>
      </c>
      <c r="H13" s="18">
        <v>11.8</v>
      </c>
    </row>
    <row r="14" spans="1:8">
      <c r="A14" s="2">
        <v>2019</v>
      </c>
      <c r="B14" s="2" t="s">
        <v>11</v>
      </c>
      <c r="C14" s="23">
        <v>3004</v>
      </c>
      <c r="D14" s="13">
        <f>2372*12%</f>
        <v>284.64</v>
      </c>
      <c r="E14" s="13">
        <f>3463*45%</f>
        <v>1558.35</v>
      </c>
      <c r="F14" s="23">
        <v>7917</v>
      </c>
      <c r="H14" s="22">
        <v>11.9</v>
      </c>
    </row>
    <row r="15" spans="1:8">
      <c r="A15" s="2">
        <v>2019</v>
      </c>
      <c r="B15" s="2" t="s">
        <v>12</v>
      </c>
      <c r="C15" s="17">
        <v>2957</v>
      </c>
      <c r="D15" s="17">
        <f>2393*12%</f>
        <v>287.16</v>
      </c>
      <c r="E15" s="17">
        <f>3623*45%</f>
        <v>1630.35</v>
      </c>
      <c r="F15" s="17">
        <v>8533</v>
      </c>
      <c r="H15" s="20">
        <v>11.3</v>
      </c>
    </row>
    <row r="16" spans="1:8">
      <c r="A16" s="2">
        <v>2019</v>
      </c>
      <c r="B16" s="2" t="s">
        <v>13</v>
      </c>
      <c r="C16" s="17">
        <v>2968</v>
      </c>
      <c r="D16" s="17">
        <v>385</v>
      </c>
      <c r="E16" s="17">
        <v>1749</v>
      </c>
      <c r="F16" s="17">
        <v>8695</v>
      </c>
      <c r="H16" s="20">
        <v>12.1</v>
      </c>
    </row>
    <row r="17" spans="1:8">
      <c r="A17" s="2">
        <v>2019</v>
      </c>
      <c r="B17" s="2" t="s">
        <v>14</v>
      </c>
      <c r="C17" s="17">
        <v>3273</v>
      </c>
      <c r="D17" s="17">
        <v>371</v>
      </c>
      <c r="E17" s="17">
        <v>1227</v>
      </c>
      <c r="F17" s="17">
        <v>10267</v>
      </c>
      <c r="H17" s="20">
        <v>12.1</v>
      </c>
    </row>
    <row r="18" spans="1:8">
      <c r="A18" s="2">
        <v>2020</v>
      </c>
      <c r="B18" s="2" t="s">
        <v>11</v>
      </c>
      <c r="C18" s="17">
        <v>2876</v>
      </c>
      <c r="D18" s="17">
        <f>2814*12%</f>
        <v>337.68</v>
      </c>
      <c r="E18" s="17">
        <f>45%*4175</f>
        <v>1878.75</v>
      </c>
      <c r="F18" s="17">
        <v>8720</v>
      </c>
      <c r="H18" s="20">
        <v>11.6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:B18"/>
    </sheetView>
  </sheetViews>
  <sheetFormatPr defaultColWidth="9.14285714285714" defaultRowHeight="15" outlineLevelCol="5"/>
  <cols>
    <col min="5" max="5" width="11" customWidth="1"/>
    <col min="6" max="6" width="11.4285714285714" customWidth="1"/>
  </cols>
  <sheetData>
    <row r="1" spans="1:6">
      <c r="A1" t="s">
        <v>0</v>
      </c>
      <c r="B1" t="s">
        <v>1</v>
      </c>
      <c r="C1" s="1" t="s">
        <v>4</v>
      </c>
      <c r="D1" s="1" t="s">
        <v>7</v>
      </c>
      <c r="E1" s="1" t="s">
        <v>8</v>
      </c>
      <c r="F1" s="1" t="s">
        <v>20</v>
      </c>
    </row>
    <row r="2" spans="1:6">
      <c r="A2" s="2">
        <v>2016</v>
      </c>
      <c r="B2" s="2" t="s">
        <v>11</v>
      </c>
      <c r="C2" s="17">
        <v>925</v>
      </c>
      <c r="D2" s="17">
        <v>1234</v>
      </c>
      <c r="E2" s="17">
        <v>532</v>
      </c>
      <c r="F2" s="17"/>
    </row>
    <row r="3" spans="1:6">
      <c r="A3" s="2">
        <v>2016</v>
      </c>
      <c r="B3" s="2" t="s">
        <v>12</v>
      </c>
      <c r="C3" s="17">
        <v>928</v>
      </c>
      <c r="D3" s="17">
        <v>1399</v>
      </c>
      <c r="E3" s="17">
        <v>556</v>
      </c>
      <c r="F3" s="17"/>
    </row>
    <row r="4" spans="1:6">
      <c r="A4" s="2">
        <v>2016</v>
      </c>
      <c r="B4" s="2" t="s">
        <v>13</v>
      </c>
      <c r="C4" s="17">
        <v>881</v>
      </c>
      <c r="D4" s="17">
        <v>1523</v>
      </c>
      <c r="E4" s="17">
        <v>526</v>
      </c>
      <c r="F4" s="17"/>
    </row>
    <row r="5" spans="1:6">
      <c r="A5" s="2">
        <v>2016</v>
      </c>
      <c r="B5" s="2" t="s">
        <v>14</v>
      </c>
      <c r="C5" s="17">
        <v>805</v>
      </c>
      <c r="D5" s="17">
        <v>1276</v>
      </c>
      <c r="E5" s="17">
        <v>510</v>
      </c>
      <c r="F5" s="17">
        <v>250</v>
      </c>
    </row>
    <row r="6" spans="1:6">
      <c r="A6" s="2">
        <v>2017</v>
      </c>
      <c r="B6" s="2" t="s">
        <v>11</v>
      </c>
      <c r="C6" s="17">
        <v>771</v>
      </c>
      <c r="D6" s="17">
        <v>1312</v>
      </c>
      <c r="E6" s="17">
        <v>503</v>
      </c>
      <c r="F6" s="17">
        <v>283</v>
      </c>
    </row>
    <row r="7" spans="1:6">
      <c r="A7" s="2">
        <v>2017</v>
      </c>
      <c r="B7" s="2" t="s">
        <v>12</v>
      </c>
      <c r="C7" s="17">
        <v>806</v>
      </c>
      <c r="D7" s="17">
        <v>1503</v>
      </c>
      <c r="E7" s="17">
        <v>504</v>
      </c>
      <c r="F7" s="17">
        <v>276</v>
      </c>
    </row>
    <row r="8" spans="1:6">
      <c r="A8" s="2">
        <v>2017</v>
      </c>
      <c r="B8" s="2" t="s">
        <v>13</v>
      </c>
      <c r="C8" s="17">
        <v>717</v>
      </c>
      <c r="D8" s="17">
        <v>1387</v>
      </c>
      <c r="E8" s="17">
        <v>476</v>
      </c>
      <c r="F8" s="17">
        <v>161</v>
      </c>
    </row>
    <row r="9" spans="1:6">
      <c r="A9" s="2">
        <v>2017</v>
      </c>
      <c r="B9" s="2" t="s">
        <v>14</v>
      </c>
      <c r="C9" s="17">
        <v>829</v>
      </c>
      <c r="D9" s="17">
        <v>1322</v>
      </c>
      <c r="E9" s="17">
        <v>471</v>
      </c>
      <c r="F9" s="17">
        <v>324</v>
      </c>
    </row>
    <row r="10" ht="15.75" spans="1:6">
      <c r="A10" s="2">
        <v>2018</v>
      </c>
      <c r="B10" s="2" t="s">
        <v>11</v>
      </c>
      <c r="C10" s="11">
        <v>850</v>
      </c>
      <c r="D10" s="11">
        <v>1310</v>
      </c>
      <c r="E10" s="11">
        <v>425</v>
      </c>
      <c r="F10" s="11">
        <v>320</v>
      </c>
    </row>
    <row r="11" spans="1:6">
      <c r="A11" s="2">
        <v>2018</v>
      </c>
      <c r="B11" s="2" t="s">
        <v>12</v>
      </c>
      <c r="C11" s="17">
        <v>1144</v>
      </c>
      <c r="D11" s="17">
        <v>1468</v>
      </c>
      <c r="E11" s="17">
        <v>429</v>
      </c>
      <c r="F11" s="17">
        <v>336</v>
      </c>
    </row>
    <row r="12" spans="1:6">
      <c r="A12" s="2">
        <v>2018</v>
      </c>
      <c r="B12" s="2" t="s">
        <v>13</v>
      </c>
      <c r="C12" s="18">
        <v>1388</v>
      </c>
      <c r="D12" s="18">
        <v>1609</v>
      </c>
      <c r="E12" s="18">
        <v>457</v>
      </c>
      <c r="F12" s="18">
        <v>393</v>
      </c>
    </row>
    <row r="13" spans="1:6">
      <c r="A13" s="2">
        <v>2018</v>
      </c>
      <c r="B13" s="2" t="s">
        <v>14</v>
      </c>
      <c r="C13" s="18">
        <v>1630</v>
      </c>
      <c r="D13" s="18">
        <v>1264</v>
      </c>
      <c r="E13" s="18">
        <v>480</v>
      </c>
      <c r="F13" s="18">
        <v>345</v>
      </c>
    </row>
    <row r="14" spans="1:6">
      <c r="A14" s="2">
        <v>2019</v>
      </c>
      <c r="B14" s="2" t="s">
        <v>11</v>
      </c>
      <c r="C14" s="18">
        <v>1895</v>
      </c>
      <c r="D14" s="18">
        <v>1192</v>
      </c>
      <c r="E14" s="18">
        <v>491</v>
      </c>
      <c r="F14" s="18">
        <v>253</v>
      </c>
    </row>
    <row r="15" spans="1:6">
      <c r="A15" s="2">
        <v>2019</v>
      </c>
      <c r="B15" s="2" t="s">
        <v>12</v>
      </c>
      <c r="C15" s="17">
        <v>1847</v>
      </c>
      <c r="D15" s="17">
        <v>1527</v>
      </c>
      <c r="E15" s="17">
        <v>470</v>
      </c>
      <c r="F15" s="17">
        <v>398</v>
      </c>
    </row>
    <row r="16" spans="1:6">
      <c r="A16" s="2">
        <v>2019</v>
      </c>
      <c r="B16" s="2" t="s">
        <v>13</v>
      </c>
      <c r="C16" s="17">
        <f>377+519+621</f>
        <v>1517</v>
      </c>
      <c r="D16" s="17">
        <f>628+978</f>
        <v>1606</v>
      </c>
      <c r="E16" s="17">
        <v>467</v>
      </c>
      <c r="F16" s="17">
        <v>358</v>
      </c>
    </row>
    <row r="17" spans="1:6">
      <c r="A17" s="2">
        <v>2019</v>
      </c>
      <c r="B17" s="2" t="s">
        <v>14</v>
      </c>
      <c r="C17" s="17">
        <f>383+813+749</f>
        <v>1945</v>
      </c>
      <c r="D17" s="17">
        <f>594+653</f>
        <v>1247</v>
      </c>
      <c r="E17" s="17">
        <v>429</v>
      </c>
      <c r="F17" s="17">
        <v>404</v>
      </c>
    </row>
    <row r="18" spans="1:6">
      <c r="A18" s="2">
        <v>2020</v>
      </c>
      <c r="B18" s="2" t="s">
        <v>11</v>
      </c>
      <c r="C18" s="17">
        <f>797+703+327</f>
        <v>1827</v>
      </c>
      <c r="D18" s="17">
        <f>489+703</f>
        <v>1192</v>
      </c>
      <c r="E18" s="17">
        <v>477</v>
      </c>
      <c r="F18" s="17">
        <v>81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:B18"/>
    </sheetView>
  </sheetViews>
  <sheetFormatPr defaultColWidth="9.14285714285714" defaultRowHeight="15" outlineLevelCol="2"/>
  <sheetData>
    <row r="1" spans="1:3">
      <c r="A1" t="s">
        <v>0</v>
      </c>
      <c r="B1" t="s">
        <v>1</v>
      </c>
      <c r="C1" t="s">
        <v>21</v>
      </c>
    </row>
    <row r="2" spans="1:3">
      <c r="A2" s="2">
        <v>2016</v>
      </c>
      <c r="B2" s="2" t="s">
        <v>11</v>
      </c>
      <c r="C2" s="9">
        <v>2682</v>
      </c>
    </row>
    <row r="3" spans="1:3">
      <c r="A3" s="2">
        <v>2016</v>
      </c>
      <c r="B3" s="2" t="s">
        <v>12</v>
      </c>
      <c r="C3" s="9">
        <v>2609</v>
      </c>
    </row>
    <row r="4" spans="1:3">
      <c r="A4" s="2">
        <v>2016</v>
      </c>
      <c r="B4" s="2" t="s">
        <v>13</v>
      </c>
      <c r="C4" s="9">
        <v>2777</v>
      </c>
    </row>
    <row r="5" spans="1:3">
      <c r="A5" s="2">
        <v>2016</v>
      </c>
      <c r="B5" s="2" t="s">
        <v>14</v>
      </c>
      <c r="C5" s="9">
        <v>3063</v>
      </c>
    </row>
    <row r="6" spans="1:3">
      <c r="A6" s="2">
        <v>2017</v>
      </c>
      <c r="B6" s="2" t="s">
        <v>11</v>
      </c>
      <c r="C6" s="9">
        <v>2400</v>
      </c>
    </row>
    <row r="7" spans="1:3">
      <c r="A7" s="2">
        <v>2017</v>
      </c>
      <c r="B7" s="2" t="s">
        <v>12</v>
      </c>
      <c r="C7" s="9">
        <v>2943</v>
      </c>
    </row>
    <row r="8" spans="1:3">
      <c r="A8" s="2">
        <v>2017</v>
      </c>
      <c r="B8" s="2" t="s">
        <v>13</v>
      </c>
      <c r="C8" s="9">
        <v>3043</v>
      </c>
    </row>
    <row r="9" spans="1:3">
      <c r="A9" s="2">
        <v>2017</v>
      </c>
      <c r="B9" s="2" t="s">
        <v>14</v>
      </c>
      <c r="C9" s="9">
        <v>3049</v>
      </c>
    </row>
    <row r="10" spans="1:3">
      <c r="A10" s="2">
        <v>2018</v>
      </c>
      <c r="B10" s="2" t="s">
        <v>11</v>
      </c>
      <c r="C10" s="9">
        <v>2326</v>
      </c>
    </row>
    <row r="11" spans="1:3">
      <c r="A11" s="2">
        <v>2018</v>
      </c>
      <c r="B11" s="2" t="s">
        <v>12</v>
      </c>
      <c r="C11" s="9">
        <v>1348</v>
      </c>
    </row>
    <row r="12" spans="1:3">
      <c r="A12" s="2">
        <v>2018</v>
      </c>
      <c r="B12" s="2" t="s">
        <v>13</v>
      </c>
      <c r="C12" s="12">
        <v>1286</v>
      </c>
    </row>
    <row r="13" spans="1:3">
      <c r="A13" s="2">
        <v>2018</v>
      </c>
      <c r="B13" s="2" t="s">
        <v>14</v>
      </c>
      <c r="C13" s="9">
        <v>1254</v>
      </c>
    </row>
    <row r="14" spans="1:3">
      <c r="A14" s="2">
        <v>2019</v>
      </c>
      <c r="B14" s="2" t="s">
        <v>11</v>
      </c>
      <c r="C14" s="17">
        <v>1361</v>
      </c>
    </row>
    <row r="15" spans="1:3">
      <c r="A15" s="2">
        <v>2019</v>
      </c>
      <c r="B15" s="2" t="s">
        <v>12</v>
      </c>
      <c r="C15" s="17">
        <v>1624</v>
      </c>
    </row>
    <row r="16" spans="1:3">
      <c r="A16" s="2">
        <v>2019</v>
      </c>
      <c r="B16" s="2" t="s">
        <v>13</v>
      </c>
      <c r="C16" s="17">
        <v>2152</v>
      </c>
    </row>
    <row r="17" spans="1:3">
      <c r="A17" s="2">
        <v>2019</v>
      </c>
      <c r="B17" s="2" t="s">
        <v>14</v>
      </c>
      <c r="C17" s="17">
        <v>2222.28</v>
      </c>
    </row>
    <row r="18" spans="1:3">
      <c r="A18" s="2">
        <v>2020</v>
      </c>
      <c r="B18" s="2" t="s">
        <v>11</v>
      </c>
      <c r="C18" s="17">
        <v>2585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:B18"/>
    </sheetView>
  </sheetViews>
  <sheetFormatPr defaultColWidth="9.14285714285714" defaultRowHeight="15" outlineLevelCol="2"/>
  <sheetData>
    <row r="1" spans="1:3">
      <c r="A1" t="s">
        <v>0</v>
      </c>
      <c r="B1" t="s">
        <v>1</v>
      </c>
      <c r="C1" t="s">
        <v>22</v>
      </c>
    </row>
    <row r="2" spans="1:3">
      <c r="A2" s="2">
        <v>2016</v>
      </c>
      <c r="B2" s="2" t="s">
        <v>11</v>
      </c>
      <c r="C2" s="17">
        <v>1172.09302325581</v>
      </c>
    </row>
    <row r="3" spans="1:3">
      <c r="A3" s="2">
        <v>2016</v>
      </c>
      <c r="B3" s="2" t="s">
        <v>12</v>
      </c>
      <c r="C3" s="17">
        <v>1116.27906976744</v>
      </c>
    </row>
    <row r="4" spans="1:3">
      <c r="A4" s="2">
        <v>2016</v>
      </c>
      <c r="B4" s="2" t="s">
        <v>13</v>
      </c>
      <c r="C4" s="17">
        <v>1124.41860465116</v>
      </c>
    </row>
    <row r="5" spans="1:3">
      <c r="A5" s="2">
        <v>2016</v>
      </c>
      <c r="B5" s="2" t="s">
        <v>14</v>
      </c>
      <c r="C5" s="17">
        <v>1131.39534883721</v>
      </c>
    </row>
    <row r="6" spans="1:3">
      <c r="A6" s="2">
        <v>2017</v>
      </c>
      <c r="B6" s="2" t="s">
        <v>11</v>
      </c>
      <c r="C6" s="17">
        <v>1120.93023255814</v>
      </c>
    </row>
    <row r="7" spans="1:3">
      <c r="A7" s="2">
        <v>2017</v>
      </c>
      <c r="B7" s="2" t="s">
        <v>12</v>
      </c>
      <c r="C7" s="17">
        <v>1148.83720930233</v>
      </c>
    </row>
    <row r="8" spans="1:3">
      <c r="A8" s="2">
        <v>2017</v>
      </c>
      <c r="B8" s="2" t="s">
        <v>13</v>
      </c>
      <c r="C8" s="17">
        <v>1095.3488372093</v>
      </c>
    </row>
    <row r="9" spans="1:3">
      <c r="A9" s="2">
        <v>2017</v>
      </c>
      <c r="B9" s="2" t="s">
        <v>14</v>
      </c>
      <c r="C9" s="17">
        <f>923/0.86</f>
        <v>1073.25581395349</v>
      </c>
    </row>
    <row r="10" spans="1:3">
      <c r="A10" s="2">
        <v>2018</v>
      </c>
      <c r="B10" s="2" t="s">
        <v>11</v>
      </c>
      <c r="C10" s="17">
        <f>918/0.86</f>
        <v>1067.44186046512</v>
      </c>
    </row>
    <row r="11" spans="1:3">
      <c r="A11" s="2">
        <v>2018</v>
      </c>
      <c r="B11" s="2" t="s">
        <v>12</v>
      </c>
      <c r="C11" s="17">
        <f>981/0.86</f>
        <v>1140.6976744186</v>
      </c>
    </row>
    <row r="12" spans="1:3">
      <c r="A12" s="2">
        <v>2018</v>
      </c>
      <c r="B12" s="2" t="s">
        <v>13</v>
      </c>
      <c r="C12" s="18">
        <f>854/0.86</f>
        <v>993.023255813953</v>
      </c>
    </row>
    <row r="13" spans="1:3">
      <c r="A13" s="2">
        <v>2018</v>
      </c>
      <c r="B13" s="2" t="s">
        <v>14</v>
      </c>
      <c r="C13" s="18">
        <f>1052/0.86</f>
        <v>1223.25581395349</v>
      </c>
    </row>
    <row r="14" spans="1:3">
      <c r="A14" s="2">
        <v>2019</v>
      </c>
      <c r="B14" s="2" t="s">
        <v>11</v>
      </c>
      <c r="C14" s="18">
        <f>893/0.86</f>
        <v>1038.37209302326</v>
      </c>
    </row>
    <row r="15" spans="1:3">
      <c r="A15" s="2">
        <v>2019</v>
      </c>
      <c r="B15" s="2" t="s">
        <v>12</v>
      </c>
      <c r="C15" s="17">
        <f>996/0.86</f>
        <v>1158.13953488372</v>
      </c>
    </row>
    <row r="16" spans="1:3">
      <c r="A16" s="2">
        <v>2019</v>
      </c>
      <c r="B16" s="2" t="s">
        <v>13</v>
      </c>
      <c r="C16" s="17">
        <f>952/0.86</f>
        <v>1106.97674418605</v>
      </c>
    </row>
    <row r="17" spans="1:3">
      <c r="A17" s="2">
        <v>2019</v>
      </c>
      <c r="B17" s="2" t="s">
        <v>14</v>
      </c>
      <c r="C17" s="17">
        <f>981/0.86</f>
        <v>1140.6976744186</v>
      </c>
    </row>
    <row r="18" spans="1:3">
      <c r="A18" s="2">
        <v>2020</v>
      </c>
      <c r="B18" s="2" t="s">
        <v>11</v>
      </c>
      <c r="C18" s="17">
        <f>936/0.86</f>
        <v>1088.37209302326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J15" sqref="J14:J15"/>
    </sheetView>
  </sheetViews>
  <sheetFormatPr defaultColWidth="9.14285714285714" defaultRowHeight="15" outlineLevelCol="2"/>
  <sheetData>
    <row r="1" spans="1:3">
      <c r="A1" t="s">
        <v>0</v>
      </c>
      <c r="B1" t="s">
        <v>1</v>
      </c>
      <c r="C1" t="s">
        <v>23</v>
      </c>
    </row>
    <row r="2" spans="1:3">
      <c r="A2" s="2">
        <v>2016</v>
      </c>
      <c r="B2" s="2" t="s">
        <v>11</v>
      </c>
      <c r="C2" s="9"/>
    </row>
    <row r="3" spans="1:3">
      <c r="A3" s="2">
        <v>2016</v>
      </c>
      <c r="B3" s="2" t="s">
        <v>12</v>
      </c>
      <c r="C3" s="9"/>
    </row>
    <row r="4" spans="1:3">
      <c r="A4" s="2">
        <v>2016</v>
      </c>
      <c r="B4" s="2" t="s">
        <v>13</v>
      </c>
      <c r="C4" s="9"/>
    </row>
    <row r="5" spans="1:3">
      <c r="A5" s="2">
        <v>2016</v>
      </c>
      <c r="B5" s="2" t="s">
        <v>14</v>
      </c>
      <c r="C5" s="9">
        <v>708</v>
      </c>
    </row>
    <row r="6" spans="1:3">
      <c r="A6" s="2">
        <v>2017</v>
      </c>
      <c r="B6" s="2" t="s">
        <v>11</v>
      </c>
      <c r="C6" s="9">
        <v>726</v>
      </c>
    </row>
    <row r="7" spans="1:3">
      <c r="A7" s="2">
        <v>2017</v>
      </c>
      <c r="B7" s="2" t="s">
        <v>12</v>
      </c>
      <c r="C7" s="9">
        <v>724</v>
      </c>
    </row>
    <row r="8" spans="1:3">
      <c r="A8" s="2">
        <v>2017</v>
      </c>
      <c r="B8" s="2" t="s">
        <v>13</v>
      </c>
      <c r="C8" s="9">
        <v>712</v>
      </c>
    </row>
    <row r="9" spans="1:3">
      <c r="A9" s="2">
        <v>2017</v>
      </c>
      <c r="B9" s="2" t="s">
        <v>14</v>
      </c>
      <c r="C9" s="9">
        <v>734</v>
      </c>
    </row>
    <row r="10" ht="15.75" spans="1:3">
      <c r="A10" s="2">
        <v>2018</v>
      </c>
      <c r="B10" s="2" t="s">
        <v>11</v>
      </c>
      <c r="C10" s="10">
        <f>2881-SUM(C7:C9)</f>
        <v>711</v>
      </c>
    </row>
    <row r="11" spans="1:3">
      <c r="A11" s="2">
        <v>2018</v>
      </c>
      <c r="B11" s="2" t="s">
        <v>12</v>
      </c>
      <c r="C11" s="16">
        <v>695</v>
      </c>
    </row>
    <row r="12" spans="1:3">
      <c r="A12" s="2">
        <v>2018</v>
      </c>
      <c r="B12" s="2" t="s">
        <v>13</v>
      </c>
      <c r="C12" s="16">
        <v>700</v>
      </c>
    </row>
    <row r="13" spans="1:3">
      <c r="A13" s="2">
        <v>2018</v>
      </c>
      <c r="B13" s="2" t="s">
        <v>14</v>
      </c>
      <c r="C13" s="16">
        <v>749</v>
      </c>
    </row>
    <row r="14" spans="1:3">
      <c r="A14" s="2">
        <v>2019</v>
      </c>
      <c r="B14" s="2" t="s">
        <v>11</v>
      </c>
      <c r="C14" s="16">
        <f>2893-SUM(C11:C13)</f>
        <v>749</v>
      </c>
    </row>
    <row r="15" spans="1:3">
      <c r="A15" s="2">
        <v>2019</v>
      </c>
      <c r="B15" s="2" t="s">
        <v>12</v>
      </c>
      <c r="C15" s="16">
        <v>720</v>
      </c>
    </row>
    <row r="16" spans="1:3">
      <c r="A16" s="2">
        <v>2019</v>
      </c>
      <c r="B16" s="2" t="s">
        <v>13</v>
      </c>
      <c r="C16" s="16">
        <v>720</v>
      </c>
    </row>
    <row r="17" spans="1:3">
      <c r="A17" s="2">
        <v>2019</v>
      </c>
      <c r="B17" s="2" t="s">
        <v>14</v>
      </c>
      <c r="C17" s="16">
        <v>720</v>
      </c>
    </row>
    <row r="18" spans="1:3">
      <c r="A18" s="2">
        <v>2020</v>
      </c>
      <c r="B18" s="2" t="s">
        <v>11</v>
      </c>
      <c r="C18" s="16">
        <v>720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L14" sqref="L14"/>
    </sheetView>
  </sheetViews>
  <sheetFormatPr defaultColWidth="9.14285714285714" defaultRowHeight="15" outlineLevelCol="2"/>
  <sheetData>
    <row r="1" spans="1:3">
      <c r="A1" t="s">
        <v>0</v>
      </c>
      <c r="B1" t="s">
        <v>1</v>
      </c>
      <c r="C1" t="s">
        <v>24</v>
      </c>
    </row>
    <row r="2" spans="1:3">
      <c r="A2" s="2">
        <v>2016</v>
      </c>
      <c r="B2" s="2" t="s">
        <v>11</v>
      </c>
      <c r="C2" s="9"/>
    </row>
    <row r="3" spans="1:3">
      <c r="A3" s="2">
        <v>2016</v>
      </c>
      <c r="B3" s="2" t="s">
        <v>12</v>
      </c>
      <c r="C3" s="9">
        <v>275</v>
      </c>
    </row>
    <row r="4" spans="1:3">
      <c r="A4" s="2">
        <v>2016</v>
      </c>
      <c r="B4" s="2" t="s">
        <v>13</v>
      </c>
      <c r="C4" s="9">
        <v>292</v>
      </c>
    </row>
    <row r="5" spans="1:3">
      <c r="A5" s="2">
        <v>2016</v>
      </c>
      <c r="B5" s="2" t="s">
        <v>14</v>
      </c>
      <c r="C5" s="9"/>
    </row>
    <row r="6" spans="1:3">
      <c r="A6" s="2">
        <v>2017</v>
      </c>
      <c r="B6" s="2" t="s">
        <v>11</v>
      </c>
      <c r="C6" s="9">
        <v>313</v>
      </c>
    </row>
    <row r="7" spans="1:3">
      <c r="A7" s="2">
        <v>2017</v>
      </c>
      <c r="B7" s="2" t="s">
        <v>12</v>
      </c>
      <c r="C7" s="9">
        <v>303</v>
      </c>
    </row>
    <row r="8" spans="1:3">
      <c r="A8" s="2">
        <v>2017</v>
      </c>
      <c r="B8" s="2" t="s">
        <v>13</v>
      </c>
      <c r="C8" s="9">
        <v>269</v>
      </c>
    </row>
    <row r="9" spans="1:3">
      <c r="A9" s="2">
        <v>2017</v>
      </c>
      <c r="B9" s="2" t="s">
        <v>14</v>
      </c>
      <c r="C9" s="9">
        <v>287</v>
      </c>
    </row>
    <row r="10" spans="1:3">
      <c r="A10" s="2">
        <v>2018</v>
      </c>
      <c r="B10" s="2" t="s">
        <v>11</v>
      </c>
      <c r="C10" s="9">
        <v>351</v>
      </c>
    </row>
    <row r="11" spans="1:3">
      <c r="A11" s="2">
        <v>2018</v>
      </c>
      <c r="B11" s="2" t="s">
        <v>12</v>
      </c>
      <c r="C11" s="9">
        <f>673-C12</f>
        <v>325</v>
      </c>
    </row>
    <row r="12" spans="1:3">
      <c r="A12" s="2">
        <v>2018</v>
      </c>
      <c r="B12" s="2" t="s">
        <v>13</v>
      </c>
      <c r="C12" s="12">
        <v>348</v>
      </c>
    </row>
    <row r="13" spans="1:3">
      <c r="A13" s="2">
        <v>2018</v>
      </c>
      <c r="B13" s="2" t="s">
        <v>14</v>
      </c>
      <c r="C13" s="15">
        <v>375</v>
      </c>
    </row>
    <row r="14" spans="1:3">
      <c r="A14" s="2">
        <v>2019</v>
      </c>
      <c r="B14" s="2" t="s">
        <v>11</v>
      </c>
      <c r="C14" s="12">
        <f>827-C13</f>
        <v>452</v>
      </c>
    </row>
    <row r="15" spans="1:3">
      <c r="A15" s="2">
        <v>2019</v>
      </c>
      <c r="B15" s="2" t="s">
        <v>12</v>
      </c>
      <c r="C15" s="15">
        <v>450</v>
      </c>
    </row>
    <row r="16" spans="1:3">
      <c r="A16" s="2">
        <v>2019</v>
      </c>
      <c r="B16" s="2" t="s">
        <v>13</v>
      </c>
      <c r="C16" s="15">
        <v>450</v>
      </c>
    </row>
    <row r="17" spans="1:3">
      <c r="A17" s="2">
        <v>2019</v>
      </c>
      <c r="B17" s="2" t="s">
        <v>14</v>
      </c>
      <c r="C17" s="15">
        <v>430</v>
      </c>
    </row>
    <row r="18" spans="1:3">
      <c r="A18" s="2">
        <v>2020</v>
      </c>
      <c r="B18" s="2" t="s">
        <v>11</v>
      </c>
      <c r="C18" s="16">
        <v>465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:B18"/>
    </sheetView>
  </sheetViews>
  <sheetFormatPr defaultColWidth="9.14285714285714" defaultRowHeight="15" outlineLevelCol="2"/>
  <sheetData>
    <row r="1" spans="1:3">
      <c r="A1" t="s">
        <v>0</v>
      </c>
      <c r="B1" t="s">
        <v>1</v>
      </c>
      <c r="C1" t="s">
        <v>24</v>
      </c>
    </row>
    <row r="2" spans="1:3">
      <c r="A2" s="2">
        <v>2016</v>
      </c>
      <c r="B2" s="2" t="s">
        <v>11</v>
      </c>
      <c r="C2" s="9"/>
    </row>
    <row r="3" spans="1:3">
      <c r="A3" s="2">
        <v>2016</v>
      </c>
      <c r="B3" s="2" t="s">
        <v>12</v>
      </c>
      <c r="C3" s="9"/>
    </row>
    <row r="4" spans="1:3">
      <c r="A4" s="2">
        <v>2016</v>
      </c>
      <c r="B4" s="2" t="s">
        <v>13</v>
      </c>
      <c r="C4" s="9"/>
    </row>
    <row r="5" spans="1:3">
      <c r="A5" s="2">
        <v>2016</v>
      </c>
      <c r="B5" s="2" t="s">
        <v>14</v>
      </c>
      <c r="C5" s="9"/>
    </row>
    <row r="6" spans="1:3">
      <c r="A6" s="2">
        <v>2017</v>
      </c>
      <c r="B6" s="2" t="s">
        <v>11</v>
      </c>
      <c r="C6" s="9">
        <v>524</v>
      </c>
    </row>
    <row r="7" spans="1:3">
      <c r="A7" s="2">
        <v>2017</v>
      </c>
      <c r="B7" s="2" t="s">
        <v>12</v>
      </c>
      <c r="C7" s="9">
        <v>526</v>
      </c>
    </row>
    <row r="8" ht="15.75" spans="1:3">
      <c r="A8" s="2">
        <v>2017</v>
      </c>
      <c r="B8" s="2" t="s">
        <v>13</v>
      </c>
      <c r="C8" s="10">
        <v>525</v>
      </c>
    </row>
    <row r="9" ht="15.75" spans="1:3">
      <c r="A9" s="2">
        <v>2017</v>
      </c>
      <c r="B9" s="2" t="s">
        <v>14</v>
      </c>
      <c r="C9" s="10">
        <v>525</v>
      </c>
    </row>
    <row r="10" ht="15.75" spans="1:3">
      <c r="A10" s="2">
        <v>2018</v>
      </c>
      <c r="B10" s="2" t="s">
        <v>11</v>
      </c>
      <c r="C10" s="10">
        <v>525</v>
      </c>
    </row>
    <row r="11" ht="15.75" spans="1:3">
      <c r="A11" s="2">
        <v>2018</v>
      </c>
      <c r="B11" s="2" t="s">
        <v>12</v>
      </c>
      <c r="C11" s="11">
        <f t="shared" ref="C11:C13" si="0">1592/3</f>
        <v>530.666666666667</v>
      </c>
    </row>
    <row r="12" ht="15.75" spans="1:3">
      <c r="A12" s="2">
        <v>2018</v>
      </c>
      <c r="B12" s="2" t="s">
        <v>13</v>
      </c>
      <c r="C12" s="11">
        <f t="shared" si="0"/>
        <v>530.666666666667</v>
      </c>
    </row>
    <row r="13" ht="15.75" spans="1:3">
      <c r="A13" s="2">
        <v>2018</v>
      </c>
      <c r="B13" s="2" t="s">
        <v>14</v>
      </c>
      <c r="C13" s="11">
        <f t="shared" si="0"/>
        <v>530.666666666667</v>
      </c>
    </row>
    <row r="14" spans="1:3">
      <c r="A14" s="2">
        <v>2019</v>
      </c>
      <c r="B14" s="2" t="s">
        <v>11</v>
      </c>
      <c r="C14" s="12">
        <f>2153-1592</f>
        <v>561</v>
      </c>
    </row>
    <row r="15" spans="1:3">
      <c r="A15" s="2">
        <v>2019</v>
      </c>
      <c r="B15" s="2" t="s">
        <v>12</v>
      </c>
      <c r="C15" s="13">
        <f t="shared" ref="C15:C18" si="1">2161/4</f>
        <v>540.25</v>
      </c>
    </row>
    <row r="16" spans="1:3">
      <c r="A16" s="2">
        <v>2019</v>
      </c>
      <c r="B16" s="2" t="s">
        <v>13</v>
      </c>
      <c r="C16" s="13">
        <f t="shared" si="1"/>
        <v>540.25</v>
      </c>
    </row>
    <row r="17" spans="1:3">
      <c r="A17" s="2">
        <v>2019</v>
      </c>
      <c r="B17" s="2" t="s">
        <v>14</v>
      </c>
      <c r="C17" s="13">
        <f t="shared" si="1"/>
        <v>540.25</v>
      </c>
    </row>
    <row r="18" spans="1:3">
      <c r="A18" s="2">
        <v>2020</v>
      </c>
      <c r="B18" s="2" t="s">
        <v>11</v>
      </c>
      <c r="C18" s="14">
        <f t="shared" si="1"/>
        <v>540.25</v>
      </c>
    </row>
  </sheetData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C20" sqref="C20"/>
    </sheetView>
  </sheetViews>
  <sheetFormatPr defaultColWidth="9.14285714285714" defaultRowHeight="15"/>
  <sheetData>
    <row r="1" spans="1:11">
      <c r="A1" t="s">
        <v>0</v>
      </c>
      <c r="B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11">
      <c r="A2" s="2">
        <v>2016</v>
      </c>
      <c r="B2" s="2" t="s">
        <v>11</v>
      </c>
      <c r="C2" s="3"/>
      <c r="D2" s="3"/>
      <c r="E2" s="3"/>
      <c r="F2" s="3"/>
      <c r="G2" s="3"/>
      <c r="H2" s="3"/>
      <c r="I2" s="3"/>
      <c r="J2" s="3"/>
      <c r="K2" s="3"/>
    </row>
    <row r="3" spans="1:11">
      <c r="A3" s="2">
        <v>2016</v>
      </c>
      <c r="B3" s="2" t="s">
        <v>12</v>
      </c>
      <c r="C3" s="3"/>
      <c r="D3" s="3"/>
      <c r="E3" s="3"/>
      <c r="F3" s="3"/>
      <c r="G3" s="3"/>
      <c r="H3" s="3"/>
      <c r="I3" s="3"/>
      <c r="J3" s="3"/>
      <c r="K3" s="3"/>
    </row>
    <row r="4" spans="1:11">
      <c r="A4" s="2">
        <v>2016</v>
      </c>
      <c r="B4" s="2" t="s">
        <v>13</v>
      </c>
      <c r="C4" s="3"/>
      <c r="D4" s="3"/>
      <c r="E4" s="3"/>
      <c r="F4" s="3"/>
      <c r="G4" s="3"/>
      <c r="H4" s="3"/>
      <c r="I4" s="3"/>
      <c r="J4" s="3"/>
      <c r="K4" s="3"/>
    </row>
    <row r="5" spans="1:11">
      <c r="A5" s="2">
        <v>2016</v>
      </c>
      <c r="B5" s="2" t="s">
        <v>14</v>
      </c>
      <c r="C5" s="3"/>
      <c r="D5" s="3"/>
      <c r="E5" s="3"/>
      <c r="F5" s="3"/>
      <c r="G5" s="3"/>
      <c r="H5" s="3"/>
      <c r="I5" s="3"/>
      <c r="J5" s="3"/>
      <c r="K5" s="3"/>
    </row>
    <row r="6" ht="15.75" spans="1:11">
      <c r="A6" s="2">
        <v>2017</v>
      </c>
      <c r="B6" s="2" t="s">
        <v>11</v>
      </c>
      <c r="C6" s="4">
        <v>4.24921845577288</v>
      </c>
      <c r="D6" s="4">
        <v>11.1</v>
      </c>
      <c r="E6" s="4">
        <v>10.48715</v>
      </c>
      <c r="F6" s="4">
        <v>2.869</v>
      </c>
      <c r="G6" s="4">
        <v>4.075</v>
      </c>
      <c r="H6" s="4">
        <v>4</v>
      </c>
      <c r="I6" s="4">
        <v>0.65</v>
      </c>
      <c r="J6" s="4">
        <v>0.6</v>
      </c>
      <c r="K6" s="4">
        <v>4.787112555</v>
      </c>
    </row>
    <row r="7" ht="15.75" spans="1:11">
      <c r="A7" s="2">
        <v>2017</v>
      </c>
      <c r="B7" s="2" t="s">
        <v>12</v>
      </c>
      <c r="C7" s="4">
        <v>4.50684630114484</v>
      </c>
      <c r="D7" s="4">
        <v>11</v>
      </c>
      <c r="E7" s="4">
        <v>11.98741</v>
      </c>
      <c r="F7" s="4">
        <v>3.089</v>
      </c>
      <c r="G7" s="4">
        <v>4.752</v>
      </c>
      <c r="H7" s="4">
        <v>4.5</v>
      </c>
      <c r="I7" s="4">
        <v>0.95</v>
      </c>
      <c r="J7" s="4">
        <v>0.6</v>
      </c>
      <c r="K7" s="4">
        <v>7.223260027</v>
      </c>
    </row>
    <row r="8" ht="15.75" spans="1:11">
      <c r="A8" s="2">
        <v>2017</v>
      </c>
      <c r="B8" s="2" t="s">
        <v>13</v>
      </c>
      <c r="C8" s="4">
        <v>4.3287929308486</v>
      </c>
      <c r="D8" s="4">
        <v>11.6</v>
      </c>
      <c r="E8" s="4">
        <v>12.0477</v>
      </c>
      <c r="F8" s="4">
        <v>2.741</v>
      </c>
      <c r="G8" s="4">
        <v>4.888</v>
      </c>
      <c r="H8" s="4">
        <v>4.4</v>
      </c>
      <c r="I8" s="4">
        <v>0.975</v>
      </c>
      <c r="J8" s="4">
        <v>0.6</v>
      </c>
      <c r="K8" s="4">
        <v>7.790161455</v>
      </c>
    </row>
    <row r="9" ht="15.75" spans="1:11">
      <c r="A9" s="2">
        <v>2017</v>
      </c>
      <c r="B9" s="2" t="s">
        <v>14</v>
      </c>
      <c r="C9" s="4">
        <v>4.17232088659582</v>
      </c>
      <c r="D9" s="4">
        <v>12.1</v>
      </c>
      <c r="E9" s="4">
        <v>12.87659</v>
      </c>
      <c r="F9" s="4">
        <v>2.946</v>
      </c>
      <c r="G9" s="4">
        <v>4.6465</v>
      </c>
      <c r="H9" s="4">
        <v>4.4</v>
      </c>
      <c r="I9" s="4">
        <v>0.95</v>
      </c>
      <c r="J9" s="4">
        <v>0.6</v>
      </c>
      <c r="K9" s="4">
        <v>6.7507423</v>
      </c>
    </row>
    <row r="10" ht="15.75" spans="1:11">
      <c r="A10" s="2">
        <v>2018</v>
      </c>
      <c r="B10" s="2" t="s">
        <v>11</v>
      </c>
      <c r="C10" s="4">
        <v>4.08601782945737</v>
      </c>
      <c r="D10" s="4">
        <v>11.2</v>
      </c>
      <c r="E10" s="4">
        <v>11.79846</v>
      </c>
      <c r="F10" s="4">
        <v>2.905</v>
      </c>
      <c r="G10" s="4">
        <v>3.64975</v>
      </c>
      <c r="H10" s="4">
        <v>4.4</v>
      </c>
      <c r="I10" s="4">
        <v>0.87</v>
      </c>
      <c r="J10" s="4">
        <v>0.6</v>
      </c>
      <c r="K10" s="4">
        <v>10.156398</v>
      </c>
    </row>
    <row r="11" ht="15.75" spans="1:11">
      <c r="A11" s="2">
        <v>2018</v>
      </c>
      <c r="B11" s="2" t="s">
        <v>12</v>
      </c>
      <c r="C11" s="4">
        <v>4.38559004651163</v>
      </c>
      <c r="D11" s="4">
        <v>11.3</v>
      </c>
      <c r="E11" s="4">
        <v>12.4670085</v>
      </c>
      <c r="F11" s="4">
        <v>3.377</v>
      </c>
      <c r="G11" s="4">
        <v>2.82085</v>
      </c>
      <c r="H11" s="4">
        <v>4.4</v>
      </c>
      <c r="I11" s="4">
        <v>1</v>
      </c>
      <c r="J11" s="4">
        <v>0.6</v>
      </c>
      <c r="K11" s="4">
        <v>9.602</v>
      </c>
    </row>
    <row r="12" ht="15.75" spans="1:11">
      <c r="A12" s="2">
        <v>2018</v>
      </c>
      <c r="B12" s="2" t="s">
        <v>13</v>
      </c>
      <c r="C12" s="4">
        <v>3.81793953488372</v>
      </c>
      <c r="D12" s="4">
        <v>11.5</v>
      </c>
      <c r="E12" s="4">
        <v>12.08211</v>
      </c>
      <c r="F12" s="4">
        <v>3.847</v>
      </c>
      <c r="G12" s="4">
        <v>2.5685</v>
      </c>
      <c r="H12" s="4">
        <v>4.2</v>
      </c>
      <c r="I12" s="4">
        <v>0.913</v>
      </c>
      <c r="J12" s="4">
        <v>0.6</v>
      </c>
      <c r="K12" s="4">
        <v>8.800132</v>
      </c>
    </row>
    <row r="13" ht="15.75" spans="1:11">
      <c r="A13" s="2">
        <v>2018</v>
      </c>
      <c r="B13" s="2" t="s">
        <v>14</v>
      </c>
      <c r="C13" s="4">
        <v>4.2474835</v>
      </c>
      <c r="D13" s="4">
        <v>11.8</v>
      </c>
      <c r="E13" s="4">
        <v>11.78976</v>
      </c>
      <c r="F13" s="4">
        <v>3.719</v>
      </c>
      <c r="G13" s="4">
        <v>3.08685</v>
      </c>
      <c r="H13" s="4">
        <v>4.2</v>
      </c>
      <c r="I13" s="4">
        <v>0.958</v>
      </c>
      <c r="J13" s="4">
        <v>0.6</v>
      </c>
      <c r="K13" s="4">
        <v>8.937008</v>
      </c>
    </row>
    <row r="14" ht="15.75" spans="1:11">
      <c r="A14" s="2">
        <v>2019</v>
      </c>
      <c r="B14" s="2" t="s">
        <v>11</v>
      </c>
      <c r="C14" s="5">
        <v>0</v>
      </c>
      <c r="D14" s="6">
        <v>0</v>
      </c>
      <c r="E14" s="5">
        <f>SUM(XEC14:XEF14)/1000</f>
        <v>0</v>
      </c>
      <c r="F14" s="5">
        <f>SUM(XED14:XEG14)/1000</f>
        <v>0</v>
      </c>
      <c r="G14" s="5">
        <f>SUM(XEE14:XEH14)/1000</f>
        <v>0</v>
      </c>
      <c r="H14" s="7">
        <v>4.1</v>
      </c>
      <c r="I14" s="7">
        <v>0.786</v>
      </c>
      <c r="J14" s="7">
        <v>0.6</v>
      </c>
      <c r="K14" s="4">
        <v>12.12428</v>
      </c>
    </row>
    <row r="15" ht="15.75" spans="1:11">
      <c r="A15" s="2">
        <v>2019</v>
      </c>
      <c r="B15" s="2" t="s">
        <v>12</v>
      </c>
      <c r="C15" s="5">
        <v>0</v>
      </c>
      <c r="D15" s="6">
        <v>0</v>
      </c>
      <c r="E15" s="5">
        <f>SUM(XEC15:XEF15)/1000</f>
        <v>0</v>
      </c>
      <c r="F15" s="5">
        <f>SUM(XED15:XEG15)/1000</f>
        <v>0</v>
      </c>
      <c r="G15" s="5">
        <f>SUM(XEE15:XEH15)/1000</f>
        <v>0</v>
      </c>
      <c r="H15" s="7">
        <v>4</v>
      </c>
      <c r="I15" s="7">
        <v>0.764</v>
      </c>
      <c r="J15" s="7">
        <v>0.6</v>
      </c>
      <c r="K15" s="4">
        <v>13.317194</v>
      </c>
    </row>
    <row r="16" ht="15.75" spans="1:11">
      <c r="A16" s="2">
        <v>2019</v>
      </c>
      <c r="B16" s="2" t="s">
        <v>13</v>
      </c>
      <c r="C16" s="5">
        <v>0</v>
      </c>
      <c r="D16" s="6">
        <v>0</v>
      </c>
      <c r="E16" s="5">
        <f>SUM(XEC16:XEF16)/1000</f>
        <v>0</v>
      </c>
      <c r="F16" s="5">
        <f>SUM(XED16:XEG16)/1000</f>
        <v>0</v>
      </c>
      <c r="G16" s="5">
        <f>SUM(XEE16:XEH16)/1000</f>
        <v>0</v>
      </c>
      <c r="H16" s="8">
        <v>3</v>
      </c>
      <c r="I16" s="7">
        <v>0.769</v>
      </c>
      <c r="J16" s="7">
        <v>0.6</v>
      </c>
      <c r="K16" s="4">
        <v>9.043492</v>
      </c>
    </row>
    <row r="17" ht="15.75" spans="1:11">
      <c r="A17" s="2">
        <v>2019</v>
      </c>
      <c r="B17" s="2" t="s">
        <v>14</v>
      </c>
      <c r="C17" s="5">
        <v>0</v>
      </c>
      <c r="D17" s="6">
        <v>0</v>
      </c>
      <c r="E17" s="5">
        <f>SUM(XEC17:XEF17)/1000</f>
        <v>0</v>
      </c>
      <c r="F17" s="5">
        <f>SUM(XED17:XEG17)/1000</f>
        <v>0</v>
      </c>
      <c r="G17" s="5">
        <f>SUM(XEE17:XEH17)/1000</f>
        <v>0</v>
      </c>
      <c r="H17" s="8">
        <v>2.9</v>
      </c>
      <c r="I17" s="7">
        <v>0.633</v>
      </c>
      <c r="J17" s="7">
        <v>0.6</v>
      </c>
      <c r="K17" s="4">
        <v>5.754804</v>
      </c>
    </row>
    <row r="18" ht="15.75" spans="1:11">
      <c r="A18" s="2">
        <v>2020</v>
      </c>
      <c r="B18" s="2" t="s">
        <v>11</v>
      </c>
      <c r="C18" s="5">
        <v>0</v>
      </c>
      <c r="D18" s="6">
        <v>0</v>
      </c>
      <c r="E18" s="5">
        <f>SUM(XEC18:XEF18)/1000</f>
        <v>0</v>
      </c>
      <c r="F18" s="5">
        <f>SUM(XED18:XEG18)/1000</f>
        <v>0</v>
      </c>
      <c r="G18" s="5">
        <f>SUM(XEE18:XEH18)/1000</f>
        <v>0</v>
      </c>
      <c r="H18" s="8">
        <v>3</v>
      </c>
      <c r="I18" s="7">
        <v>0.6</v>
      </c>
      <c r="J18" s="7">
        <v>0.6</v>
      </c>
      <c r="K18" s="4">
        <v>10.502194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CM Global Bx Production</vt:lpstr>
      <vt:lpstr>Rio Quarterly Report</vt:lpstr>
      <vt:lpstr>Rusal Quarterly Report</vt:lpstr>
      <vt:lpstr>Hydro Quarterly Bx </vt:lpstr>
      <vt:lpstr>South 32 Alumina Production</vt:lpstr>
      <vt:lpstr>Hindalco</vt:lpstr>
      <vt:lpstr>Vedanta</vt:lpstr>
      <vt:lpstr>NALCO</vt:lpstr>
      <vt:lpstr>Production for Main 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Jon Dexter</cp:lastModifiedBy>
  <dcterms:created xsi:type="dcterms:W3CDTF">2020-07-26T03:20:00Z</dcterms:created>
  <dcterms:modified xsi:type="dcterms:W3CDTF">2020-09-18T22:00:27Z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2057-11.2.0.9629</vt:lpwstr>
  </property>
</Properties>
</file>