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Width="23040" windowHeight="9335" tabRatio="500" activeTab="1"/>
  </bookViews>
  <sheets>
    <sheet name="Sheet1" sheetId="1" r:id="rId1"/>
    <sheet name="Sheet2" sheetId="2" r:id="rId2"/>
    <sheet name="Clear and grub difficulty" sheetId="3" r:id="rId3"/>
    <sheet name="General Efficiency" sheetId="4" r:id="rId4"/>
  </sheets>
  <calcPr calcId="144525"/>
</workbook>
</file>

<file path=xl/comments1.xml><?xml version="1.0" encoding="utf-8"?>
<comments xmlns="http://schemas.openxmlformats.org/spreadsheetml/2006/main">
  <authors>
    <author xml:space="preserve"> </author>
  </authors>
  <commentList>
    <comment ref="A9" authorId="0">
      <text>
        <r>
          <rPr>
            <sz val="10"/>
            <color rgb="FF000000"/>
            <rFont val="Tahoma"/>
            <charset val="1"/>
          </rPr>
          <t xml:space="preserve">ie need 4 crews on a 3 shift 8 hr roster to cove the week ... use this as a standard
</t>
        </r>
      </text>
    </comment>
    <comment ref="A10" authorId="0">
      <text>
        <r>
          <rPr>
            <sz val="10"/>
            <color rgb="FF000000"/>
            <rFont val="Tahoma"/>
            <charset val="1"/>
          </rPr>
          <t xml:space="preserve">accomodation, meals, oncosts, etc
</t>
        </r>
      </text>
    </comment>
    <comment ref="C14" authorId="0">
      <text>
        <r>
          <rPr>
            <sz val="10"/>
            <color rgb="FF000000"/>
            <rFont val="Tahoma"/>
            <charset val="1"/>
          </rPr>
          <t xml:space="preserve">0 or $1.00
</t>
        </r>
      </text>
    </comment>
    <comment ref="D14" authorId="0">
      <text>
        <r>
          <rPr>
            <sz val="10"/>
            <color rgb="FF000000"/>
            <rFont val="Tahoma"/>
            <charset val="1"/>
          </rPr>
          <t xml:space="preserve">0 or $1.00
</t>
        </r>
      </text>
    </comment>
    <comment ref="E14" authorId="0">
      <text>
        <r>
          <rPr>
            <sz val="10"/>
            <color rgb="FF000000"/>
            <rFont val="Tahoma"/>
            <charset val="1"/>
          </rPr>
          <t xml:space="preserve">0 or $1.00
</t>
        </r>
      </text>
    </comment>
    <comment ref="F14" authorId="0">
      <text>
        <r>
          <rPr>
            <sz val="10"/>
            <color rgb="FF000000"/>
            <rFont val="Tahoma"/>
            <charset val="1"/>
          </rPr>
          <t xml:space="preserve">0 or $1.00
</t>
        </r>
      </text>
    </comment>
    <comment ref="G14" authorId="0">
      <text>
        <r>
          <rPr>
            <sz val="10"/>
            <color rgb="FF000000"/>
            <rFont val="Tahoma"/>
            <charset val="1"/>
          </rPr>
          <t xml:space="preserve">0 or $1.00
</t>
        </r>
      </text>
    </comment>
    <comment ref="H14" authorId="0">
      <text>
        <r>
          <rPr>
            <sz val="10"/>
            <color rgb="FF000000"/>
            <rFont val="Tahoma"/>
            <charset val="1"/>
          </rPr>
          <t xml:space="preserve">0 or $1.00
</t>
        </r>
      </text>
    </comment>
    <comment ref="I14" authorId="0">
      <text>
        <r>
          <rPr>
            <sz val="10"/>
            <color rgb="FF000000"/>
            <rFont val="Tahoma"/>
            <charset val="1"/>
          </rPr>
          <t xml:space="preserve">0 or $1.00
</t>
        </r>
      </text>
    </comment>
    <comment ref="J14" authorId="0">
      <text>
        <r>
          <rPr>
            <sz val="10"/>
            <color rgb="FF000000"/>
            <rFont val="Tahoma"/>
            <charset val="1"/>
          </rPr>
          <t xml:space="preserve">0 or $1.00
</t>
        </r>
      </text>
    </comment>
    <comment ref="K14" authorId="0">
      <text>
        <r>
          <rPr>
            <sz val="10"/>
            <color rgb="FF000000"/>
            <rFont val="Tahoma"/>
            <charset val="1"/>
          </rPr>
          <t xml:space="preserve">0 or $1.00
</t>
        </r>
      </text>
    </comment>
    <comment ref="L14" authorId="0">
      <text>
        <r>
          <rPr>
            <sz val="10"/>
            <color rgb="FF000000"/>
            <rFont val="Tahoma"/>
            <charset val="1"/>
          </rPr>
          <t xml:space="preserve">0 or $1.00
</t>
        </r>
      </text>
    </comment>
    <comment ref="M14" authorId="0">
      <text>
        <r>
          <rPr>
            <sz val="10"/>
            <color rgb="FF000000"/>
            <rFont val="Tahoma"/>
            <charset val="1"/>
          </rPr>
          <t xml:space="preserve">0 or $1.00
</t>
        </r>
      </text>
    </comment>
    <comment ref="N14" authorId="0">
      <text>
        <r>
          <rPr>
            <sz val="10"/>
            <color rgb="FF000000"/>
            <rFont val="Tahoma"/>
            <charset val="1"/>
          </rPr>
          <t xml:space="preserve">0 or $1.00
</t>
        </r>
      </text>
    </comment>
    <comment ref="O14" authorId="0">
      <text>
        <r>
          <rPr>
            <sz val="10"/>
            <color rgb="FF000000"/>
            <rFont val="Tahoma"/>
            <charset val="1"/>
          </rPr>
          <t xml:space="preserve">0 or $1.00
</t>
        </r>
      </text>
    </comment>
    <comment ref="P14" authorId="0">
      <text>
        <r>
          <rPr>
            <sz val="10"/>
            <color rgb="FF000000"/>
            <rFont val="Tahoma"/>
            <charset val="1"/>
          </rPr>
          <t xml:space="preserve">0 or $1.00
</t>
        </r>
      </text>
    </comment>
    <comment ref="Q14" authorId="0">
      <text>
        <r>
          <rPr>
            <sz val="10"/>
            <color rgb="FF000000"/>
            <rFont val="Tahoma"/>
            <charset val="1"/>
          </rPr>
          <t xml:space="preserve">0 or $1.00
</t>
        </r>
      </text>
    </comment>
    <comment ref="R14" authorId="0">
      <text>
        <r>
          <rPr>
            <sz val="10"/>
            <color rgb="FF000000"/>
            <rFont val="Tahoma"/>
            <charset val="1"/>
          </rPr>
          <t xml:space="preserve">0 or $1.00
</t>
        </r>
      </text>
    </comment>
    <comment ref="S14" authorId="0">
      <text>
        <r>
          <rPr>
            <sz val="10"/>
            <color rgb="FF000000"/>
            <rFont val="Tahoma"/>
            <charset val="1"/>
          </rPr>
          <t xml:space="preserve">0 or $1.00
</t>
        </r>
      </text>
    </comment>
    <comment ref="T14" authorId="0">
      <text>
        <r>
          <rPr>
            <sz val="10"/>
            <color rgb="FF000000"/>
            <rFont val="Tahoma"/>
            <charset val="1"/>
          </rPr>
          <t xml:space="preserve">0 or $1.00
</t>
        </r>
      </text>
    </comment>
    <comment ref="U14" authorId="0">
      <text>
        <r>
          <rPr>
            <sz val="10"/>
            <color rgb="FF000000"/>
            <rFont val="Tahoma"/>
            <charset val="1"/>
          </rPr>
          <t xml:space="preserve">0 or $1.00
</t>
        </r>
      </text>
    </comment>
    <comment ref="V14" authorId="0">
      <text>
        <r>
          <rPr>
            <sz val="10"/>
            <color rgb="FF000000"/>
            <rFont val="Tahoma"/>
            <charset val="1"/>
          </rPr>
          <t xml:space="preserve">0 or $1.00
</t>
        </r>
      </text>
    </comment>
    <comment ref="W14" authorId="0">
      <text>
        <r>
          <rPr>
            <sz val="10"/>
            <color rgb="FF000000"/>
            <rFont val="Tahoma"/>
            <charset val="1"/>
          </rPr>
          <t xml:space="preserve">0 or $1.00
</t>
        </r>
      </text>
    </comment>
    <comment ref="C15" authorId="0">
      <text>
        <r>
          <rPr>
            <sz val="10"/>
            <color rgb="FF000000"/>
            <rFont val="Tahoma"/>
            <charset val="1"/>
          </rPr>
          <t xml:space="preserve">0 or $1.00
</t>
        </r>
      </text>
    </comment>
    <comment ref="D15" authorId="0">
      <text>
        <r>
          <rPr>
            <sz val="10"/>
            <color rgb="FF000000"/>
            <rFont val="Tahoma"/>
            <charset val="1"/>
          </rPr>
          <t xml:space="preserve">0 or $1.00
</t>
        </r>
      </text>
    </comment>
    <comment ref="E15" authorId="0">
      <text>
        <r>
          <rPr>
            <sz val="10"/>
            <color rgb="FF000000"/>
            <rFont val="Tahoma"/>
            <charset val="1"/>
          </rPr>
          <t xml:space="preserve">0 or $1.00
</t>
        </r>
      </text>
    </comment>
    <comment ref="F15" authorId="0">
      <text>
        <r>
          <rPr>
            <sz val="10"/>
            <color rgb="FF000000"/>
            <rFont val="Tahoma"/>
            <charset val="1"/>
          </rPr>
          <t xml:space="preserve">0 or $1.00
</t>
        </r>
      </text>
    </comment>
    <comment ref="G15" authorId="0">
      <text>
        <r>
          <rPr>
            <sz val="10"/>
            <color rgb="FF000000"/>
            <rFont val="Tahoma"/>
            <charset val="1"/>
          </rPr>
          <t xml:space="preserve">0 or $1.00
</t>
        </r>
      </text>
    </comment>
    <comment ref="H15" authorId="0">
      <text>
        <r>
          <rPr>
            <sz val="10"/>
            <color rgb="FF000000"/>
            <rFont val="Tahoma"/>
            <charset val="1"/>
          </rPr>
          <t xml:space="preserve">0 or $1.00
</t>
        </r>
      </text>
    </comment>
    <comment ref="I15" authorId="0">
      <text>
        <r>
          <rPr>
            <sz val="10"/>
            <color rgb="FF000000"/>
            <rFont val="Tahoma"/>
            <charset val="1"/>
          </rPr>
          <t xml:space="preserve">0 or $1.00
</t>
        </r>
      </text>
    </comment>
    <comment ref="J15" authorId="0">
      <text>
        <r>
          <rPr>
            <sz val="10"/>
            <color rgb="FF000000"/>
            <rFont val="Tahoma"/>
            <charset val="1"/>
          </rPr>
          <t xml:space="preserve">0 or $1.00
</t>
        </r>
      </text>
    </comment>
    <comment ref="K15" authorId="0">
      <text>
        <r>
          <rPr>
            <sz val="10"/>
            <color rgb="FF000000"/>
            <rFont val="Tahoma"/>
            <charset val="1"/>
          </rPr>
          <t xml:space="preserve">0 or $1.00
</t>
        </r>
      </text>
    </comment>
    <comment ref="L15" authorId="0">
      <text>
        <r>
          <rPr>
            <sz val="10"/>
            <color rgb="FF000000"/>
            <rFont val="Tahoma"/>
            <charset val="1"/>
          </rPr>
          <t xml:space="preserve">0 or $1.00
</t>
        </r>
      </text>
    </comment>
    <comment ref="M15" authorId="0">
      <text>
        <r>
          <rPr>
            <sz val="10"/>
            <color rgb="FF000000"/>
            <rFont val="Tahoma"/>
            <charset val="1"/>
          </rPr>
          <t xml:space="preserve">0 or $1.00
</t>
        </r>
      </text>
    </comment>
    <comment ref="N15" authorId="0">
      <text>
        <r>
          <rPr>
            <sz val="10"/>
            <color rgb="FF000000"/>
            <rFont val="Tahoma"/>
            <charset val="1"/>
          </rPr>
          <t xml:space="preserve">0 or $1.00
</t>
        </r>
      </text>
    </comment>
    <comment ref="O15" authorId="0">
      <text>
        <r>
          <rPr>
            <sz val="10"/>
            <color rgb="FF000000"/>
            <rFont val="Tahoma"/>
            <charset val="1"/>
          </rPr>
          <t xml:space="preserve">0 or $1.00
</t>
        </r>
      </text>
    </comment>
    <comment ref="P15" authorId="0">
      <text>
        <r>
          <rPr>
            <sz val="10"/>
            <color rgb="FF000000"/>
            <rFont val="Tahoma"/>
            <charset val="1"/>
          </rPr>
          <t xml:space="preserve">0 or $1.00
</t>
        </r>
      </text>
    </comment>
    <comment ref="Q15" authorId="0">
      <text>
        <r>
          <rPr>
            <sz val="10"/>
            <color rgb="FF000000"/>
            <rFont val="Tahoma"/>
            <charset val="1"/>
          </rPr>
          <t xml:space="preserve">0 or $1.00
</t>
        </r>
      </text>
    </comment>
    <comment ref="R15" authorId="0">
      <text>
        <r>
          <rPr>
            <sz val="10"/>
            <color rgb="FF000000"/>
            <rFont val="Tahoma"/>
            <charset val="1"/>
          </rPr>
          <t xml:space="preserve">0 or $1.00
</t>
        </r>
      </text>
    </comment>
    <comment ref="S15" authorId="0">
      <text>
        <r>
          <rPr>
            <sz val="10"/>
            <color rgb="FF000000"/>
            <rFont val="Tahoma"/>
            <charset val="1"/>
          </rPr>
          <t xml:space="preserve">0 or $1.00
</t>
        </r>
      </text>
    </comment>
    <comment ref="T15" authorId="0">
      <text>
        <r>
          <rPr>
            <sz val="10"/>
            <color rgb="FF000000"/>
            <rFont val="Tahoma"/>
            <charset val="1"/>
          </rPr>
          <t xml:space="preserve">0 or $1.00
</t>
        </r>
      </text>
    </comment>
    <comment ref="U15" authorId="0">
      <text>
        <r>
          <rPr>
            <sz val="10"/>
            <color rgb="FF000000"/>
            <rFont val="Tahoma"/>
            <charset val="1"/>
          </rPr>
          <t xml:space="preserve">0 or $1.00
</t>
        </r>
      </text>
    </comment>
    <comment ref="V15" authorId="0">
      <text>
        <r>
          <rPr>
            <sz val="10"/>
            <color rgb="FF000000"/>
            <rFont val="Tahoma"/>
            <charset val="1"/>
          </rPr>
          <t xml:space="preserve">0 or $1.00
</t>
        </r>
      </text>
    </comment>
    <comment ref="W15" authorId="0">
      <text>
        <r>
          <rPr>
            <sz val="10"/>
            <color rgb="FF000000"/>
            <rFont val="Tahoma"/>
            <charset val="1"/>
          </rPr>
          <t xml:space="preserve">0 or $1.00
</t>
        </r>
      </text>
    </comment>
    <comment ref="C16" authorId="0">
      <text>
        <r>
          <rPr>
            <sz val="10"/>
            <color rgb="FF000000"/>
            <rFont val="Tahoma"/>
            <charset val="1"/>
          </rPr>
          <t xml:space="preserve">0 or $1.00
</t>
        </r>
      </text>
    </comment>
    <comment ref="D16" authorId="0">
      <text>
        <r>
          <rPr>
            <sz val="10"/>
            <color rgb="FF000000"/>
            <rFont val="Tahoma"/>
            <charset val="1"/>
          </rPr>
          <t xml:space="preserve">0 or $1.00
</t>
        </r>
      </text>
    </comment>
    <comment ref="E16" authorId="0">
      <text>
        <r>
          <rPr>
            <sz val="10"/>
            <color rgb="FF000000"/>
            <rFont val="Tahoma"/>
            <charset val="1"/>
          </rPr>
          <t xml:space="preserve">0 or $1.00
</t>
        </r>
      </text>
    </comment>
    <comment ref="F16" authorId="0">
      <text>
        <r>
          <rPr>
            <sz val="10"/>
            <color rgb="FF000000"/>
            <rFont val="Tahoma"/>
            <charset val="1"/>
          </rPr>
          <t xml:space="preserve">0 or $1.00
</t>
        </r>
      </text>
    </comment>
    <comment ref="G16" authorId="0">
      <text>
        <r>
          <rPr>
            <sz val="10"/>
            <color rgb="FF000000"/>
            <rFont val="Tahoma"/>
            <charset val="1"/>
          </rPr>
          <t xml:space="preserve">0 or $1.00
</t>
        </r>
      </text>
    </comment>
    <comment ref="H16" authorId="0">
      <text>
        <r>
          <rPr>
            <sz val="10"/>
            <color rgb="FF000000"/>
            <rFont val="Tahoma"/>
            <charset val="1"/>
          </rPr>
          <t xml:space="preserve">0 or $1.00
</t>
        </r>
      </text>
    </comment>
    <comment ref="I16" authorId="0">
      <text>
        <r>
          <rPr>
            <sz val="10"/>
            <color rgb="FF000000"/>
            <rFont val="Tahoma"/>
            <charset val="1"/>
          </rPr>
          <t xml:space="preserve">0 or $1.00
</t>
        </r>
      </text>
    </comment>
    <comment ref="J16" authorId="0">
      <text>
        <r>
          <rPr>
            <sz val="10"/>
            <color rgb="FF000000"/>
            <rFont val="Tahoma"/>
            <charset val="1"/>
          </rPr>
          <t xml:space="preserve">0 or $1.00
</t>
        </r>
      </text>
    </comment>
    <comment ref="K16" authorId="0">
      <text>
        <r>
          <rPr>
            <sz val="10"/>
            <color rgb="FF000000"/>
            <rFont val="Tahoma"/>
            <charset val="1"/>
          </rPr>
          <t xml:space="preserve">0 or $1.00
</t>
        </r>
      </text>
    </comment>
    <comment ref="L16" authorId="0">
      <text>
        <r>
          <rPr>
            <sz val="10"/>
            <color rgb="FF000000"/>
            <rFont val="Tahoma"/>
            <charset val="1"/>
          </rPr>
          <t xml:space="preserve">0 or $1.00
</t>
        </r>
      </text>
    </comment>
    <comment ref="M16" authorId="0">
      <text>
        <r>
          <rPr>
            <sz val="10"/>
            <color rgb="FF000000"/>
            <rFont val="Tahoma"/>
            <charset val="1"/>
          </rPr>
          <t xml:space="preserve">0 or $1.00
</t>
        </r>
      </text>
    </comment>
    <comment ref="N16" authorId="0">
      <text>
        <r>
          <rPr>
            <sz val="10"/>
            <color rgb="FF000000"/>
            <rFont val="Tahoma"/>
            <charset val="1"/>
          </rPr>
          <t xml:space="preserve">0 or $1.00
</t>
        </r>
      </text>
    </comment>
    <comment ref="O16" authorId="0">
      <text>
        <r>
          <rPr>
            <sz val="10"/>
            <color rgb="FF000000"/>
            <rFont val="Tahoma"/>
            <charset val="1"/>
          </rPr>
          <t xml:space="preserve">0 or $1.00
</t>
        </r>
      </text>
    </comment>
    <comment ref="P16" authorId="0">
      <text>
        <r>
          <rPr>
            <sz val="10"/>
            <color rgb="FF000000"/>
            <rFont val="Tahoma"/>
            <charset val="1"/>
          </rPr>
          <t xml:space="preserve">0 or $1.00
</t>
        </r>
      </text>
    </comment>
    <comment ref="Q16" authorId="0">
      <text>
        <r>
          <rPr>
            <sz val="10"/>
            <color rgb="FF000000"/>
            <rFont val="Tahoma"/>
            <charset val="1"/>
          </rPr>
          <t xml:space="preserve">0 or $1.00
</t>
        </r>
      </text>
    </comment>
    <comment ref="R16" authorId="0">
      <text>
        <r>
          <rPr>
            <sz val="10"/>
            <color rgb="FF000000"/>
            <rFont val="Tahoma"/>
            <charset val="1"/>
          </rPr>
          <t xml:space="preserve">0 or $1.00
</t>
        </r>
      </text>
    </comment>
    <comment ref="S16" authorId="0">
      <text>
        <r>
          <rPr>
            <sz val="10"/>
            <color rgb="FF000000"/>
            <rFont val="Tahoma"/>
            <charset val="1"/>
          </rPr>
          <t xml:space="preserve">0 or $1.00
</t>
        </r>
      </text>
    </comment>
    <comment ref="T16" authorId="0">
      <text>
        <r>
          <rPr>
            <sz val="10"/>
            <color rgb="FF000000"/>
            <rFont val="Tahoma"/>
            <charset val="1"/>
          </rPr>
          <t xml:space="preserve">0 or $1.00
</t>
        </r>
      </text>
    </comment>
    <comment ref="U16" authorId="0">
      <text>
        <r>
          <rPr>
            <sz val="10"/>
            <color rgb="FF000000"/>
            <rFont val="Tahoma"/>
            <charset val="1"/>
          </rPr>
          <t xml:space="preserve">0 or $1.00
</t>
        </r>
      </text>
    </comment>
    <comment ref="V16" authorId="0">
      <text>
        <r>
          <rPr>
            <sz val="10"/>
            <color rgb="FF000000"/>
            <rFont val="Tahoma"/>
            <charset val="1"/>
          </rPr>
          <t xml:space="preserve">0 or $1.00
</t>
        </r>
      </text>
    </comment>
    <comment ref="W16" authorId="0">
      <text>
        <r>
          <rPr>
            <sz val="10"/>
            <color rgb="FF000000"/>
            <rFont val="Tahoma"/>
            <charset val="1"/>
          </rPr>
          <t xml:space="preserve">0 or $1.00
</t>
        </r>
      </text>
    </comment>
    <comment ref="C17" authorId="0">
      <text>
        <r>
          <rPr>
            <sz val="10"/>
            <color rgb="FF000000"/>
            <rFont val="Tahoma"/>
            <charset val="1"/>
          </rPr>
          <t xml:space="preserve">0 or $1.00
</t>
        </r>
      </text>
    </comment>
    <comment ref="D17" authorId="0">
      <text>
        <r>
          <rPr>
            <sz val="10"/>
            <color rgb="FF000000"/>
            <rFont val="Tahoma"/>
            <charset val="1"/>
          </rPr>
          <t xml:space="preserve">0 or $1.00
</t>
        </r>
      </text>
    </comment>
    <comment ref="E17" authorId="0">
      <text>
        <r>
          <rPr>
            <sz val="10"/>
            <color rgb="FF000000"/>
            <rFont val="Tahoma"/>
            <charset val="1"/>
          </rPr>
          <t xml:space="preserve">0 or $1.00
</t>
        </r>
      </text>
    </comment>
    <comment ref="F17" authorId="0">
      <text>
        <r>
          <rPr>
            <sz val="10"/>
            <color rgb="FF000000"/>
            <rFont val="Tahoma"/>
            <charset val="1"/>
          </rPr>
          <t xml:space="preserve">0 or $1.00
</t>
        </r>
      </text>
    </comment>
    <comment ref="G17" authorId="0">
      <text>
        <r>
          <rPr>
            <sz val="10"/>
            <color rgb="FF000000"/>
            <rFont val="Tahoma"/>
            <charset val="1"/>
          </rPr>
          <t xml:space="preserve">0 or $1.00
</t>
        </r>
      </text>
    </comment>
    <comment ref="H17" authorId="0">
      <text>
        <r>
          <rPr>
            <sz val="10"/>
            <color rgb="FF000000"/>
            <rFont val="Tahoma"/>
            <charset val="1"/>
          </rPr>
          <t xml:space="preserve">0 or $1.00
</t>
        </r>
      </text>
    </comment>
    <comment ref="I17" authorId="0">
      <text>
        <r>
          <rPr>
            <sz val="10"/>
            <color rgb="FF000000"/>
            <rFont val="Tahoma"/>
            <charset val="1"/>
          </rPr>
          <t xml:space="preserve">0 or $1.00
</t>
        </r>
      </text>
    </comment>
    <comment ref="J17" authorId="0">
      <text>
        <r>
          <rPr>
            <sz val="10"/>
            <color rgb="FF000000"/>
            <rFont val="Tahoma"/>
            <charset val="1"/>
          </rPr>
          <t xml:space="preserve">0 or $1.00
</t>
        </r>
      </text>
    </comment>
    <comment ref="K17" authorId="0">
      <text>
        <r>
          <rPr>
            <sz val="10"/>
            <color rgb="FF000000"/>
            <rFont val="Tahoma"/>
            <charset val="1"/>
          </rPr>
          <t xml:space="preserve">0 or $1.00
</t>
        </r>
      </text>
    </comment>
    <comment ref="L17" authorId="0">
      <text>
        <r>
          <rPr>
            <sz val="10"/>
            <color rgb="FF000000"/>
            <rFont val="Tahoma"/>
            <charset val="1"/>
          </rPr>
          <t xml:space="preserve">0 or $1.00
</t>
        </r>
      </text>
    </comment>
    <comment ref="M17" authorId="0">
      <text>
        <r>
          <rPr>
            <sz val="10"/>
            <color rgb="FF000000"/>
            <rFont val="Tahoma"/>
            <charset val="1"/>
          </rPr>
          <t xml:space="preserve">0 or $1.00
</t>
        </r>
      </text>
    </comment>
    <comment ref="N17" authorId="0">
      <text>
        <r>
          <rPr>
            <sz val="10"/>
            <color rgb="FF000000"/>
            <rFont val="Tahoma"/>
            <charset val="1"/>
          </rPr>
          <t xml:space="preserve">0 or $1.00
</t>
        </r>
      </text>
    </comment>
    <comment ref="O17" authorId="0">
      <text>
        <r>
          <rPr>
            <sz val="10"/>
            <color rgb="FF000000"/>
            <rFont val="Tahoma"/>
            <charset val="1"/>
          </rPr>
          <t xml:space="preserve">0 or $1.00
</t>
        </r>
      </text>
    </comment>
    <comment ref="P17" authorId="0">
      <text>
        <r>
          <rPr>
            <sz val="10"/>
            <color rgb="FF000000"/>
            <rFont val="Tahoma"/>
            <charset val="1"/>
          </rPr>
          <t xml:space="preserve">0 or $1.00
</t>
        </r>
      </text>
    </comment>
    <comment ref="Q17" authorId="0">
      <text>
        <r>
          <rPr>
            <sz val="10"/>
            <color rgb="FF000000"/>
            <rFont val="Tahoma"/>
            <charset val="1"/>
          </rPr>
          <t xml:space="preserve">0 or $1.00
</t>
        </r>
      </text>
    </comment>
    <comment ref="R17" authorId="0">
      <text>
        <r>
          <rPr>
            <sz val="10"/>
            <color rgb="FF000000"/>
            <rFont val="Tahoma"/>
            <charset val="1"/>
          </rPr>
          <t xml:space="preserve">0 or $1.00
</t>
        </r>
      </text>
    </comment>
    <comment ref="S17" authorId="0">
      <text>
        <r>
          <rPr>
            <sz val="10"/>
            <color rgb="FF000000"/>
            <rFont val="Tahoma"/>
            <charset val="1"/>
          </rPr>
          <t xml:space="preserve">0 or $1.00
</t>
        </r>
      </text>
    </comment>
    <comment ref="T17" authorId="0">
      <text>
        <r>
          <rPr>
            <sz val="10"/>
            <color rgb="FF000000"/>
            <rFont val="Tahoma"/>
            <charset val="1"/>
          </rPr>
          <t xml:space="preserve">0 or $1.00
</t>
        </r>
      </text>
    </comment>
    <comment ref="U17" authorId="0">
      <text>
        <r>
          <rPr>
            <sz val="10"/>
            <color rgb="FF000000"/>
            <rFont val="Tahoma"/>
            <charset val="1"/>
          </rPr>
          <t xml:space="preserve">0 or $1.00
</t>
        </r>
      </text>
    </comment>
    <comment ref="V17" authorId="0">
      <text>
        <r>
          <rPr>
            <sz val="10"/>
            <color rgb="FF000000"/>
            <rFont val="Tahoma"/>
            <charset val="1"/>
          </rPr>
          <t xml:space="preserve">0 or $1.00
</t>
        </r>
      </text>
    </comment>
    <comment ref="W17" authorId="0">
      <text>
        <r>
          <rPr>
            <sz val="10"/>
            <color rgb="FF000000"/>
            <rFont val="Tahoma"/>
            <charset val="1"/>
          </rPr>
          <t xml:space="preserve">0 or $1.00
</t>
        </r>
      </text>
    </comment>
    <comment ref="C18" authorId="0">
      <text>
        <r>
          <rPr>
            <sz val="10"/>
            <color rgb="FF000000"/>
            <rFont val="Tahoma"/>
            <charset val="1"/>
          </rPr>
          <t xml:space="preserve">0 or $1.50
</t>
        </r>
      </text>
    </comment>
    <comment ref="D18" authorId="0">
      <text>
        <r>
          <rPr>
            <sz val="10"/>
            <color rgb="FF000000"/>
            <rFont val="Tahoma"/>
            <charset val="1"/>
          </rPr>
          <t xml:space="preserve">0 or $1.50
</t>
        </r>
      </text>
    </comment>
    <comment ref="E18" authorId="0">
      <text>
        <r>
          <rPr>
            <sz val="10"/>
            <color rgb="FF000000"/>
            <rFont val="Tahoma"/>
            <charset val="1"/>
          </rPr>
          <t xml:space="preserve">0 or $1.50
</t>
        </r>
      </text>
    </comment>
    <comment ref="F18" authorId="0">
      <text>
        <r>
          <rPr>
            <sz val="10"/>
            <color rgb="FF000000"/>
            <rFont val="Tahoma"/>
            <charset val="1"/>
          </rPr>
          <t xml:space="preserve">0 or $1.50
</t>
        </r>
      </text>
    </comment>
    <comment ref="G18" authorId="0">
      <text>
        <r>
          <rPr>
            <sz val="10"/>
            <color rgb="FF000000"/>
            <rFont val="Tahoma"/>
            <charset val="1"/>
          </rPr>
          <t xml:space="preserve">0 or $1.50
</t>
        </r>
      </text>
    </comment>
    <comment ref="H18" authorId="0">
      <text>
        <r>
          <rPr>
            <sz val="10"/>
            <color rgb="FF000000"/>
            <rFont val="Tahoma"/>
            <charset val="1"/>
          </rPr>
          <t xml:space="preserve">0 or $1.50
</t>
        </r>
      </text>
    </comment>
    <comment ref="I18" authorId="0">
      <text>
        <r>
          <rPr>
            <sz val="10"/>
            <color rgb="FF000000"/>
            <rFont val="Tahoma"/>
            <charset val="1"/>
          </rPr>
          <t xml:space="preserve">0 or $1.50
</t>
        </r>
      </text>
    </comment>
    <comment ref="J18" authorId="0">
      <text>
        <r>
          <rPr>
            <sz val="10"/>
            <color rgb="FF000000"/>
            <rFont val="Tahoma"/>
            <charset val="1"/>
          </rPr>
          <t xml:space="preserve">0 or $1.50
</t>
        </r>
      </text>
    </comment>
    <comment ref="K18" authorId="0">
      <text>
        <r>
          <rPr>
            <sz val="10"/>
            <color rgb="FF000000"/>
            <rFont val="Tahoma"/>
            <charset val="1"/>
          </rPr>
          <t xml:space="preserve">0 or $1.50
</t>
        </r>
      </text>
    </comment>
    <comment ref="L18" authorId="0">
      <text>
        <r>
          <rPr>
            <sz val="10"/>
            <color rgb="FF000000"/>
            <rFont val="Tahoma"/>
            <charset val="1"/>
          </rPr>
          <t xml:space="preserve">0 or $1.50
</t>
        </r>
      </text>
    </comment>
    <comment ref="M18" authorId="0">
      <text>
        <r>
          <rPr>
            <sz val="10"/>
            <color rgb="FF000000"/>
            <rFont val="Tahoma"/>
            <charset val="1"/>
          </rPr>
          <t xml:space="preserve">0 or $1.50
</t>
        </r>
      </text>
    </comment>
    <comment ref="N18" authorId="0">
      <text>
        <r>
          <rPr>
            <sz val="10"/>
            <color rgb="FF000000"/>
            <rFont val="Tahoma"/>
            <charset val="1"/>
          </rPr>
          <t xml:space="preserve">0 or $1.50
</t>
        </r>
      </text>
    </comment>
    <comment ref="O18" authorId="0">
      <text>
        <r>
          <rPr>
            <sz val="10"/>
            <color rgb="FF000000"/>
            <rFont val="Tahoma"/>
            <charset val="1"/>
          </rPr>
          <t xml:space="preserve">0 or $1.50
</t>
        </r>
      </text>
    </comment>
    <comment ref="P18" authorId="0">
      <text>
        <r>
          <rPr>
            <sz val="10"/>
            <color rgb="FF000000"/>
            <rFont val="Tahoma"/>
            <charset val="1"/>
          </rPr>
          <t xml:space="preserve">0 or $1.50
</t>
        </r>
      </text>
    </comment>
    <comment ref="Q18" authorId="0">
      <text>
        <r>
          <rPr>
            <sz val="10"/>
            <color rgb="FF000000"/>
            <rFont val="Tahoma"/>
            <charset val="1"/>
          </rPr>
          <t xml:space="preserve">0 or $1.50
</t>
        </r>
      </text>
    </comment>
    <comment ref="R18" authorId="0">
      <text>
        <r>
          <rPr>
            <sz val="10"/>
            <color rgb="FF000000"/>
            <rFont val="Tahoma"/>
            <charset val="1"/>
          </rPr>
          <t xml:space="preserve">0 or $1.50
</t>
        </r>
      </text>
    </comment>
    <comment ref="S18" authorId="0">
      <text>
        <r>
          <rPr>
            <sz val="10"/>
            <color rgb="FF000000"/>
            <rFont val="Tahoma"/>
            <charset val="1"/>
          </rPr>
          <t xml:space="preserve">0 or $1.50
</t>
        </r>
      </text>
    </comment>
    <comment ref="T18" authorId="0">
      <text>
        <r>
          <rPr>
            <sz val="10"/>
            <color rgb="FF000000"/>
            <rFont val="Tahoma"/>
            <charset val="1"/>
          </rPr>
          <t xml:space="preserve">0 or $1.50
</t>
        </r>
      </text>
    </comment>
    <comment ref="U18" authorId="0">
      <text>
        <r>
          <rPr>
            <sz val="10"/>
            <color rgb="FF000000"/>
            <rFont val="Tahoma"/>
            <charset val="1"/>
          </rPr>
          <t xml:space="preserve">0 or $1.50
</t>
        </r>
      </text>
    </comment>
    <comment ref="V18" authorId="0">
      <text>
        <r>
          <rPr>
            <sz val="10"/>
            <color rgb="FF000000"/>
            <rFont val="Tahoma"/>
            <charset val="1"/>
          </rPr>
          <t xml:space="preserve">0 or $1.50
</t>
        </r>
      </text>
    </comment>
    <comment ref="W18" authorId="0">
      <text>
        <r>
          <rPr>
            <sz val="10"/>
            <color rgb="FF000000"/>
            <rFont val="Tahoma"/>
            <charset val="1"/>
          </rPr>
          <t xml:space="preserve">0 or $1.50
</t>
        </r>
      </text>
    </comment>
    <comment ref="E19" authorId="0">
      <text>
        <r>
          <rPr>
            <sz val="10"/>
            <color rgb="FF000000"/>
            <rFont val="Tahoma"/>
            <charset val="1"/>
          </rPr>
          <t xml:space="preserve">Itochu numbers
</t>
        </r>
      </text>
    </comment>
    <comment ref="E20" authorId="0">
      <text>
        <r>
          <rPr>
            <sz val="10"/>
            <color rgb="FF000000"/>
            <rFont val="Tahoma"/>
            <charset val="1"/>
          </rPr>
          <t xml:space="preserve">Itochu numbers
</t>
        </r>
      </text>
    </comment>
    <comment ref="E21" authorId="0">
      <text>
        <r>
          <rPr>
            <sz val="10"/>
            <color rgb="FF000000"/>
            <rFont val="Tahoma"/>
            <charset val="1"/>
          </rPr>
          <t xml:space="preserve">Itochu numbers
</t>
        </r>
      </text>
    </comment>
    <comment ref="E22" authorId="0">
      <text>
        <r>
          <rPr>
            <sz val="10"/>
            <color rgb="FF000000"/>
            <rFont val="Tahoma"/>
            <charset val="1"/>
          </rPr>
          <t xml:space="preserve">Itochu numbers
</t>
        </r>
      </text>
    </comment>
    <comment ref="E23" authorId="0">
      <text>
        <r>
          <rPr>
            <sz val="10"/>
            <color rgb="FF000000"/>
            <rFont val="Tahoma"/>
            <charset val="1"/>
          </rPr>
          <t xml:space="preserve">Itochu numbers
</t>
        </r>
      </text>
    </comment>
    <comment ref="C62" authorId="0">
      <text>
        <r>
          <rPr>
            <sz val="10"/>
            <color rgb="FF000000"/>
            <rFont val="Tahoma"/>
            <charset val="1"/>
          </rPr>
          <t xml:space="preserve">Based off Bob Adam - spent much of his career as a specialist  consulting balst engineer
</t>
        </r>
      </text>
    </comment>
    <comment ref="D62" authorId="0">
      <text>
        <r>
          <rPr>
            <sz val="10"/>
            <color rgb="FF000000"/>
            <rFont val="Tahoma"/>
            <charset val="1"/>
          </rPr>
          <t xml:space="preserve">Based off Bob Adam - spent much of his career as a specialist  consulting balst engineer
</t>
        </r>
      </text>
    </comment>
    <comment ref="E62" authorId="0">
      <text>
        <r>
          <rPr>
            <sz val="10"/>
            <color rgb="FF000000"/>
            <rFont val="Tahoma"/>
            <charset val="1"/>
          </rPr>
          <t xml:space="preserve">Based off Bob Adam - spent much of his career as a specialist  consulting balst engineer
</t>
        </r>
      </text>
    </comment>
    <comment ref="F62" authorId="0">
      <text>
        <r>
          <rPr>
            <sz val="10"/>
            <color rgb="FF000000"/>
            <rFont val="Tahoma"/>
            <charset val="1"/>
          </rPr>
          <t xml:space="preserve">Based off Bob Adam - spent much of his career as a specialist  consulting balst engineer
</t>
        </r>
      </text>
    </comment>
    <comment ref="G62" authorId="0">
      <text>
        <r>
          <rPr>
            <sz val="10"/>
            <color rgb="FF000000"/>
            <rFont val="Tahoma"/>
            <charset val="1"/>
          </rPr>
          <t xml:space="preserve">Based off Bob Adam - spent much of his career as a specialist  consulting balst engineer
</t>
        </r>
      </text>
    </comment>
    <comment ref="H62" authorId="0">
      <text>
        <r>
          <rPr>
            <sz val="10"/>
            <color rgb="FF000000"/>
            <rFont val="Tahoma"/>
            <charset val="1"/>
          </rPr>
          <t xml:space="preserve">Based off Bob Adam - spent much of his career as a specialist  consulting balst engineer
</t>
        </r>
      </text>
    </comment>
    <comment ref="I62" authorId="0">
      <text>
        <r>
          <rPr>
            <sz val="10"/>
            <color rgb="FF000000"/>
            <rFont val="Tahoma"/>
            <charset val="1"/>
          </rPr>
          <t xml:space="preserve">Based off Bob Adam - spent much of his career as a specialist  consulting balst engineer
</t>
        </r>
      </text>
    </comment>
    <comment ref="J62" authorId="0">
      <text>
        <r>
          <rPr>
            <sz val="10"/>
            <color rgb="FF000000"/>
            <rFont val="Tahoma"/>
            <charset val="1"/>
          </rPr>
          <t xml:space="preserve">Based off Bob Adam - spent much of his career as a specialist  consulting balst engineer
</t>
        </r>
      </text>
    </comment>
    <comment ref="K62" authorId="0">
      <text>
        <r>
          <rPr>
            <sz val="10"/>
            <color rgb="FF000000"/>
            <rFont val="Tahoma"/>
            <charset val="1"/>
          </rPr>
          <t xml:space="preserve">Based off Bob Adam - spent much of his career as a specialist  consulting balst engineer
</t>
        </r>
      </text>
    </comment>
    <comment ref="L62" authorId="0">
      <text>
        <r>
          <rPr>
            <sz val="10"/>
            <color rgb="FF000000"/>
            <rFont val="Tahoma"/>
            <charset val="1"/>
          </rPr>
          <t xml:space="preserve">Based off Bob Adam - spent much of his career as a specialist  consulting balst engineer
</t>
        </r>
      </text>
    </comment>
    <comment ref="M62" authorId="0">
      <text>
        <r>
          <rPr>
            <sz val="10"/>
            <color rgb="FF000000"/>
            <rFont val="Tahoma"/>
            <charset val="1"/>
          </rPr>
          <t xml:space="preserve">Based off Bob Adam - spent much of his career as a specialist  consulting balst engineer
</t>
        </r>
      </text>
    </comment>
    <comment ref="N62" authorId="0">
      <text>
        <r>
          <rPr>
            <sz val="10"/>
            <color rgb="FF000000"/>
            <rFont val="Tahoma"/>
            <charset val="1"/>
          </rPr>
          <t xml:space="preserve">Based off Bob Adam - spent much of his career as a specialist  consulting balst engineer
</t>
        </r>
      </text>
    </comment>
    <comment ref="O62" authorId="0">
      <text>
        <r>
          <rPr>
            <sz val="10"/>
            <color rgb="FF000000"/>
            <rFont val="Tahoma"/>
            <charset val="1"/>
          </rPr>
          <t xml:space="preserve">Based off Bob Adam - spent much of his career as a specialist  consulting balst engineer
</t>
        </r>
      </text>
    </comment>
    <comment ref="P62" authorId="0">
      <text>
        <r>
          <rPr>
            <sz val="10"/>
            <color rgb="FF000000"/>
            <rFont val="Tahoma"/>
            <charset val="1"/>
          </rPr>
          <t xml:space="preserve">Based off Bob Adam - spent much of his career as a specialist  consulting balst engineer
</t>
        </r>
      </text>
    </comment>
    <comment ref="Q62" authorId="0">
      <text>
        <r>
          <rPr>
            <sz val="10"/>
            <color rgb="FF000000"/>
            <rFont val="Tahoma"/>
            <charset val="1"/>
          </rPr>
          <t xml:space="preserve">Based off Bob Adam - spent much of his career as a specialist  consulting balst engineer
</t>
        </r>
      </text>
    </comment>
    <comment ref="R62" authorId="0">
      <text>
        <r>
          <rPr>
            <sz val="10"/>
            <color rgb="FF000000"/>
            <rFont val="Tahoma"/>
            <charset val="1"/>
          </rPr>
          <t xml:space="preserve">Based off Bob Adam - spent much of his career as a specialist  consulting balst engineer
</t>
        </r>
      </text>
    </comment>
    <comment ref="S62" authorId="0">
      <text>
        <r>
          <rPr>
            <sz val="10"/>
            <color rgb="FF000000"/>
            <rFont val="Tahoma"/>
            <charset val="1"/>
          </rPr>
          <t xml:space="preserve">Based off Bob Adam - spent much of his career as a specialist  consulting balst engineer
</t>
        </r>
      </text>
    </comment>
    <comment ref="T62" authorId="0">
      <text>
        <r>
          <rPr>
            <sz val="10"/>
            <color rgb="FF000000"/>
            <rFont val="Tahoma"/>
            <charset val="1"/>
          </rPr>
          <t xml:space="preserve">Based off Bob Adam - spent much of his career as a specialist  consulting balst engineer
</t>
        </r>
      </text>
    </comment>
    <comment ref="U62" authorId="0">
      <text>
        <r>
          <rPr>
            <sz val="10"/>
            <color rgb="FF000000"/>
            <rFont val="Tahoma"/>
            <charset val="1"/>
          </rPr>
          <t xml:space="preserve">Based off Bob Adam - spent much of his career as a specialist  consulting balst engineer
</t>
        </r>
      </text>
    </comment>
    <comment ref="V62" authorId="0">
      <text>
        <r>
          <rPr>
            <sz val="10"/>
            <color rgb="FF000000"/>
            <rFont val="Tahoma"/>
            <charset val="1"/>
          </rPr>
          <t xml:space="preserve">Based off Bob Adam - spent much of his career as a specialist  consulting balst engineer
</t>
        </r>
      </text>
    </comment>
    <comment ref="W62" authorId="0">
      <text>
        <r>
          <rPr>
            <sz val="10"/>
            <color rgb="FF000000"/>
            <rFont val="Tahoma"/>
            <charset val="1"/>
          </rPr>
          <t xml:space="preserve">Based off Bob Adam - spent much of his career as a specialist  consulting balst engineer
</t>
        </r>
      </text>
    </comment>
    <comment ref="C63" authorId="0">
      <text>
        <r>
          <rPr>
            <sz val="10"/>
            <color rgb="FF000000"/>
            <rFont val="Tahoma"/>
            <charset val="1"/>
          </rPr>
          <t xml:space="preserve">Based off Bob Adam - spent much of his career as a specialist  consulting balst engineer
</t>
        </r>
      </text>
    </comment>
    <comment ref="D63" authorId="0">
      <text>
        <r>
          <rPr>
            <sz val="10"/>
            <color rgb="FF000000"/>
            <rFont val="Tahoma"/>
            <charset val="1"/>
          </rPr>
          <t xml:space="preserve">Based off Bob Adam - spent much of his career as a specialist  consulting balst engineer
</t>
        </r>
      </text>
    </comment>
    <comment ref="E63" authorId="0">
      <text>
        <r>
          <rPr>
            <sz val="10"/>
            <color rgb="FF000000"/>
            <rFont val="Tahoma"/>
            <charset val="1"/>
          </rPr>
          <t xml:space="preserve">Based off Bob Adam - spent much of his career as a specialist  consulting balst engineer
</t>
        </r>
      </text>
    </comment>
    <comment ref="F63" authorId="0">
      <text>
        <r>
          <rPr>
            <sz val="10"/>
            <color rgb="FF000000"/>
            <rFont val="Tahoma"/>
            <charset val="1"/>
          </rPr>
          <t xml:space="preserve">Based off Bob Adam - spent much of his career as a specialist  consulting balst engineer
</t>
        </r>
      </text>
    </comment>
    <comment ref="G63" authorId="0">
      <text>
        <r>
          <rPr>
            <sz val="10"/>
            <color rgb="FF000000"/>
            <rFont val="Tahoma"/>
            <charset val="1"/>
          </rPr>
          <t xml:space="preserve">Based off Bob Adam - spent much of his career as a specialist  consulting balst engineer
</t>
        </r>
      </text>
    </comment>
    <comment ref="H63" authorId="0">
      <text>
        <r>
          <rPr>
            <sz val="10"/>
            <color rgb="FF000000"/>
            <rFont val="Tahoma"/>
            <charset val="1"/>
          </rPr>
          <t xml:space="preserve">Based off Bob Adam - spent much of his career as a specialist  consulting balst engineer
</t>
        </r>
      </text>
    </comment>
    <comment ref="I63" authorId="0">
      <text>
        <r>
          <rPr>
            <sz val="10"/>
            <color rgb="FF000000"/>
            <rFont val="Tahoma"/>
            <charset val="1"/>
          </rPr>
          <t xml:space="preserve">Based off Bob Adam - spent much of his career as a specialist  consulting balst engineer
</t>
        </r>
      </text>
    </comment>
    <comment ref="J63" authorId="0">
      <text>
        <r>
          <rPr>
            <sz val="10"/>
            <color rgb="FF000000"/>
            <rFont val="Tahoma"/>
            <charset val="1"/>
          </rPr>
          <t xml:space="preserve">Based off Bob Adam - spent much of his career as a specialist  consulting balst engineer
</t>
        </r>
      </text>
    </comment>
    <comment ref="K63" authorId="0">
      <text>
        <r>
          <rPr>
            <sz val="10"/>
            <color rgb="FF000000"/>
            <rFont val="Tahoma"/>
            <charset val="1"/>
          </rPr>
          <t xml:space="preserve">Based off Bob Adam - spent much of his career as a specialist  consulting balst engineer
</t>
        </r>
      </text>
    </comment>
    <comment ref="L63" authorId="0">
      <text>
        <r>
          <rPr>
            <sz val="10"/>
            <color rgb="FF000000"/>
            <rFont val="Tahoma"/>
            <charset val="1"/>
          </rPr>
          <t xml:space="preserve">Based off Bob Adam - spent much of his career as a specialist  consulting balst engineer
</t>
        </r>
      </text>
    </comment>
    <comment ref="M63" authorId="0">
      <text>
        <r>
          <rPr>
            <sz val="10"/>
            <color rgb="FF000000"/>
            <rFont val="Tahoma"/>
            <charset val="1"/>
          </rPr>
          <t xml:space="preserve">Based off Bob Adam - spent much of his career as a specialist  consulting balst engineer
</t>
        </r>
      </text>
    </comment>
    <comment ref="N63" authorId="0">
      <text>
        <r>
          <rPr>
            <sz val="10"/>
            <color rgb="FF000000"/>
            <rFont val="Tahoma"/>
            <charset val="1"/>
          </rPr>
          <t xml:space="preserve">Based off Bob Adam - spent much of his career as a specialist  consulting balst engineer
</t>
        </r>
      </text>
    </comment>
    <comment ref="O63" authorId="0">
      <text>
        <r>
          <rPr>
            <sz val="10"/>
            <color rgb="FF000000"/>
            <rFont val="Tahoma"/>
            <charset val="1"/>
          </rPr>
          <t xml:space="preserve">Based off Bob Adam - spent much of his career as a specialist  consulting balst engineer
</t>
        </r>
      </text>
    </comment>
    <comment ref="P63" authorId="0">
      <text>
        <r>
          <rPr>
            <sz val="10"/>
            <color rgb="FF000000"/>
            <rFont val="Tahoma"/>
            <charset val="1"/>
          </rPr>
          <t xml:space="preserve">Based off Bob Adam - spent much of his career as a specialist  consulting balst engineer
</t>
        </r>
      </text>
    </comment>
    <comment ref="Q63" authorId="0">
      <text>
        <r>
          <rPr>
            <sz val="10"/>
            <color rgb="FF000000"/>
            <rFont val="Tahoma"/>
            <charset val="1"/>
          </rPr>
          <t xml:space="preserve">Based off Bob Adam - spent much of his career as a specialist  consulting balst engineer
</t>
        </r>
      </text>
    </comment>
    <comment ref="R63" authorId="0">
      <text>
        <r>
          <rPr>
            <sz val="10"/>
            <color rgb="FF000000"/>
            <rFont val="Tahoma"/>
            <charset val="1"/>
          </rPr>
          <t xml:space="preserve">Based off Bob Adam - spent much of his career as a specialist  consulting balst engineer
</t>
        </r>
      </text>
    </comment>
    <comment ref="S63" authorId="0">
      <text>
        <r>
          <rPr>
            <sz val="10"/>
            <color rgb="FF000000"/>
            <rFont val="Tahoma"/>
            <charset val="1"/>
          </rPr>
          <t xml:space="preserve">Based off Bob Adam - spent much of his career as a specialist  consulting balst engineer
</t>
        </r>
      </text>
    </comment>
    <comment ref="T63" authorId="0">
      <text>
        <r>
          <rPr>
            <sz val="10"/>
            <color rgb="FF000000"/>
            <rFont val="Tahoma"/>
            <charset val="1"/>
          </rPr>
          <t xml:space="preserve">Based off Bob Adam - spent much of his career as a specialist  consulting balst engineer
</t>
        </r>
      </text>
    </comment>
    <comment ref="U63" authorId="0">
      <text>
        <r>
          <rPr>
            <sz val="10"/>
            <color rgb="FF000000"/>
            <rFont val="Tahoma"/>
            <charset val="1"/>
          </rPr>
          <t xml:space="preserve">Based off Bob Adam - spent much of his career as a specialist  consulting balst engineer
</t>
        </r>
      </text>
    </comment>
    <comment ref="V63" authorId="0">
      <text>
        <r>
          <rPr>
            <sz val="10"/>
            <color rgb="FF000000"/>
            <rFont val="Tahoma"/>
            <charset val="1"/>
          </rPr>
          <t xml:space="preserve">Based off Bob Adam - spent much of his career as a specialist  consulting balst engineer
</t>
        </r>
      </text>
    </comment>
    <comment ref="W63" authorId="0">
      <text>
        <r>
          <rPr>
            <sz val="10"/>
            <color rgb="FF000000"/>
            <rFont val="Tahoma"/>
            <charset val="1"/>
          </rPr>
          <t xml:space="preserve">Based off Bob Adam - spent much of his career as a specialist  consulting balst engineer
</t>
        </r>
      </text>
    </comment>
    <comment ref="C64" authorId="0">
      <text>
        <r>
          <rPr>
            <sz val="10"/>
            <color rgb="FF000000"/>
            <rFont val="Tahoma"/>
            <charset val="1"/>
          </rPr>
          <t xml:space="preserve">Based off Bob Adam - spent much of his career as a specialist  consulting balst engineer
</t>
        </r>
      </text>
    </comment>
    <comment ref="D64" authorId="0">
      <text>
        <r>
          <rPr>
            <sz val="10"/>
            <color rgb="FF000000"/>
            <rFont val="Tahoma"/>
            <charset val="1"/>
          </rPr>
          <t xml:space="preserve">Based off Bob Adam - spent much of his career as a specialist  consulting balst engineer
</t>
        </r>
      </text>
    </comment>
    <comment ref="E64" authorId="0">
      <text>
        <r>
          <rPr>
            <sz val="10"/>
            <color rgb="FF000000"/>
            <rFont val="Tahoma"/>
            <charset val="1"/>
          </rPr>
          <t xml:space="preserve">Based off Bob Adam - spent much of his career as a specialist  consulting balst engineer
</t>
        </r>
      </text>
    </comment>
    <comment ref="F64" authorId="0">
      <text>
        <r>
          <rPr>
            <sz val="10"/>
            <color rgb="FF000000"/>
            <rFont val="Tahoma"/>
            <charset val="1"/>
          </rPr>
          <t xml:space="preserve">Based off Bob Adam - spent much of his career as a specialist  consulting balst engineer
</t>
        </r>
      </text>
    </comment>
    <comment ref="G64" authorId="0">
      <text>
        <r>
          <rPr>
            <sz val="10"/>
            <color rgb="FF000000"/>
            <rFont val="Tahoma"/>
            <charset val="1"/>
          </rPr>
          <t xml:space="preserve">Based off Bob Adam - spent much of his career as a specialist  consulting balst engineer
</t>
        </r>
      </text>
    </comment>
    <comment ref="H64" authorId="0">
      <text>
        <r>
          <rPr>
            <sz val="10"/>
            <color rgb="FF000000"/>
            <rFont val="Tahoma"/>
            <charset val="1"/>
          </rPr>
          <t xml:space="preserve">Based off Bob Adam - spent much of his career as a specialist  consulting balst engineer
</t>
        </r>
      </text>
    </comment>
    <comment ref="I64" authorId="0">
      <text>
        <r>
          <rPr>
            <sz val="10"/>
            <color rgb="FF000000"/>
            <rFont val="Tahoma"/>
            <charset val="1"/>
          </rPr>
          <t xml:space="preserve">Based off Bob Adam - spent much of his career as a specialist  consulting balst engineer
</t>
        </r>
      </text>
    </comment>
    <comment ref="J64" authorId="0">
      <text>
        <r>
          <rPr>
            <sz val="10"/>
            <color rgb="FF000000"/>
            <rFont val="Tahoma"/>
            <charset val="1"/>
          </rPr>
          <t xml:space="preserve">Based off Bob Adam - spent much of his career as a specialist  consulting balst engineer
</t>
        </r>
      </text>
    </comment>
    <comment ref="K64" authorId="0">
      <text>
        <r>
          <rPr>
            <sz val="10"/>
            <color rgb="FF000000"/>
            <rFont val="Tahoma"/>
            <charset val="1"/>
          </rPr>
          <t xml:space="preserve">Based off Bob Adam - spent much of his career as a specialist  consulting balst engineer
</t>
        </r>
      </text>
    </comment>
    <comment ref="L64" authorId="0">
      <text>
        <r>
          <rPr>
            <sz val="10"/>
            <color rgb="FF000000"/>
            <rFont val="Tahoma"/>
            <charset val="1"/>
          </rPr>
          <t xml:space="preserve">Based off Bob Adam - spent much of his career as a specialist  consulting balst engineer
</t>
        </r>
      </text>
    </comment>
    <comment ref="M64" authorId="0">
      <text>
        <r>
          <rPr>
            <sz val="10"/>
            <color rgb="FF000000"/>
            <rFont val="Tahoma"/>
            <charset val="1"/>
          </rPr>
          <t xml:space="preserve">Based off Bob Adam - spent much of his career as a specialist  consulting balst engineer
</t>
        </r>
      </text>
    </comment>
    <comment ref="N64" authorId="0">
      <text>
        <r>
          <rPr>
            <sz val="10"/>
            <color rgb="FF000000"/>
            <rFont val="Tahoma"/>
            <charset val="1"/>
          </rPr>
          <t xml:space="preserve">Based off Bob Adam - spent much of his career as a specialist  consulting balst engineer
</t>
        </r>
      </text>
    </comment>
    <comment ref="O64" authorId="0">
      <text>
        <r>
          <rPr>
            <sz val="10"/>
            <color rgb="FF000000"/>
            <rFont val="Tahoma"/>
            <charset val="1"/>
          </rPr>
          <t xml:space="preserve">Based off Bob Adam - spent much of his career as a specialist  consulting balst engineer
</t>
        </r>
      </text>
    </comment>
    <comment ref="P64" authorId="0">
      <text>
        <r>
          <rPr>
            <sz val="10"/>
            <color rgb="FF000000"/>
            <rFont val="Tahoma"/>
            <charset val="1"/>
          </rPr>
          <t xml:space="preserve">Based off Bob Adam - spent much of his career as a specialist  consulting balst engineer
</t>
        </r>
      </text>
    </comment>
    <comment ref="Q64" authorId="0">
      <text>
        <r>
          <rPr>
            <sz val="10"/>
            <color rgb="FF000000"/>
            <rFont val="Tahoma"/>
            <charset val="1"/>
          </rPr>
          <t xml:space="preserve">Based off Bob Adam - spent much of his career as a specialist  consulting balst engineer
</t>
        </r>
      </text>
    </comment>
    <comment ref="R64" authorId="0">
      <text>
        <r>
          <rPr>
            <sz val="10"/>
            <color rgb="FF000000"/>
            <rFont val="Tahoma"/>
            <charset val="1"/>
          </rPr>
          <t xml:space="preserve">Based off Bob Adam - spent much of his career as a specialist  consulting balst engineer
</t>
        </r>
      </text>
    </comment>
    <comment ref="S64" authorId="0">
      <text>
        <r>
          <rPr>
            <sz val="10"/>
            <color rgb="FF000000"/>
            <rFont val="Tahoma"/>
            <charset val="1"/>
          </rPr>
          <t xml:space="preserve">Based off Bob Adam - spent much of his career as a specialist  consulting balst engineer
</t>
        </r>
      </text>
    </comment>
    <comment ref="T64" authorId="0">
      <text>
        <r>
          <rPr>
            <sz val="10"/>
            <color rgb="FF000000"/>
            <rFont val="Tahoma"/>
            <charset val="1"/>
          </rPr>
          <t xml:space="preserve">Based off Bob Adam - spent much of his career as a specialist  consulting balst engineer
</t>
        </r>
      </text>
    </comment>
    <comment ref="U64" authorId="0">
      <text>
        <r>
          <rPr>
            <sz val="10"/>
            <color rgb="FF000000"/>
            <rFont val="Tahoma"/>
            <charset val="1"/>
          </rPr>
          <t xml:space="preserve">Based off Bob Adam - spent much of his career as a specialist  consulting balst engineer
</t>
        </r>
      </text>
    </comment>
    <comment ref="V64" authorId="0">
      <text>
        <r>
          <rPr>
            <sz val="10"/>
            <color rgb="FF000000"/>
            <rFont val="Tahoma"/>
            <charset val="1"/>
          </rPr>
          <t xml:space="preserve">Based off Bob Adam - spent much of his career as a specialist  consulting balst engineer
</t>
        </r>
      </text>
    </comment>
    <comment ref="W64" authorId="0">
      <text>
        <r>
          <rPr>
            <sz val="10"/>
            <color rgb="FF000000"/>
            <rFont val="Tahoma"/>
            <charset val="1"/>
          </rPr>
          <t xml:space="preserve">Based off Bob Adam - spent much of his career as a specialist  consulting balst engineer
</t>
        </r>
      </text>
    </comment>
    <comment ref="C65" authorId="0">
      <text>
        <r>
          <rPr>
            <sz val="10"/>
            <color rgb="FF000000"/>
            <rFont val="Tahoma"/>
            <charset val="1"/>
          </rPr>
          <t xml:space="preserve">Based off Bob Adam - spent much of his career as a specialist  consulting balst engineer
</t>
        </r>
      </text>
    </comment>
    <comment ref="D65" authorId="0">
      <text>
        <r>
          <rPr>
            <sz val="10"/>
            <color rgb="FF000000"/>
            <rFont val="Tahoma"/>
            <charset val="1"/>
          </rPr>
          <t xml:space="preserve">Based off Bob Adam - spent much of his career as a specialist  consulting balst engineer
</t>
        </r>
      </text>
    </comment>
    <comment ref="E65" authorId="0">
      <text>
        <r>
          <rPr>
            <sz val="10"/>
            <color rgb="FF000000"/>
            <rFont val="Tahoma"/>
            <charset val="1"/>
          </rPr>
          <t xml:space="preserve">Based off Bob Adam - spent much of his career as a specialist  consulting balst engineer
</t>
        </r>
      </text>
    </comment>
    <comment ref="F65" authorId="0">
      <text>
        <r>
          <rPr>
            <sz val="10"/>
            <color rgb="FF000000"/>
            <rFont val="Tahoma"/>
            <charset val="1"/>
          </rPr>
          <t xml:space="preserve">Based off Bob Adam - spent much of his career as a specialist  consulting balst engineer
</t>
        </r>
      </text>
    </comment>
    <comment ref="G65" authorId="0">
      <text>
        <r>
          <rPr>
            <sz val="10"/>
            <color rgb="FF000000"/>
            <rFont val="Tahoma"/>
            <charset val="1"/>
          </rPr>
          <t xml:space="preserve">Based off Bob Adam - spent much of his career as a specialist  consulting balst engineer
</t>
        </r>
      </text>
    </comment>
    <comment ref="H65" authorId="0">
      <text>
        <r>
          <rPr>
            <sz val="10"/>
            <color rgb="FF000000"/>
            <rFont val="Tahoma"/>
            <charset val="1"/>
          </rPr>
          <t xml:space="preserve">Based off Bob Adam - spent much of his career as a specialist  consulting balst engineer
</t>
        </r>
      </text>
    </comment>
    <comment ref="I65" authorId="0">
      <text>
        <r>
          <rPr>
            <sz val="10"/>
            <color rgb="FF000000"/>
            <rFont val="Tahoma"/>
            <charset val="1"/>
          </rPr>
          <t xml:space="preserve">Based off Bob Adam - spent much of his career as a specialist  consulting balst engineer
</t>
        </r>
      </text>
    </comment>
    <comment ref="J65" authorId="0">
      <text>
        <r>
          <rPr>
            <sz val="10"/>
            <color rgb="FF000000"/>
            <rFont val="Tahoma"/>
            <charset val="1"/>
          </rPr>
          <t xml:space="preserve">Based off Bob Adam - spent much of his career as a specialist  consulting balst engineer
</t>
        </r>
      </text>
    </comment>
    <comment ref="K65" authorId="0">
      <text>
        <r>
          <rPr>
            <sz val="10"/>
            <color rgb="FF000000"/>
            <rFont val="Tahoma"/>
            <charset val="1"/>
          </rPr>
          <t xml:space="preserve">Based off Bob Adam - spent much of his career as a specialist  consulting balst engineer
</t>
        </r>
      </text>
    </comment>
    <comment ref="L65" authorId="0">
      <text>
        <r>
          <rPr>
            <sz val="10"/>
            <color rgb="FF000000"/>
            <rFont val="Tahoma"/>
            <charset val="1"/>
          </rPr>
          <t xml:space="preserve">Based off Bob Adam - spent much of his career as a specialist  consulting balst engineer
</t>
        </r>
      </text>
    </comment>
    <comment ref="M65" authorId="0">
      <text>
        <r>
          <rPr>
            <sz val="10"/>
            <color rgb="FF000000"/>
            <rFont val="Tahoma"/>
            <charset val="1"/>
          </rPr>
          <t xml:space="preserve">Based off Bob Adam - spent much of his career as a specialist  consulting balst engineer
</t>
        </r>
      </text>
    </comment>
    <comment ref="N65" authorId="0">
      <text>
        <r>
          <rPr>
            <sz val="10"/>
            <color rgb="FF000000"/>
            <rFont val="Tahoma"/>
            <charset val="1"/>
          </rPr>
          <t xml:space="preserve">Based off Bob Adam - spent much of his career as a specialist  consulting balst engineer
</t>
        </r>
      </text>
    </comment>
    <comment ref="O65" authorId="0">
      <text>
        <r>
          <rPr>
            <sz val="10"/>
            <color rgb="FF000000"/>
            <rFont val="Tahoma"/>
            <charset val="1"/>
          </rPr>
          <t xml:space="preserve">Based off Bob Adam - spent much of his career as a specialist  consulting balst engineer
</t>
        </r>
      </text>
    </comment>
    <comment ref="P65" authorId="0">
      <text>
        <r>
          <rPr>
            <sz val="10"/>
            <color rgb="FF000000"/>
            <rFont val="Tahoma"/>
            <charset val="1"/>
          </rPr>
          <t xml:space="preserve">Based off Bob Adam - spent much of his career as a specialist  consulting balst engineer
</t>
        </r>
      </text>
    </comment>
    <comment ref="Q65" authorId="0">
      <text>
        <r>
          <rPr>
            <sz val="10"/>
            <color rgb="FF000000"/>
            <rFont val="Tahoma"/>
            <charset val="1"/>
          </rPr>
          <t xml:space="preserve">Based off Bob Adam - spent much of his career as a specialist  consulting balst engineer
</t>
        </r>
      </text>
    </comment>
    <comment ref="R65" authorId="0">
      <text>
        <r>
          <rPr>
            <sz val="10"/>
            <color rgb="FF000000"/>
            <rFont val="Tahoma"/>
            <charset val="1"/>
          </rPr>
          <t xml:space="preserve">Based off Bob Adam - spent much of his career as a specialist  consulting balst engineer
</t>
        </r>
      </text>
    </comment>
    <comment ref="S65" authorId="0">
      <text>
        <r>
          <rPr>
            <sz val="10"/>
            <color rgb="FF000000"/>
            <rFont val="Tahoma"/>
            <charset val="1"/>
          </rPr>
          <t xml:space="preserve">Based off Bob Adam - spent much of his career as a specialist  consulting balst engineer
</t>
        </r>
      </text>
    </comment>
    <comment ref="T65" authorId="0">
      <text>
        <r>
          <rPr>
            <sz val="10"/>
            <color rgb="FF000000"/>
            <rFont val="Tahoma"/>
            <charset val="1"/>
          </rPr>
          <t xml:space="preserve">Based off Bob Adam - spent much of his career as a specialist  consulting balst engineer
</t>
        </r>
      </text>
    </comment>
    <comment ref="U65" authorId="0">
      <text>
        <r>
          <rPr>
            <sz val="10"/>
            <color rgb="FF000000"/>
            <rFont val="Tahoma"/>
            <charset val="1"/>
          </rPr>
          <t xml:space="preserve">Based off Bob Adam - spent much of his career as a specialist  consulting balst engineer
</t>
        </r>
      </text>
    </comment>
    <comment ref="V65" authorId="0">
      <text>
        <r>
          <rPr>
            <sz val="10"/>
            <color rgb="FF000000"/>
            <rFont val="Tahoma"/>
            <charset val="1"/>
          </rPr>
          <t xml:space="preserve">Based off Bob Adam - spent much of his career as a specialist  consulting balst engineer
</t>
        </r>
      </text>
    </comment>
    <comment ref="W65" authorId="0">
      <text>
        <r>
          <rPr>
            <sz val="10"/>
            <color rgb="FF000000"/>
            <rFont val="Tahoma"/>
            <charset val="1"/>
          </rPr>
          <t xml:space="preserve">Based off Bob Adam - spent much of his career as a specialist  consulting balst engineer
</t>
        </r>
      </text>
    </comment>
    <comment ref="C83" authorId="0">
      <text>
        <r>
          <rPr>
            <sz val="10"/>
            <color rgb="FF000000"/>
            <rFont val="Tahoma"/>
            <charset val="1"/>
          </rPr>
          <t xml:space="preserve">built on machine doing relatively free digging = 200 tph, halve or quarter this for more difficult or insitu material
</t>
        </r>
      </text>
    </comment>
    <comment ref="D83" authorId="0">
      <text>
        <r>
          <rPr>
            <sz val="10"/>
            <color rgb="FF000000"/>
            <rFont val="Tahoma"/>
            <charset val="1"/>
          </rPr>
          <t xml:space="preserve">built on machine doing relatively free digging = 200 tph, halve or quarter this for more difficult or insitu material
</t>
        </r>
      </text>
    </comment>
    <comment ref="E83" authorId="0">
      <text>
        <r>
          <rPr>
            <sz val="10"/>
            <color rgb="FF000000"/>
            <rFont val="Tahoma"/>
            <charset val="1"/>
          </rPr>
          <t xml:space="preserve">built on machine doing relatively free digging = 200 tph, halve or quarter this for more difficult or insitu material
</t>
        </r>
      </text>
    </comment>
    <comment ref="F83" authorId="0">
      <text>
        <r>
          <rPr>
            <sz val="10"/>
            <color rgb="FF000000"/>
            <rFont val="Tahoma"/>
            <charset val="1"/>
          </rPr>
          <t xml:space="preserve">built on machine doing relatively free digging = 200 tph, halve or quarter this for more difficult or insitu material
</t>
        </r>
      </text>
    </comment>
    <comment ref="G83" authorId="0">
      <text>
        <r>
          <rPr>
            <sz val="10"/>
            <color rgb="FF000000"/>
            <rFont val="Tahoma"/>
            <charset val="1"/>
          </rPr>
          <t xml:space="preserve">built on machine doing relatively free digging = 200 tph, halve or quarter this for more difficult or insitu material
</t>
        </r>
      </text>
    </comment>
    <comment ref="H83" authorId="0">
      <text>
        <r>
          <rPr>
            <sz val="10"/>
            <color rgb="FF000000"/>
            <rFont val="Tahoma"/>
            <charset val="1"/>
          </rPr>
          <t xml:space="preserve">built on machine doing relatively free digging = 200 tph, halve or quarter this for more difficult or insitu material
</t>
        </r>
      </text>
    </comment>
    <comment ref="I83" authorId="0">
      <text>
        <r>
          <rPr>
            <sz val="10"/>
            <color rgb="FF000000"/>
            <rFont val="Tahoma"/>
            <charset val="1"/>
          </rPr>
          <t xml:space="preserve">built on machine doing relatively free digging = 200 tph, halve or quarter this for more difficult or insitu material
</t>
        </r>
      </text>
    </comment>
    <comment ref="J83" authorId="0">
      <text>
        <r>
          <rPr>
            <sz val="10"/>
            <color rgb="FF000000"/>
            <rFont val="Tahoma"/>
            <charset val="1"/>
          </rPr>
          <t xml:space="preserve">built on machine doing relatively free digging = 200 tph, halve or quarter this for more difficult or insitu material
</t>
        </r>
      </text>
    </comment>
    <comment ref="K83" authorId="0">
      <text>
        <r>
          <rPr>
            <sz val="10"/>
            <color rgb="FF000000"/>
            <rFont val="Tahoma"/>
            <charset val="1"/>
          </rPr>
          <t xml:space="preserve">built on machine doing relatively free digging = 200 tph, halve or quarter this for more difficult or insitu material
</t>
        </r>
      </text>
    </comment>
    <comment ref="L83" authorId="0">
      <text>
        <r>
          <rPr>
            <sz val="10"/>
            <color rgb="FF000000"/>
            <rFont val="Tahoma"/>
            <charset val="1"/>
          </rPr>
          <t xml:space="preserve">built on machine doing relatively free digging = 200 tph, halve or quarter this for more difficult or insitu material
</t>
        </r>
      </text>
    </comment>
    <comment ref="M83" authorId="0">
      <text>
        <r>
          <rPr>
            <sz val="10"/>
            <color rgb="FF000000"/>
            <rFont val="Tahoma"/>
            <charset val="1"/>
          </rPr>
          <t xml:space="preserve">built on machine doing relatively free digging = 200 tph, halve or quarter this for more difficult or insitu material
</t>
        </r>
      </text>
    </comment>
    <comment ref="N83" authorId="0">
      <text>
        <r>
          <rPr>
            <sz val="10"/>
            <color rgb="FF000000"/>
            <rFont val="Tahoma"/>
            <charset val="1"/>
          </rPr>
          <t xml:space="preserve">built on machine doing relatively free digging = 200 tph, halve or quarter this for more difficult or insitu material
</t>
        </r>
      </text>
    </comment>
    <comment ref="O83" authorId="0">
      <text>
        <r>
          <rPr>
            <sz val="10"/>
            <color rgb="FF000000"/>
            <rFont val="Tahoma"/>
            <charset val="1"/>
          </rPr>
          <t xml:space="preserve">built on machine doing relatively free digging = 200 tph, halve or quarter this for more difficult or insitu material
</t>
        </r>
      </text>
    </comment>
    <comment ref="P83" authorId="0">
      <text>
        <r>
          <rPr>
            <sz val="10"/>
            <color rgb="FF000000"/>
            <rFont val="Tahoma"/>
            <charset val="1"/>
          </rPr>
          <t xml:space="preserve">built on machine doing relatively free digging = 200 tph, halve or quarter this for more difficult or insitu material
</t>
        </r>
      </text>
    </comment>
    <comment ref="Q83" authorId="0">
      <text>
        <r>
          <rPr>
            <sz val="10"/>
            <color rgb="FF000000"/>
            <rFont val="Tahoma"/>
            <charset val="1"/>
          </rPr>
          <t xml:space="preserve">built on machine doing relatively free digging = 200 tph, halve or quarter this for more difficult or insitu material
</t>
        </r>
      </text>
    </comment>
    <comment ref="R83" authorId="0">
      <text>
        <r>
          <rPr>
            <sz val="10"/>
            <color rgb="FF000000"/>
            <rFont val="Tahoma"/>
            <charset val="1"/>
          </rPr>
          <t xml:space="preserve">built on machine doing relatively free digging = 200 tph, halve or quarter this for more difficult or insitu material
</t>
        </r>
      </text>
    </comment>
    <comment ref="S83" authorId="0">
      <text>
        <r>
          <rPr>
            <sz val="10"/>
            <color rgb="FF000000"/>
            <rFont val="Tahoma"/>
            <charset val="1"/>
          </rPr>
          <t xml:space="preserve">built on machine doing relatively free digging = 200 tph, halve or quarter this for more difficult or insitu material
</t>
        </r>
      </text>
    </comment>
    <comment ref="T83" authorId="0">
      <text>
        <r>
          <rPr>
            <sz val="10"/>
            <color rgb="FF000000"/>
            <rFont val="Tahoma"/>
            <charset val="1"/>
          </rPr>
          <t xml:space="preserve">built on machine doing relatively free digging = 200 tph, halve or quarter this for more difficult or insitu material
</t>
        </r>
      </text>
    </comment>
    <comment ref="U83" authorId="0">
      <text>
        <r>
          <rPr>
            <sz val="10"/>
            <color rgb="FF000000"/>
            <rFont val="Tahoma"/>
            <charset val="1"/>
          </rPr>
          <t xml:space="preserve">built on machine doing relatively free digging = 200 tph, halve or quarter this for more difficult or insitu material
</t>
        </r>
      </text>
    </comment>
    <comment ref="V83" authorId="0">
      <text>
        <r>
          <rPr>
            <sz val="10"/>
            <color rgb="FF000000"/>
            <rFont val="Tahoma"/>
            <charset val="1"/>
          </rPr>
          <t xml:space="preserve">built on machine doing relatively free digging = 200 tph, halve or quarter this for more difficult or insitu material
</t>
        </r>
      </text>
    </comment>
    <comment ref="W83" authorId="0">
      <text>
        <r>
          <rPr>
            <sz val="10"/>
            <color rgb="FF000000"/>
            <rFont val="Tahoma"/>
            <charset val="1"/>
          </rPr>
          <t xml:space="preserve">built on machine doing relatively free digging = 200 tph, halve or quarter this for more difficult or insitu material
</t>
        </r>
      </text>
    </comment>
    <comment ref="C85" authorId="0">
      <text>
        <r>
          <rPr>
            <sz val="10"/>
            <color rgb="FF000000"/>
            <rFont val="Tahoma"/>
            <charset val="1"/>
          </rPr>
          <t xml:space="preserve">data from Wirtgen
</t>
        </r>
      </text>
    </comment>
    <comment ref="D85" authorId="0">
      <text>
        <r>
          <rPr>
            <sz val="10"/>
            <color rgb="FF000000"/>
            <rFont val="Tahoma"/>
            <charset val="1"/>
          </rPr>
          <t xml:space="preserve">data from Wirtgen
</t>
        </r>
      </text>
    </comment>
    <comment ref="E85" authorId="0">
      <text>
        <r>
          <rPr>
            <sz val="10"/>
            <color rgb="FF000000"/>
            <rFont val="Tahoma"/>
            <charset val="1"/>
          </rPr>
          <t xml:space="preserve">data from Wirtgen
</t>
        </r>
      </text>
    </comment>
    <comment ref="F85" authorId="0">
      <text>
        <r>
          <rPr>
            <sz val="10"/>
            <color rgb="FF000000"/>
            <rFont val="Tahoma"/>
            <charset val="1"/>
          </rPr>
          <t xml:space="preserve">data from Wirtgen
</t>
        </r>
      </text>
    </comment>
    <comment ref="G85" authorId="0">
      <text>
        <r>
          <rPr>
            <sz val="10"/>
            <color rgb="FF000000"/>
            <rFont val="Tahoma"/>
            <charset val="1"/>
          </rPr>
          <t xml:space="preserve">data from Wirtgen
</t>
        </r>
      </text>
    </comment>
    <comment ref="H85" authorId="0">
      <text>
        <r>
          <rPr>
            <sz val="10"/>
            <color rgb="FF000000"/>
            <rFont val="Tahoma"/>
            <charset val="1"/>
          </rPr>
          <t xml:space="preserve">data from Wirtgen
</t>
        </r>
      </text>
    </comment>
    <comment ref="I85" authorId="0">
      <text>
        <r>
          <rPr>
            <sz val="10"/>
            <color rgb="FF000000"/>
            <rFont val="Tahoma"/>
            <charset val="1"/>
          </rPr>
          <t xml:space="preserve">data from Wirtgen
</t>
        </r>
      </text>
    </comment>
    <comment ref="J85" authorId="0">
      <text>
        <r>
          <rPr>
            <sz val="10"/>
            <color rgb="FF000000"/>
            <rFont val="Tahoma"/>
            <charset val="1"/>
          </rPr>
          <t xml:space="preserve">data from Wirtgen
</t>
        </r>
      </text>
    </comment>
    <comment ref="K85" authorId="0">
      <text>
        <r>
          <rPr>
            <sz val="10"/>
            <color rgb="FF000000"/>
            <rFont val="Tahoma"/>
            <charset val="1"/>
          </rPr>
          <t xml:space="preserve">data from Wirtgen
</t>
        </r>
      </text>
    </comment>
    <comment ref="L85" authorId="0">
      <text>
        <r>
          <rPr>
            <sz val="10"/>
            <color rgb="FF000000"/>
            <rFont val="Tahoma"/>
            <charset val="1"/>
          </rPr>
          <t xml:space="preserve">data from Wirtgen
</t>
        </r>
      </text>
    </comment>
    <comment ref="M85" authorId="0">
      <text>
        <r>
          <rPr>
            <sz val="10"/>
            <color rgb="FF000000"/>
            <rFont val="Tahoma"/>
            <charset val="1"/>
          </rPr>
          <t xml:space="preserve">data from Wirtgen
</t>
        </r>
      </text>
    </comment>
    <comment ref="N85" authorId="0">
      <text>
        <r>
          <rPr>
            <sz val="10"/>
            <color rgb="FF000000"/>
            <rFont val="Tahoma"/>
            <charset val="1"/>
          </rPr>
          <t xml:space="preserve">data from Wirtgen
</t>
        </r>
      </text>
    </comment>
    <comment ref="O85" authorId="0">
      <text>
        <r>
          <rPr>
            <sz val="10"/>
            <color rgb="FF000000"/>
            <rFont val="Tahoma"/>
            <charset val="1"/>
          </rPr>
          <t xml:space="preserve">data from Wirtgen
</t>
        </r>
      </text>
    </comment>
    <comment ref="P85" authorId="0">
      <text>
        <r>
          <rPr>
            <sz val="10"/>
            <color rgb="FF000000"/>
            <rFont val="Tahoma"/>
            <charset val="1"/>
          </rPr>
          <t xml:space="preserve">data from Wirtgen
</t>
        </r>
      </text>
    </comment>
    <comment ref="Q85" authorId="0">
      <text>
        <r>
          <rPr>
            <sz val="10"/>
            <color rgb="FF000000"/>
            <rFont val="Tahoma"/>
            <charset val="1"/>
          </rPr>
          <t xml:space="preserve">data from Wirtgen
</t>
        </r>
      </text>
    </comment>
    <comment ref="R85" authorId="0">
      <text>
        <r>
          <rPr>
            <sz val="10"/>
            <color rgb="FF000000"/>
            <rFont val="Tahoma"/>
            <charset val="1"/>
          </rPr>
          <t xml:space="preserve">data from Wirtgen
</t>
        </r>
      </text>
    </comment>
    <comment ref="S85" authorId="0">
      <text>
        <r>
          <rPr>
            <sz val="10"/>
            <color rgb="FF000000"/>
            <rFont val="Tahoma"/>
            <charset val="1"/>
          </rPr>
          <t xml:space="preserve">data from Wirtgen
</t>
        </r>
      </text>
    </comment>
    <comment ref="T85" authorId="0">
      <text>
        <r>
          <rPr>
            <sz val="10"/>
            <color rgb="FF000000"/>
            <rFont val="Tahoma"/>
            <charset val="1"/>
          </rPr>
          <t xml:space="preserve">data from Wirtgen
</t>
        </r>
      </text>
    </comment>
    <comment ref="U85" authorId="0">
      <text>
        <r>
          <rPr>
            <sz val="10"/>
            <color rgb="FF000000"/>
            <rFont val="Tahoma"/>
            <charset val="1"/>
          </rPr>
          <t xml:space="preserve">data from Wirtgen
</t>
        </r>
      </text>
    </comment>
    <comment ref="V85" authorId="0">
      <text>
        <r>
          <rPr>
            <sz val="10"/>
            <color rgb="FF000000"/>
            <rFont val="Tahoma"/>
            <charset val="1"/>
          </rPr>
          <t xml:space="preserve">data from Wirtgen
</t>
        </r>
      </text>
    </comment>
    <comment ref="W85" authorId="0">
      <text>
        <r>
          <rPr>
            <sz val="10"/>
            <color rgb="FF000000"/>
            <rFont val="Tahoma"/>
            <charset val="1"/>
          </rPr>
          <t xml:space="preserve">data from Wirtgen
</t>
        </r>
      </text>
    </comment>
    <comment ref="C86" authorId="0">
      <text>
        <r>
          <rPr>
            <sz val="10"/>
            <color rgb="FF000000"/>
            <rFont val="Tahoma"/>
            <charset val="1"/>
          </rPr>
          <t>2 on ground plus tending crew (2) and mtce crew allowance (2)</t>
        </r>
      </text>
    </comment>
    <comment ref="D86" authorId="0">
      <text>
        <r>
          <rPr>
            <sz val="10"/>
            <color rgb="FF000000"/>
            <rFont val="Tahoma"/>
            <charset val="1"/>
          </rPr>
          <t>2 on ground plus tending crew (2) and mtce crew allowance (2)</t>
        </r>
      </text>
    </comment>
    <comment ref="E86" authorId="0">
      <text>
        <r>
          <rPr>
            <sz val="10"/>
            <color rgb="FF000000"/>
            <rFont val="Tahoma"/>
            <charset val="1"/>
          </rPr>
          <t>2 on ground plus tending crew (2) and mtce crew allowance (2)</t>
        </r>
      </text>
    </comment>
    <comment ref="F86" authorId="0">
      <text>
        <r>
          <rPr>
            <sz val="10"/>
            <color rgb="FF000000"/>
            <rFont val="Tahoma"/>
            <charset val="1"/>
          </rPr>
          <t>2 on ground plus tending crew (2) and mtce crew allowance (2)</t>
        </r>
      </text>
    </comment>
    <comment ref="G86" authorId="0">
      <text>
        <r>
          <rPr>
            <sz val="10"/>
            <color rgb="FF000000"/>
            <rFont val="Tahoma"/>
            <charset val="1"/>
          </rPr>
          <t>2 on ground plus tending crew (2) and mtce crew allowance (2)</t>
        </r>
      </text>
    </comment>
    <comment ref="H86" authorId="0">
      <text>
        <r>
          <rPr>
            <sz val="10"/>
            <color rgb="FF000000"/>
            <rFont val="Tahoma"/>
            <charset val="1"/>
          </rPr>
          <t>2 on ground plus tending crew (2) and mtce crew allowance (2)</t>
        </r>
      </text>
    </comment>
    <comment ref="I86" authorId="0">
      <text>
        <r>
          <rPr>
            <sz val="10"/>
            <color rgb="FF000000"/>
            <rFont val="Tahoma"/>
            <charset val="1"/>
          </rPr>
          <t>2 on ground plus tending crew (2) and mtce crew allowance (2)</t>
        </r>
      </text>
    </comment>
    <comment ref="J86" authorId="0">
      <text>
        <r>
          <rPr>
            <sz val="10"/>
            <color rgb="FF000000"/>
            <rFont val="Tahoma"/>
            <charset val="1"/>
          </rPr>
          <t>2 on ground plus tending crew (2) and mtce crew allowance (2)</t>
        </r>
      </text>
    </comment>
    <comment ref="K86" authorId="0">
      <text>
        <r>
          <rPr>
            <sz val="10"/>
            <color rgb="FF000000"/>
            <rFont val="Tahoma"/>
            <charset val="1"/>
          </rPr>
          <t>2 on ground plus tending crew (2) and mtce crew allowance (2)</t>
        </r>
      </text>
    </comment>
    <comment ref="L86" authorId="0">
      <text>
        <r>
          <rPr>
            <sz val="10"/>
            <color rgb="FF000000"/>
            <rFont val="Tahoma"/>
            <charset val="1"/>
          </rPr>
          <t>2 on ground plus tending crew (2) and mtce crew allowance (2)</t>
        </r>
      </text>
    </comment>
    <comment ref="M86" authorId="0">
      <text>
        <r>
          <rPr>
            <sz val="10"/>
            <color rgb="FF000000"/>
            <rFont val="Tahoma"/>
            <charset val="1"/>
          </rPr>
          <t>2 on ground plus tending crew (2) and mtce crew allowance (2)</t>
        </r>
      </text>
    </comment>
    <comment ref="N86" authorId="0">
      <text>
        <r>
          <rPr>
            <sz val="10"/>
            <color rgb="FF000000"/>
            <rFont val="Tahoma"/>
            <charset val="1"/>
          </rPr>
          <t>2 on ground plus tending crew (2) and mtce crew allowance (2)</t>
        </r>
      </text>
    </comment>
    <comment ref="O86" authorId="0">
      <text>
        <r>
          <rPr>
            <sz val="10"/>
            <color rgb="FF000000"/>
            <rFont val="Tahoma"/>
            <charset val="1"/>
          </rPr>
          <t>2 on ground plus tending crew (2) and mtce crew allowance (2)</t>
        </r>
      </text>
    </comment>
    <comment ref="P86" authorId="0">
      <text>
        <r>
          <rPr>
            <sz val="10"/>
            <color rgb="FF000000"/>
            <rFont val="Tahoma"/>
            <charset val="1"/>
          </rPr>
          <t>2 on ground plus tending crew (2) and mtce crew allowance (2)</t>
        </r>
      </text>
    </comment>
    <comment ref="Q86" authorId="0">
      <text>
        <r>
          <rPr>
            <sz val="10"/>
            <color rgb="FF000000"/>
            <rFont val="Tahoma"/>
            <charset val="1"/>
          </rPr>
          <t>2 on ground plus tending crew (2) and mtce crew allowance (2)</t>
        </r>
      </text>
    </comment>
    <comment ref="R86" authorId="0">
      <text>
        <r>
          <rPr>
            <sz val="10"/>
            <color rgb="FF000000"/>
            <rFont val="Tahoma"/>
            <charset val="1"/>
          </rPr>
          <t>2 on ground plus tending crew (2) and mtce crew allowance (2)</t>
        </r>
      </text>
    </comment>
    <comment ref="S86" authorId="0">
      <text>
        <r>
          <rPr>
            <sz val="10"/>
            <color rgb="FF000000"/>
            <rFont val="Tahoma"/>
            <charset val="1"/>
          </rPr>
          <t>2 on ground plus tending crew (2) and mtce crew allowance (2)</t>
        </r>
      </text>
    </comment>
    <comment ref="T86" authorId="0">
      <text>
        <r>
          <rPr>
            <sz val="10"/>
            <color rgb="FF000000"/>
            <rFont val="Tahoma"/>
            <charset val="1"/>
          </rPr>
          <t>2 on ground plus tending crew (2) and mtce crew allowance (2)</t>
        </r>
      </text>
    </comment>
    <comment ref="U86" authorId="0">
      <text>
        <r>
          <rPr>
            <sz val="10"/>
            <color rgb="FF000000"/>
            <rFont val="Tahoma"/>
            <charset val="1"/>
          </rPr>
          <t>2 on ground plus tending crew (2) and mtce crew allowance (2)</t>
        </r>
      </text>
    </comment>
    <comment ref="V86" authorId="0">
      <text>
        <r>
          <rPr>
            <sz val="10"/>
            <color rgb="FF000000"/>
            <rFont val="Tahoma"/>
            <charset val="1"/>
          </rPr>
          <t>2 on ground plus tending crew (2) and mtce crew allowance (2)</t>
        </r>
      </text>
    </comment>
    <comment ref="W86" authorId="0">
      <text>
        <r>
          <rPr>
            <sz val="10"/>
            <color rgb="FF000000"/>
            <rFont val="Tahoma"/>
            <charset val="1"/>
          </rPr>
          <t>2 on ground plus tending crew (2) and mtce crew allowance (2)</t>
        </r>
      </text>
    </comment>
    <comment ref="C87" authorId="0">
      <text>
        <r>
          <rPr>
            <sz val="10"/>
            <color rgb="FF000000"/>
            <rFont val="Tahoma"/>
            <charset val="1"/>
          </rPr>
          <t xml:space="preserve">Wirtgen supplied data at 650 tph converted from euros to US$ and then to a per wmt rate
</t>
        </r>
      </text>
    </comment>
    <comment ref="D87" authorId="0">
      <text>
        <r>
          <rPr>
            <sz val="10"/>
            <color rgb="FF000000"/>
            <rFont val="Tahoma"/>
            <charset val="1"/>
          </rPr>
          <t xml:space="preserve">Wirtgen supplied data at 650 tph converted from euros to US$ and then to a per wmt rate
</t>
        </r>
      </text>
    </comment>
    <comment ref="E87" authorId="0">
      <text>
        <r>
          <rPr>
            <sz val="10"/>
            <color rgb="FF000000"/>
            <rFont val="Tahoma"/>
            <charset val="1"/>
          </rPr>
          <t xml:space="preserve">Wirtgen supplied data at 650 tph converted from euros to US$ and then to a per wmt rate
</t>
        </r>
      </text>
    </comment>
    <comment ref="F87" authorId="0">
      <text>
        <r>
          <rPr>
            <sz val="10"/>
            <color rgb="FF000000"/>
            <rFont val="Tahoma"/>
            <charset val="1"/>
          </rPr>
          <t xml:space="preserve">Wirtgen supplied data at 650 tph converted from euros to US$ and then to a per wmt rate
</t>
        </r>
      </text>
    </comment>
    <comment ref="G87" authorId="0">
      <text>
        <r>
          <rPr>
            <sz val="10"/>
            <color rgb="FF000000"/>
            <rFont val="Tahoma"/>
            <charset val="1"/>
          </rPr>
          <t xml:space="preserve">Wirtgen supplied data at 650 tph converted from euros to US$ and then to a per wmt rate
</t>
        </r>
      </text>
    </comment>
    <comment ref="H87" authorId="0">
      <text>
        <r>
          <rPr>
            <sz val="10"/>
            <color rgb="FF000000"/>
            <rFont val="Tahoma"/>
            <charset val="1"/>
          </rPr>
          <t xml:space="preserve">Wirtgen supplied data at 650 tph converted from euros to US$ and then to a per wmt rate
</t>
        </r>
      </text>
    </comment>
    <comment ref="I87" authorId="0">
      <text>
        <r>
          <rPr>
            <sz val="10"/>
            <color rgb="FF000000"/>
            <rFont val="Tahoma"/>
            <charset val="1"/>
          </rPr>
          <t xml:space="preserve">Wirtgen supplied data at 650 tph converted from euros to US$ and then to a per wmt rate
</t>
        </r>
      </text>
    </comment>
    <comment ref="J87" authorId="0">
      <text>
        <r>
          <rPr>
            <sz val="10"/>
            <color rgb="FF000000"/>
            <rFont val="Tahoma"/>
            <charset val="1"/>
          </rPr>
          <t xml:space="preserve">Wirtgen supplied data at 650 tph converted from euros to US$ and then to a per wmt rate
</t>
        </r>
      </text>
    </comment>
    <comment ref="K87" authorId="0">
      <text>
        <r>
          <rPr>
            <sz val="10"/>
            <color rgb="FF000000"/>
            <rFont val="Tahoma"/>
            <charset val="1"/>
          </rPr>
          <t xml:space="preserve">Wirtgen supplied data at 650 tph converted from euros to US$ and then to a per wmt rate
</t>
        </r>
      </text>
    </comment>
    <comment ref="L87" authorId="0">
      <text>
        <r>
          <rPr>
            <sz val="10"/>
            <color rgb="FF000000"/>
            <rFont val="Tahoma"/>
            <charset val="1"/>
          </rPr>
          <t xml:space="preserve">Wirtgen supplied data at 650 tph converted from euros to US$ and then to a per wmt rate
</t>
        </r>
      </text>
    </comment>
    <comment ref="M87" authorId="0">
      <text>
        <r>
          <rPr>
            <sz val="10"/>
            <color rgb="FF000000"/>
            <rFont val="Tahoma"/>
            <charset val="1"/>
          </rPr>
          <t xml:space="preserve">Wirtgen supplied data at 650 tph converted from euros to US$ and then to a per wmt rate
</t>
        </r>
      </text>
    </comment>
    <comment ref="N87" authorId="0">
      <text>
        <r>
          <rPr>
            <sz val="10"/>
            <color rgb="FF000000"/>
            <rFont val="Tahoma"/>
            <charset val="1"/>
          </rPr>
          <t xml:space="preserve">Wirtgen supplied data at 650 tph converted from euros to US$ and then to a per wmt rate
</t>
        </r>
      </text>
    </comment>
    <comment ref="O87" authorId="0">
      <text>
        <r>
          <rPr>
            <sz val="10"/>
            <color rgb="FF000000"/>
            <rFont val="Tahoma"/>
            <charset val="1"/>
          </rPr>
          <t xml:space="preserve">Wirtgen supplied data at 650 tph converted from euros to US$ and then to a per wmt rate
</t>
        </r>
      </text>
    </comment>
    <comment ref="P87" authorId="0">
      <text>
        <r>
          <rPr>
            <sz val="10"/>
            <color rgb="FF000000"/>
            <rFont val="Tahoma"/>
            <charset val="1"/>
          </rPr>
          <t xml:space="preserve">Wirtgen supplied data at 650 tph converted from euros to US$ and then to a per wmt rate
</t>
        </r>
      </text>
    </comment>
    <comment ref="Q87" authorId="0">
      <text>
        <r>
          <rPr>
            <sz val="10"/>
            <color rgb="FF000000"/>
            <rFont val="Tahoma"/>
            <charset val="1"/>
          </rPr>
          <t xml:space="preserve">Wirtgen supplied data at 650 tph converted from euros to US$ and then to a per wmt rate
</t>
        </r>
      </text>
    </comment>
    <comment ref="R87" authorId="0">
      <text>
        <r>
          <rPr>
            <sz val="10"/>
            <color rgb="FF000000"/>
            <rFont val="Tahoma"/>
            <charset val="1"/>
          </rPr>
          <t xml:space="preserve">Wirtgen supplied data at 650 tph converted from euros to US$ and then to a per wmt rate
</t>
        </r>
      </text>
    </comment>
    <comment ref="S87" authorId="0">
      <text>
        <r>
          <rPr>
            <sz val="10"/>
            <color rgb="FF000000"/>
            <rFont val="Tahoma"/>
            <charset val="1"/>
          </rPr>
          <t xml:space="preserve">Wirtgen supplied data at 650 tph converted from euros to US$ and then to a per wmt rate
</t>
        </r>
      </text>
    </comment>
    <comment ref="T87" authorId="0">
      <text>
        <r>
          <rPr>
            <sz val="10"/>
            <color rgb="FF000000"/>
            <rFont val="Tahoma"/>
            <charset val="1"/>
          </rPr>
          <t xml:space="preserve">Wirtgen supplied data at 650 tph converted from euros to US$ and then to a per wmt rate
</t>
        </r>
      </text>
    </comment>
    <comment ref="U87" authorId="0">
      <text>
        <r>
          <rPr>
            <sz val="10"/>
            <color rgb="FF000000"/>
            <rFont val="Tahoma"/>
            <charset val="1"/>
          </rPr>
          <t xml:space="preserve">Wirtgen supplied data at 650 tph converted from euros to US$ and then to a per wmt rate
</t>
        </r>
      </text>
    </comment>
    <comment ref="V87" authorId="0">
      <text>
        <r>
          <rPr>
            <sz val="10"/>
            <color rgb="FF000000"/>
            <rFont val="Tahoma"/>
            <charset val="1"/>
          </rPr>
          <t xml:space="preserve">Wirtgen supplied data at 650 tph converted from euros to US$ and then to a per wmt rate
</t>
        </r>
      </text>
    </comment>
    <comment ref="W87" authorId="0">
      <text>
        <r>
          <rPr>
            <sz val="10"/>
            <color rgb="FF000000"/>
            <rFont val="Tahoma"/>
            <charset val="1"/>
          </rPr>
          <t xml:space="preserve">Wirtgen supplied data at 650 tph converted from euros to US$ and then to a per wmt rate
</t>
        </r>
      </text>
    </comment>
    <comment ref="C105" authorId="0">
      <text>
        <r>
          <rPr>
            <sz val="10"/>
            <color rgb="FF000000"/>
            <rFont val="Tahoma"/>
            <charset val="1"/>
          </rPr>
          <t>tuned roughly to Henan Chine trip data</t>
        </r>
      </text>
    </comment>
    <comment ref="D105" authorId="0">
      <text>
        <r>
          <rPr>
            <sz val="10"/>
            <color rgb="FF000000"/>
            <rFont val="Tahoma"/>
            <charset val="1"/>
          </rPr>
          <t>tuned roughly to Henan Chine trip data</t>
        </r>
      </text>
    </comment>
    <comment ref="E105" authorId="0">
      <text>
        <r>
          <rPr>
            <sz val="10"/>
            <color rgb="FF000000"/>
            <rFont val="Tahoma"/>
            <charset val="1"/>
          </rPr>
          <t>tuned roughly to Henan Chine trip data</t>
        </r>
      </text>
    </comment>
    <comment ref="F105" authorId="0">
      <text>
        <r>
          <rPr>
            <sz val="10"/>
            <color rgb="FF000000"/>
            <rFont val="Tahoma"/>
            <charset val="1"/>
          </rPr>
          <t>tuned roughly to Henan Chine trip data</t>
        </r>
      </text>
    </comment>
    <comment ref="G105" authorId="0">
      <text>
        <r>
          <rPr>
            <sz val="10"/>
            <color rgb="FF000000"/>
            <rFont val="Tahoma"/>
            <charset val="1"/>
          </rPr>
          <t>tuned roughly to Henan Chine trip data</t>
        </r>
      </text>
    </comment>
    <comment ref="H105" authorId="0">
      <text>
        <r>
          <rPr>
            <sz val="10"/>
            <color rgb="FF000000"/>
            <rFont val="Tahoma"/>
            <charset val="1"/>
          </rPr>
          <t>tuned roughly to Henan Chine trip data</t>
        </r>
      </text>
    </comment>
    <comment ref="I105" authorId="0">
      <text>
        <r>
          <rPr>
            <sz val="10"/>
            <color rgb="FF000000"/>
            <rFont val="Tahoma"/>
            <charset val="1"/>
          </rPr>
          <t>tuned roughly to Henan Chine trip data</t>
        </r>
      </text>
    </comment>
    <comment ref="J105" authorId="0">
      <text>
        <r>
          <rPr>
            <sz val="10"/>
            <color rgb="FF000000"/>
            <rFont val="Tahoma"/>
            <charset val="1"/>
          </rPr>
          <t>tuned roughly to Henan Chine trip data</t>
        </r>
      </text>
    </comment>
    <comment ref="K105" authorId="0">
      <text>
        <r>
          <rPr>
            <sz val="10"/>
            <color rgb="FF000000"/>
            <rFont val="Tahoma"/>
            <charset val="1"/>
          </rPr>
          <t>tuned roughly to Henan Chine trip data</t>
        </r>
      </text>
    </comment>
    <comment ref="L105" authorId="0">
      <text>
        <r>
          <rPr>
            <sz val="10"/>
            <color rgb="FF000000"/>
            <rFont val="Tahoma"/>
            <charset val="1"/>
          </rPr>
          <t>tuned roughly to Henan Chine trip data</t>
        </r>
      </text>
    </comment>
    <comment ref="M105" authorId="0">
      <text>
        <r>
          <rPr>
            <sz val="10"/>
            <color rgb="FF000000"/>
            <rFont val="Tahoma"/>
            <charset val="1"/>
          </rPr>
          <t>tuned roughly to Henan Chine trip data</t>
        </r>
      </text>
    </comment>
    <comment ref="N105" authorId="0">
      <text>
        <r>
          <rPr>
            <sz val="10"/>
            <color rgb="FF000000"/>
            <rFont val="Tahoma"/>
            <charset val="1"/>
          </rPr>
          <t>tuned roughly to Henan Chine trip data</t>
        </r>
      </text>
    </comment>
    <comment ref="O105" authorId="0">
      <text>
        <r>
          <rPr>
            <sz val="10"/>
            <color rgb="FF000000"/>
            <rFont val="Tahoma"/>
            <charset val="1"/>
          </rPr>
          <t>tuned roughly to Henan Chine trip data</t>
        </r>
      </text>
    </comment>
    <comment ref="P105" authorId="0">
      <text>
        <r>
          <rPr>
            <sz val="10"/>
            <color rgb="FF000000"/>
            <rFont val="Tahoma"/>
            <charset val="1"/>
          </rPr>
          <t>tuned roughly to Henan Chine trip data</t>
        </r>
      </text>
    </comment>
    <comment ref="Q105" authorId="0">
      <text>
        <r>
          <rPr>
            <sz val="10"/>
            <color rgb="FF000000"/>
            <rFont val="Tahoma"/>
            <charset val="1"/>
          </rPr>
          <t>tuned roughly to Henan Chine trip data</t>
        </r>
      </text>
    </comment>
    <comment ref="R105" authorId="0">
      <text>
        <r>
          <rPr>
            <sz val="10"/>
            <color rgb="FF000000"/>
            <rFont val="Tahoma"/>
            <charset val="1"/>
          </rPr>
          <t>tuned roughly to Henan Chine trip data</t>
        </r>
      </text>
    </comment>
    <comment ref="S105" authorId="0">
      <text>
        <r>
          <rPr>
            <sz val="10"/>
            <color rgb="FF000000"/>
            <rFont val="Tahoma"/>
            <charset val="1"/>
          </rPr>
          <t>tuned roughly to Henan Chine trip data</t>
        </r>
      </text>
    </comment>
    <comment ref="T105" authorId="0">
      <text>
        <r>
          <rPr>
            <sz val="10"/>
            <color rgb="FF000000"/>
            <rFont val="Tahoma"/>
            <charset val="1"/>
          </rPr>
          <t>tuned roughly to Henan Chine trip data</t>
        </r>
      </text>
    </comment>
    <comment ref="U105" authorId="0">
      <text>
        <r>
          <rPr>
            <sz val="10"/>
            <color rgb="FF000000"/>
            <rFont val="Tahoma"/>
            <charset val="1"/>
          </rPr>
          <t>tuned roughly to Henan Chine trip data</t>
        </r>
      </text>
    </comment>
    <comment ref="V105" authorId="0">
      <text>
        <r>
          <rPr>
            <sz val="10"/>
            <color rgb="FF000000"/>
            <rFont val="Tahoma"/>
            <charset val="1"/>
          </rPr>
          <t>tuned roughly to Henan Chine trip data</t>
        </r>
      </text>
    </comment>
    <comment ref="W105" authorId="0">
      <text>
        <r>
          <rPr>
            <sz val="10"/>
            <color rgb="FF000000"/>
            <rFont val="Tahoma"/>
            <charset val="1"/>
          </rPr>
          <t>tuned roughly to Henan Chine trip data</t>
        </r>
      </text>
    </comment>
    <comment ref="C106" authorId="0">
      <text>
        <r>
          <rPr>
            <sz val="10"/>
            <color rgb="FF000000"/>
            <rFont val="Calibri"/>
            <charset val="1"/>
          </rPr>
          <t xml:space="preserve">Baes off India bx truck data &amp; Guidelines for Measuring and Managing CO2 Emission from Freight Transport Operations </t>
        </r>
      </text>
    </comment>
    <comment ref="D106" authorId="0">
      <text>
        <r>
          <rPr>
            <sz val="10"/>
            <color rgb="FF000000"/>
            <rFont val="Calibri"/>
            <charset val="1"/>
          </rPr>
          <t xml:space="preserve">Baes off India bx truck data &amp; Guidelines for Measuring and Managing CO2 Emission from Freight Transport Operations </t>
        </r>
      </text>
    </comment>
    <comment ref="E106" authorId="0">
      <text>
        <r>
          <rPr>
            <sz val="10"/>
            <color rgb="FF000000"/>
            <rFont val="Calibri"/>
            <charset val="1"/>
          </rPr>
          <t xml:space="preserve">Baes off India bx truck data &amp; Guidelines for Measuring and Managing CO2 Emission from Freight Transport Operations </t>
        </r>
      </text>
    </comment>
    <comment ref="F106" authorId="0">
      <text>
        <r>
          <rPr>
            <sz val="10"/>
            <color rgb="FF000000"/>
            <rFont val="Calibri"/>
            <charset val="1"/>
          </rPr>
          <t xml:space="preserve">Baes off India bx truck data &amp; Guidelines for Measuring and Managing CO2 Emission from Freight Transport Operations </t>
        </r>
      </text>
    </comment>
    <comment ref="G106" authorId="0">
      <text>
        <r>
          <rPr>
            <sz val="10"/>
            <color rgb="FF000000"/>
            <rFont val="Calibri"/>
            <charset val="1"/>
          </rPr>
          <t xml:space="preserve">Baes off India bx truck data &amp; Guidelines for Measuring and Managing CO2 Emission from Freight Transport Operations </t>
        </r>
      </text>
    </comment>
    <comment ref="H106" authorId="0">
      <text>
        <r>
          <rPr>
            <sz val="10"/>
            <color rgb="FF000000"/>
            <rFont val="Calibri"/>
            <charset val="1"/>
          </rPr>
          <t xml:space="preserve">Baes off India bx truck data &amp; Guidelines for Measuring and Managing CO2 Emission from Freight Transport Operations </t>
        </r>
      </text>
    </comment>
    <comment ref="I106" authorId="0">
      <text>
        <r>
          <rPr>
            <sz val="10"/>
            <color rgb="FF000000"/>
            <rFont val="Calibri"/>
            <charset val="1"/>
          </rPr>
          <t xml:space="preserve">Baes off India bx truck data &amp; Guidelines for Measuring and Managing CO2 Emission from Freight Transport Operations </t>
        </r>
      </text>
    </comment>
    <comment ref="J106" authorId="0">
      <text>
        <r>
          <rPr>
            <sz val="10"/>
            <color rgb="FF000000"/>
            <rFont val="Calibri"/>
            <charset val="1"/>
          </rPr>
          <t xml:space="preserve">Baes off India bx truck data &amp; Guidelines for Measuring and Managing CO2 Emission from Freight Transport Operations </t>
        </r>
      </text>
    </comment>
    <comment ref="K106" authorId="0">
      <text>
        <r>
          <rPr>
            <sz val="10"/>
            <color rgb="FF000000"/>
            <rFont val="Calibri"/>
            <charset val="1"/>
          </rPr>
          <t xml:space="preserve">Baes off India bx truck data &amp; Guidelines for Measuring and Managing CO2 Emission from Freight Transport Operations </t>
        </r>
      </text>
    </comment>
    <comment ref="L106" authorId="0">
      <text>
        <r>
          <rPr>
            <sz val="10"/>
            <color rgb="FF000000"/>
            <rFont val="Calibri"/>
            <charset val="1"/>
          </rPr>
          <t xml:space="preserve">Baes off India bx truck data &amp; Guidelines for Measuring and Managing CO2 Emission from Freight Transport Operations </t>
        </r>
      </text>
    </comment>
    <comment ref="M106" authorId="0">
      <text>
        <r>
          <rPr>
            <sz val="10"/>
            <color rgb="FF000000"/>
            <rFont val="Calibri"/>
            <charset val="1"/>
          </rPr>
          <t xml:space="preserve">Baes off India bx truck data &amp; Guidelines for Measuring and Managing CO2 Emission from Freight Transport Operations </t>
        </r>
      </text>
    </comment>
    <comment ref="N106" authorId="0">
      <text>
        <r>
          <rPr>
            <sz val="10"/>
            <color rgb="FF000000"/>
            <rFont val="Calibri"/>
            <charset val="1"/>
          </rPr>
          <t xml:space="preserve">Baes off India bx truck data &amp; Guidelines for Measuring and Managing CO2 Emission from Freight Transport Operations </t>
        </r>
      </text>
    </comment>
    <comment ref="O106" authorId="0">
      <text>
        <r>
          <rPr>
            <sz val="10"/>
            <color rgb="FF000000"/>
            <rFont val="Calibri"/>
            <charset val="1"/>
          </rPr>
          <t xml:space="preserve">Baes off India bx truck data &amp; Guidelines for Measuring and Managing CO2 Emission from Freight Transport Operations </t>
        </r>
      </text>
    </comment>
    <comment ref="P106" authorId="0">
      <text>
        <r>
          <rPr>
            <sz val="10"/>
            <color rgb="FF000000"/>
            <rFont val="Calibri"/>
            <charset val="1"/>
          </rPr>
          <t xml:space="preserve">Baes off India bx truck data &amp; Guidelines for Measuring and Managing CO2 Emission from Freight Transport Operations </t>
        </r>
      </text>
    </comment>
    <comment ref="Q106" authorId="0">
      <text>
        <r>
          <rPr>
            <sz val="10"/>
            <color rgb="FF000000"/>
            <rFont val="Calibri"/>
            <charset val="1"/>
          </rPr>
          <t xml:space="preserve">Baes off India bx truck data &amp; Guidelines for Measuring and Managing CO2 Emission from Freight Transport Operations </t>
        </r>
      </text>
    </comment>
    <comment ref="R106" authorId="0">
      <text>
        <r>
          <rPr>
            <sz val="10"/>
            <color rgb="FF000000"/>
            <rFont val="Calibri"/>
            <charset val="1"/>
          </rPr>
          <t xml:space="preserve">Baes off India bx truck data &amp; Guidelines for Measuring and Managing CO2 Emission from Freight Transport Operations </t>
        </r>
      </text>
    </comment>
    <comment ref="S106" authorId="0">
      <text>
        <r>
          <rPr>
            <sz val="10"/>
            <color rgb="FF000000"/>
            <rFont val="Calibri"/>
            <charset val="1"/>
          </rPr>
          <t xml:space="preserve">Baes off India bx truck data &amp; Guidelines for Measuring and Managing CO2 Emission from Freight Transport Operations </t>
        </r>
      </text>
    </comment>
    <comment ref="T106" authorId="0">
      <text>
        <r>
          <rPr>
            <sz val="10"/>
            <color rgb="FF000000"/>
            <rFont val="Calibri"/>
            <charset val="1"/>
          </rPr>
          <t xml:space="preserve">Baes off India bx truck data &amp; Guidelines for Measuring and Managing CO2 Emission from Freight Transport Operations </t>
        </r>
      </text>
    </comment>
    <comment ref="U106" authorId="0">
      <text>
        <r>
          <rPr>
            <sz val="10"/>
            <color rgb="FF000000"/>
            <rFont val="Calibri"/>
            <charset val="1"/>
          </rPr>
          <t xml:space="preserve">Baes off India bx truck data &amp; Guidelines for Measuring and Managing CO2 Emission from Freight Transport Operations </t>
        </r>
      </text>
    </comment>
    <comment ref="V106" authorId="0">
      <text>
        <r>
          <rPr>
            <sz val="10"/>
            <color rgb="FF000000"/>
            <rFont val="Calibri"/>
            <charset val="1"/>
          </rPr>
          <t xml:space="preserve">Baes off India bx truck data &amp; Guidelines for Measuring and Managing CO2 Emission from Freight Transport Operations </t>
        </r>
      </text>
    </comment>
    <comment ref="W106" authorId="0">
      <text>
        <r>
          <rPr>
            <sz val="10"/>
            <color rgb="FF000000"/>
            <rFont val="Calibri"/>
            <charset val="1"/>
          </rPr>
          <t xml:space="preserve">Baes off India bx truck data &amp; Guidelines for Measuring and Managing CO2 Emission from Freight Transport Operations </t>
        </r>
      </text>
    </comment>
    <comment ref="C107" authorId="0">
      <text>
        <r>
          <rPr>
            <sz val="10"/>
            <color rgb="FF000000"/>
            <rFont val="Tahoma"/>
            <charset val="1"/>
          </rPr>
          <t>tuned roughly to Henan Chine trip data</t>
        </r>
      </text>
    </comment>
    <comment ref="D107" authorId="0">
      <text>
        <r>
          <rPr>
            <sz val="10"/>
            <color rgb="FF000000"/>
            <rFont val="Tahoma"/>
            <charset val="1"/>
          </rPr>
          <t>tuned roughly to Henan Chine trip data</t>
        </r>
      </text>
    </comment>
    <comment ref="E107" authorId="0">
      <text>
        <r>
          <rPr>
            <sz val="10"/>
            <color rgb="FF000000"/>
            <rFont val="Tahoma"/>
            <charset val="1"/>
          </rPr>
          <t>tuned roughly to Henan Chine trip data</t>
        </r>
      </text>
    </comment>
    <comment ref="F107" authorId="0">
      <text>
        <r>
          <rPr>
            <sz val="10"/>
            <color rgb="FF000000"/>
            <rFont val="Tahoma"/>
            <charset val="1"/>
          </rPr>
          <t>tuned roughly to Henan Chine trip data</t>
        </r>
      </text>
    </comment>
    <comment ref="G107" authorId="0">
      <text>
        <r>
          <rPr>
            <sz val="10"/>
            <color rgb="FF000000"/>
            <rFont val="Tahoma"/>
            <charset val="1"/>
          </rPr>
          <t>tuned roughly to Henan Chine trip data</t>
        </r>
      </text>
    </comment>
    <comment ref="H107" authorId="0">
      <text>
        <r>
          <rPr>
            <sz val="10"/>
            <color rgb="FF000000"/>
            <rFont val="Tahoma"/>
            <charset val="1"/>
          </rPr>
          <t>tuned roughly to Henan Chine trip data</t>
        </r>
      </text>
    </comment>
    <comment ref="I107" authorId="0">
      <text>
        <r>
          <rPr>
            <sz val="10"/>
            <color rgb="FF000000"/>
            <rFont val="Tahoma"/>
            <charset val="1"/>
          </rPr>
          <t>tuned roughly to Henan Chine trip data</t>
        </r>
      </text>
    </comment>
    <comment ref="J107" authorId="0">
      <text>
        <r>
          <rPr>
            <sz val="10"/>
            <color rgb="FF000000"/>
            <rFont val="Tahoma"/>
            <charset val="1"/>
          </rPr>
          <t>tuned roughly to Henan Chine trip data</t>
        </r>
      </text>
    </comment>
    <comment ref="K107" authorId="0">
      <text>
        <r>
          <rPr>
            <sz val="10"/>
            <color rgb="FF000000"/>
            <rFont val="Tahoma"/>
            <charset val="1"/>
          </rPr>
          <t>tuned roughly to Henan Chine trip data</t>
        </r>
      </text>
    </comment>
    <comment ref="L107" authorId="0">
      <text>
        <r>
          <rPr>
            <sz val="10"/>
            <color rgb="FF000000"/>
            <rFont val="Tahoma"/>
            <charset val="1"/>
          </rPr>
          <t>tuned roughly to Henan Chine trip data</t>
        </r>
      </text>
    </comment>
    <comment ref="M107" authorId="0">
      <text>
        <r>
          <rPr>
            <sz val="10"/>
            <color rgb="FF000000"/>
            <rFont val="Tahoma"/>
            <charset val="1"/>
          </rPr>
          <t>tuned roughly to Henan Chine trip data</t>
        </r>
      </text>
    </comment>
    <comment ref="N107" authorId="0">
      <text>
        <r>
          <rPr>
            <sz val="10"/>
            <color rgb="FF000000"/>
            <rFont val="Tahoma"/>
            <charset val="1"/>
          </rPr>
          <t>tuned roughly to Henan Chine trip data</t>
        </r>
      </text>
    </comment>
    <comment ref="O107" authorId="0">
      <text>
        <r>
          <rPr>
            <sz val="10"/>
            <color rgb="FF000000"/>
            <rFont val="Tahoma"/>
            <charset val="1"/>
          </rPr>
          <t>tuned roughly to Henan Chine trip data</t>
        </r>
      </text>
    </comment>
    <comment ref="P107" authorId="0">
      <text>
        <r>
          <rPr>
            <sz val="10"/>
            <color rgb="FF000000"/>
            <rFont val="Tahoma"/>
            <charset val="1"/>
          </rPr>
          <t>tuned roughly to Henan Chine trip data</t>
        </r>
      </text>
    </comment>
    <comment ref="Q107" authorId="0">
      <text>
        <r>
          <rPr>
            <sz val="10"/>
            <color rgb="FF000000"/>
            <rFont val="Tahoma"/>
            <charset val="1"/>
          </rPr>
          <t>tuned roughly to Henan Chine trip data</t>
        </r>
      </text>
    </comment>
    <comment ref="R107" authorId="0">
      <text>
        <r>
          <rPr>
            <sz val="10"/>
            <color rgb="FF000000"/>
            <rFont val="Tahoma"/>
            <charset val="1"/>
          </rPr>
          <t>tuned roughly to Henan Chine trip data</t>
        </r>
      </text>
    </comment>
    <comment ref="S107" authorId="0">
      <text>
        <r>
          <rPr>
            <sz val="10"/>
            <color rgb="FF000000"/>
            <rFont val="Tahoma"/>
            <charset val="1"/>
          </rPr>
          <t>tuned roughly to Henan Chine trip data</t>
        </r>
      </text>
    </comment>
    <comment ref="T107" authorId="0">
      <text>
        <r>
          <rPr>
            <sz val="10"/>
            <color rgb="FF000000"/>
            <rFont val="Tahoma"/>
            <charset val="1"/>
          </rPr>
          <t>tuned roughly to Henan Chine trip data</t>
        </r>
      </text>
    </comment>
    <comment ref="U107" authorId="0">
      <text>
        <r>
          <rPr>
            <sz val="10"/>
            <color rgb="FF000000"/>
            <rFont val="Tahoma"/>
            <charset val="1"/>
          </rPr>
          <t>tuned roughly to Henan Chine trip data</t>
        </r>
      </text>
    </comment>
    <comment ref="V107" authorId="0">
      <text>
        <r>
          <rPr>
            <sz val="10"/>
            <color rgb="FF000000"/>
            <rFont val="Tahoma"/>
            <charset val="1"/>
          </rPr>
          <t>tuned roughly to Henan Chine trip data</t>
        </r>
      </text>
    </comment>
    <comment ref="W107" authorId="0">
      <text>
        <r>
          <rPr>
            <sz val="10"/>
            <color rgb="FF000000"/>
            <rFont val="Tahoma"/>
            <charset val="1"/>
          </rPr>
          <t>tuned roughly to Henan Chine trip data</t>
        </r>
      </text>
    </comment>
    <comment ref="C130" authorId="0">
      <text>
        <r>
          <rPr>
            <sz val="10"/>
            <color rgb="FF000000"/>
            <rFont val="Tahoma"/>
            <charset val="1"/>
          </rPr>
          <t xml:space="preserve">Henan Chine say 500 tph ... which actually cross checks against all their other data ... for standard ore (not hard cap) ... Alufer perhaps 800tph for std ore as it is softer, all hard cap at say 250 tph.
</t>
        </r>
      </text>
    </comment>
    <comment ref="D130" authorId="0">
      <text>
        <r>
          <rPr>
            <sz val="10"/>
            <color rgb="FF000000"/>
            <rFont val="Tahoma"/>
            <charset val="1"/>
          </rPr>
          <t xml:space="preserve">Henan Chine say 500 tph ... which actually cross checks against all their other data ... for standard ore (not hard cap) ... Alufer perhaps 800tph for std ore as it is softer, all hard cap at say 250 tph.
</t>
        </r>
      </text>
    </comment>
    <comment ref="E130" authorId="0">
      <text>
        <r>
          <rPr>
            <sz val="10"/>
            <color rgb="FF000000"/>
            <rFont val="Tahoma"/>
            <charset val="1"/>
          </rPr>
          <t xml:space="preserve">Henan Chine say 500 tph ... which actually cross checks against all their other data ... for standard ore (not hard cap) ... Alufer perhaps 800tph for std ore as it is softer, all hard cap at say 250 tph.
</t>
        </r>
      </text>
    </comment>
    <comment ref="F130" authorId="0">
      <text>
        <r>
          <rPr>
            <sz val="10"/>
            <color rgb="FF000000"/>
            <rFont val="Tahoma"/>
            <charset val="1"/>
          </rPr>
          <t xml:space="preserve">Henan Chine say 500 tph ... which actually cross checks against all their other data ... for standard ore (not hard cap) ... Alufer perhaps 800tph for std ore as it is softer, all hard cap at say 250 tph.
</t>
        </r>
      </text>
    </comment>
    <comment ref="G130" authorId="0">
      <text>
        <r>
          <rPr>
            <sz val="10"/>
            <color rgb="FF000000"/>
            <rFont val="Tahoma"/>
            <charset val="1"/>
          </rPr>
          <t xml:space="preserve">Henan Chine say 500 tph ... which actually cross checks against all their other data ... for standard ore (not hard cap) ... Alufer perhaps 800tph for std ore as it is softer, all hard cap at say 250 tph.
</t>
        </r>
      </text>
    </comment>
    <comment ref="H130" authorId="0">
      <text>
        <r>
          <rPr>
            <sz val="10"/>
            <color rgb="FF000000"/>
            <rFont val="Tahoma"/>
            <charset val="1"/>
          </rPr>
          <t xml:space="preserve">Henan Chine say 500 tph ... which actually cross checks against all their other data ... for standard ore (not hard cap) ... Alufer perhaps 800tph for std ore as it is softer, all hard cap at say 250 tph.
... rediced to 125/hr to try an better jatch Alufer actual cost FOB
</t>
        </r>
      </text>
    </comment>
    <comment ref="I130" authorId="0">
      <text>
        <r>
          <rPr>
            <sz val="10"/>
            <color rgb="FF000000"/>
            <rFont val="Tahoma"/>
            <charset val="1"/>
          </rPr>
          <t xml:space="preserve">Henan Chine say 500 tph ... which actually cross checks against all their other data ... for standard ore (not hard cap) ... Alufer perhaps 800tph for std ore as it is softer, all hard cap at say 250 tph.
</t>
        </r>
      </text>
    </comment>
    <comment ref="J130" authorId="0">
      <text>
        <r>
          <rPr>
            <sz val="10"/>
            <color rgb="FF000000"/>
            <rFont val="Tahoma"/>
            <charset val="1"/>
          </rPr>
          <t xml:space="preserve">Henan Chine say 500 tph ... which actually cross checks against all their other data ... for standard ore (not hard cap) ... Alufer perhaps 800tph for std ore as it is softer, all hard cap at say 250 tph.
</t>
        </r>
      </text>
    </comment>
    <comment ref="K130" authorId="0">
      <text>
        <r>
          <rPr>
            <sz val="10"/>
            <color rgb="FF000000"/>
            <rFont val="Tahoma"/>
            <charset val="1"/>
          </rPr>
          <t xml:space="preserve">Henan Chine say 500 tph ... which actually cross checks against all their other data ... for standard ore (not hard cap) ... Alufer perhaps 800tph for std ore as it is softer, all hard cap at say 250 tph.
</t>
        </r>
      </text>
    </comment>
    <comment ref="L130" authorId="0">
      <text>
        <r>
          <rPr>
            <sz val="10"/>
            <color rgb="FF000000"/>
            <rFont val="Tahoma"/>
            <charset val="1"/>
          </rPr>
          <t xml:space="preserve">Henan Chine say 500 tph ... which actually cross checks against all their other data ... for standard ore (not hard cap) ... Alufer perhaps 800tph for std ore as it is softer, all hard cap at say 250 tph.
</t>
        </r>
      </text>
    </comment>
    <comment ref="M130" authorId="0">
      <text>
        <r>
          <rPr>
            <sz val="10"/>
            <color rgb="FF000000"/>
            <rFont val="Tahoma"/>
            <charset val="1"/>
          </rPr>
          <t xml:space="preserve">Henan Chine say 500 tph ... which actually cross checks against all their other data ... for standard ore (not hard cap) ... Alufer perhaps 800tph for std ore as it is softer, all hard cap at say 250 tph.
</t>
        </r>
      </text>
    </comment>
    <comment ref="N130" authorId="0">
      <text>
        <r>
          <rPr>
            <sz val="10"/>
            <color rgb="FF000000"/>
            <rFont val="Tahoma"/>
            <charset val="1"/>
          </rPr>
          <t xml:space="preserve">Henan Chine say 500 tph ... which actually cross checks against all their other data ... for standard ore (not hard cap) ... Alufer perhaps 800tph for std ore as it is softer, all hard cap at say 250 tph.
</t>
        </r>
      </text>
    </comment>
    <comment ref="O130" authorId="0">
      <text>
        <r>
          <rPr>
            <sz val="10"/>
            <color rgb="FF000000"/>
            <rFont val="Tahoma"/>
            <charset val="1"/>
          </rPr>
          <t xml:space="preserve">Henan Chine say 500 tph ... which actually cross checks against all their other data ... for standard ore (not hard cap) ... Alufer perhaps 800tph for std ore as it is softer, all hard cap at say 250 tph.
</t>
        </r>
      </text>
    </comment>
    <comment ref="P130" authorId="0">
      <text>
        <r>
          <rPr>
            <sz val="10"/>
            <color rgb="FF000000"/>
            <rFont val="Tahoma"/>
            <charset val="1"/>
          </rPr>
          <t xml:space="preserve">Henan Chine say 500 tph ... which actually cross checks against all their other data ... for standard ore (not hard cap) ... Alufer perhaps 800tph for std ore as it is softer, all hard cap at say 250 tph.
</t>
        </r>
      </text>
    </comment>
    <comment ref="Q130" authorId="0">
      <text>
        <r>
          <rPr>
            <sz val="10"/>
            <color rgb="FF000000"/>
            <rFont val="Tahoma"/>
            <charset val="1"/>
          </rPr>
          <t xml:space="preserve">Henan Chine say 500 tph ... which actually cross checks against all their other data ... for standard ore (not hard cap) ... Alufer perhaps 800tph for std ore as it is softer, all hard cap at say 250 tph.
</t>
        </r>
      </text>
    </comment>
    <comment ref="R130" authorId="0">
      <text>
        <r>
          <rPr>
            <sz val="10"/>
            <color rgb="FF000000"/>
            <rFont val="Tahoma"/>
            <charset val="1"/>
          </rPr>
          <t xml:space="preserve">Henan Chine say 500 tph ... which actually cross checks against all their other data ... for standard ore (not hard cap) ... Alufer perhaps 800tph for std ore as it is softer, all hard cap at say 250 tph.
</t>
        </r>
      </text>
    </comment>
    <comment ref="S130" authorId="0">
      <text>
        <r>
          <rPr>
            <sz val="10"/>
            <color rgb="FF000000"/>
            <rFont val="Tahoma"/>
            <charset val="1"/>
          </rPr>
          <t xml:space="preserve">Henan Chine say 500 tph ... which actually cross checks against all their other data ... for standard ore (not hard cap) ... Alufer perhaps 800tph for std ore as it is softer, all hard cap at say 250 tph.
</t>
        </r>
      </text>
    </comment>
    <comment ref="T130" authorId="0">
      <text>
        <r>
          <rPr>
            <sz val="10"/>
            <color rgb="FF000000"/>
            <rFont val="Tahoma"/>
            <charset val="1"/>
          </rPr>
          <t xml:space="preserve">Henan Chine say 500 tph ... which actually cross checks against all their other data ... for standard ore (not hard cap) ... Alufer perhaps 800tph for std ore as it is softer, all hard cap at say 250 tph.
</t>
        </r>
      </text>
    </comment>
    <comment ref="U130" authorId="0">
      <text>
        <r>
          <rPr>
            <sz val="10"/>
            <color rgb="FF000000"/>
            <rFont val="Tahoma"/>
            <charset val="1"/>
          </rPr>
          <t xml:space="preserve">Henan Chine say 500 tph ... which actually cross checks against all their other data ... for standard ore (not hard cap) ... Alufer perhaps 800tph for std ore as it is softer, all hard cap at say 250 tph.
</t>
        </r>
      </text>
    </comment>
    <comment ref="V130" authorId="0">
      <text>
        <r>
          <rPr>
            <sz val="10"/>
            <color rgb="FF000000"/>
            <rFont val="Tahoma"/>
            <charset val="1"/>
          </rPr>
          <t xml:space="preserve">Henan Chine say 500 tph ... which actually cross checks against all their other data ... for standard ore (not hard cap) ... Alufer perhaps 800tph for std ore as it is softer, all hard cap at say 250 tph.
</t>
        </r>
      </text>
    </comment>
    <comment ref="W130" authorId="0">
      <text>
        <r>
          <rPr>
            <sz val="10"/>
            <color rgb="FF000000"/>
            <rFont val="Tahoma"/>
            <charset val="1"/>
          </rPr>
          <t xml:space="preserve">Henan Chine say 500 tph ... which actually cross checks against all their other data ... for standard ore (not hard cap) ... Alufer perhaps 800tph for std ore as it is softer, all hard cap at say 250 tph.
</t>
        </r>
      </text>
    </comment>
    <comment ref="C132" authorId="0">
      <text>
        <r>
          <rPr>
            <sz val="10"/>
            <color rgb="FF000000"/>
            <rFont val="Tahoma"/>
            <charset val="1"/>
          </rPr>
          <t xml:space="preserve">data from Wirtgen
</t>
        </r>
      </text>
    </comment>
    <comment ref="D132" authorId="0">
      <text>
        <r>
          <rPr>
            <sz val="10"/>
            <color rgb="FF000000"/>
            <rFont val="Tahoma"/>
            <charset val="1"/>
          </rPr>
          <t xml:space="preserve">data from Wirtgen
</t>
        </r>
      </text>
    </comment>
    <comment ref="E132" authorId="0">
      <text>
        <r>
          <rPr>
            <sz val="10"/>
            <color rgb="FF000000"/>
            <rFont val="Tahoma"/>
            <charset val="1"/>
          </rPr>
          <t xml:space="preserve">data from Wirtgen
</t>
        </r>
      </text>
    </comment>
    <comment ref="F132" authorId="0">
      <text>
        <r>
          <rPr>
            <sz val="10"/>
            <color rgb="FF000000"/>
            <rFont val="Tahoma"/>
            <charset val="1"/>
          </rPr>
          <t xml:space="preserve">data from Wirtgen
</t>
        </r>
      </text>
    </comment>
    <comment ref="G132" authorId="0">
      <text>
        <r>
          <rPr>
            <sz val="10"/>
            <color rgb="FF000000"/>
            <rFont val="Tahoma"/>
            <charset val="1"/>
          </rPr>
          <t xml:space="preserve">data from Wirtgen
</t>
        </r>
      </text>
    </comment>
    <comment ref="H132" authorId="0">
      <text>
        <r>
          <rPr>
            <sz val="10"/>
            <color rgb="FF000000"/>
            <rFont val="Tahoma"/>
            <charset val="1"/>
          </rPr>
          <t xml:space="preserve">data from Wirtgen
</t>
        </r>
      </text>
    </comment>
    <comment ref="I132" authorId="0">
      <text>
        <r>
          <rPr>
            <sz val="10"/>
            <color rgb="FF000000"/>
            <rFont val="Tahoma"/>
            <charset val="1"/>
          </rPr>
          <t xml:space="preserve">data from Wirtgen
</t>
        </r>
      </text>
    </comment>
    <comment ref="J132" authorId="0">
      <text>
        <r>
          <rPr>
            <sz val="10"/>
            <color rgb="FF000000"/>
            <rFont val="Tahoma"/>
            <charset val="1"/>
          </rPr>
          <t xml:space="preserve">data from Wirtgen
</t>
        </r>
      </text>
    </comment>
    <comment ref="K132" authorId="0">
      <text>
        <r>
          <rPr>
            <sz val="10"/>
            <color rgb="FF000000"/>
            <rFont val="Tahoma"/>
            <charset val="1"/>
          </rPr>
          <t xml:space="preserve">data from Wirtgen
</t>
        </r>
      </text>
    </comment>
    <comment ref="L132" authorId="0">
      <text>
        <r>
          <rPr>
            <sz val="10"/>
            <color rgb="FF000000"/>
            <rFont val="Tahoma"/>
            <charset val="1"/>
          </rPr>
          <t xml:space="preserve">data from Wirtgen
</t>
        </r>
      </text>
    </comment>
    <comment ref="M132" authorId="0">
      <text>
        <r>
          <rPr>
            <sz val="10"/>
            <color rgb="FF000000"/>
            <rFont val="Tahoma"/>
            <charset val="1"/>
          </rPr>
          <t xml:space="preserve">data from Wirtgen
</t>
        </r>
      </text>
    </comment>
    <comment ref="N132" authorId="0">
      <text>
        <r>
          <rPr>
            <sz val="10"/>
            <color rgb="FF000000"/>
            <rFont val="Tahoma"/>
            <charset val="1"/>
          </rPr>
          <t xml:space="preserve">data from Wirtgen
</t>
        </r>
      </text>
    </comment>
    <comment ref="O132" authorId="0">
      <text>
        <r>
          <rPr>
            <sz val="10"/>
            <color rgb="FF000000"/>
            <rFont val="Tahoma"/>
            <charset val="1"/>
          </rPr>
          <t xml:space="preserve">data from Wirtgen
</t>
        </r>
      </text>
    </comment>
    <comment ref="P132" authorId="0">
      <text>
        <r>
          <rPr>
            <sz val="10"/>
            <color rgb="FF000000"/>
            <rFont val="Tahoma"/>
            <charset val="1"/>
          </rPr>
          <t xml:space="preserve">data from Wirtgen
</t>
        </r>
      </text>
    </comment>
    <comment ref="Q132" authorId="0">
      <text>
        <r>
          <rPr>
            <sz val="10"/>
            <color rgb="FF000000"/>
            <rFont val="Tahoma"/>
            <charset val="1"/>
          </rPr>
          <t xml:space="preserve">data from Wirtgen
</t>
        </r>
      </text>
    </comment>
    <comment ref="R132" authorId="0">
      <text>
        <r>
          <rPr>
            <sz val="10"/>
            <color rgb="FF000000"/>
            <rFont val="Tahoma"/>
            <charset val="1"/>
          </rPr>
          <t xml:space="preserve">data from Wirtgen
</t>
        </r>
      </text>
    </comment>
    <comment ref="S132" authorId="0">
      <text>
        <r>
          <rPr>
            <sz val="10"/>
            <color rgb="FF000000"/>
            <rFont val="Tahoma"/>
            <charset val="1"/>
          </rPr>
          <t xml:space="preserve">data from Wirtgen
</t>
        </r>
      </text>
    </comment>
    <comment ref="T132" authorId="0">
      <text>
        <r>
          <rPr>
            <sz val="10"/>
            <color rgb="FF000000"/>
            <rFont val="Tahoma"/>
            <charset val="1"/>
          </rPr>
          <t xml:space="preserve">data from Wirtgen
</t>
        </r>
      </text>
    </comment>
    <comment ref="U132" authorId="0">
      <text>
        <r>
          <rPr>
            <sz val="10"/>
            <color rgb="FF000000"/>
            <rFont val="Tahoma"/>
            <charset val="1"/>
          </rPr>
          <t xml:space="preserve">data from Wirtgen
</t>
        </r>
      </text>
    </comment>
    <comment ref="V132" authorId="0">
      <text>
        <r>
          <rPr>
            <sz val="10"/>
            <color rgb="FF000000"/>
            <rFont val="Tahoma"/>
            <charset val="1"/>
          </rPr>
          <t xml:space="preserve">data from Wirtgen
</t>
        </r>
      </text>
    </comment>
    <comment ref="W132" authorId="0">
      <text>
        <r>
          <rPr>
            <sz val="10"/>
            <color rgb="FF000000"/>
            <rFont val="Tahoma"/>
            <charset val="1"/>
          </rPr>
          <t xml:space="preserve">data from Wirtgen
</t>
        </r>
      </text>
    </comment>
    <comment ref="C133" authorId="0">
      <text>
        <r>
          <rPr>
            <sz val="10"/>
            <color rgb="FF000000"/>
            <rFont val="Tahoma"/>
            <charset val="1"/>
          </rPr>
          <t>2 on ground plus tending crew (3) and mtce crew allowance (1)</t>
        </r>
      </text>
    </comment>
    <comment ref="D133" authorId="0">
      <text>
        <r>
          <rPr>
            <sz val="10"/>
            <color rgb="FF000000"/>
            <rFont val="Tahoma"/>
            <charset val="1"/>
          </rPr>
          <t>2 on ground plus tending crew (3) and mtce crew allowance (1)</t>
        </r>
      </text>
    </comment>
    <comment ref="E133" authorId="0">
      <text>
        <r>
          <rPr>
            <sz val="10"/>
            <color rgb="FF000000"/>
            <rFont val="Tahoma"/>
            <charset val="1"/>
          </rPr>
          <t>2 on ground plus tending crew (3) and mtce crew allowance (1)</t>
        </r>
      </text>
    </comment>
    <comment ref="F133" authorId="0">
      <text>
        <r>
          <rPr>
            <sz val="10"/>
            <color rgb="FF000000"/>
            <rFont val="Tahoma"/>
            <charset val="1"/>
          </rPr>
          <t>2 on ground plus tending crew (3) and mtce crew allowance (1)</t>
        </r>
      </text>
    </comment>
    <comment ref="G133" authorId="0">
      <text>
        <r>
          <rPr>
            <sz val="10"/>
            <color rgb="FF000000"/>
            <rFont val="Tahoma"/>
            <charset val="1"/>
          </rPr>
          <t>2 on ground plus tending crew (3) and mtce crew allowance (1)</t>
        </r>
      </text>
    </comment>
    <comment ref="H133" authorId="0">
      <text>
        <r>
          <rPr>
            <sz val="10"/>
            <color rgb="FF000000"/>
            <rFont val="Tahoma"/>
            <charset val="1"/>
          </rPr>
          <t>2 on ground plus tending crew (3) and mtce crew allowance (1)</t>
        </r>
      </text>
    </comment>
    <comment ref="I133" authorId="0">
      <text>
        <r>
          <rPr>
            <sz val="10"/>
            <color rgb="FF000000"/>
            <rFont val="Tahoma"/>
            <charset val="1"/>
          </rPr>
          <t>2 on ground plus tending crew (3) and mtce crew allowance (1)</t>
        </r>
      </text>
    </comment>
    <comment ref="J133" authorId="0">
      <text>
        <r>
          <rPr>
            <sz val="10"/>
            <color rgb="FF000000"/>
            <rFont val="Tahoma"/>
            <charset val="1"/>
          </rPr>
          <t>2 on ground plus tending crew (3) and mtce crew allowance (1)</t>
        </r>
      </text>
    </comment>
    <comment ref="K133" authorId="0">
      <text>
        <r>
          <rPr>
            <sz val="10"/>
            <color rgb="FF000000"/>
            <rFont val="Tahoma"/>
            <charset val="1"/>
          </rPr>
          <t>2 on ground plus tending crew (3) and mtce crew allowance (1)</t>
        </r>
      </text>
    </comment>
    <comment ref="L133" authorId="0">
      <text>
        <r>
          <rPr>
            <sz val="10"/>
            <color rgb="FF000000"/>
            <rFont val="Tahoma"/>
            <charset val="1"/>
          </rPr>
          <t>2 on ground plus tending crew (3) and mtce crew allowance (1)</t>
        </r>
      </text>
    </comment>
    <comment ref="M133" authorId="0">
      <text>
        <r>
          <rPr>
            <sz val="10"/>
            <color rgb="FF000000"/>
            <rFont val="Tahoma"/>
            <charset val="1"/>
          </rPr>
          <t>2 on ground plus tending crew (3) and mtce crew allowance (1)</t>
        </r>
      </text>
    </comment>
    <comment ref="N133" authorId="0">
      <text>
        <r>
          <rPr>
            <sz val="10"/>
            <color rgb="FF000000"/>
            <rFont val="Tahoma"/>
            <charset val="1"/>
          </rPr>
          <t>2 on ground plus tending crew (3) and mtce crew allowance (1)</t>
        </r>
      </text>
    </comment>
    <comment ref="O133" authorId="0">
      <text>
        <r>
          <rPr>
            <sz val="10"/>
            <color rgb="FF000000"/>
            <rFont val="Tahoma"/>
            <charset val="1"/>
          </rPr>
          <t>2 on ground plus tending crew (3) and mtce crew allowance (1)</t>
        </r>
      </text>
    </comment>
    <comment ref="P133" authorId="0">
      <text>
        <r>
          <rPr>
            <sz val="10"/>
            <color rgb="FF000000"/>
            <rFont val="Tahoma"/>
            <charset val="1"/>
          </rPr>
          <t>2 on ground plus tending crew (3) and mtce crew allowance (1)</t>
        </r>
      </text>
    </comment>
    <comment ref="Q133" authorId="0">
      <text>
        <r>
          <rPr>
            <sz val="10"/>
            <color rgb="FF000000"/>
            <rFont val="Tahoma"/>
            <charset val="1"/>
          </rPr>
          <t>2 on ground plus tending crew (3) and mtce crew allowance (1)</t>
        </r>
      </text>
    </comment>
    <comment ref="R133" authorId="0">
      <text>
        <r>
          <rPr>
            <sz val="10"/>
            <color rgb="FF000000"/>
            <rFont val="Tahoma"/>
            <charset val="1"/>
          </rPr>
          <t>2 on ground plus tending crew (3) and mtce crew allowance (1)</t>
        </r>
      </text>
    </comment>
    <comment ref="S133" authorId="0">
      <text>
        <r>
          <rPr>
            <sz val="10"/>
            <color rgb="FF000000"/>
            <rFont val="Tahoma"/>
            <charset val="1"/>
          </rPr>
          <t>2 on ground plus tending crew (3) and mtce crew allowance (1)</t>
        </r>
      </text>
    </comment>
    <comment ref="T133" authorId="0">
      <text>
        <r>
          <rPr>
            <sz val="10"/>
            <color rgb="FF000000"/>
            <rFont val="Tahoma"/>
            <charset val="1"/>
          </rPr>
          <t>2 on ground plus tending crew (3) and mtce crew allowance (1)</t>
        </r>
      </text>
    </comment>
    <comment ref="U133" authorId="0">
      <text>
        <r>
          <rPr>
            <sz val="10"/>
            <color rgb="FF000000"/>
            <rFont val="Tahoma"/>
            <charset val="1"/>
          </rPr>
          <t>2 on ground plus tending crew (3) and mtce crew allowance (1)</t>
        </r>
      </text>
    </comment>
    <comment ref="V133" authorId="0">
      <text>
        <r>
          <rPr>
            <sz val="10"/>
            <color rgb="FF000000"/>
            <rFont val="Tahoma"/>
            <charset val="1"/>
          </rPr>
          <t>2 on ground plus tending crew (3) and mtce crew allowance (1)</t>
        </r>
      </text>
    </comment>
    <comment ref="W133" authorId="0">
      <text>
        <r>
          <rPr>
            <sz val="10"/>
            <color rgb="FF000000"/>
            <rFont val="Tahoma"/>
            <charset val="1"/>
          </rPr>
          <t>2 on ground plus tending crew (3) and mtce crew allowance (1)</t>
        </r>
      </text>
    </comment>
    <comment ref="C134" authorId="0">
      <text>
        <r>
          <rPr>
            <sz val="10"/>
            <color rgb="FF000000"/>
            <rFont val="Tahoma"/>
            <charset val="1"/>
          </rPr>
          <t xml:space="preserve">Wirtgen supplied data at 650 tph converted from euros to US$ and then to a per wmt rate
</t>
        </r>
      </text>
    </comment>
    <comment ref="D134" authorId="0">
      <text>
        <r>
          <rPr>
            <sz val="10"/>
            <color rgb="FF000000"/>
            <rFont val="Tahoma"/>
            <charset val="1"/>
          </rPr>
          <t xml:space="preserve">Wirtgen supplied data at 650 tph converted from euros to US$ and then to a per wmt rate
</t>
        </r>
      </text>
    </comment>
    <comment ref="E134" authorId="0">
      <text>
        <r>
          <rPr>
            <sz val="10"/>
            <color rgb="FF000000"/>
            <rFont val="Tahoma"/>
            <charset val="1"/>
          </rPr>
          <t xml:space="preserve">Wirtgen supplied data at 650 tph converted from euros to US$ and then to a per wmt rate
</t>
        </r>
      </text>
    </comment>
    <comment ref="F134" authorId="0">
      <text>
        <r>
          <rPr>
            <sz val="10"/>
            <color rgb="FF000000"/>
            <rFont val="Tahoma"/>
            <charset val="1"/>
          </rPr>
          <t xml:space="preserve">Wirtgen supplied data at 650 tph converted from euros to US$ and then to a per wmt rate
</t>
        </r>
      </text>
    </comment>
    <comment ref="G134" authorId="0">
      <text>
        <r>
          <rPr>
            <sz val="10"/>
            <color rgb="FF000000"/>
            <rFont val="Tahoma"/>
            <charset val="1"/>
          </rPr>
          <t xml:space="preserve">Wirtgen supplied data at 650 tph converted from euros to US$ and then to a per wmt rate
</t>
        </r>
      </text>
    </comment>
    <comment ref="H134" authorId="0">
      <text>
        <r>
          <rPr>
            <sz val="10"/>
            <color rgb="FF000000"/>
            <rFont val="Tahoma"/>
            <charset val="1"/>
          </rPr>
          <t xml:space="preserve">Wirtgen supplied data at 650 tph converted from euros to US$ and then to a per wmt rate
</t>
        </r>
      </text>
    </comment>
    <comment ref="I134" authorId="0">
      <text>
        <r>
          <rPr>
            <sz val="10"/>
            <color rgb="FF000000"/>
            <rFont val="Tahoma"/>
            <charset val="1"/>
          </rPr>
          <t xml:space="preserve">Wirtgen supplied data at 650 tph converted from euros to US$ and then to a per wmt rate
</t>
        </r>
      </text>
    </comment>
    <comment ref="J134" authorId="0">
      <text>
        <r>
          <rPr>
            <sz val="10"/>
            <color rgb="FF000000"/>
            <rFont val="Tahoma"/>
            <charset val="1"/>
          </rPr>
          <t xml:space="preserve">Wirtgen supplied data at 650 tph converted from euros to US$ and then to a per wmt rate
</t>
        </r>
      </text>
    </comment>
    <comment ref="K134" authorId="0">
      <text>
        <r>
          <rPr>
            <sz val="10"/>
            <color rgb="FF000000"/>
            <rFont val="Tahoma"/>
            <charset val="1"/>
          </rPr>
          <t xml:space="preserve">Wirtgen supplied data at 650 tph converted from euros to US$ and then to a per wmt rate
</t>
        </r>
      </text>
    </comment>
    <comment ref="L134" authorId="0">
      <text>
        <r>
          <rPr>
            <sz val="10"/>
            <color rgb="FF000000"/>
            <rFont val="Tahoma"/>
            <charset val="1"/>
          </rPr>
          <t xml:space="preserve">Wirtgen supplied data at 650 tph converted from euros to US$ and then to a per wmt rate
</t>
        </r>
      </text>
    </comment>
    <comment ref="M134" authorId="0">
      <text>
        <r>
          <rPr>
            <sz val="10"/>
            <color rgb="FF000000"/>
            <rFont val="Tahoma"/>
            <charset val="1"/>
          </rPr>
          <t xml:space="preserve">Wirtgen supplied data at 650 tph converted from euros to US$ and then to a per wmt rate
</t>
        </r>
      </text>
    </comment>
    <comment ref="N134" authorId="0">
      <text>
        <r>
          <rPr>
            <sz val="10"/>
            <color rgb="FF000000"/>
            <rFont val="Tahoma"/>
            <charset val="1"/>
          </rPr>
          <t xml:space="preserve">Wirtgen supplied data at 650 tph converted from euros to US$ and then to a per wmt rate
</t>
        </r>
      </text>
    </comment>
    <comment ref="O134" authorId="0">
      <text>
        <r>
          <rPr>
            <sz val="10"/>
            <color rgb="FF000000"/>
            <rFont val="Tahoma"/>
            <charset val="1"/>
          </rPr>
          <t xml:space="preserve">Wirtgen supplied data at 650 tph converted from euros to US$ and then to a per wmt rate
</t>
        </r>
      </text>
    </comment>
    <comment ref="P134" authorId="0">
      <text>
        <r>
          <rPr>
            <sz val="10"/>
            <color rgb="FF000000"/>
            <rFont val="Tahoma"/>
            <charset val="1"/>
          </rPr>
          <t xml:space="preserve">Wirtgen supplied data at 650 tph converted from euros to US$ and then to a per wmt rate
</t>
        </r>
      </text>
    </comment>
    <comment ref="Q134" authorId="0">
      <text>
        <r>
          <rPr>
            <sz val="10"/>
            <color rgb="FF000000"/>
            <rFont val="Tahoma"/>
            <charset val="1"/>
          </rPr>
          <t xml:space="preserve">Wirtgen supplied data at 650 tph converted from euros to US$ and then to a per wmt rate
</t>
        </r>
      </text>
    </comment>
    <comment ref="R134" authorId="0">
      <text>
        <r>
          <rPr>
            <sz val="10"/>
            <color rgb="FF000000"/>
            <rFont val="Tahoma"/>
            <charset val="1"/>
          </rPr>
          <t xml:space="preserve">Wirtgen supplied data at 650 tph converted from euros to US$ and then to a per wmt rate
</t>
        </r>
      </text>
    </comment>
    <comment ref="S134" authorId="0">
      <text>
        <r>
          <rPr>
            <sz val="10"/>
            <color rgb="FF000000"/>
            <rFont val="Tahoma"/>
            <charset val="1"/>
          </rPr>
          <t xml:space="preserve">Wirtgen supplied data at 650 tph converted from euros to US$ and then to a per wmt rate
</t>
        </r>
      </text>
    </comment>
    <comment ref="T134" authorId="0">
      <text>
        <r>
          <rPr>
            <sz val="10"/>
            <color rgb="FF000000"/>
            <rFont val="Tahoma"/>
            <charset val="1"/>
          </rPr>
          <t xml:space="preserve">Wirtgen supplied data at 650 tph converted from euros to US$ and then to a per wmt rate
</t>
        </r>
      </text>
    </comment>
    <comment ref="U134" authorId="0">
      <text>
        <r>
          <rPr>
            <sz val="10"/>
            <color rgb="FF000000"/>
            <rFont val="Tahoma"/>
            <charset val="1"/>
          </rPr>
          <t xml:space="preserve">Wirtgen supplied data at 650 tph converted from euros to US$ and then to a per wmt rate
</t>
        </r>
      </text>
    </comment>
    <comment ref="V134" authorId="0">
      <text>
        <r>
          <rPr>
            <sz val="10"/>
            <color rgb="FF000000"/>
            <rFont val="Tahoma"/>
            <charset val="1"/>
          </rPr>
          <t xml:space="preserve">Wirtgen supplied data at 650 tph converted from euros to US$ and then to a per wmt rate
</t>
        </r>
      </text>
    </comment>
    <comment ref="W134" authorId="0">
      <text>
        <r>
          <rPr>
            <sz val="10"/>
            <color rgb="FF000000"/>
            <rFont val="Tahoma"/>
            <charset val="1"/>
          </rPr>
          <t xml:space="preserve">Wirtgen supplied data at 650 tph converted from euros to US$ and then to a per wmt rate
</t>
        </r>
      </text>
    </comment>
    <comment ref="C149" authorId="0">
      <text>
        <r>
          <rPr>
            <sz val="10"/>
            <color rgb="FF000000"/>
            <rFont val="Tahoma"/>
            <charset val="1"/>
          </rPr>
          <t xml:space="preserve">built on machine doing relatively free digging = 200 tph, halve or quarter this for more difficult or insitu material
</t>
        </r>
      </text>
    </comment>
    <comment ref="D149" authorId="0">
      <text>
        <r>
          <rPr>
            <sz val="10"/>
            <color rgb="FF000000"/>
            <rFont val="Tahoma"/>
            <charset val="1"/>
          </rPr>
          <t xml:space="preserve">built on machine doing relatively free digging = 200 tph, halve or quarter this for more difficult or insitu material
</t>
        </r>
      </text>
    </comment>
    <comment ref="E149" authorId="0">
      <text>
        <r>
          <rPr>
            <sz val="10"/>
            <color rgb="FF000000"/>
            <rFont val="Tahoma"/>
            <charset val="1"/>
          </rPr>
          <t xml:space="preserve">built on machine doing relatively free digging = 200 tph, halve or quarter this for more difficult or insitu material
</t>
        </r>
      </text>
    </comment>
    <comment ref="F149" authorId="0">
      <text>
        <r>
          <rPr>
            <sz val="10"/>
            <color rgb="FF000000"/>
            <rFont val="Tahoma"/>
            <charset val="1"/>
          </rPr>
          <t xml:space="preserve">built on machine doing relatively free digging = 200 tph, halve or quarter this for more difficult or insitu material
</t>
        </r>
      </text>
    </comment>
    <comment ref="G149" authorId="0">
      <text>
        <r>
          <rPr>
            <sz val="10"/>
            <color rgb="FF000000"/>
            <rFont val="Tahoma"/>
            <charset val="1"/>
          </rPr>
          <t xml:space="preserve">built on machine doing relatively free digging = 200 tph, halve or quarter this for more difficult or insitu material
</t>
        </r>
      </text>
    </comment>
    <comment ref="H149" authorId="0">
      <text>
        <r>
          <rPr>
            <sz val="10"/>
            <color rgb="FF000000"/>
            <rFont val="Tahoma"/>
            <charset val="1"/>
          </rPr>
          <t xml:space="preserve">built on machine doing relatively free digging = 200 tph, halve or quarter this for more difficult or insitu material
</t>
        </r>
      </text>
    </comment>
    <comment ref="I149" authorId="0">
      <text>
        <r>
          <rPr>
            <sz val="10"/>
            <color rgb="FF000000"/>
            <rFont val="Tahoma"/>
            <charset val="1"/>
          </rPr>
          <t xml:space="preserve">built on machine doing relatively free digging = 200 tph, halve or quarter this for more difficult or insitu material
</t>
        </r>
      </text>
    </comment>
    <comment ref="J149" authorId="0">
      <text>
        <r>
          <rPr>
            <sz val="10"/>
            <color rgb="FF000000"/>
            <rFont val="Tahoma"/>
            <charset val="1"/>
          </rPr>
          <t xml:space="preserve">built on machine doing relatively free digging = 200 tph, halve or quarter this for more difficult or insitu material
</t>
        </r>
      </text>
    </comment>
    <comment ref="K149" authorId="0">
      <text>
        <r>
          <rPr>
            <sz val="10"/>
            <color rgb="FF000000"/>
            <rFont val="Tahoma"/>
            <charset val="1"/>
          </rPr>
          <t xml:space="preserve">built on machine doing relatively free digging = 200 tph, halve or quarter this for more difficult or insitu material
</t>
        </r>
      </text>
    </comment>
    <comment ref="L149" authorId="0">
      <text>
        <r>
          <rPr>
            <sz val="10"/>
            <color rgb="FF000000"/>
            <rFont val="Tahoma"/>
            <charset val="1"/>
          </rPr>
          <t xml:space="preserve">built on machine doing relatively free digging = 200 tph, halve or quarter this for more difficult or insitu material
</t>
        </r>
      </text>
    </comment>
    <comment ref="M149" authorId="0">
      <text>
        <r>
          <rPr>
            <sz val="10"/>
            <color rgb="FF000000"/>
            <rFont val="Tahoma"/>
            <charset val="1"/>
          </rPr>
          <t xml:space="preserve">built on machine doing relatively free digging = 200 tph, halve or quarter this for more difficult or insitu material
</t>
        </r>
      </text>
    </comment>
    <comment ref="N149" authorId="0">
      <text>
        <r>
          <rPr>
            <sz val="10"/>
            <color rgb="FF000000"/>
            <rFont val="Tahoma"/>
            <charset val="1"/>
          </rPr>
          <t xml:space="preserve">built on machine doing relatively free digging = 200 tph, halve or quarter this for more difficult or insitu material
</t>
        </r>
      </text>
    </comment>
    <comment ref="O149" authorId="0">
      <text>
        <r>
          <rPr>
            <sz val="10"/>
            <color rgb="FF000000"/>
            <rFont val="Tahoma"/>
            <charset val="1"/>
          </rPr>
          <t xml:space="preserve">built on machine doing relatively free digging = 200 tph, halve or quarter this for more difficult or insitu material
</t>
        </r>
      </text>
    </comment>
    <comment ref="P149" authorId="0">
      <text>
        <r>
          <rPr>
            <sz val="10"/>
            <color rgb="FF000000"/>
            <rFont val="Tahoma"/>
            <charset val="1"/>
          </rPr>
          <t xml:space="preserve">built on machine doing relatively free digging = 200 tph, halve or quarter this for more difficult or insitu material
</t>
        </r>
      </text>
    </comment>
    <comment ref="Q149" authorId="0">
      <text>
        <r>
          <rPr>
            <sz val="10"/>
            <color rgb="FF000000"/>
            <rFont val="Tahoma"/>
            <charset val="1"/>
          </rPr>
          <t xml:space="preserve">built on machine doing relatively free digging = 200 tph, halve or quarter this for more difficult or insitu material
</t>
        </r>
      </text>
    </comment>
    <comment ref="R149" authorId="0">
      <text>
        <r>
          <rPr>
            <sz val="10"/>
            <color rgb="FF000000"/>
            <rFont val="Tahoma"/>
            <charset val="1"/>
          </rPr>
          <t xml:space="preserve">built on machine doing relatively free digging = 200 tph, halve or quarter this for more difficult or insitu material
</t>
        </r>
      </text>
    </comment>
    <comment ref="S149" authorId="0">
      <text>
        <r>
          <rPr>
            <sz val="10"/>
            <color rgb="FF000000"/>
            <rFont val="Tahoma"/>
            <charset val="1"/>
          </rPr>
          <t xml:space="preserve">built on machine doing relatively free digging = 200 tph, halve or quarter this for more difficult or insitu material
</t>
        </r>
      </text>
    </comment>
    <comment ref="T149" authorId="0">
      <text>
        <r>
          <rPr>
            <sz val="10"/>
            <color rgb="FF000000"/>
            <rFont val="Tahoma"/>
            <charset val="1"/>
          </rPr>
          <t xml:space="preserve">built on machine doing relatively free digging = 200 tph, halve or quarter this for more difficult or insitu material
</t>
        </r>
      </text>
    </comment>
    <comment ref="U149" authorId="0">
      <text>
        <r>
          <rPr>
            <sz val="10"/>
            <color rgb="FF000000"/>
            <rFont val="Tahoma"/>
            <charset val="1"/>
          </rPr>
          <t xml:space="preserve">built on machine doing relatively free digging = 200 tph, halve or quarter this for more difficult or insitu material
</t>
        </r>
      </text>
    </comment>
    <comment ref="V149" authorId="0">
      <text>
        <r>
          <rPr>
            <sz val="10"/>
            <color rgb="FF000000"/>
            <rFont val="Tahoma"/>
            <charset val="1"/>
          </rPr>
          <t xml:space="preserve">built on machine doing relatively free digging = 200 tph, halve or quarter this for more difficult or insitu material
</t>
        </r>
      </text>
    </comment>
    <comment ref="W149" authorId="0">
      <text>
        <r>
          <rPr>
            <sz val="10"/>
            <color rgb="FF000000"/>
            <rFont val="Tahoma"/>
            <charset val="1"/>
          </rPr>
          <t xml:space="preserve">built on machine doing relatively free digging = 200 tph, halve or quarter this for more difficult or insitu material
</t>
        </r>
      </text>
    </comment>
    <comment ref="C151" authorId="0">
      <text>
        <r>
          <rPr>
            <sz val="10"/>
            <color rgb="FF000000"/>
            <rFont val="Tahoma"/>
            <charset val="1"/>
          </rPr>
          <t xml:space="preserve">data from Wirtgen
</t>
        </r>
      </text>
    </comment>
    <comment ref="D151" authorId="0">
      <text>
        <r>
          <rPr>
            <sz val="10"/>
            <color rgb="FF000000"/>
            <rFont val="Tahoma"/>
            <charset val="1"/>
          </rPr>
          <t xml:space="preserve">data from Wirtgen
</t>
        </r>
      </text>
    </comment>
    <comment ref="E151" authorId="0">
      <text>
        <r>
          <rPr>
            <sz val="10"/>
            <color rgb="FF000000"/>
            <rFont val="Tahoma"/>
            <charset val="1"/>
          </rPr>
          <t xml:space="preserve">data from Wirtgen
</t>
        </r>
      </text>
    </comment>
    <comment ref="F151" authorId="0">
      <text>
        <r>
          <rPr>
            <sz val="10"/>
            <color rgb="FF000000"/>
            <rFont val="Tahoma"/>
            <charset val="1"/>
          </rPr>
          <t xml:space="preserve">data from Wirtgen
</t>
        </r>
      </text>
    </comment>
    <comment ref="G151" authorId="0">
      <text>
        <r>
          <rPr>
            <sz val="10"/>
            <color rgb="FF000000"/>
            <rFont val="Tahoma"/>
            <charset val="1"/>
          </rPr>
          <t xml:space="preserve">data from Wirtgen
</t>
        </r>
      </text>
    </comment>
    <comment ref="H151" authorId="0">
      <text>
        <r>
          <rPr>
            <sz val="10"/>
            <color rgb="FF000000"/>
            <rFont val="Tahoma"/>
            <charset val="1"/>
          </rPr>
          <t xml:space="preserve">data from Wirtgen
</t>
        </r>
      </text>
    </comment>
    <comment ref="I151" authorId="0">
      <text>
        <r>
          <rPr>
            <sz val="10"/>
            <color rgb="FF000000"/>
            <rFont val="Tahoma"/>
            <charset val="1"/>
          </rPr>
          <t xml:space="preserve">data from Wirtgen
</t>
        </r>
      </text>
    </comment>
    <comment ref="J151" authorId="0">
      <text>
        <r>
          <rPr>
            <sz val="10"/>
            <color rgb="FF000000"/>
            <rFont val="Tahoma"/>
            <charset val="1"/>
          </rPr>
          <t xml:space="preserve">data from Wirtgen
</t>
        </r>
      </text>
    </comment>
    <comment ref="K151" authorId="0">
      <text>
        <r>
          <rPr>
            <sz val="10"/>
            <color rgb="FF000000"/>
            <rFont val="Tahoma"/>
            <charset val="1"/>
          </rPr>
          <t xml:space="preserve">data from Wirtgen
</t>
        </r>
      </text>
    </comment>
    <comment ref="L151" authorId="0">
      <text>
        <r>
          <rPr>
            <sz val="10"/>
            <color rgb="FF000000"/>
            <rFont val="Tahoma"/>
            <charset val="1"/>
          </rPr>
          <t xml:space="preserve">data from Wirtgen
</t>
        </r>
      </text>
    </comment>
    <comment ref="M151" authorId="0">
      <text>
        <r>
          <rPr>
            <sz val="10"/>
            <color rgb="FF000000"/>
            <rFont val="Tahoma"/>
            <charset val="1"/>
          </rPr>
          <t xml:space="preserve">data from Wirtgen
</t>
        </r>
      </text>
    </comment>
    <comment ref="N151" authorId="0">
      <text>
        <r>
          <rPr>
            <sz val="10"/>
            <color rgb="FF000000"/>
            <rFont val="Tahoma"/>
            <charset val="1"/>
          </rPr>
          <t xml:space="preserve">data from Wirtgen
</t>
        </r>
      </text>
    </comment>
    <comment ref="O151" authorId="0">
      <text>
        <r>
          <rPr>
            <sz val="10"/>
            <color rgb="FF000000"/>
            <rFont val="Tahoma"/>
            <charset val="1"/>
          </rPr>
          <t xml:space="preserve">data from Wirtgen
</t>
        </r>
      </text>
    </comment>
    <comment ref="P151" authorId="0">
      <text>
        <r>
          <rPr>
            <sz val="10"/>
            <color rgb="FF000000"/>
            <rFont val="Tahoma"/>
            <charset val="1"/>
          </rPr>
          <t xml:space="preserve">data from Wirtgen
</t>
        </r>
      </text>
    </comment>
    <comment ref="Q151" authorId="0">
      <text>
        <r>
          <rPr>
            <sz val="10"/>
            <color rgb="FF000000"/>
            <rFont val="Tahoma"/>
            <charset val="1"/>
          </rPr>
          <t xml:space="preserve">data from Wirtgen
</t>
        </r>
      </text>
    </comment>
    <comment ref="R151" authorId="0">
      <text>
        <r>
          <rPr>
            <sz val="10"/>
            <color rgb="FF000000"/>
            <rFont val="Tahoma"/>
            <charset val="1"/>
          </rPr>
          <t xml:space="preserve">data from Wirtgen
</t>
        </r>
      </text>
    </comment>
    <comment ref="S151" authorId="0">
      <text>
        <r>
          <rPr>
            <sz val="10"/>
            <color rgb="FF000000"/>
            <rFont val="Tahoma"/>
            <charset val="1"/>
          </rPr>
          <t xml:space="preserve">data from Wirtgen
</t>
        </r>
      </text>
    </comment>
    <comment ref="T151" authorId="0">
      <text>
        <r>
          <rPr>
            <sz val="10"/>
            <color rgb="FF000000"/>
            <rFont val="Tahoma"/>
            <charset val="1"/>
          </rPr>
          <t xml:space="preserve">data from Wirtgen
</t>
        </r>
      </text>
    </comment>
    <comment ref="U151" authorId="0">
      <text>
        <r>
          <rPr>
            <sz val="10"/>
            <color rgb="FF000000"/>
            <rFont val="Tahoma"/>
            <charset val="1"/>
          </rPr>
          <t xml:space="preserve">data from Wirtgen
</t>
        </r>
      </text>
    </comment>
    <comment ref="V151" authorId="0">
      <text>
        <r>
          <rPr>
            <sz val="10"/>
            <color rgb="FF000000"/>
            <rFont val="Tahoma"/>
            <charset val="1"/>
          </rPr>
          <t xml:space="preserve">data from Wirtgen
</t>
        </r>
      </text>
    </comment>
    <comment ref="W151" authorId="0">
      <text>
        <r>
          <rPr>
            <sz val="10"/>
            <color rgb="FF000000"/>
            <rFont val="Tahoma"/>
            <charset val="1"/>
          </rPr>
          <t xml:space="preserve">data from Wirtgen
</t>
        </r>
      </text>
    </comment>
    <comment ref="C152" authorId="0">
      <text>
        <r>
          <rPr>
            <sz val="10"/>
            <color rgb="FF000000"/>
            <rFont val="Tahoma"/>
            <charset val="1"/>
          </rPr>
          <t>2 on ground plus tending crew (2) and mtce crew allowance (2)</t>
        </r>
      </text>
    </comment>
    <comment ref="D152" authorId="0">
      <text>
        <r>
          <rPr>
            <sz val="10"/>
            <color rgb="FF000000"/>
            <rFont val="Tahoma"/>
            <charset val="1"/>
          </rPr>
          <t>2 on ground plus tending crew (2) and mtce crew allowance (2)</t>
        </r>
      </text>
    </comment>
    <comment ref="E152" authorId="0">
      <text>
        <r>
          <rPr>
            <sz val="10"/>
            <color rgb="FF000000"/>
            <rFont val="Tahoma"/>
            <charset val="1"/>
          </rPr>
          <t>2 on ground plus tending crew (2) and mtce crew allowance (2)</t>
        </r>
      </text>
    </comment>
    <comment ref="F152" authorId="0">
      <text>
        <r>
          <rPr>
            <sz val="10"/>
            <color rgb="FF000000"/>
            <rFont val="Tahoma"/>
            <charset val="1"/>
          </rPr>
          <t>2 on ground plus tending crew (2) and mtce crew allowance (2)</t>
        </r>
      </text>
    </comment>
    <comment ref="G152" authorId="0">
      <text>
        <r>
          <rPr>
            <sz val="10"/>
            <color rgb="FF000000"/>
            <rFont val="Tahoma"/>
            <charset val="1"/>
          </rPr>
          <t>2 on ground plus tending crew (2) and mtce crew allowance (2)</t>
        </r>
      </text>
    </comment>
    <comment ref="H152" authorId="0">
      <text>
        <r>
          <rPr>
            <sz val="10"/>
            <color rgb="FF000000"/>
            <rFont val="Tahoma"/>
            <charset val="1"/>
          </rPr>
          <t>2 on ground plus tending crew (2) and mtce crew allowance (2)</t>
        </r>
      </text>
    </comment>
    <comment ref="I152" authorId="0">
      <text>
        <r>
          <rPr>
            <sz val="10"/>
            <color rgb="FF000000"/>
            <rFont val="Tahoma"/>
            <charset val="1"/>
          </rPr>
          <t>2 on ground plus tending crew (2) and mtce crew allowance (2)</t>
        </r>
      </text>
    </comment>
    <comment ref="J152" authorId="0">
      <text>
        <r>
          <rPr>
            <sz val="10"/>
            <color rgb="FF000000"/>
            <rFont val="Tahoma"/>
            <charset val="1"/>
          </rPr>
          <t>2 on ground plus tending crew (2) and mtce crew allowance (2)</t>
        </r>
      </text>
    </comment>
    <comment ref="K152" authorId="0">
      <text>
        <r>
          <rPr>
            <sz val="10"/>
            <color rgb="FF000000"/>
            <rFont val="Tahoma"/>
            <charset val="1"/>
          </rPr>
          <t>2 on ground plus tending crew (2) and mtce crew allowance (2)</t>
        </r>
      </text>
    </comment>
    <comment ref="L152" authorId="0">
      <text>
        <r>
          <rPr>
            <sz val="10"/>
            <color rgb="FF000000"/>
            <rFont val="Tahoma"/>
            <charset val="1"/>
          </rPr>
          <t>2 on ground plus tending crew (2) and mtce crew allowance (2)</t>
        </r>
      </text>
    </comment>
    <comment ref="M152" authorId="0">
      <text>
        <r>
          <rPr>
            <sz val="10"/>
            <color rgb="FF000000"/>
            <rFont val="Tahoma"/>
            <charset val="1"/>
          </rPr>
          <t>2 on ground plus tending crew (2) and mtce crew allowance (2)</t>
        </r>
      </text>
    </comment>
    <comment ref="N152" authorId="0">
      <text>
        <r>
          <rPr>
            <sz val="10"/>
            <color rgb="FF000000"/>
            <rFont val="Tahoma"/>
            <charset val="1"/>
          </rPr>
          <t>2 on ground plus tending crew (2) and mtce crew allowance (2)</t>
        </r>
      </text>
    </comment>
    <comment ref="O152" authorId="0">
      <text>
        <r>
          <rPr>
            <sz val="10"/>
            <color rgb="FF000000"/>
            <rFont val="Tahoma"/>
            <charset val="1"/>
          </rPr>
          <t>2 on ground plus tending crew (2) and mtce crew allowance (2)</t>
        </r>
      </text>
    </comment>
    <comment ref="P152" authorId="0">
      <text>
        <r>
          <rPr>
            <sz val="10"/>
            <color rgb="FF000000"/>
            <rFont val="Tahoma"/>
            <charset val="1"/>
          </rPr>
          <t>2 on ground plus tending crew (2) and mtce crew allowance (2)</t>
        </r>
      </text>
    </comment>
    <comment ref="Q152" authorId="0">
      <text>
        <r>
          <rPr>
            <sz val="10"/>
            <color rgb="FF000000"/>
            <rFont val="Tahoma"/>
            <charset val="1"/>
          </rPr>
          <t>2 on ground plus tending crew (2) and mtce crew allowance (2)</t>
        </r>
      </text>
    </comment>
    <comment ref="R152" authorId="0">
      <text>
        <r>
          <rPr>
            <sz val="10"/>
            <color rgb="FF000000"/>
            <rFont val="Tahoma"/>
            <charset val="1"/>
          </rPr>
          <t>2 on ground plus tending crew (2) and mtce crew allowance (2)</t>
        </r>
      </text>
    </comment>
    <comment ref="S152" authorId="0">
      <text>
        <r>
          <rPr>
            <sz val="10"/>
            <color rgb="FF000000"/>
            <rFont val="Tahoma"/>
            <charset val="1"/>
          </rPr>
          <t>2 on ground plus tending crew (2) and mtce crew allowance (2)</t>
        </r>
      </text>
    </comment>
    <comment ref="T152" authorId="0">
      <text>
        <r>
          <rPr>
            <sz val="10"/>
            <color rgb="FF000000"/>
            <rFont val="Tahoma"/>
            <charset val="1"/>
          </rPr>
          <t>2 on ground plus tending crew (2) and mtce crew allowance (2)</t>
        </r>
      </text>
    </comment>
    <comment ref="U152" authorId="0">
      <text>
        <r>
          <rPr>
            <sz val="10"/>
            <color rgb="FF000000"/>
            <rFont val="Tahoma"/>
            <charset val="1"/>
          </rPr>
          <t>2 on ground plus tending crew (2) and mtce crew allowance (2)</t>
        </r>
      </text>
    </comment>
    <comment ref="V152" authorId="0">
      <text>
        <r>
          <rPr>
            <sz val="10"/>
            <color rgb="FF000000"/>
            <rFont val="Tahoma"/>
            <charset val="1"/>
          </rPr>
          <t>2 on ground plus tending crew (2) and mtce crew allowance (2)</t>
        </r>
      </text>
    </comment>
    <comment ref="W152" authorId="0">
      <text>
        <r>
          <rPr>
            <sz val="10"/>
            <color rgb="FF000000"/>
            <rFont val="Tahoma"/>
            <charset val="1"/>
          </rPr>
          <t>2 on ground plus tending crew (2) and mtce crew allowance (2)</t>
        </r>
      </text>
    </comment>
    <comment ref="C153" authorId="0">
      <text>
        <r>
          <rPr>
            <sz val="10"/>
            <color rgb="FF000000"/>
            <rFont val="Tahoma"/>
            <charset val="1"/>
          </rPr>
          <t xml:space="preserve">Wirtgen supplied data at 650 tph converted from euros to US$ and then to a per wmt rate
</t>
        </r>
      </text>
    </comment>
    <comment ref="D153" authorId="0">
      <text>
        <r>
          <rPr>
            <sz val="10"/>
            <color rgb="FF000000"/>
            <rFont val="Tahoma"/>
            <charset val="1"/>
          </rPr>
          <t xml:space="preserve">Wirtgen supplied data at 650 tph converted from euros to US$ and then to a per wmt rate
</t>
        </r>
      </text>
    </comment>
    <comment ref="E153" authorId="0">
      <text>
        <r>
          <rPr>
            <sz val="10"/>
            <color rgb="FF000000"/>
            <rFont val="Tahoma"/>
            <charset val="1"/>
          </rPr>
          <t xml:space="preserve">Wirtgen supplied data at 650 tph converted from euros to US$ and then to a per wmt rate
</t>
        </r>
      </text>
    </comment>
    <comment ref="F153" authorId="0">
      <text>
        <r>
          <rPr>
            <sz val="10"/>
            <color rgb="FF000000"/>
            <rFont val="Tahoma"/>
            <charset val="1"/>
          </rPr>
          <t xml:space="preserve">Wirtgen supplied data at 650 tph converted from euros to US$ and then to a per wmt rate
</t>
        </r>
      </text>
    </comment>
    <comment ref="G153" authorId="0">
      <text>
        <r>
          <rPr>
            <sz val="10"/>
            <color rgb="FF000000"/>
            <rFont val="Tahoma"/>
            <charset val="1"/>
          </rPr>
          <t xml:space="preserve">Wirtgen supplied data at 650 tph converted from euros to US$ and then to a per wmt rate
</t>
        </r>
      </text>
    </comment>
    <comment ref="H153" authorId="0">
      <text>
        <r>
          <rPr>
            <sz val="10"/>
            <color rgb="FF000000"/>
            <rFont val="Tahoma"/>
            <charset val="1"/>
          </rPr>
          <t xml:space="preserve">Wirtgen supplied data at 650 tph converted from euros to US$ and then to a per wmt rate
</t>
        </r>
      </text>
    </comment>
    <comment ref="I153" authorId="0">
      <text>
        <r>
          <rPr>
            <sz val="10"/>
            <color rgb="FF000000"/>
            <rFont val="Tahoma"/>
            <charset val="1"/>
          </rPr>
          <t xml:space="preserve">Wirtgen supplied data at 650 tph converted from euros to US$ and then to a per wmt rate
</t>
        </r>
      </text>
    </comment>
    <comment ref="J153" authorId="0">
      <text>
        <r>
          <rPr>
            <sz val="10"/>
            <color rgb="FF000000"/>
            <rFont val="Tahoma"/>
            <charset val="1"/>
          </rPr>
          <t xml:space="preserve">Wirtgen supplied data at 650 tph converted from euros to US$ and then to a per wmt rate
</t>
        </r>
      </text>
    </comment>
    <comment ref="K153" authorId="0">
      <text>
        <r>
          <rPr>
            <sz val="10"/>
            <color rgb="FF000000"/>
            <rFont val="Tahoma"/>
            <charset val="1"/>
          </rPr>
          <t xml:space="preserve">Wirtgen supplied data at 650 tph converted from euros to US$ and then to a per wmt rate
</t>
        </r>
      </text>
    </comment>
    <comment ref="L153" authorId="0">
      <text>
        <r>
          <rPr>
            <sz val="10"/>
            <color rgb="FF000000"/>
            <rFont val="Tahoma"/>
            <charset val="1"/>
          </rPr>
          <t xml:space="preserve">Wirtgen supplied data at 650 tph converted from euros to US$ and then to a per wmt rate
</t>
        </r>
      </text>
    </comment>
    <comment ref="M153" authorId="0">
      <text>
        <r>
          <rPr>
            <sz val="10"/>
            <color rgb="FF000000"/>
            <rFont val="Tahoma"/>
            <charset val="1"/>
          </rPr>
          <t xml:space="preserve">Wirtgen supplied data at 650 tph converted from euros to US$ and then to a per wmt rate
</t>
        </r>
      </text>
    </comment>
    <comment ref="N153" authorId="0">
      <text>
        <r>
          <rPr>
            <sz val="10"/>
            <color rgb="FF000000"/>
            <rFont val="Tahoma"/>
            <charset val="1"/>
          </rPr>
          <t xml:space="preserve">Wirtgen supplied data at 650 tph converted from euros to US$ and then to a per wmt rate
</t>
        </r>
      </text>
    </comment>
    <comment ref="O153" authorId="0">
      <text>
        <r>
          <rPr>
            <sz val="10"/>
            <color rgb="FF000000"/>
            <rFont val="Tahoma"/>
            <charset val="1"/>
          </rPr>
          <t xml:space="preserve">Wirtgen supplied data at 650 tph converted from euros to US$ and then to a per wmt rate
</t>
        </r>
      </text>
    </comment>
    <comment ref="P153" authorId="0">
      <text>
        <r>
          <rPr>
            <sz val="10"/>
            <color rgb="FF000000"/>
            <rFont val="Tahoma"/>
            <charset val="1"/>
          </rPr>
          <t xml:space="preserve">Wirtgen supplied data at 650 tph converted from euros to US$ and then to a per wmt rate
</t>
        </r>
      </text>
    </comment>
    <comment ref="Q153" authorId="0">
      <text>
        <r>
          <rPr>
            <sz val="10"/>
            <color rgb="FF000000"/>
            <rFont val="Tahoma"/>
            <charset val="1"/>
          </rPr>
          <t xml:space="preserve">Wirtgen supplied data at 650 tph converted from euros to US$ and then to a per wmt rate
</t>
        </r>
      </text>
    </comment>
    <comment ref="R153" authorId="0">
      <text>
        <r>
          <rPr>
            <sz val="10"/>
            <color rgb="FF000000"/>
            <rFont val="Tahoma"/>
            <charset val="1"/>
          </rPr>
          <t xml:space="preserve">Wirtgen supplied data at 650 tph converted from euros to US$ and then to a per wmt rate
</t>
        </r>
      </text>
    </comment>
    <comment ref="S153" authorId="0">
      <text>
        <r>
          <rPr>
            <sz val="10"/>
            <color rgb="FF000000"/>
            <rFont val="Tahoma"/>
            <charset val="1"/>
          </rPr>
          <t xml:space="preserve">Wirtgen supplied data at 650 tph converted from euros to US$ and then to a per wmt rate
</t>
        </r>
      </text>
    </comment>
    <comment ref="T153" authorId="0">
      <text>
        <r>
          <rPr>
            <sz val="10"/>
            <color rgb="FF000000"/>
            <rFont val="Tahoma"/>
            <charset val="1"/>
          </rPr>
          <t xml:space="preserve">Wirtgen supplied data at 650 tph converted from euros to US$ and then to a per wmt rate
</t>
        </r>
      </text>
    </comment>
    <comment ref="U153" authorId="0">
      <text>
        <r>
          <rPr>
            <sz val="10"/>
            <color rgb="FF000000"/>
            <rFont val="Tahoma"/>
            <charset val="1"/>
          </rPr>
          <t xml:space="preserve">Wirtgen supplied data at 650 tph converted from euros to US$ and then to a per wmt rate
</t>
        </r>
      </text>
    </comment>
    <comment ref="V153" authorId="0">
      <text>
        <r>
          <rPr>
            <sz val="10"/>
            <color rgb="FF000000"/>
            <rFont val="Tahoma"/>
            <charset val="1"/>
          </rPr>
          <t xml:space="preserve">Wirtgen supplied data at 650 tph converted from euros to US$ and then to a per wmt rate
</t>
        </r>
      </text>
    </comment>
    <comment ref="W153" authorId="0">
      <text>
        <r>
          <rPr>
            <sz val="10"/>
            <color rgb="FF000000"/>
            <rFont val="Tahoma"/>
            <charset val="1"/>
          </rPr>
          <t xml:space="preserve">Wirtgen supplied data at 650 tph converted from euros to US$ and then to a per wmt rate
</t>
        </r>
      </text>
    </comment>
    <comment ref="C171" authorId="0">
      <text>
        <r>
          <rPr>
            <sz val="10"/>
            <color rgb="FF000000"/>
            <rFont val="Tahoma"/>
            <charset val="1"/>
          </rPr>
          <t>tuned roughly to Henan Chine trip data</t>
        </r>
      </text>
    </comment>
    <comment ref="D171" authorId="0">
      <text>
        <r>
          <rPr>
            <sz val="10"/>
            <color rgb="FF000000"/>
            <rFont val="Tahoma"/>
            <charset val="1"/>
          </rPr>
          <t>tuned roughly to Henan Chine trip data</t>
        </r>
      </text>
    </comment>
    <comment ref="E171" authorId="0">
      <text>
        <r>
          <rPr>
            <sz val="10"/>
            <color rgb="FF000000"/>
            <rFont val="Tahoma"/>
            <charset val="1"/>
          </rPr>
          <t>tuned roughly to Henan Chine trip data</t>
        </r>
      </text>
    </comment>
    <comment ref="F171" authorId="0">
      <text>
        <r>
          <rPr>
            <sz val="10"/>
            <color rgb="FF000000"/>
            <rFont val="Tahoma"/>
            <charset val="1"/>
          </rPr>
          <t>tuned roughly to Henan Chine trip data</t>
        </r>
      </text>
    </comment>
    <comment ref="G171" authorId="0">
      <text>
        <r>
          <rPr>
            <sz val="10"/>
            <color rgb="FF000000"/>
            <rFont val="Tahoma"/>
            <charset val="1"/>
          </rPr>
          <t>tuned roughly to Henan Chine trip data</t>
        </r>
      </text>
    </comment>
    <comment ref="H171" authorId="0">
      <text>
        <r>
          <rPr>
            <sz val="10"/>
            <color rgb="FF000000"/>
            <rFont val="Tahoma"/>
            <charset val="1"/>
          </rPr>
          <t>tuned roughly to Henan Chine trip data</t>
        </r>
      </text>
    </comment>
    <comment ref="I171" authorId="0">
      <text>
        <r>
          <rPr>
            <sz val="10"/>
            <color rgb="FF000000"/>
            <rFont val="Tahoma"/>
            <charset val="1"/>
          </rPr>
          <t>tuned roughly to Henan Chine trip data</t>
        </r>
      </text>
    </comment>
    <comment ref="J171" authorId="0">
      <text>
        <r>
          <rPr>
            <sz val="10"/>
            <color rgb="FF000000"/>
            <rFont val="Tahoma"/>
            <charset val="1"/>
          </rPr>
          <t>tuned roughly to Henan Chine trip data</t>
        </r>
      </text>
    </comment>
    <comment ref="K171" authorId="0">
      <text>
        <r>
          <rPr>
            <sz val="10"/>
            <color rgb="FF000000"/>
            <rFont val="Tahoma"/>
            <charset val="1"/>
          </rPr>
          <t>tuned roughly to Henan Chine trip data</t>
        </r>
      </text>
    </comment>
    <comment ref="L171" authorId="0">
      <text>
        <r>
          <rPr>
            <sz val="10"/>
            <color rgb="FF000000"/>
            <rFont val="Tahoma"/>
            <charset val="1"/>
          </rPr>
          <t>tuned roughly to Henan Chine trip data</t>
        </r>
      </text>
    </comment>
    <comment ref="M171" authorId="0">
      <text>
        <r>
          <rPr>
            <sz val="10"/>
            <color rgb="FF000000"/>
            <rFont val="Tahoma"/>
            <charset val="1"/>
          </rPr>
          <t>tuned roughly to Henan Chine trip data</t>
        </r>
      </text>
    </comment>
    <comment ref="N171" authorId="0">
      <text>
        <r>
          <rPr>
            <sz val="10"/>
            <color rgb="FF000000"/>
            <rFont val="Tahoma"/>
            <charset val="1"/>
          </rPr>
          <t>tuned roughly to Henan Chine trip data</t>
        </r>
      </text>
    </comment>
    <comment ref="O171" authorId="0">
      <text>
        <r>
          <rPr>
            <sz val="10"/>
            <color rgb="FF000000"/>
            <rFont val="Tahoma"/>
            <charset val="1"/>
          </rPr>
          <t>tuned roughly to Henan Chine trip data</t>
        </r>
      </text>
    </comment>
    <comment ref="P171" authorId="0">
      <text>
        <r>
          <rPr>
            <sz val="10"/>
            <color rgb="FF000000"/>
            <rFont val="Tahoma"/>
            <charset val="1"/>
          </rPr>
          <t>tuned roughly to Henan Chine trip data</t>
        </r>
      </text>
    </comment>
    <comment ref="Q171" authorId="0">
      <text>
        <r>
          <rPr>
            <sz val="10"/>
            <color rgb="FF000000"/>
            <rFont val="Tahoma"/>
            <charset val="1"/>
          </rPr>
          <t>tuned roughly to Henan Chine trip data</t>
        </r>
      </text>
    </comment>
    <comment ref="R171" authorId="0">
      <text>
        <r>
          <rPr>
            <sz val="10"/>
            <color rgb="FF000000"/>
            <rFont val="Tahoma"/>
            <charset val="1"/>
          </rPr>
          <t>tuned roughly to Henan Chine trip data</t>
        </r>
      </text>
    </comment>
    <comment ref="S171" authorId="0">
      <text>
        <r>
          <rPr>
            <sz val="10"/>
            <color rgb="FF000000"/>
            <rFont val="Tahoma"/>
            <charset val="1"/>
          </rPr>
          <t>tuned roughly to Henan Chine trip data</t>
        </r>
      </text>
    </comment>
    <comment ref="T171" authorId="0">
      <text>
        <r>
          <rPr>
            <sz val="10"/>
            <color rgb="FF000000"/>
            <rFont val="Tahoma"/>
            <charset val="1"/>
          </rPr>
          <t>tuned roughly to Henan Chine trip data</t>
        </r>
      </text>
    </comment>
    <comment ref="U171" authorId="0">
      <text>
        <r>
          <rPr>
            <sz val="10"/>
            <color rgb="FF000000"/>
            <rFont val="Tahoma"/>
            <charset val="1"/>
          </rPr>
          <t>tuned roughly to Henan Chine trip data</t>
        </r>
      </text>
    </comment>
    <comment ref="V171" authorId="0">
      <text>
        <r>
          <rPr>
            <sz val="10"/>
            <color rgb="FF000000"/>
            <rFont val="Tahoma"/>
            <charset val="1"/>
          </rPr>
          <t>tuned roughly to Henan Chine trip data</t>
        </r>
      </text>
    </comment>
    <comment ref="W171" authorId="0">
      <text>
        <r>
          <rPr>
            <sz val="10"/>
            <color rgb="FF000000"/>
            <rFont val="Tahoma"/>
            <charset val="1"/>
          </rPr>
          <t>tuned roughly to Henan Chine trip data</t>
        </r>
      </text>
    </comment>
    <comment ref="C172" authorId="0">
      <text>
        <r>
          <rPr>
            <sz val="10"/>
            <color rgb="FF000000"/>
            <rFont val="Calibri"/>
            <charset val="1"/>
          </rPr>
          <t xml:space="preserve">Baes off India bx truck data &amp; Guidelines for Measuring and Managing CO2 Emission from Freight Transport Operations </t>
        </r>
      </text>
    </comment>
    <comment ref="D172" authorId="0">
      <text>
        <r>
          <rPr>
            <sz val="10"/>
            <color rgb="FF000000"/>
            <rFont val="Calibri"/>
            <charset val="1"/>
          </rPr>
          <t xml:space="preserve">Baes off India bx truck data &amp; Guidelines for Measuring and Managing CO2 Emission from Freight Transport Operations </t>
        </r>
      </text>
    </comment>
    <comment ref="E172" authorId="0">
      <text>
        <r>
          <rPr>
            <sz val="10"/>
            <color rgb="FF000000"/>
            <rFont val="Calibri"/>
            <charset val="1"/>
          </rPr>
          <t xml:space="preserve">Baes off India bx truck data &amp; Guidelines for Measuring and Managing CO2 Emission from Freight Transport Operations </t>
        </r>
      </text>
    </comment>
    <comment ref="F172" authorId="0">
      <text>
        <r>
          <rPr>
            <sz val="10"/>
            <color rgb="FF000000"/>
            <rFont val="Calibri"/>
            <charset val="1"/>
          </rPr>
          <t xml:space="preserve">Baes off India bx truck data &amp; Guidelines for Measuring and Managing CO2 Emission from Freight Transport Operations </t>
        </r>
      </text>
    </comment>
    <comment ref="G172" authorId="0">
      <text>
        <r>
          <rPr>
            <sz val="10"/>
            <color rgb="FF000000"/>
            <rFont val="Calibri"/>
            <charset val="1"/>
          </rPr>
          <t xml:space="preserve">Baes off India bx truck data &amp; Guidelines for Measuring and Managing CO2 Emission from Freight Transport Operations </t>
        </r>
      </text>
    </comment>
    <comment ref="H172" authorId="0">
      <text>
        <r>
          <rPr>
            <sz val="10"/>
            <color rgb="FF000000"/>
            <rFont val="Calibri"/>
            <charset val="1"/>
          </rPr>
          <t xml:space="preserve">Baes off India bx truck data &amp; Guidelines for Measuring and Managing CO2 Emission from Freight Transport Operations </t>
        </r>
      </text>
    </comment>
    <comment ref="I172" authorId="0">
      <text>
        <r>
          <rPr>
            <sz val="10"/>
            <color rgb="FF000000"/>
            <rFont val="Calibri"/>
            <charset val="1"/>
          </rPr>
          <t xml:space="preserve">Baes off India bx truck data &amp; Guidelines for Measuring and Managing CO2 Emission from Freight Transport Operations </t>
        </r>
      </text>
    </comment>
    <comment ref="J172" authorId="0">
      <text>
        <r>
          <rPr>
            <sz val="10"/>
            <color rgb="FF000000"/>
            <rFont val="Calibri"/>
            <charset val="1"/>
          </rPr>
          <t xml:space="preserve">Baes off India bx truck data &amp; Guidelines for Measuring and Managing CO2 Emission from Freight Transport Operations </t>
        </r>
      </text>
    </comment>
    <comment ref="K172" authorId="0">
      <text>
        <r>
          <rPr>
            <sz val="10"/>
            <color rgb="FF000000"/>
            <rFont val="Calibri"/>
            <charset val="1"/>
          </rPr>
          <t xml:space="preserve">Baes off India bx truck data &amp; Guidelines for Measuring and Managing CO2 Emission from Freight Transport Operations </t>
        </r>
      </text>
    </comment>
    <comment ref="L172" authorId="0">
      <text>
        <r>
          <rPr>
            <sz val="10"/>
            <color rgb="FF000000"/>
            <rFont val="Calibri"/>
            <charset val="1"/>
          </rPr>
          <t xml:space="preserve">Baes off India bx truck data &amp; Guidelines for Measuring and Managing CO2 Emission from Freight Transport Operations </t>
        </r>
      </text>
    </comment>
    <comment ref="M172" authorId="0">
      <text>
        <r>
          <rPr>
            <sz val="10"/>
            <color rgb="FF000000"/>
            <rFont val="Calibri"/>
            <charset val="1"/>
          </rPr>
          <t xml:space="preserve">Baes off India bx truck data &amp; Guidelines for Measuring and Managing CO2 Emission from Freight Transport Operations </t>
        </r>
      </text>
    </comment>
    <comment ref="N172" authorId="0">
      <text>
        <r>
          <rPr>
            <sz val="10"/>
            <color rgb="FF000000"/>
            <rFont val="Calibri"/>
            <charset val="1"/>
          </rPr>
          <t xml:space="preserve">Baes off India bx truck data &amp; Guidelines for Measuring and Managing CO2 Emission from Freight Transport Operations </t>
        </r>
      </text>
    </comment>
    <comment ref="O172" authorId="0">
      <text>
        <r>
          <rPr>
            <sz val="10"/>
            <color rgb="FF000000"/>
            <rFont val="Calibri"/>
            <charset val="1"/>
          </rPr>
          <t xml:space="preserve">Baes off India bx truck data &amp; Guidelines for Measuring and Managing CO2 Emission from Freight Transport Operations </t>
        </r>
      </text>
    </comment>
    <comment ref="P172" authorId="0">
      <text>
        <r>
          <rPr>
            <sz val="10"/>
            <color rgb="FF000000"/>
            <rFont val="Calibri"/>
            <charset val="1"/>
          </rPr>
          <t xml:space="preserve">Baes off India bx truck data &amp; Guidelines for Measuring and Managing CO2 Emission from Freight Transport Operations </t>
        </r>
      </text>
    </comment>
    <comment ref="Q172" authorId="0">
      <text>
        <r>
          <rPr>
            <sz val="10"/>
            <color rgb="FF000000"/>
            <rFont val="Calibri"/>
            <charset val="1"/>
          </rPr>
          <t xml:space="preserve">Baes off India bx truck data &amp; Guidelines for Measuring and Managing CO2 Emission from Freight Transport Operations </t>
        </r>
      </text>
    </comment>
    <comment ref="R172" authorId="0">
      <text>
        <r>
          <rPr>
            <sz val="10"/>
            <color rgb="FF000000"/>
            <rFont val="Calibri"/>
            <charset val="1"/>
          </rPr>
          <t xml:space="preserve">Baes off India bx truck data &amp; Guidelines for Measuring and Managing CO2 Emission from Freight Transport Operations </t>
        </r>
      </text>
    </comment>
    <comment ref="S172" authorId="0">
      <text>
        <r>
          <rPr>
            <sz val="10"/>
            <color rgb="FF000000"/>
            <rFont val="Calibri"/>
            <charset val="1"/>
          </rPr>
          <t xml:space="preserve">Baes off India bx truck data &amp; Guidelines for Measuring and Managing CO2 Emission from Freight Transport Operations </t>
        </r>
      </text>
    </comment>
    <comment ref="T172" authorId="0">
      <text>
        <r>
          <rPr>
            <sz val="10"/>
            <color rgb="FF000000"/>
            <rFont val="Calibri"/>
            <charset val="1"/>
          </rPr>
          <t xml:space="preserve">Baes off India bx truck data &amp; Guidelines for Measuring and Managing CO2 Emission from Freight Transport Operations </t>
        </r>
      </text>
    </comment>
    <comment ref="U172" authorId="0">
      <text>
        <r>
          <rPr>
            <sz val="10"/>
            <color rgb="FF000000"/>
            <rFont val="Calibri"/>
            <charset val="1"/>
          </rPr>
          <t xml:space="preserve">Baes off India bx truck data &amp; Guidelines for Measuring and Managing CO2 Emission from Freight Transport Operations </t>
        </r>
      </text>
    </comment>
    <comment ref="V172" authorId="0">
      <text>
        <r>
          <rPr>
            <sz val="10"/>
            <color rgb="FF000000"/>
            <rFont val="Calibri"/>
            <charset val="1"/>
          </rPr>
          <t xml:space="preserve">Baes off India bx truck data &amp; Guidelines for Measuring and Managing CO2 Emission from Freight Transport Operations </t>
        </r>
      </text>
    </comment>
    <comment ref="W172" authorId="0">
      <text>
        <r>
          <rPr>
            <sz val="10"/>
            <color rgb="FF000000"/>
            <rFont val="Calibri"/>
            <charset val="1"/>
          </rPr>
          <t xml:space="preserve">Baes off India bx truck data &amp; Guidelines for Measuring and Managing CO2 Emission from Freight Transport Operations </t>
        </r>
      </text>
    </comment>
    <comment ref="C173" authorId="0">
      <text>
        <r>
          <rPr>
            <sz val="10"/>
            <color rgb="FF000000"/>
            <rFont val="Tahoma"/>
            <charset val="1"/>
          </rPr>
          <t>tuned roughly to Henan Chine trip data</t>
        </r>
      </text>
    </comment>
    <comment ref="D173" authorId="0">
      <text>
        <r>
          <rPr>
            <sz val="10"/>
            <color rgb="FF000000"/>
            <rFont val="Tahoma"/>
            <charset val="1"/>
          </rPr>
          <t>tuned roughly to Henan Chine trip data</t>
        </r>
      </text>
    </comment>
    <comment ref="E173" authorId="0">
      <text>
        <r>
          <rPr>
            <sz val="10"/>
            <color rgb="FF000000"/>
            <rFont val="Tahoma"/>
            <charset val="1"/>
          </rPr>
          <t>tuned roughly to Henan Chine trip data</t>
        </r>
      </text>
    </comment>
    <comment ref="F173" authorId="0">
      <text>
        <r>
          <rPr>
            <sz val="10"/>
            <color rgb="FF000000"/>
            <rFont val="Tahoma"/>
            <charset val="1"/>
          </rPr>
          <t>tuned roughly to Henan Chine trip data</t>
        </r>
      </text>
    </comment>
    <comment ref="G173" authorId="0">
      <text>
        <r>
          <rPr>
            <sz val="10"/>
            <color rgb="FF000000"/>
            <rFont val="Tahoma"/>
            <charset val="1"/>
          </rPr>
          <t>tuned roughly to Henan Chine trip data</t>
        </r>
      </text>
    </comment>
    <comment ref="H173" authorId="0">
      <text>
        <r>
          <rPr>
            <sz val="10"/>
            <color rgb="FF000000"/>
            <rFont val="Tahoma"/>
            <charset val="1"/>
          </rPr>
          <t>tuned roughly to Henan Chine trip data</t>
        </r>
      </text>
    </comment>
    <comment ref="I173" authorId="0">
      <text>
        <r>
          <rPr>
            <sz val="10"/>
            <color rgb="FF000000"/>
            <rFont val="Tahoma"/>
            <charset val="1"/>
          </rPr>
          <t>tuned roughly to Henan Chine trip data</t>
        </r>
      </text>
    </comment>
    <comment ref="J173" authorId="0">
      <text>
        <r>
          <rPr>
            <sz val="10"/>
            <color rgb="FF000000"/>
            <rFont val="Tahoma"/>
            <charset val="1"/>
          </rPr>
          <t>tuned roughly to Henan Chine trip data</t>
        </r>
      </text>
    </comment>
    <comment ref="K173" authorId="0">
      <text>
        <r>
          <rPr>
            <sz val="10"/>
            <color rgb="FF000000"/>
            <rFont val="Tahoma"/>
            <charset val="1"/>
          </rPr>
          <t>tuned roughly to Henan Chine trip data</t>
        </r>
      </text>
    </comment>
    <comment ref="L173" authorId="0">
      <text>
        <r>
          <rPr>
            <sz val="10"/>
            <color rgb="FF000000"/>
            <rFont val="Tahoma"/>
            <charset val="1"/>
          </rPr>
          <t>tuned roughly to Henan Chine trip data</t>
        </r>
      </text>
    </comment>
    <comment ref="M173" authorId="0">
      <text>
        <r>
          <rPr>
            <sz val="10"/>
            <color rgb="FF000000"/>
            <rFont val="Tahoma"/>
            <charset val="1"/>
          </rPr>
          <t>tuned roughly to Henan Chine trip data</t>
        </r>
      </text>
    </comment>
    <comment ref="N173" authorId="0">
      <text>
        <r>
          <rPr>
            <sz val="10"/>
            <color rgb="FF000000"/>
            <rFont val="Tahoma"/>
            <charset val="1"/>
          </rPr>
          <t>tuned roughly to Henan Chine trip data</t>
        </r>
      </text>
    </comment>
    <comment ref="O173" authorId="0">
      <text>
        <r>
          <rPr>
            <sz val="10"/>
            <color rgb="FF000000"/>
            <rFont val="Tahoma"/>
            <charset val="1"/>
          </rPr>
          <t>tuned roughly to Henan Chine trip data</t>
        </r>
      </text>
    </comment>
    <comment ref="P173" authorId="0">
      <text>
        <r>
          <rPr>
            <sz val="10"/>
            <color rgb="FF000000"/>
            <rFont val="Tahoma"/>
            <charset val="1"/>
          </rPr>
          <t>tuned roughly to Henan Chine trip data</t>
        </r>
      </text>
    </comment>
    <comment ref="Q173" authorId="0">
      <text>
        <r>
          <rPr>
            <sz val="10"/>
            <color rgb="FF000000"/>
            <rFont val="Tahoma"/>
            <charset val="1"/>
          </rPr>
          <t>tuned roughly to Henan Chine trip data</t>
        </r>
      </text>
    </comment>
    <comment ref="R173" authorId="0">
      <text>
        <r>
          <rPr>
            <sz val="10"/>
            <color rgb="FF000000"/>
            <rFont val="Tahoma"/>
            <charset val="1"/>
          </rPr>
          <t>tuned roughly to Henan Chine trip data</t>
        </r>
      </text>
    </comment>
    <comment ref="S173" authorId="0">
      <text>
        <r>
          <rPr>
            <sz val="10"/>
            <color rgb="FF000000"/>
            <rFont val="Tahoma"/>
            <charset val="1"/>
          </rPr>
          <t>tuned roughly to Henan Chine trip data</t>
        </r>
      </text>
    </comment>
    <comment ref="T173" authorId="0">
      <text>
        <r>
          <rPr>
            <sz val="10"/>
            <color rgb="FF000000"/>
            <rFont val="Tahoma"/>
            <charset val="1"/>
          </rPr>
          <t>tuned roughly to Henan Chine trip data</t>
        </r>
      </text>
    </comment>
    <comment ref="U173" authorId="0">
      <text>
        <r>
          <rPr>
            <sz val="10"/>
            <color rgb="FF000000"/>
            <rFont val="Tahoma"/>
            <charset val="1"/>
          </rPr>
          <t>tuned roughly to Henan Chine trip data</t>
        </r>
      </text>
    </comment>
    <comment ref="V173" authorId="0">
      <text>
        <r>
          <rPr>
            <sz val="10"/>
            <color rgb="FF000000"/>
            <rFont val="Tahoma"/>
            <charset val="1"/>
          </rPr>
          <t>tuned roughly to Henan Chine trip data</t>
        </r>
      </text>
    </comment>
    <comment ref="W173" authorId="0">
      <text>
        <r>
          <rPr>
            <sz val="10"/>
            <color rgb="FF000000"/>
            <rFont val="Tahoma"/>
            <charset val="1"/>
          </rPr>
          <t>tuned roughly to Henan Chine trip data</t>
        </r>
      </text>
    </comment>
    <comment ref="C203" authorId="0">
      <text>
        <r>
          <rPr>
            <sz val="10"/>
            <color rgb="FF000000"/>
            <rFont val="Tahoma"/>
            <charset val="1"/>
          </rPr>
          <t xml:space="preserve">Based off Bob Adam - spent much of his career as a specialist  consulting balst engineer
</t>
        </r>
      </text>
    </comment>
    <comment ref="D203" authorId="0">
      <text>
        <r>
          <rPr>
            <sz val="10"/>
            <color rgb="FF000000"/>
            <rFont val="Tahoma"/>
            <charset val="1"/>
          </rPr>
          <t xml:space="preserve">Based off Bob Adam - spent much of his career as a specialist  consulting balst engineer
</t>
        </r>
      </text>
    </comment>
    <comment ref="E203" authorId="0">
      <text>
        <r>
          <rPr>
            <sz val="10"/>
            <color rgb="FF000000"/>
            <rFont val="Tahoma"/>
            <charset val="1"/>
          </rPr>
          <t xml:space="preserve">Based off Bob Adam - spent much of his career as a specialist  consulting balst engineer
</t>
        </r>
      </text>
    </comment>
    <comment ref="F203" authorId="0">
      <text>
        <r>
          <rPr>
            <sz val="10"/>
            <color rgb="FF000000"/>
            <rFont val="Tahoma"/>
            <charset val="1"/>
          </rPr>
          <t xml:space="preserve">Based off Bob Adam - spent much of his career as a specialist  consulting balst engineer
</t>
        </r>
      </text>
    </comment>
    <comment ref="G203" authorId="0">
      <text>
        <r>
          <rPr>
            <sz val="10"/>
            <color rgb="FF000000"/>
            <rFont val="Tahoma"/>
            <charset val="1"/>
          </rPr>
          <t xml:space="preserve">Based off Bob Adam - spent much of his career as a specialist  consulting balst engineer
</t>
        </r>
      </text>
    </comment>
    <comment ref="H203" authorId="0">
      <text>
        <r>
          <rPr>
            <sz val="10"/>
            <color rgb="FF000000"/>
            <rFont val="Tahoma"/>
            <charset val="1"/>
          </rPr>
          <t xml:space="preserve">Based off Bob Adam - spent much of his career as a specialist  consulting balst engineer
</t>
        </r>
      </text>
    </comment>
    <comment ref="I203" authorId="0">
      <text>
        <r>
          <rPr>
            <sz val="10"/>
            <color rgb="FF000000"/>
            <rFont val="Tahoma"/>
            <charset val="1"/>
          </rPr>
          <t xml:space="preserve">Based off Bob Adam - spent much of his career as a specialist  consulting balst engineer
</t>
        </r>
      </text>
    </comment>
    <comment ref="J203" authorId="0">
      <text>
        <r>
          <rPr>
            <sz val="10"/>
            <color rgb="FF000000"/>
            <rFont val="Tahoma"/>
            <charset val="1"/>
          </rPr>
          <t xml:space="preserve">Based off Bob Adam - spent much of his career as a specialist  consulting balst engineer
</t>
        </r>
      </text>
    </comment>
    <comment ref="K203" authorId="0">
      <text>
        <r>
          <rPr>
            <sz val="10"/>
            <color rgb="FF000000"/>
            <rFont val="Tahoma"/>
            <charset val="1"/>
          </rPr>
          <t xml:space="preserve">Based off Bob Adam - spent much of his career as a specialist  consulting balst engineer
</t>
        </r>
      </text>
    </comment>
    <comment ref="L203" authorId="0">
      <text>
        <r>
          <rPr>
            <sz val="10"/>
            <color rgb="FF000000"/>
            <rFont val="Tahoma"/>
            <charset val="1"/>
          </rPr>
          <t xml:space="preserve">Based off Bob Adam - spent much of his career as a specialist  consulting balst engineer
</t>
        </r>
      </text>
    </comment>
    <comment ref="M203" authorId="0">
      <text>
        <r>
          <rPr>
            <sz val="10"/>
            <color rgb="FF000000"/>
            <rFont val="Tahoma"/>
            <charset val="1"/>
          </rPr>
          <t xml:space="preserve">Based off Bob Adam - spent much of his career as a specialist  consulting balst engineer
</t>
        </r>
      </text>
    </comment>
    <comment ref="N203" authorId="0">
      <text>
        <r>
          <rPr>
            <sz val="10"/>
            <color rgb="FF000000"/>
            <rFont val="Tahoma"/>
            <charset val="1"/>
          </rPr>
          <t xml:space="preserve">Based off Bob Adam - spent much of his career as a specialist  consulting balst engineer
</t>
        </r>
      </text>
    </comment>
    <comment ref="O203" authorId="0">
      <text>
        <r>
          <rPr>
            <sz val="10"/>
            <color rgb="FF000000"/>
            <rFont val="Tahoma"/>
            <charset val="1"/>
          </rPr>
          <t xml:space="preserve">Based off Bob Adam - spent much of his career as a specialist  consulting balst engineer
</t>
        </r>
      </text>
    </comment>
    <comment ref="P203" authorId="0">
      <text>
        <r>
          <rPr>
            <sz val="10"/>
            <color rgb="FF000000"/>
            <rFont val="Tahoma"/>
            <charset val="1"/>
          </rPr>
          <t xml:space="preserve">Based off Bob Adam - spent much of his career as a specialist  consulting balst engineer
</t>
        </r>
      </text>
    </comment>
    <comment ref="Q203" authorId="0">
      <text>
        <r>
          <rPr>
            <sz val="10"/>
            <color rgb="FF000000"/>
            <rFont val="Tahoma"/>
            <charset val="1"/>
          </rPr>
          <t xml:space="preserve">Based off Bob Adam - spent much of his career as a specialist  consulting balst engineer
</t>
        </r>
      </text>
    </comment>
    <comment ref="R203" authorId="0">
      <text>
        <r>
          <rPr>
            <sz val="10"/>
            <color rgb="FF000000"/>
            <rFont val="Tahoma"/>
            <charset val="1"/>
          </rPr>
          <t xml:space="preserve">Based off Bob Adam - spent much of his career as a specialist  consulting balst engineer
</t>
        </r>
      </text>
    </comment>
    <comment ref="S203" authorId="0">
      <text>
        <r>
          <rPr>
            <sz val="10"/>
            <color rgb="FF000000"/>
            <rFont val="Tahoma"/>
            <charset val="1"/>
          </rPr>
          <t xml:space="preserve">Based off Bob Adam - spent much of his career as a specialist  consulting balst engineer
</t>
        </r>
      </text>
    </comment>
    <comment ref="T203" authorId="0">
      <text>
        <r>
          <rPr>
            <sz val="10"/>
            <color rgb="FF000000"/>
            <rFont val="Tahoma"/>
            <charset val="1"/>
          </rPr>
          <t xml:space="preserve">Based off Bob Adam - spent much of his career as a specialist  consulting balst engineer
</t>
        </r>
      </text>
    </comment>
    <comment ref="U203" authorId="0">
      <text>
        <r>
          <rPr>
            <sz val="10"/>
            <color rgb="FF000000"/>
            <rFont val="Tahoma"/>
            <charset val="1"/>
          </rPr>
          <t xml:space="preserve">Based off Bob Adam - spent much of his career as a specialist  consulting balst engineer
</t>
        </r>
      </text>
    </comment>
    <comment ref="V203" authorId="0">
      <text>
        <r>
          <rPr>
            <sz val="10"/>
            <color rgb="FF000000"/>
            <rFont val="Tahoma"/>
            <charset val="1"/>
          </rPr>
          <t xml:space="preserve">Based off Bob Adam - spent much of his career as a specialist  consulting balst engineer
</t>
        </r>
      </text>
    </comment>
    <comment ref="W203" authorId="0">
      <text>
        <r>
          <rPr>
            <sz val="10"/>
            <color rgb="FF000000"/>
            <rFont val="Tahoma"/>
            <charset val="1"/>
          </rPr>
          <t xml:space="preserve">Based off Bob Adam - spent much of his career as a specialist  consulting balst engineer
</t>
        </r>
      </text>
    </comment>
    <comment ref="C204" authorId="0">
      <text>
        <r>
          <rPr>
            <sz val="10"/>
            <color rgb="FF000000"/>
            <rFont val="Tahoma"/>
            <charset val="1"/>
          </rPr>
          <t xml:space="preserve">Based off Bob Adam - spent much of his career as a specialist  consulting balst engineer
</t>
        </r>
      </text>
    </comment>
    <comment ref="D204" authorId="0">
      <text>
        <r>
          <rPr>
            <sz val="10"/>
            <color rgb="FF000000"/>
            <rFont val="Tahoma"/>
            <charset val="1"/>
          </rPr>
          <t xml:space="preserve">Based off Bob Adam - spent much of his career as a specialist  consulting balst engineer
</t>
        </r>
      </text>
    </comment>
    <comment ref="E204" authorId="0">
      <text>
        <r>
          <rPr>
            <sz val="10"/>
            <color rgb="FF000000"/>
            <rFont val="Tahoma"/>
            <charset val="1"/>
          </rPr>
          <t xml:space="preserve">Based off Bob Adam - spent much of his career as a specialist  consulting balst engineer
</t>
        </r>
      </text>
    </comment>
    <comment ref="F204" authorId="0">
      <text>
        <r>
          <rPr>
            <sz val="10"/>
            <color rgb="FF000000"/>
            <rFont val="Tahoma"/>
            <charset val="1"/>
          </rPr>
          <t xml:space="preserve">Based off Bob Adam - spent much of his career as a specialist  consulting balst engineer
</t>
        </r>
      </text>
    </comment>
    <comment ref="G204" authorId="0">
      <text>
        <r>
          <rPr>
            <sz val="10"/>
            <color rgb="FF000000"/>
            <rFont val="Tahoma"/>
            <charset val="1"/>
          </rPr>
          <t xml:space="preserve">Based off Bob Adam - spent much of his career as a specialist  consulting balst engineer
</t>
        </r>
      </text>
    </comment>
    <comment ref="H204" authorId="0">
      <text>
        <r>
          <rPr>
            <sz val="10"/>
            <color rgb="FF000000"/>
            <rFont val="Tahoma"/>
            <charset val="1"/>
          </rPr>
          <t xml:space="preserve">Based off Bob Adam - spent much of his career as a specialist  consulting balst engineer
</t>
        </r>
      </text>
    </comment>
    <comment ref="I204" authorId="0">
      <text>
        <r>
          <rPr>
            <sz val="10"/>
            <color rgb="FF000000"/>
            <rFont val="Tahoma"/>
            <charset val="1"/>
          </rPr>
          <t xml:space="preserve">Based off Bob Adam - spent much of his career as a specialist  consulting balst engineer
</t>
        </r>
      </text>
    </comment>
    <comment ref="J204" authorId="0">
      <text>
        <r>
          <rPr>
            <sz val="10"/>
            <color rgb="FF000000"/>
            <rFont val="Tahoma"/>
            <charset val="1"/>
          </rPr>
          <t xml:space="preserve">Based off Bob Adam - spent much of his career as a specialist  consulting balst engineer
</t>
        </r>
      </text>
    </comment>
    <comment ref="K204" authorId="0">
      <text>
        <r>
          <rPr>
            <sz val="10"/>
            <color rgb="FF000000"/>
            <rFont val="Tahoma"/>
            <charset val="1"/>
          </rPr>
          <t xml:space="preserve">Based off Bob Adam - spent much of his career as a specialist  consulting balst engineer
</t>
        </r>
      </text>
    </comment>
    <comment ref="L204" authorId="0">
      <text>
        <r>
          <rPr>
            <sz val="10"/>
            <color rgb="FF000000"/>
            <rFont val="Tahoma"/>
            <charset val="1"/>
          </rPr>
          <t xml:space="preserve">Based off Bob Adam - spent much of his career as a specialist  consulting balst engineer
</t>
        </r>
      </text>
    </comment>
    <comment ref="M204" authorId="0">
      <text>
        <r>
          <rPr>
            <sz val="10"/>
            <color rgb="FF000000"/>
            <rFont val="Tahoma"/>
            <charset val="1"/>
          </rPr>
          <t xml:space="preserve">Based off Bob Adam - spent much of his career as a specialist  consulting balst engineer
</t>
        </r>
      </text>
    </comment>
    <comment ref="N204" authorId="0">
      <text>
        <r>
          <rPr>
            <sz val="10"/>
            <color rgb="FF000000"/>
            <rFont val="Tahoma"/>
            <charset val="1"/>
          </rPr>
          <t xml:space="preserve">Based off Bob Adam - spent much of his career as a specialist  consulting balst engineer
</t>
        </r>
      </text>
    </comment>
    <comment ref="O204" authorId="0">
      <text>
        <r>
          <rPr>
            <sz val="10"/>
            <color rgb="FF000000"/>
            <rFont val="Tahoma"/>
            <charset val="1"/>
          </rPr>
          <t xml:space="preserve">Based off Bob Adam - spent much of his career as a specialist  consulting balst engineer
</t>
        </r>
      </text>
    </comment>
    <comment ref="P204" authorId="0">
      <text>
        <r>
          <rPr>
            <sz val="10"/>
            <color rgb="FF000000"/>
            <rFont val="Tahoma"/>
            <charset val="1"/>
          </rPr>
          <t xml:space="preserve">Based off Bob Adam - spent much of his career as a specialist  consulting balst engineer
</t>
        </r>
      </text>
    </comment>
    <comment ref="Q204" authorId="0">
      <text>
        <r>
          <rPr>
            <sz val="10"/>
            <color rgb="FF000000"/>
            <rFont val="Tahoma"/>
            <charset val="1"/>
          </rPr>
          <t xml:space="preserve">Based off Bob Adam - spent much of his career as a specialist  consulting balst engineer
</t>
        </r>
      </text>
    </comment>
    <comment ref="R204" authorId="0">
      <text>
        <r>
          <rPr>
            <sz val="10"/>
            <color rgb="FF000000"/>
            <rFont val="Tahoma"/>
            <charset val="1"/>
          </rPr>
          <t xml:space="preserve">Based off Bob Adam - spent much of his career as a specialist  consulting balst engineer
</t>
        </r>
      </text>
    </comment>
    <comment ref="S204" authorId="0">
      <text>
        <r>
          <rPr>
            <sz val="10"/>
            <color rgb="FF000000"/>
            <rFont val="Tahoma"/>
            <charset val="1"/>
          </rPr>
          <t xml:space="preserve">Based off Bob Adam - spent much of his career as a specialist  consulting balst engineer
</t>
        </r>
      </text>
    </comment>
    <comment ref="T204" authorId="0">
      <text>
        <r>
          <rPr>
            <sz val="10"/>
            <color rgb="FF000000"/>
            <rFont val="Tahoma"/>
            <charset val="1"/>
          </rPr>
          <t xml:space="preserve">Based off Bob Adam - spent much of his career as a specialist  consulting balst engineer
</t>
        </r>
      </text>
    </comment>
    <comment ref="U204" authorId="0">
      <text>
        <r>
          <rPr>
            <sz val="10"/>
            <color rgb="FF000000"/>
            <rFont val="Tahoma"/>
            <charset val="1"/>
          </rPr>
          <t xml:space="preserve">Based off Bob Adam - spent much of his career as a specialist  consulting balst engineer
</t>
        </r>
      </text>
    </comment>
    <comment ref="V204" authorId="0">
      <text>
        <r>
          <rPr>
            <sz val="10"/>
            <color rgb="FF000000"/>
            <rFont val="Tahoma"/>
            <charset val="1"/>
          </rPr>
          <t xml:space="preserve">Based off Bob Adam - spent much of his career as a specialist  consulting balst engineer
</t>
        </r>
      </text>
    </comment>
    <comment ref="W204" authorId="0">
      <text>
        <r>
          <rPr>
            <sz val="10"/>
            <color rgb="FF000000"/>
            <rFont val="Tahoma"/>
            <charset val="1"/>
          </rPr>
          <t xml:space="preserve">Based off Bob Adam - spent much of his career as a specialist  consulting balst engineer
</t>
        </r>
      </text>
    </comment>
    <comment ref="C205" authorId="0">
      <text>
        <r>
          <rPr>
            <sz val="10"/>
            <color rgb="FF000000"/>
            <rFont val="Tahoma"/>
            <charset val="1"/>
          </rPr>
          <t xml:space="preserve">Based off Bob Adam - spent much of his career as a specialist  consulting balst engineer
</t>
        </r>
      </text>
    </comment>
    <comment ref="D205" authorId="0">
      <text>
        <r>
          <rPr>
            <sz val="10"/>
            <color rgb="FF000000"/>
            <rFont val="Tahoma"/>
            <charset val="1"/>
          </rPr>
          <t xml:space="preserve">Based off Bob Adam - spent much of his career as a specialist  consulting balst engineer
</t>
        </r>
      </text>
    </comment>
    <comment ref="E205" authorId="0">
      <text>
        <r>
          <rPr>
            <sz val="10"/>
            <color rgb="FF000000"/>
            <rFont val="Tahoma"/>
            <charset val="1"/>
          </rPr>
          <t xml:space="preserve">Based off Bob Adam - spent much of his career as a specialist  consulting balst engineer
</t>
        </r>
      </text>
    </comment>
    <comment ref="F205" authorId="0">
      <text>
        <r>
          <rPr>
            <sz val="10"/>
            <color rgb="FF000000"/>
            <rFont val="Tahoma"/>
            <charset val="1"/>
          </rPr>
          <t xml:space="preserve">Based off Bob Adam - spent much of his career as a specialist  consulting balst engineer
</t>
        </r>
      </text>
    </comment>
    <comment ref="G205" authorId="0">
      <text>
        <r>
          <rPr>
            <sz val="10"/>
            <color rgb="FF000000"/>
            <rFont val="Tahoma"/>
            <charset val="1"/>
          </rPr>
          <t xml:space="preserve">Based off Bob Adam - spent much of his career as a specialist  consulting balst engineer
</t>
        </r>
      </text>
    </comment>
    <comment ref="H205" authorId="0">
      <text>
        <r>
          <rPr>
            <sz val="10"/>
            <color rgb="FF000000"/>
            <rFont val="Tahoma"/>
            <charset val="1"/>
          </rPr>
          <t xml:space="preserve">Based off Bob Adam - spent much of his career as a specialist  consulting balst engineer
</t>
        </r>
      </text>
    </comment>
    <comment ref="I205" authorId="0">
      <text>
        <r>
          <rPr>
            <sz val="10"/>
            <color rgb="FF000000"/>
            <rFont val="Tahoma"/>
            <charset val="1"/>
          </rPr>
          <t xml:space="preserve">Based off Bob Adam - spent much of his career as a specialist  consulting balst engineer
</t>
        </r>
      </text>
    </comment>
    <comment ref="J205" authorId="0">
      <text>
        <r>
          <rPr>
            <sz val="10"/>
            <color rgb="FF000000"/>
            <rFont val="Tahoma"/>
            <charset val="1"/>
          </rPr>
          <t xml:space="preserve">Based off Bob Adam - spent much of his career as a specialist  consulting balst engineer
</t>
        </r>
      </text>
    </comment>
    <comment ref="K205" authorId="0">
      <text>
        <r>
          <rPr>
            <sz val="10"/>
            <color rgb="FF000000"/>
            <rFont val="Tahoma"/>
            <charset val="1"/>
          </rPr>
          <t xml:space="preserve">Based off Bob Adam - spent much of his career as a specialist  consulting balst engineer
</t>
        </r>
      </text>
    </comment>
    <comment ref="L205" authorId="0">
      <text>
        <r>
          <rPr>
            <sz val="10"/>
            <color rgb="FF000000"/>
            <rFont val="Tahoma"/>
            <charset val="1"/>
          </rPr>
          <t xml:space="preserve">Based off Bob Adam - spent much of his career as a specialist  consulting balst engineer
</t>
        </r>
      </text>
    </comment>
    <comment ref="M205" authorId="0">
      <text>
        <r>
          <rPr>
            <sz val="10"/>
            <color rgb="FF000000"/>
            <rFont val="Tahoma"/>
            <charset val="1"/>
          </rPr>
          <t xml:space="preserve">Based off Bob Adam - spent much of his career as a specialist  consulting balst engineer
</t>
        </r>
      </text>
    </comment>
    <comment ref="N205" authorId="0">
      <text>
        <r>
          <rPr>
            <sz val="10"/>
            <color rgb="FF000000"/>
            <rFont val="Tahoma"/>
            <charset val="1"/>
          </rPr>
          <t xml:space="preserve">Based off Bob Adam - spent much of his career as a specialist  consulting balst engineer
</t>
        </r>
      </text>
    </comment>
    <comment ref="O205" authorId="0">
      <text>
        <r>
          <rPr>
            <sz val="10"/>
            <color rgb="FF000000"/>
            <rFont val="Tahoma"/>
            <charset val="1"/>
          </rPr>
          <t xml:space="preserve">Based off Bob Adam - spent much of his career as a specialist  consulting balst engineer
</t>
        </r>
      </text>
    </comment>
    <comment ref="P205" authorId="0">
      <text>
        <r>
          <rPr>
            <sz val="10"/>
            <color rgb="FF000000"/>
            <rFont val="Tahoma"/>
            <charset val="1"/>
          </rPr>
          <t xml:space="preserve">Based off Bob Adam - spent much of his career as a specialist  consulting balst engineer
</t>
        </r>
      </text>
    </comment>
    <comment ref="Q205" authorId="0">
      <text>
        <r>
          <rPr>
            <sz val="10"/>
            <color rgb="FF000000"/>
            <rFont val="Tahoma"/>
            <charset val="1"/>
          </rPr>
          <t xml:space="preserve">Based off Bob Adam - spent much of his career as a specialist  consulting balst engineer
</t>
        </r>
      </text>
    </comment>
    <comment ref="R205" authorId="0">
      <text>
        <r>
          <rPr>
            <sz val="10"/>
            <color rgb="FF000000"/>
            <rFont val="Tahoma"/>
            <charset val="1"/>
          </rPr>
          <t xml:space="preserve">Based off Bob Adam - spent much of his career as a specialist  consulting balst engineer
</t>
        </r>
      </text>
    </comment>
    <comment ref="S205" authorId="0">
      <text>
        <r>
          <rPr>
            <sz val="10"/>
            <color rgb="FF000000"/>
            <rFont val="Tahoma"/>
            <charset val="1"/>
          </rPr>
          <t xml:space="preserve">Based off Bob Adam - spent much of his career as a specialist  consulting balst engineer
</t>
        </r>
      </text>
    </comment>
    <comment ref="T205" authorId="0">
      <text>
        <r>
          <rPr>
            <sz val="10"/>
            <color rgb="FF000000"/>
            <rFont val="Tahoma"/>
            <charset val="1"/>
          </rPr>
          <t xml:space="preserve">Based off Bob Adam - spent much of his career as a specialist  consulting balst engineer
</t>
        </r>
      </text>
    </comment>
    <comment ref="U205" authorId="0">
      <text>
        <r>
          <rPr>
            <sz val="10"/>
            <color rgb="FF000000"/>
            <rFont val="Tahoma"/>
            <charset val="1"/>
          </rPr>
          <t xml:space="preserve">Based off Bob Adam - spent much of his career as a specialist  consulting balst engineer
</t>
        </r>
      </text>
    </comment>
    <comment ref="V205" authorId="0">
      <text>
        <r>
          <rPr>
            <sz val="10"/>
            <color rgb="FF000000"/>
            <rFont val="Tahoma"/>
            <charset val="1"/>
          </rPr>
          <t xml:space="preserve">Based off Bob Adam - spent much of his career as a specialist  consulting balst engineer
</t>
        </r>
      </text>
    </comment>
    <comment ref="W205" authorId="0">
      <text>
        <r>
          <rPr>
            <sz val="10"/>
            <color rgb="FF000000"/>
            <rFont val="Tahoma"/>
            <charset val="1"/>
          </rPr>
          <t xml:space="preserve">Based off Bob Adam - spent much of his career as a specialist  consulting balst engineer
</t>
        </r>
      </text>
    </comment>
    <comment ref="C206" authorId="0">
      <text>
        <r>
          <rPr>
            <sz val="10"/>
            <color rgb="FF000000"/>
            <rFont val="Tahoma"/>
            <charset val="1"/>
          </rPr>
          <t xml:space="preserve">Based off Bob Adam - spent much of his career as a specialist  consulting balst engineer
</t>
        </r>
      </text>
    </comment>
    <comment ref="D206" authorId="0">
      <text>
        <r>
          <rPr>
            <sz val="10"/>
            <color rgb="FF000000"/>
            <rFont val="Tahoma"/>
            <charset val="1"/>
          </rPr>
          <t xml:space="preserve">Based off Bob Adam - spent much of his career as a specialist  consulting balst engineer
</t>
        </r>
      </text>
    </comment>
    <comment ref="E206" authorId="0">
      <text>
        <r>
          <rPr>
            <sz val="10"/>
            <color rgb="FF000000"/>
            <rFont val="Tahoma"/>
            <charset val="1"/>
          </rPr>
          <t xml:space="preserve">Based off Bob Adam - spent much of his career as a specialist  consulting balst engineer
</t>
        </r>
      </text>
    </comment>
    <comment ref="F206" authorId="0">
      <text>
        <r>
          <rPr>
            <sz val="10"/>
            <color rgb="FF000000"/>
            <rFont val="Tahoma"/>
            <charset val="1"/>
          </rPr>
          <t xml:space="preserve">Based off Bob Adam - spent much of his career as a specialist  consulting balst engineer
</t>
        </r>
      </text>
    </comment>
    <comment ref="G206" authorId="0">
      <text>
        <r>
          <rPr>
            <sz val="10"/>
            <color rgb="FF000000"/>
            <rFont val="Tahoma"/>
            <charset val="1"/>
          </rPr>
          <t xml:space="preserve">Based off Bob Adam - spent much of his career as a specialist  consulting balst engineer
</t>
        </r>
      </text>
    </comment>
    <comment ref="H206" authorId="0">
      <text>
        <r>
          <rPr>
            <sz val="10"/>
            <color rgb="FF000000"/>
            <rFont val="Tahoma"/>
            <charset val="1"/>
          </rPr>
          <t xml:space="preserve">Based off Bob Adam - spent much of his career as a specialist  consulting balst engineer
</t>
        </r>
      </text>
    </comment>
    <comment ref="I206" authorId="0">
      <text>
        <r>
          <rPr>
            <sz val="10"/>
            <color rgb="FF000000"/>
            <rFont val="Tahoma"/>
            <charset val="1"/>
          </rPr>
          <t xml:space="preserve">Based off Bob Adam - spent much of his career as a specialist  consulting balst engineer
</t>
        </r>
      </text>
    </comment>
    <comment ref="J206" authorId="0">
      <text>
        <r>
          <rPr>
            <sz val="10"/>
            <color rgb="FF000000"/>
            <rFont val="Tahoma"/>
            <charset val="1"/>
          </rPr>
          <t xml:space="preserve">Based off Bob Adam - spent much of his career as a specialist  consulting balst engineer
</t>
        </r>
      </text>
    </comment>
    <comment ref="K206" authorId="0">
      <text>
        <r>
          <rPr>
            <sz val="10"/>
            <color rgb="FF000000"/>
            <rFont val="Tahoma"/>
            <charset val="1"/>
          </rPr>
          <t xml:space="preserve">Based off Bob Adam - spent much of his career as a specialist  consulting balst engineer
</t>
        </r>
      </text>
    </comment>
    <comment ref="L206" authorId="0">
      <text>
        <r>
          <rPr>
            <sz val="10"/>
            <color rgb="FF000000"/>
            <rFont val="Tahoma"/>
            <charset val="1"/>
          </rPr>
          <t xml:space="preserve">Based off Bob Adam - spent much of his career as a specialist  consulting balst engineer
</t>
        </r>
      </text>
    </comment>
    <comment ref="M206" authorId="0">
      <text>
        <r>
          <rPr>
            <sz val="10"/>
            <color rgb="FF000000"/>
            <rFont val="Tahoma"/>
            <charset val="1"/>
          </rPr>
          <t xml:space="preserve">Based off Bob Adam - spent much of his career as a specialist  consulting balst engineer
</t>
        </r>
      </text>
    </comment>
    <comment ref="N206" authorId="0">
      <text>
        <r>
          <rPr>
            <sz val="10"/>
            <color rgb="FF000000"/>
            <rFont val="Tahoma"/>
            <charset val="1"/>
          </rPr>
          <t xml:space="preserve">Based off Bob Adam - spent much of his career as a specialist  consulting balst engineer
</t>
        </r>
      </text>
    </comment>
    <comment ref="O206" authorId="0">
      <text>
        <r>
          <rPr>
            <sz val="10"/>
            <color rgb="FF000000"/>
            <rFont val="Tahoma"/>
            <charset val="1"/>
          </rPr>
          <t xml:space="preserve">Based off Bob Adam - spent much of his career as a specialist  consulting balst engineer
</t>
        </r>
      </text>
    </comment>
    <comment ref="P206" authorId="0">
      <text>
        <r>
          <rPr>
            <sz val="10"/>
            <color rgb="FF000000"/>
            <rFont val="Tahoma"/>
            <charset val="1"/>
          </rPr>
          <t xml:space="preserve">Based off Bob Adam - spent much of his career as a specialist  consulting balst engineer
</t>
        </r>
      </text>
    </comment>
    <comment ref="Q206" authorId="0">
      <text>
        <r>
          <rPr>
            <sz val="10"/>
            <color rgb="FF000000"/>
            <rFont val="Tahoma"/>
            <charset val="1"/>
          </rPr>
          <t xml:space="preserve">Based off Bob Adam - spent much of his career as a specialist  consulting balst engineer
</t>
        </r>
      </text>
    </comment>
    <comment ref="R206" authorId="0">
      <text>
        <r>
          <rPr>
            <sz val="10"/>
            <color rgb="FF000000"/>
            <rFont val="Tahoma"/>
            <charset val="1"/>
          </rPr>
          <t xml:space="preserve">Based off Bob Adam - spent much of his career as a specialist  consulting balst engineer
</t>
        </r>
      </text>
    </comment>
    <comment ref="S206" authorId="0">
      <text>
        <r>
          <rPr>
            <sz val="10"/>
            <color rgb="FF000000"/>
            <rFont val="Tahoma"/>
            <charset val="1"/>
          </rPr>
          <t xml:space="preserve">Based off Bob Adam - spent much of his career as a specialist  consulting balst engineer
</t>
        </r>
      </text>
    </comment>
    <comment ref="T206" authorId="0">
      <text>
        <r>
          <rPr>
            <sz val="10"/>
            <color rgb="FF000000"/>
            <rFont val="Tahoma"/>
            <charset val="1"/>
          </rPr>
          <t xml:space="preserve">Based off Bob Adam - spent much of his career as a specialist  consulting balst engineer
</t>
        </r>
      </text>
    </comment>
    <comment ref="U206" authorId="0">
      <text>
        <r>
          <rPr>
            <sz val="10"/>
            <color rgb="FF000000"/>
            <rFont val="Tahoma"/>
            <charset val="1"/>
          </rPr>
          <t xml:space="preserve">Based off Bob Adam - spent much of his career as a specialist  consulting balst engineer
</t>
        </r>
      </text>
    </comment>
    <comment ref="V206" authorId="0">
      <text>
        <r>
          <rPr>
            <sz val="10"/>
            <color rgb="FF000000"/>
            <rFont val="Tahoma"/>
            <charset val="1"/>
          </rPr>
          <t xml:space="preserve">Based off Bob Adam - spent much of his career as a specialist  consulting balst engineer
</t>
        </r>
      </text>
    </comment>
    <comment ref="W206" authorId="0">
      <text>
        <r>
          <rPr>
            <sz val="10"/>
            <color rgb="FF000000"/>
            <rFont val="Tahoma"/>
            <charset val="1"/>
          </rPr>
          <t xml:space="preserve">Based off Bob Adam - spent much of his career as a specialist  consulting balst engineer
</t>
        </r>
      </text>
    </comment>
    <comment ref="C229" authorId="0">
      <text>
        <r>
          <rPr>
            <sz val="10"/>
            <color rgb="FF000000"/>
            <rFont val="Tahoma"/>
            <charset val="1"/>
          </rPr>
          <t xml:space="preserve">built on machine doing relatively free digging = 200 tph, halve or quarter this for more difficult or insitu material
</t>
        </r>
      </text>
    </comment>
    <comment ref="D229" authorId="0">
      <text>
        <r>
          <rPr>
            <sz val="10"/>
            <color rgb="FF000000"/>
            <rFont val="Tahoma"/>
            <charset val="1"/>
          </rPr>
          <t xml:space="preserve">built on machine doing relatively free digging = 200 tph, halve or quarter this for more difficult or insitu material
</t>
        </r>
      </text>
    </comment>
    <comment ref="E229" authorId="0">
      <text>
        <r>
          <rPr>
            <sz val="10"/>
            <color rgb="FF000000"/>
            <rFont val="Tahoma"/>
            <charset val="1"/>
          </rPr>
          <t xml:space="preserve">built on machine doing relatively free digging = 200 tph, halve or quarter this for more difficult or insitu material
</t>
        </r>
      </text>
    </comment>
    <comment ref="F229" authorId="0">
      <text>
        <r>
          <rPr>
            <sz val="10"/>
            <color rgb="FF000000"/>
            <rFont val="Tahoma"/>
            <charset val="1"/>
          </rPr>
          <t xml:space="preserve">built on machine doing relatively free digging = 200 tph, halve or quarter this for more difficult or insitu material
</t>
        </r>
      </text>
    </comment>
    <comment ref="G229" authorId="0">
      <text>
        <r>
          <rPr>
            <sz val="10"/>
            <color rgb="FF000000"/>
            <rFont val="Tahoma"/>
            <charset val="1"/>
          </rPr>
          <t xml:space="preserve">built on machine doing relatively free digging = 200 tph, halve or quarter this for more difficult or insitu material
</t>
        </r>
      </text>
    </comment>
    <comment ref="H229" authorId="0">
      <text>
        <r>
          <rPr>
            <sz val="10"/>
            <color rgb="FF000000"/>
            <rFont val="Tahoma"/>
            <charset val="1"/>
          </rPr>
          <t xml:space="preserve">built on machine doing relatively free digging = 200 tph, halve or quarter this for more difficult or insitu material
</t>
        </r>
      </text>
    </comment>
    <comment ref="I229" authorId="0">
      <text>
        <r>
          <rPr>
            <sz val="10"/>
            <color rgb="FF000000"/>
            <rFont val="Tahoma"/>
            <charset val="1"/>
          </rPr>
          <t xml:space="preserve">built on machine doing relatively free digging = 200 tph, halve or quarter this for more difficult or insitu material
</t>
        </r>
      </text>
    </comment>
    <comment ref="J229" authorId="0">
      <text>
        <r>
          <rPr>
            <sz val="10"/>
            <color rgb="FF000000"/>
            <rFont val="Tahoma"/>
            <charset val="1"/>
          </rPr>
          <t xml:space="preserve">built on machine doing relatively free digging = 200 tph, halve or quarter this for more difficult or insitu material
</t>
        </r>
      </text>
    </comment>
    <comment ref="K229" authorId="0">
      <text>
        <r>
          <rPr>
            <sz val="10"/>
            <color rgb="FF000000"/>
            <rFont val="Tahoma"/>
            <charset val="1"/>
          </rPr>
          <t xml:space="preserve">built on machine doing relatively free digging = 200 tph, halve or quarter this for more difficult or insitu material
</t>
        </r>
      </text>
    </comment>
    <comment ref="L229" authorId="0">
      <text>
        <r>
          <rPr>
            <sz val="10"/>
            <color rgb="FF000000"/>
            <rFont val="Tahoma"/>
            <charset val="1"/>
          </rPr>
          <t xml:space="preserve">built on machine doing relatively free digging = 200 tph, halve or quarter this for more difficult or insitu material
</t>
        </r>
      </text>
    </comment>
    <comment ref="M229" authorId="0">
      <text>
        <r>
          <rPr>
            <sz val="10"/>
            <color rgb="FF000000"/>
            <rFont val="Tahoma"/>
            <charset val="1"/>
          </rPr>
          <t xml:space="preserve">built on machine doing relatively free digging = 200 tph, halve or quarter this for more difficult or insitu material
</t>
        </r>
      </text>
    </comment>
    <comment ref="N229" authorId="0">
      <text>
        <r>
          <rPr>
            <sz val="10"/>
            <color rgb="FF000000"/>
            <rFont val="Tahoma"/>
            <charset val="1"/>
          </rPr>
          <t xml:space="preserve">built on machine doing relatively free digging = 200 tph, halve or quarter this for more difficult or insitu material
</t>
        </r>
      </text>
    </comment>
    <comment ref="O229" authorId="0">
      <text>
        <r>
          <rPr>
            <sz val="10"/>
            <color rgb="FF000000"/>
            <rFont val="Tahoma"/>
            <charset val="1"/>
          </rPr>
          <t xml:space="preserve">built on machine doing relatively free digging = 200 tph, halve or quarter this for more difficult or insitu material
</t>
        </r>
      </text>
    </comment>
    <comment ref="P229" authorId="0">
      <text>
        <r>
          <rPr>
            <sz val="10"/>
            <color rgb="FF000000"/>
            <rFont val="Tahoma"/>
            <charset val="1"/>
          </rPr>
          <t xml:space="preserve">built on machine doing relatively free digging = 200 tph, halve or quarter this for more difficult or insitu material
</t>
        </r>
      </text>
    </comment>
    <comment ref="Q229" authorId="0">
      <text>
        <r>
          <rPr>
            <sz val="10"/>
            <color rgb="FF000000"/>
            <rFont val="Tahoma"/>
            <charset val="1"/>
          </rPr>
          <t xml:space="preserve">built on machine doing relatively free digging = 200 tph, halve or quarter this for more difficult or insitu material
</t>
        </r>
      </text>
    </comment>
    <comment ref="R229" authorId="0">
      <text>
        <r>
          <rPr>
            <sz val="10"/>
            <color rgb="FF000000"/>
            <rFont val="Tahoma"/>
            <charset val="1"/>
          </rPr>
          <t xml:space="preserve">built on machine doing relatively free digging = 200 tph, halve or quarter this for more difficult or insitu material
</t>
        </r>
      </text>
    </comment>
    <comment ref="S229" authorId="0">
      <text>
        <r>
          <rPr>
            <sz val="10"/>
            <color rgb="FF000000"/>
            <rFont val="Tahoma"/>
            <charset val="1"/>
          </rPr>
          <t xml:space="preserve">built on machine doing relatively free digging = 200 tph, halve or quarter this for more difficult or insitu material
</t>
        </r>
      </text>
    </comment>
    <comment ref="T229" authorId="0">
      <text>
        <r>
          <rPr>
            <sz val="10"/>
            <color rgb="FF000000"/>
            <rFont val="Tahoma"/>
            <charset val="1"/>
          </rPr>
          <t xml:space="preserve">built on machine doing relatively free digging = 200 tph, halve or quarter this for more difficult or insitu material
</t>
        </r>
      </text>
    </comment>
    <comment ref="U229" authorId="0">
      <text>
        <r>
          <rPr>
            <sz val="10"/>
            <color rgb="FF000000"/>
            <rFont val="Tahoma"/>
            <charset val="1"/>
          </rPr>
          <t xml:space="preserve">built on machine doing relatively free digging = 200 tph, halve or quarter this for more difficult or insitu material
</t>
        </r>
      </text>
    </comment>
    <comment ref="V229" authorId="0">
      <text>
        <r>
          <rPr>
            <sz val="10"/>
            <color rgb="FF000000"/>
            <rFont val="Tahoma"/>
            <charset val="1"/>
          </rPr>
          <t xml:space="preserve">built on machine doing relatively free digging = 200 tph, halve or quarter this for more difficult or insitu material
</t>
        </r>
      </text>
    </comment>
    <comment ref="W229" authorId="0">
      <text>
        <r>
          <rPr>
            <sz val="10"/>
            <color rgb="FF000000"/>
            <rFont val="Tahoma"/>
            <charset val="1"/>
          </rPr>
          <t xml:space="preserve">built on machine doing relatively free digging = 200 tph, halve or quarter this for more difficult or insitu material
</t>
        </r>
      </text>
    </comment>
    <comment ref="C231" authorId="0">
      <text>
        <r>
          <rPr>
            <sz val="10"/>
            <color rgb="FF000000"/>
            <rFont val="Tahoma"/>
            <charset val="1"/>
          </rPr>
          <t xml:space="preserve">data from Wirtgen
</t>
        </r>
      </text>
    </comment>
    <comment ref="D231" authorId="0">
      <text>
        <r>
          <rPr>
            <sz val="10"/>
            <color rgb="FF000000"/>
            <rFont val="Tahoma"/>
            <charset val="1"/>
          </rPr>
          <t xml:space="preserve">data from Wirtgen
</t>
        </r>
      </text>
    </comment>
    <comment ref="E231" authorId="0">
      <text>
        <r>
          <rPr>
            <sz val="10"/>
            <color rgb="FF000000"/>
            <rFont val="Tahoma"/>
            <charset val="1"/>
          </rPr>
          <t xml:space="preserve">data from Wirtgen
</t>
        </r>
      </text>
    </comment>
    <comment ref="F231" authorId="0">
      <text>
        <r>
          <rPr>
            <sz val="10"/>
            <color rgb="FF000000"/>
            <rFont val="Tahoma"/>
            <charset val="1"/>
          </rPr>
          <t xml:space="preserve">data from Wirtgen
</t>
        </r>
      </text>
    </comment>
    <comment ref="G231" authorId="0">
      <text>
        <r>
          <rPr>
            <sz val="10"/>
            <color rgb="FF000000"/>
            <rFont val="Tahoma"/>
            <charset val="1"/>
          </rPr>
          <t xml:space="preserve">data from Wirtgen
</t>
        </r>
      </text>
    </comment>
    <comment ref="H231" authorId="0">
      <text>
        <r>
          <rPr>
            <sz val="10"/>
            <color rgb="FF000000"/>
            <rFont val="Tahoma"/>
            <charset val="1"/>
          </rPr>
          <t xml:space="preserve">data from Wirtgen
</t>
        </r>
      </text>
    </comment>
    <comment ref="I231" authorId="0">
      <text>
        <r>
          <rPr>
            <sz val="10"/>
            <color rgb="FF000000"/>
            <rFont val="Tahoma"/>
            <charset val="1"/>
          </rPr>
          <t xml:space="preserve">data from Wirtgen
</t>
        </r>
      </text>
    </comment>
    <comment ref="J231" authorId="0">
      <text>
        <r>
          <rPr>
            <sz val="10"/>
            <color rgb="FF000000"/>
            <rFont val="Tahoma"/>
            <charset val="1"/>
          </rPr>
          <t xml:space="preserve">data from Wirtgen
</t>
        </r>
      </text>
    </comment>
    <comment ref="K231" authorId="0">
      <text>
        <r>
          <rPr>
            <sz val="10"/>
            <color rgb="FF000000"/>
            <rFont val="Tahoma"/>
            <charset val="1"/>
          </rPr>
          <t xml:space="preserve">data from Wirtgen
</t>
        </r>
      </text>
    </comment>
    <comment ref="L231" authorId="0">
      <text>
        <r>
          <rPr>
            <sz val="10"/>
            <color rgb="FF000000"/>
            <rFont val="Tahoma"/>
            <charset val="1"/>
          </rPr>
          <t xml:space="preserve">data from Wirtgen
</t>
        </r>
      </text>
    </comment>
    <comment ref="M231" authorId="0">
      <text>
        <r>
          <rPr>
            <sz val="10"/>
            <color rgb="FF000000"/>
            <rFont val="Tahoma"/>
            <charset val="1"/>
          </rPr>
          <t xml:space="preserve">data from Wirtgen
</t>
        </r>
      </text>
    </comment>
    <comment ref="N231" authorId="0">
      <text>
        <r>
          <rPr>
            <sz val="10"/>
            <color rgb="FF000000"/>
            <rFont val="Tahoma"/>
            <charset val="1"/>
          </rPr>
          <t xml:space="preserve">data from Wirtgen
</t>
        </r>
      </text>
    </comment>
    <comment ref="O231" authorId="0">
      <text>
        <r>
          <rPr>
            <sz val="10"/>
            <color rgb="FF000000"/>
            <rFont val="Tahoma"/>
            <charset val="1"/>
          </rPr>
          <t xml:space="preserve">data from Wirtgen
</t>
        </r>
      </text>
    </comment>
    <comment ref="P231" authorId="0">
      <text>
        <r>
          <rPr>
            <sz val="10"/>
            <color rgb="FF000000"/>
            <rFont val="Tahoma"/>
            <charset val="1"/>
          </rPr>
          <t xml:space="preserve">data from Wirtgen
</t>
        </r>
      </text>
    </comment>
    <comment ref="Q231" authorId="0">
      <text>
        <r>
          <rPr>
            <sz val="10"/>
            <color rgb="FF000000"/>
            <rFont val="Tahoma"/>
            <charset val="1"/>
          </rPr>
          <t xml:space="preserve">data from Wirtgen
</t>
        </r>
      </text>
    </comment>
    <comment ref="R231" authorId="0">
      <text>
        <r>
          <rPr>
            <sz val="10"/>
            <color rgb="FF000000"/>
            <rFont val="Tahoma"/>
            <charset val="1"/>
          </rPr>
          <t xml:space="preserve">data from Wirtgen
</t>
        </r>
      </text>
    </comment>
    <comment ref="S231" authorId="0">
      <text>
        <r>
          <rPr>
            <sz val="10"/>
            <color rgb="FF000000"/>
            <rFont val="Tahoma"/>
            <charset val="1"/>
          </rPr>
          <t xml:space="preserve">data from Wirtgen
</t>
        </r>
      </text>
    </comment>
    <comment ref="T231" authorId="0">
      <text>
        <r>
          <rPr>
            <sz val="10"/>
            <color rgb="FF000000"/>
            <rFont val="Tahoma"/>
            <charset val="1"/>
          </rPr>
          <t xml:space="preserve">data from Wirtgen
</t>
        </r>
      </text>
    </comment>
    <comment ref="U231" authorId="0">
      <text>
        <r>
          <rPr>
            <sz val="10"/>
            <color rgb="FF000000"/>
            <rFont val="Tahoma"/>
            <charset val="1"/>
          </rPr>
          <t xml:space="preserve">data from Wirtgen
</t>
        </r>
      </text>
    </comment>
    <comment ref="V231" authorId="0">
      <text>
        <r>
          <rPr>
            <sz val="10"/>
            <color rgb="FF000000"/>
            <rFont val="Tahoma"/>
            <charset val="1"/>
          </rPr>
          <t xml:space="preserve">data from Wirtgen
</t>
        </r>
      </text>
    </comment>
    <comment ref="W231" authorId="0">
      <text>
        <r>
          <rPr>
            <sz val="10"/>
            <color rgb="FF000000"/>
            <rFont val="Tahoma"/>
            <charset val="1"/>
          </rPr>
          <t xml:space="preserve">data from Wirtgen
</t>
        </r>
      </text>
    </comment>
    <comment ref="C232" authorId="0">
      <text>
        <r>
          <rPr>
            <sz val="10"/>
            <color rgb="FF000000"/>
            <rFont val="Tahoma"/>
            <charset val="1"/>
          </rPr>
          <t>2 on ground plus tending crew (2) and mtce crew allowance (2)</t>
        </r>
      </text>
    </comment>
    <comment ref="D232" authorId="0">
      <text>
        <r>
          <rPr>
            <sz val="10"/>
            <color rgb="FF000000"/>
            <rFont val="Tahoma"/>
            <charset val="1"/>
          </rPr>
          <t>2 on ground plus tending crew (2) and mtce crew allowance (2)</t>
        </r>
      </text>
    </comment>
    <comment ref="E232" authorId="0">
      <text>
        <r>
          <rPr>
            <sz val="10"/>
            <color rgb="FF000000"/>
            <rFont val="Tahoma"/>
            <charset val="1"/>
          </rPr>
          <t>2 on ground plus tending crew (2) and mtce crew allowance (2)</t>
        </r>
      </text>
    </comment>
    <comment ref="F232" authorId="0">
      <text>
        <r>
          <rPr>
            <sz val="10"/>
            <color rgb="FF000000"/>
            <rFont val="Tahoma"/>
            <charset val="1"/>
          </rPr>
          <t>2 on ground plus tending crew (2) and mtce crew allowance (2)</t>
        </r>
      </text>
    </comment>
    <comment ref="G232" authorId="0">
      <text>
        <r>
          <rPr>
            <sz val="10"/>
            <color rgb="FF000000"/>
            <rFont val="Tahoma"/>
            <charset val="1"/>
          </rPr>
          <t>2 on ground plus tending crew (2) and mtce crew allowance (2)</t>
        </r>
      </text>
    </comment>
    <comment ref="H232" authorId="0">
      <text>
        <r>
          <rPr>
            <sz val="10"/>
            <color rgb="FF000000"/>
            <rFont val="Tahoma"/>
            <charset val="1"/>
          </rPr>
          <t>2 on ground plus tending crew (2) and mtce crew allowance (2)</t>
        </r>
      </text>
    </comment>
    <comment ref="I232" authorId="0">
      <text>
        <r>
          <rPr>
            <sz val="10"/>
            <color rgb="FF000000"/>
            <rFont val="Tahoma"/>
            <charset val="1"/>
          </rPr>
          <t>2 on ground plus tending crew (2) and mtce crew allowance (2)</t>
        </r>
      </text>
    </comment>
    <comment ref="J232" authorId="0">
      <text>
        <r>
          <rPr>
            <sz val="10"/>
            <color rgb="FF000000"/>
            <rFont val="Tahoma"/>
            <charset val="1"/>
          </rPr>
          <t>2 on ground plus tending crew (2) and mtce crew allowance (2)</t>
        </r>
      </text>
    </comment>
    <comment ref="K232" authorId="0">
      <text>
        <r>
          <rPr>
            <sz val="10"/>
            <color rgb="FF000000"/>
            <rFont val="Tahoma"/>
            <charset val="1"/>
          </rPr>
          <t>2 on ground plus tending crew (2) and mtce crew allowance (2)</t>
        </r>
      </text>
    </comment>
    <comment ref="L232" authorId="0">
      <text>
        <r>
          <rPr>
            <sz val="10"/>
            <color rgb="FF000000"/>
            <rFont val="Tahoma"/>
            <charset val="1"/>
          </rPr>
          <t>2 on ground plus tending crew (2) and mtce crew allowance (2)</t>
        </r>
      </text>
    </comment>
    <comment ref="M232" authorId="0">
      <text>
        <r>
          <rPr>
            <sz val="10"/>
            <color rgb="FF000000"/>
            <rFont val="Tahoma"/>
            <charset val="1"/>
          </rPr>
          <t>2 on ground plus tending crew (2) and mtce crew allowance (2)</t>
        </r>
      </text>
    </comment>
    <comment ref="N232" authorId="0">
      <text>
        <r>
          <rPr>
            <sz val="10"/>
            <color rgb="FF000000"/>
            <rFont val="Tahoma"/>
            <charset val="1"/>
          </rPr>
          <t>2 on ground plus tending crew (2) and mtce crew allowance (2)</t>
        </r>
      </text>
    </comment>
    <comment ref="O232" authorId="0">
      <text>
        <r>
          <rPr>
            <sz val="10"/>
            <color rgb="FF000000"/>
            <rFont val="Tahoma"/>
            <charset val="1"/>
          </rPr>
          <t>2 on ground plus tending crew (2) and mtce crew allowance (2)</t>
        </r>
      </text>
    </comment>
    <comment ref="P232" authorId="0">
      <text>
        <r>
          <rPr>
            <sz val="10"/>
            <color rgb="FF000000"/>
            <rFont val="Tahoma"/>
            <charset val="1"/>
          </rPr>
          <t>2 on ground plus tending crew (2) and mtce crew allowance (2)</t>
        </r>
      </text>
    </comment>
    <comment ref="Q232" authorId="0">
      <text>
        <r>
          <rPr>
            <sz val="10"/>
            <color rgb="FF000000"/>
            <rFont val="Tahoma"/>
            <charset val="1"/>
          </rPr>
          <t>2 on ground plus tending crew (2) and mtce crew allowance (2)</t>
        </r>
      </text>
    </comment>
    <comment ref="R232" authorId="0">
      <text>
        <r>
          <rPr>
            <sz val="10"/>
            <color rgb="FF000000"/>
            <rFont val="Tahoma"/>
            <charset val="1"/>
          </rPr>
          <t>2 on ground plus tending crew (2) and mtce crew allowance (2)</t>
        </r>
      </text>
    </comment>
    <comment ref="S232" authorId="0">
      <text>
        <r>
          <rPr>
            <sz val="10"/>
            <color rgb="FF000000"/>
            <rFont val="Tahoma"/>
            <charset val="1"/>
          </rPr>
          <t>2 on ground plus tending crew (2) and mtce crew allowance (2)</t>
        </r>
      </text>
    </comment>
    <comment ref="T232" authorId="0">
      <text>
        <r>
          <rPr>
            <sz val="10"/>
            <color rgb="FF000000"/>
            <rFont val="Tahoma"/>
            <charset val="1"/>
          </rPr>
          <t>2 on ground plus tending crew (2) and mtce crew allowance (2)</t>
        </r>
      </text>
    </comment>
    <comment ref="U232" authorId="0">
      <text>
        <r>
          <rPr>
            <sz val="10"/>
            <color rgb="FF000000"/>
            <rFont val="Tahoma"/>
            <charset val="1"/>
          </rPr>
          <t>2 on ground plus tending crew (2) and mtce crew allowance (2)</t>
        </r>
      </text>
    </comment>
    <comment ref="V232" authorId="0">
      <text>
        <r>
          <rPr>
            <sz val="10"/>
            <color rgb="FF000000"/>
            <rFont val="Tahoma"/>
            <charset val="1"/>
          </rPr>
          <t>2 on ground plus tending crew (2) and mtce crew allowance (2)</t>
        </r>
      </text>
    </comment>
    <comment ref="W232" authorId="0">
      <text>
        <r>
          <rPr>
            <sz val="10"/>
            <color rgb="FF000000"/>
            <rFont val="Tahoma"/>
            <charset val="1"/>
          </rPr>
          <t>2 on ground plus tending crew (2) and mtce crew allowance (2)</t>
        </r>
      </text>
    </comment>
    <comment ref="C233" authorId="0">
      <text>
        <r>
          <rPr>
            <sz val="10"/>
            <color rgb="FF000000"/>
            <rFont val="Tahoma"/>
            <charset val="1"/>
          </rPr>
          <t xml:space="preserve">Wirtgen supplied data at 650 tph converted from euros to US$ and then to a per wmt rate
</t>
        </r>
      </text>
    </comment>
    <comment ref="D233" authorId="0">
      <text>
        <r>
          <rPr>
            <sz val="10"/>
            <color rgb="FF000000"/>
            <rFont val="Tahoma"/>
            <charset val="1"/>
          </rPr>
          <t xml:space="preserve">Wirtgen supplied data at 650 tph converted from euros to US$ and then to a per wmt rate
</t>
        </r>
      </text>
    </comment>
    <comment ref="E233" authorId="0">
      <text>
        <r>
          <rPr>
            <sz val="10"/>
            <color rgb="FF000000"/>
            <rFont val="Tahoma"/>
            <charset val="1"/>
          </rPr>
          <t xml:space="preserve">Wirtgen supplied data at 650 tph converted from euros to US$ and then to a per wmt rate
</t>
        </r>
      </text>
    </comment>
    <comment ref="F233" authorId="0">
      <text>
        <r>
          <rPr>
            <sz val="10"/>
            <color rgb="FF000000"/>
            <rFont val="Tahoma"/>
            <charset val="1"/>
          </rPr>
          <t xml:space="preserve">Wirtgen supplied data at 650 tph converted from euros to US$ and then to a per wmt rate
</t>
        </r>
      </text>
    </comment>
    <comment ref="G233" authorId="0">
      <text>
        <r>
          <rPr>
            <sz val="10"/>
            <color rgb="FF000000"/>
            <rFont val="Tahoma"/>
            <charset val="1"/>
          </rPr>
          <t xml:space="preserve">Wirtgen supplied data at 650 tph converted from euros to US$ and then to a per wmt rate
</t>
        </r>
      </text>
    </comment>
    <comment ref="H233" authorId="0">
      <text>
        <r>
          <rPr>
            <sz val="10"/>
            <color rgb="FF000000"/>
            <rFont val="Tahoma"/>
            <charset val="1"/>
          </rPr>
          <t xml:space="preserve">Wirtgen supplied data at 650 tph converted from euros to US$ and then to a per wmt rate
</t>
        </r>
      </text>
    </comment>
    <comment ref="I233" authorId="0">
      <text>
        <r>
          <rPr>
            <sz val="10"/>
            <color rgb="FF000000"/>
            <rFont val="Tahoma"/>
            <charset val="1"/>
          </rPr>
          <t xml:space="preserve">Wirtgen supplied data at 650 tph converted from euros to US$ and then to a per wmt rate
</t>
        </r>
      </text>
    </comment>
    <comment ref="J233" authorId="0">
      <text>
        <r>
          <rPr>
            <sz val="10"/>
            <color rgb="FF000000"/>
            <rFont val="Tahoma"/>
            <charset val="1"/>
          </rPr>
          <t xml:space="preserve">Wirtgen supplied data at 650 tph converted from euros to US$ and then to a per wmt rate
</t>
        </r>
      </text>
    </comment>
    <comment ref="K233" authorId="0">
      <text>
        <r>
          <rPr>
            <sz val="10"/>
            <color rgb="FF000000"/>
            <rFont val="Tahoma"/>
            <charset val="1"/>
          </rPr>
          <t xml:space="preserve">Wirtgen supplied data at 650 tph converted from euros to US$ and then to a per wmt rate
</t>
        </r>
      </text>
    </comment>
    <comment ref="L233" authorId="0">
      <text>
        <r>
          <rPr>
            <sz val="10"/>
            <color rgb="FF000000"/>
            <rFont val="Tahoma"/>
            <charset val="1"/>
          </rPr>
          <t xml:space="preserve">Wirtgen supplied data at 650 tph converted from euros to US$ and then to a per wmt rate
</t>
        </r>
      </text>
    </comment>
    <comment ref="M233" authorId="0">
      <text>
        <r>
          <rPr>
            <sz val="10"/>
            <color rgb="FF000000"/>
            <rFont val="Tahoma"/>
            <charset val="1"/>
          </rPr>
          <t xml:space="preserve">Wirtgen supplied data at 650 tph converted from euros to US$ and then to a per wmt rate
</t>
        </r>
      </text>
    </comment>
    <comment ref="N233" authorId="0">
      <text>
        <r>
          <rPr>
            <sz val="10"/>
            <color rgb="FF000000"/>
            <rFont val="Tahoma"/>
            <charset val="1"/>
          </rPr>
          <t xml:space="preserve">Wirtgen supplied data at 650 tph converted from euros to US$ and then to a per wmt rate
</t>
        </r>
      </text>
    </comment>
    <comment ref="O233" authorId="0">
      <text>
        <r>
          <rPr>
            <sz val="10"/>
            <color rgb="FF000000"/>
            <rFont val="Tahoma"/>
            <charset val="1"/>
          </rPr>
          <t xml:space="preserve">Wirtgen supplied data at 650 tph converted from euros to US$ and then to a per wmt rate
</t>
        </r>
      </text>
    </comment>
    <comment ref="P233" authorId="0">
      <text>
        <r>
          <rPr>
            <sz val="10"/>
            <color rgb="FF000000"/>
            <rFont val="Tahoma"/>
            <charset val="1"/>
          </rPr>
          <t xml:space="preserve">Wirtgen supplied data at 650 tph converted from euros to US$ and then to a per wmt rate
</t>
        </r>
      </text>
    </comment>
    <comment ref="Q233" authorId="0">
      <text>
        <r>
          <rPr>
            <sz val="10"/>
            <color rgb="FF000000"/>
            <rFont val="Tahoma"/>
            <charset val="1"/>
          </rPr>
          <t xml:space="preserve">Wirtgen supplied data at 650 tph converted from euros to US$ and then to a per wmt rate
</t>
        </r>
      </text>
    </comment>
    <comment ref="R233" authorId="0">
      <text>
        <r>
          <rPr>
            <sz val="10"/>
            <color rgb="FF000000"/>
            <rFont val="Tahoma"/>
            <charset val="1"/>
          </rPr>
          <t xml:space="preserve">Wirtgen supplied data at 650 tph converted from euros to US$ and then to a per wmt rate
</t>
        </r>
      </text>
    </comment>
    <comment ref="S233" authorId="0">
      <text>
        <r>
          <rPr>
            <sz val="10"/>
            <color rgb="FF000000"/>
            <rFont val="Tahoma"/>
            <charset val="1"/>
          </rPr>
          <t xml:space="preserve">Wirtgen supplied data at 650 tph converted from euros to US$ and then to a per wmt rate
</t>
        </r>
      </text>
    </comment>
    <comment ref="T233" authorId="0">
      <text>
        <r>
          <rPr>
            <sz val="10"/>
            <color rgb="FF000000"/>
            <rFont val="Tahoma"/>
            <charset val="1"/>
          </rPr>
          <t xml:space="preserve">Wirtgen supplied data at 650 tph converted from euros to US$ and then to a per wmt rate
</t>
        </r>
      </text>
    </comment>
    <comment ref="U233" authorId="0">
      <text>
        <r>
          <rPr>
            <sz val="10"/>
            <color rgb="FF000000"/>
            <rFont val="Tahoma"/>
            <charset val="1"/>
          </rPr>
          <t xml:space="preserve">Wirtgen supplied data at 650 tph converted from euros to US$ and then to a per wmt rate
</t>
        </r>
      </text>
    </comment>
    <comment ref="V233" authorId="0">
      <text>
        <r>
          <rPr>
            <sz val="10"/>
            <color rgb="FF000000"/>
            <rFont val="Tahoma"/>
            <charset val="1"/>
          </rPr>
          <t xml:space="preserve">Wirtgen supplied data at 650 tph converted from euros to US$ and then to a per wmt rate
</t>
        </r>
      </text>
    </comment>
    <comment ref="W233" authorId="0">
      <text>
        <r>
          <rPr>
            <sz val="10"/>
            <color rgb="FF000000"/>
            <rFont val="Tahoma"/>
            <charset val="1"/>
          </rPr>
          <t xml:space="preserve">Wirtgen supplied data at 650 tph converted from euros to US$ and then to a per wmt rate
</t>
        </r>
      </text>
    </comment>
    <comment ref="C251" authorId="0">
      <text>
        <r>
          <rPr>
            <sz val="10"/>
            <color rgb="FF000000"/>
            <rFont val="Tahoma"/>
            <charset val="1"/>
          </rPr>
          <t>tuned roughly to Henan Chine trip data</t>
        </r>
      </text>
    </comment>
    <comment ref="D251" authorId="0">
      <text>
        <r>
          <rPr>
            <sz val="10"/>
            <color rgb="FF000000"/>
            <rFont val="Tahoma"/>
            <charset val="1"/>
          </rPr>
          <t>tuned roughly to Henan Chine trip data</t>
        </r>
      </text>
    </comment>
    <comment ref="E251" authorId="0">
      <text>
        <r>
          <rPr>
            <sz val="10"/>
            <color rgb="FF000000"/>
            <rFont val="Tahoma"/>
            <charset val="1"/>
          </rPr>
          <t>tuned roughly to Henan Chine trip data</t>
        </r>
      </text>
    </comment>
    <comment ref="F251" authorId="0">
      <text>
        <r>
          <rPr>
            <sz val="10"/>
            <color rgb="FF000000"/>
            <rFont val="Tahoma"/>
            <charset val="1"/>
          </rPr>
          <t>tuned roughly to Henan Chine trip data</t>
        </r>
      </text>
    </comment>
    <comment ref="G251" authorId="0">
      <text>
        <r>
          <rPr>
            <sz val="10"/>
            <color rgb="FF000000"/>
            <rFont val="Tahoma"/>
            <charset val="1"/>
          </rPr>
          <t>tuned roughly to Henan Chine trip data</t>
        </r>
      </text>
    </comment>
    <comment ref="H251" authorId="0">
      <text>
        <r>
          <rPr>
            <sz val="10"/>
            <color rgb="FF000000"/>
            <rFont val="Tahoma"/>
            <charset val="1"/>
          </rPr>
          <t>tuned roughly to Henan Chine trip data</t>
        </r>
      </text>
    </comment>
    <comment ref="I251" authorId="0">
      <text>
        <r>
          <rPr>
            <sz val="10"/>
            <color rgb="FF000000"/>
            <rFont val="Tahoma"/>
            <charset val="1"/>
          </rPr>
          <t>tuned roughly to Henan Chine trip data</t>
        </r>
      </text>
    </comment>
    <comment ref="J251" authorId="0">
      <text>
        <r>
          <rPr>
            <sz val="10"/>
            <color rgb="FF000000"/>
            <rFont val="Tahoma"/>
            <charset val="1"/>
          </rPr>
          <t>tuned roughly to Henan Chine trip data</t>
        </r>
      </text>
    </comment>
    <comment ref="K251" authorId="0">
      <text>
        <r>
          <rPr>
            <sz val="10"/>
            <color rgb="FF000000"/>
            <rFont val="Tahoma"/>
            <charset val="1"/>
          </rPr>
          <t>tuned roughly to Henan Chine trip data</t>
        </r>
      </text>
    </comment>
    <comment ref="L251" authorId="0">
      <text>
        <r>
          <rPr>
            <sz val="10"/>
            <color rgb="FF000000"/>
            <rFont val="Tahoma"/>
            <charset val="1"/>
          </rPr>
          <t>tuned roughly to Henan Chine trip data</t>
        </r>
      </text>
    </comment>
    <comment ref="M251" authorId="0">
      <text>
        <r>
          <rPr>
            <sz val="10"/>
            <color rgb="FF000000"/>
            <rFont val="Tahoma"/>
            <charset val="1"/>
          </rPr>
          <t>tuned roughly to Henan Chine trip data</t>
        </r>
      </text>
    </comment>
    <comment ref="N251" authorId="0">
      <text>
        <r>
          <rPr>
            <sz val="10"/>
            <color rgb="FF000000"/>
            <rFont val="Tahoma"/>
            <charset val="1"/>
          </rPr>
          <t>tuned roughly to Henan Chine trip data</t>
        </r>
      </text>
    </comment>
    <comment ref="O251" authorId="0">
      <text>
        <r>
          <rPr>
            <sz val="10"/>
            <color rgb="FF000000"/>
            <rFont val="Tahoma"/>
            <charset val="1"/>
          </rPr>
          <t>tuned roughly to Henan Chine trip data</t>
        </r>
      </text>
    </comment>
    <comment ref="P251" authorId="0">
      <text>
        <r>
          <rPr>
            <sz val="10"/>
            <color rgb="FF000000"/>
            <rFont val="Tahoma"/>
            <charset val="1"/>
          </rPr>
          <t>tuned roughly to Henan Chine trip data</t>
        </r>
      </text>
    </comment>
    <comment ref="Q251" authorId="0">
      <text>
        <r>
          <rPr>
            <sz val="10"/>
            <color rgb="FF000000"/>
            <rFont val="Tahoma"/>
            <charset val="1"/>
          </rPr>
          <t>tuned roughly to Henan Chine trip data</t>
        </r>
      </text>
    </comment>
    <comment ref="R251" authorId="0">
      <text>
        <r>
          <rPr>
            <sz val="10"/>
            <color rgb="FF000000"/>
            <rFont val="Tahoma"/>
            <charset val="1"/>
          </rPr>
          <t>tuned roughly to Henan Chine trip data</t>
        </r>
      </text>
    </comment>
    <comment ref="S251" authorId="0">
      <text>
        <r>
          <rPr>
            <sz val="10"/>
            <color rgb="FF000000"/>
            <rFont val="Tahoma"/>
            <charset val="1"/>
          </rPr>
          <t>tuned roughly to Henan Chine trip data</t>
        </r>
      </text>
    </comment>
    <comment ref="T251" authorId="0">
      <text>
        <r>
          <rPr>
            <sz val="10"/>
            <color rgb="FF000000"/>
            <rFont val="Tahoma"/>
            <charset val="1"/>
          </rPr>
          <t>tuned roughly to Henan Chine trip data</t>
        </r>
      </text>
    </comment>
    <comment ref="U251" authorId="0">
      <text>
        <r>
          <rPr>
            <sz val="10"/>
            <color rgb="FF000000"/>
            <rFont val="Tahoma"/>
            <charset val="1"/>
          </rPr>
          <t>tuned roughly to Henan Chine trip data</t>
        </r>
      </text>
    </comment>
    <comment ref="V251" authorId="0">
      <text>
        <r>
          <rPr>
            <sz val="10"/>
            <color rgb="FF000000"/>
            <rFont val="Tahoma"/>
            <charset val="1"/>
          </rPr>
          <t>tuned roughly to Henan Chine trip data</t>
        </r>
      </text>
    </comment>
    <comment ref="W251" authorId="0">
      <text>
        <r>
          <rPr>
            <sz val="10"/>
            <color rgb="FF000000"/>
            <rFont val="Tahoma"/>
            <charset val="1"/>
          </rPr>
          <t>tuned roughly to Henan Chine trip data</t>
        </r>
      </text>
    </comment>
    <comment ref="C252" authorId="0">
      <text>
        <r>
          <rPr>
            <sz val="10"/>
            <color rgb="FF000000"/>
            <rFont val="Calibri"/>
            <charset val="1"/>
          </rPr>
          <t xml:space="preserve">Baes off India bx truck data &amp; Guidelines for Measuring and Managing CO2 Emission from Freight Transport Operations </t>
        </r>
      </text>
    </comment>
    <comment ref="D252" authorId="0">
      <text>
        <r>
          <rPr>
            <sz val="10"/>
            <color rgb="FF000000"/>
            <rFont val="Calibri"/>
            <charset val="1"/>
          </rPr>
          <t xml:space="preserve">Baes off India bx truck data &amp; Guidelines for Measuring and Managing CO2 Emission from Freight Transport Operations </t>
        </r>
      </text>
    </comment>
    <comment ref="E252" authorId="0">
      <text>
        <r>
          <rPr>
            <sz val="10"/>
            <color rgb="FF000000"/>
            <rFont val="Calibri"/>
            <charset val="1"/>
          </rPr>
          <t xml:space="preserve">Baes off India bx truck data &amp; Guidelines for Measuring and Managing CO2 Emission from Freight Transport Operations </t>
        </r>
      </text>
    </comment>
    <comment ref="F252" authorId="0">
      <text>
        <r>
          <rPr>
            <sz val="10"/>
            <color rgb="FF000000"/>
            <rFont val="Calibri"/>
            <charset val="1"/>
          </rPr>
          <t xml:space="preserve">Baes off India bx truck data &amp; Guidelines for Measuring and Managing CO2 Emission from Freight Transport Operations </t>
        </r>
      </text>
    </comment>
    <comment ref="G252" authorId="0">
      <text>
        <r>
          <rPr>
            <sz val="10"/>
            <color rgb="FF000000"/>
            <rFont val="Calibri"/>
            <charset val="1"/>
          </rPr>
          <t xml:space="preserve">Baes off India bx truck data &amp; Guidelines for Measuring and Managing CO2 Emission from Freight Transport Operations </t>
        </r>
      </text>
    </comment>
    <comment ref="H252" authorId="0">
      <text>
        <r>
          <rPr>
            <sz val="10"/>
            <color rgb="FF000000"/>
            <rFont val="Calibri"/>
            <charset val="1"/>
          </rPr>
          <t xml:space="preserve">Baes off India bx truck data &amp; Guidelines for Measuring and Managing CO2 Emission from Freight Transport Operations </t>
        </r>
      </text>
    </comment>
    <comment ref="I252" authorId="0">
      <text>
        <r>
          <rPr>
            <sz val="10"/>
            <color rgb="FF000000"/>
            <rFont val="Calibri"/>
            <charset val="1"/>
          </rPr>
          <t xml:space="preserve">Baes off India bx truck data &amp; Guidelines for Measuring and Managing CO2 Emission from Freight Transport Operations </t>
        </r>
      </text>
    </comment>
    <comment ref="J252" authorId="0">
      <text>
        <r>
          <rPr>
            <sz val="10"/>
            <color rgb="FF000000"/>
            <rFont val="Calibri"/>
            <charset val="1"/>
          </rPr>
          <t xml:space="preserve">Baes off India bx truck data &amp; Guidelines for Measuring and Managing CO2 Emission from Freight Transport Operations </t>
        </r>
      </text>
    </comment>
    <comment ref="K252" authorId="0">
      <text>
        <r>
          <rPr>
            <sz val="10"/>
            <color rgb="FF000000"/>
            <rFont val="Calibri"/>
            <charset val="1"/>
          </rPr>
          <t xml:space="preserve">Baes off India bx truck data &amp; Guidelines for Measuring and Managing CO2 Emission from Freight Transport Operations </t>
        </r>
      </text>
    </comment>
    <comment ref="L252" authorId="0">
      <text>
        <r>
          <rPr>
            <sz val="10"/>
            <color rgb="FF000000"/>
            <rFont val="Calibri"/>
            <charset val="1"/>
          </rPr>
          <t xml:space="preserve">Baes off India bx truck data &amp; Guidelines for Measuring and Managing CO2 Emission from Freight Transport Operations </t>
        </r>
      </text>
    </comment>
    <comment ref="M252" authorId="0">
      <text>
        <r>
          <rPr>
            <sz val="10"/>
            <color rgb="FF000000"/>
            <rFont val="Calibri"/>
            <charset val="1"/>
          </rPr>
          <t xml:space="preserve">Baes off India bx truck data &amp; Guidelines for Measuring and Managing CO2 Emission from Freight Transport Operations </t>
        </r>
      </text>
    </comment>
    <comment ref="N252" authorId="0">
      <text>
        <r>
          <rPr>
            <sz val="10"/>
            <color rgb="FF000000"/>
            <rFont val="Calibri"/>
            <charset val="1"/>
          </rPr>
          <t xml:space="preserve">Baes off India bx truck data &amp; Guidelines for Measuring and Managing CO2 Emission from Freight Transport Operations </t>
        </r>
      </text>
    </comment>
    <comment ref="O252" authorId="0">
      <text>
        <r>
          <rPr>
            <sz val="10"/>
            <color rgb="FF000000"/>
            <rFont val="Calibri"/>
            <charset val="1"/>
          </rPr>
          <t xml:space="preserve">Baes off India bx truck data &amp; Guidelines for Measuring and Managing CO2 Emission from Freight Transport Operations </t>
        </r>
      </text>
    </comment>
    <comment ref="P252" authorId="0">
      <text>
        <r>
          <rPr>
            <sz val="10"/>
            <color rgb="FF000000"/>
            <rFont val="Calibri"/>
            <charset val="1"/>
          </rPr>
          <t xml:space="preserve">Baes off India bx truck data &amp; Guidelines for Measuring and Managing CO2 Emission from Freight Transport Operations </t>
        </r>
      </text>
    </comment>
    <comment ref="Q252" authorId="0">
      <text>
        <r>
          <rPr>
            <sz val="10"/>
            <color rgb="FF000000"/>
            <rFont val="Calibri"/>
            <charset val="1"/>
          </rPr>
          <t xml:space="preserve">Baes off India bx truck data &amp; Guidelines for Measuring and Managing CO2 Emission from Freight Transport Operations </t>
        </r>
      </text>
    </comment>
    <comment ref="R252" authorId="0">
      <text>
        <r>
          <rPr>
            <sz val="10"/>
            <color rgb="FF000000"/>
            <rFont val="Calibri"/>
            <charset val="1"/>
          </rPr>
          <t xml:space="preserve">Baes off India bx truck data &amp; Guidelines for Measuring and Managing CO2 Emission from Freight Transport Operations </t>
        </r>
      </text>
    </comment>
    <comment ref="S252" authorId="0">
      <text>
        <r>
          <rPr>
            <sz val="10"/>
            <color rgb="FF000000"/>
            <rFont val="Calibri"/>
            <charset val="1"/>
          </rPr>
          <t xml:space="preserve">Baes off India bx truck data &amp; Guidelines for Measuring and Managing CO2 Emission from Freight Transport Operations </t>
        </r>
      </text>
    </comment>
    <comment ref="T252" authorId="0">
      <text>
        <r>
          <rPr>
            <sz val="10"/>
            <color rgb="FF000000"/>
            <rFont val="Calibri"/>
            <charset val="1"/>
          </rPr>
          <t xml:space="preserve">Baes off India bx truck data &amp; Guidelines for Measuring and Managing CO2 Emission from Freight Transport Operations </t>
        </r>
      </text>
    </comment>
    <comment ref="U252" authorId="0">
      <text>
        <r>
          <rPr>
            <sz val="10"/>
            <color rgb="FF000000"/>
            <rFont val="Calibri"/>
            <charset val="1"/>
          </rPr>
          <t xml:space="preserve">Baes off India bx truck data &amp; Guidelines for Measuring and Managing CO2 Emission from Freight Transport Operations </t>
        </r>
      </text>
    </comment>
    <comment ref="V252" authorId="0">
      <text>
        <r>
          <rPr>
            <sz val="10"/>
            <color rgb="FF000000"/>
            <rFont val="Calibri"/>
            <charset val="1"/>
          </rPr>
          <t xml:space="preserve">Baes off India bx truck data &amp; Guidelines for Measuring and Managing CO2 Emission from Freight Transport Operations </t>
        </r>
      </text>
    </comment>
    <comment ref="W252" authorId="0">
      <text>
        <r>
          <rPr>
            <sz val="10"/>
            <color rgb="FF000000"/>
            <rFont val="Calibri"/>
            <charset val="1"/>
          </rPr>
          <t xml:space="preserve">Baes off India bx truck data &amp; Guidelines for Measuring and Managing CO2 Emission from Freight Transport Operations </t>
        </r>
      </text>
    </comment>
    <comment ref="C253" authorId="0">
      <text>
        <r>
          <rPr>
            <sz val="10"/>
            <color rgb="FF000000"/>
            <rFont val="Tahoma"/>
            <charset val="1"/>
          </rPr>
          <t>tuned roughly to Henan Chine trip data</t>
        </r>
      </text>
    </comment>
    <comment ref="D253" authorId="0">
      <text>
        <r>
          <rPr>
            <sz val="10"/>
            <color rgb="FF000000"/>
            <rFont val="Tahoma"/>
            <charset val="1"/>
          </rPr>
          <t>tuned roughly to Henan Chine trip data</t>
        </r>
      </text>
    </comment>
    <comment ref="E253" authorId="0">
      <text>
        <r>
          <rPr>
            <sz val="10"/>
            <color rgb="FF000000"/>
            <rFont val="Tahoma"/>
            <charset val="1"/>
          </rPr>
          <t>tuned roughly to Henan Chine trip data</t>
        </r>
      </text>
    </comment>
    <comment ref="F253" authorId="0">
      <text>
        <r>
          <rPr>
            <sz val="10"/>
            <color rgb="FF000000"/>
            <rFont val="Tahoma"/>
            <charset val="1"/>
          </rPr>
          <t>tuned roughly to Henan Chine trip data</t>
        </r>
      </text>
    </comment>
    <comment ref="G253" authorId="0">
      <text>
        <r>
          <rPr>
            <sz val="10"/>
            <color rgb="FF000000"/>
            <rFont val="Tahoma"/>
            <charset val="1"/>
          </rPr>
          <t>tuned roughly to Henan Chine trip data</t>
        </r>
      </text>
    </comment>
    <comment ref="H253" authorId="0">
      <text>
        <r>
          <rPr>
            <sz val="10"/>
            <color rgb="FF000000"/>
            <rFont val="Tahoma"/>
            <charset val="1"/>
          </rPr>
          <t>tuned roughly to Henan Chine trip data</t>
        </r>
      </text>
    </comment>
    <comment ref="I253" authorId="0">
      <text>
        <r>
          <rPr>
            <sz val="10"/>
            <color rgb="FF000000"/>
            <rFont val="Tahoma"/>
            <charset val="1"/>
          </rPr>
          <t>tuned roughly to Henan Chine trip data</t>
        </r>
      </text>
    </comment>
    <comment ref="J253" authorId="0">
      <text>
        <r>
          <rPr>
            <sz val="10"/>
            <color rgb="FF000000"/>
            <rFont val="Tahoma"/>
            <charset val="1"/>
          </rPr>
          <t>tuned roughly to Henan Chine trip data</t>
        </r>
      </text>
    </comment>
    <comment ref="K253" authorId="0">
      <text>
        <r>
          <rPr>
            <sz val="10"/>
            <color rgb="FF000000"/>
            <rFont val="Tahoma"/>
            <charset val="1"/>
          </rPr>
          <t>tuned roughly to Henan Chine trip data</t>
        </r>
      </text>
    </comment>
    <comment ref="L253" authorId="0">
      <text>
        <r>
          <rPr>
            <sz val="10"/>
            <color rgb="FF000000"/>
            <rFont val="Tahoma"/>
            <charset val="1"/>
          </rPr>
          <t>tuned roughly to Henan Chine trip data</t>
        </r>
      </text>
    </comment>
    <comment ref="M253" authorId="0">
      <text>
        <r>
          <rPr>
            <sz val="10"/>
            <color rgb="FF000000"/>
            <rFont val="Tahoma"/>
            <charset val="1"/>
          </rPr>
          <t>tuned roughly to Henan Chine trip data</t>
        </r>
      </text>
    </comment>
    <comment ref="N253" authorId="0">
      <text>
        <r>
          <rPr>
            <sz val="10"/>
            <color rgb="FF000000"/>
            <rFont val="Tahoma"/>
            <charset val="1"/>
          </rPr>
          <t>tuned roughly to Henan Chine trip data</t>
        </r>
      </text>
    </comment>
    <comment ref="O253" authorId="0">
      <text>
        <r>
          <rPr>
            <sz val="10"/>
            <color rgb="FF000000"/>
            <rFont val="Tahoma"/>
            <charset val="1"/>
          </rPr>
          <t>tuned roughly to Henan Chine trip data</t>
        </r>
      </text>
    </comment>
    <comment ref="P253" authorId="0">
      <text>
        <r>
          <rPr>
            <sz val="10"/>
            <color rgb="FF000000"/>
            <rFont val="Tahoma"/>
            <charset val="1"/>
          </rPr>
          <t>tuned roughly to Henan Chine trip data</t>
        </r>
      </text>
    </comment>
    <comment ref="Q253" authorId="0">
      <text>
        <r>
          <rPr>
            <sz val="10"/>
            <color rgb="FF000000"/>
            <rFont val="Tahoma"/>
            <charset val="1"/>
          </rPr>
          <t>tuned roughly to Henan Chine trip data</t>
        </r>
      </text>
    </comment>
    <comment ref="R253" authorId="0">
      <text>
        <r>
          <rPr>
            <sz val="10"/>
            <color rgb="FF000000"/>
            <rFont val="Tahoma"/>
            <charset val="1"/>
          </rPr>
          <t>tuned roughly to Henan Chine trip data</t>
        </r>
      </text>
    </comment>
    <comment ref="S253" authorId="0">
      <text>
        <r>
          <rPr>
            <sz val="10"/>
            <color rgb="FF000000"/>
            <rFont val="Tahoma"/>
            <charset val="1"/>
          </rPr>
          <t>tuned roughly to Henan Chine trip data</t>
        </r>
      </text>
    </comment>
    <comment ref="T253" authorId="0">
      <text>
        <r>
          <rPr>
            <sz val="10"/>
            <color rgb="FF000000"/>
            <rFont val="Tahoma"/>
            <charset val="1"/>
          </rPr>
          <t>tuned roughly to Henan Chine trip data</t>
        </r>
      </text>
    </comment>
    <comment ref="U253" authorId="0">
      <text>
        <r>
          <rPr>
            <sz val="10"/>
            <color rgb="FF000000"/>
            <rFont val="Tahoma"/>
            <charset val="1"/>
          </rPr>
          <t>tuned roughly to Henan Chine trip data</t>
        </r>
      </text>
    </comment>
    <comment ref="V253" authorId="0">
      <text>
        <r>
          <rPr>
            <sz val="10"/>
            <color rgb="FF000000"/>
            <rFont val="Tahoma"/>
            <charset val="1"/>
          </rPr>
          <t>tuned roughly to Henan Chine trip data</t>
        </r>
      </text>
    </comment>
    <comment ref="W253" authorId="0">
      <text>
        <r>
          <rPr>
            <sz val="10"/>
            <color rgb="FF000000"/>
            <rFont val="Tahoma"/>
            <charset val="1"/>
          </rPr>
          <t>tuned roughly to Henan Chine trip data</t>
        </r>
      </text>
    </comment>
    <comment ref="C294" authorId="0">
      <text>
        <r>
          <rPr>
            <sz val="10"/>
            <color rgb="FF000000"/>
            <rFont val="Tahoma"/>
            <charset val="1"/>
          </rPr>
          <t xml:space="preserve">Henan Chine say 500 tph ... which actually cross checks against all their other data ... for standard ore (not hard cap) ... Alufer perhaps 800tph for std ore as it is softer, all hard cap at say 250 tph.
</t>
        </r>
      </text>
    </comment>
    <comment ref="D294" authorId="0">
      <text>
        <r>
          <rPr>
            <sz val="10"/>
            <color rgb="FF000000"/>
            <rFont val="Tahoma"/>
            <charset val="1"/>
          </rPr>
          <t xml:space="preserve">Henan Chine say 500 tph ... which actually cross checks against all their other data ... for standard ore (not hard cap) ... Alufer perhaps 800tph for std ore as it is softer, all hard cap at say 250 tph.
</t>
        </r>
      </text>
    </comment>
    <comment ref="E294" authorId="0">
      <text>
        <r>
          <rPr>
            <sz val="10"/>
            <color rgb="FF000000"/>
            <rFont val="Tahoma"/>
            <charset val="1"/>
          </rPr>
          <t xml:space="preserve">Henan Chine say 500 tph ... which actually cross checks against all their other data ... for standard ore (not hard cap) ... Alufer perhaps 800tph for std ore as it is softer, all hard cap at say 250 tph.
</t>
        </r>
      </text>
    </comment>
    <comment ref="F294" authorId="0">
      <text>
        <r>
          <rPr>
            <sz val="10"/>
            <color rgb="FF000000"/>
            <rFont val="Tahoma"/>
            <charset val="1"/>
          </rPr>
          <t xml:space="preserve">Henan Chine say 500 tph ... which actually cross checks against all their other data ... for standard ore (not hard cap) ... Alufer perhaps 800tph for std ore as it is softer, all hard cap at say 250 tph.
</t>
        </r>
      </text>
    </comment>
    <comment ref="G294" authorId="0">
      <text>
        <r>
          <rPr>
            <sz val="10"/>
            <color rgb="FF000000"/>
            <rFont val="Tahoma"/>
            <charset val="1"/>
          </rPr>
          <t xml:space="preserve">Henan Chine say 500 tph ... which actually cross checks against all their other data ... for standard ore (not hard cap) ... Alufer perhaps 800tph for std ore as it is softer, all hard cap at say 250 tph.
</t>
        </r>
      </text>
    </comment>
    <comment ref="H294" authorId="0">
      <text>
        <r>
          <rPr>
            <sz val="10"/>
            <color rgb="FF000000"/>
            <rFont val="Tahoma"/>
            <charset val="1"/>
          </rPr>
          <t xml:space="preserve">Henan Chine say 500 tph ... which actually cross checks against all their other data ... for standard ore (not hard cap) ... Alufer perhaps 800tph for std ore as it is softer, all hard cap at say 250 tph.
</t>
        </r>
      </text>
    </comment>
    <comment ref="I294" authorId="0">
      <text>
        <r>
          <rPr>
            <sz val="10"/>
            <color rgb="FF000000"/>
            <rFont val="Tahoma"/>
            <charset val="1"/>
          </rPr>
          <t xml:space="preserve">Henan Chine say 500 tph ... which actually cross checks against all their other data ... for standard ore (not hard cap) ... Alufer perhaps 800tph for std ore as it is softer, all hard cap at say 250 tph.
</t>
        </r>
      </text>
    </comment>
    <comment ref="J294" authorId="0">
      <text>
        <r>
          <rPr>
            <sz val="10"/>
            <color rgb="FF000000"/>
            <rFont val="Tahoma"/>
            <charset val="1"/>
          </rPr>
          <t xml:space="preserve">Henan Chine say 500 tph ... which actually cross checks against all their other data ... for standard ore (not hard cap) ... Alufer perhaps 800tph for std ore as it is softer, all hard cap at say 250 tph.
</t>
        </r>
      </text>
    </comment>
    <comment ref="K294" authorId="0">
      <text>
        <r>
          <rPr>
            <sz val="10"/>
            <color rgb="FF000000"/>
            <rFont val="Tahoma"/>
            <charset val="1"/>
          </rPr>
          <t xml:space="preserve">Henan Chine say 500 tph ... which actually cross checks against all their other data ... for standard ore (not hard cap) ... Alufer perhaps 800tph for std ore as it is softer, all hard cap at say 250 tph.
</t>
        </r>
      </text>
    </comment>
    <comment ref="L294" authorId="0">
      <text>
        <r>
          <rPr>
            <sz val="10"/>
            <color rgb="FF000000"/>
            <rFont val="Tahoma"/>
            <charset val="1"/>
          </rPr>
          <t xml:space="preserve">Henan Chine say 500 tph ... which actually cross checks against all their other data ... for standard ore (not hard cap) ... Alufer perhaps 800tph for std ore as it is softer, all hard cap at say 250 tph.
</t>
        </r>
      </text>
    </comment>
    <comment ref="M294" authorId="0">
      <text>
        <r>
          <rPr>
            <sz val="10"/>
            <color rgb="FF000000"/>
            <rFont val="Tahoma"/>
            <charset val="1"/>
          </rPr>
          <t xml:space="preserve">Henan Chine say 500 tph ... which actually cross checks against all their other data ... for standard ore (not hard cap) ... Alufer perhaps 800tph for std ore as it is softer, all hard cap at say 250 tph.
</t>
        </r>
      </text>
    </comment>
    <comment ref="N294" authorId="0">
      <text>
        <r>
          <rPr>
            <sz val="10"/>
            <color rgb="FF000000"/>
            <rFont val="Tahoma"/>
            <charset val="1"/>
          </rPr>
          <t xml:space="preserve">Henan Chine say 500 tph ... which actually cross checks against all their other data ... for standard ore (not hard cap) ... Alufer perhaps 800tph for std ore as it is softer, all hard cap at say 250 tph.
</t>
        </r>
      </text>
    </comment>
    <comment ref="O294" authorId="0">
      <text>
        <r>
          <rPr>
            <sz val="10"/>
            <color rgb="FF000000"/>
            <rFont val="Tahoma"/>
            <charset val="1"/>
          </rPr>
          <t xml:space="preserve">Henan Chine say 500 tph ... which actually cross checks against all their other data ... for standard ore (not hard cap) ... Alufer perhaps 800tph for std ore as it is softer, all hard cap at say 250 tph.
</t>
        </r>
      </text>
    </comment>
    <comment ref="P294" authorId="0">
      <text>
        <r>
          <rPr>
            <sz val="10"/>
            <color rgb="FF000000"/>
            <rFont val="Tahoma"/>
            <charset val="1"/>
          </rPr>
          <t xml:space="preserve">Henan Chine say 500 tph ... which actually cross checks against all their other data ... for standard ore (not hard cap) ... Alufer perhaps 800tph for std ore as it is softer, all hard cap at say 250 tph.
</t>
        </r>
      </text>
    </comment>
    <comment ref="Q294" authorId="0">
      <text>
        <r>
          <rPr>
            <sz val="10"/>
            <color rgb="FF000000"/>
            <rFont val="Tahoma"/>
            <charset val="1"/>
          </rPr>
          <t xml:space="preserve">Henan Chine say 500 tph ... which actually cross checks against all their other data ... for standard ore (not hard cap) ... Alufer perhaps 800tph for std ore as it is softer, all hard cap at say 250 tph.
</t>
        </r>
      </text>
    </comment>
    <comment ref="R294" authorId="0">
      <text>
        <r>
          <rPr>
            <sz val="10"/>
            <color rgb="FF000000"/>
            <rFont val="Tahoma"/>
            <charset val="1"/>
          </rPr>
          <t xml:space="preserve">Henan Chine say 500 tph ... which actually cross checks against all their other data ... for standard ore (not hard cap) ... Alufer perhaps 800tph for std ore as it is softer, all hard cap at say 250 tph.
</t>
        </r>
      </text>
    </comment>
    <comment ref="S294" authorId="0">
      <text>
        <r>
          <rPr>
            <sz val="10"/>
            <color rgb="FF000000"/>
            <rFont val="Tahoma"/>
            <charset val="1"/>
          </rPr>
          <t xml:space="preserve">Henan Chine say 500 tph ... which actually cross checks against all their other data ... for standard ore (not hard cap) ... Alufer perhaps 800tph for std ore as it is softer, all hard cap at say 250 tph.
</t>
        </r>
      </text>
    </comment>
    <comment ref="T294" authorId="0">
      <text>
        <r>
          <rPr>
            <sz val="10"/>
            <color rgb="FF000000"/>
            <rFont val="Tahoma"/>
            <charset val="1"/>
          </rPr>
          <t xml:space="preserve">Henan Chine say 500 tph ... which actually cross checks against all their other data ... for standard ore (not hard cap) ... Alufer perhaps 800tph for std ore as it is softer, all hard cap at say 250 tph.
</t>
        </r>
      </text>
    </comment>
    <comment ref="U294" authorId="0">
      <text>
        <r>
          <rPr>
            <sz val="10"/>
            <color rgb="FF000000"/>
            <rFont val="Tahoma"/>
            <charset val="1"/>
          </rPr>
          <t xml:space="preserve">Henan Chine say 500 tph ... which actually cross checks against all their other data ... for standard ore (not hard cap) ... Alufer perhaps 800tph for std ore as it is softer, all hard cap at say 250 tph.
</t>
        </r>
      </text>
    </comment>
    <comment ref="V294" authorId="0">
      <text>
        <r>
          <rPr>
            <sz val="10"/>
            <color rgb="FF000000"/>
            <rFont val="Tahoma"/>
            <charset val="1"/>
          </rPr>
          <t xml:space="preserve">Henan Chine say 500 tph ... which actually cross checks against all their other data ... for standard ore (not hard cap) ... Alufer perhaps 800tph for std ore as it is softer, all hard cap at say 250 tph.
</t>
        </r>
      </text>
    </comment>
    <comment ref="W294" authorId="0">
      <text>
        <r>
          <rPr>
            <sz val="10"/>
            <color rgb="FF000000"/>
            <rFont val="Tahoma"/>
            <charset val="1"/>
          </rPr>
          <t xml:space="preserve">Henan Chine say 500 tph ... which actually cross checks against all their other data ... for standard ore (not hard cap) ... Alufer perhaps 800tph for std ore as it is softer, all hard cap at say 250 tph.
</t>
        </r>
      </text>
    </comment>
    <comment ref="C296" authorId="0">
      <text>
        <r>
          <rPr>
            <sz val="10"/>
            <color rgb="FF000000"/>
            <rFont val="Tahoma"/>
            <charset val="1"/>
          </rPr>
          <t xml:space="preserve">data from Wirtgen
</t>
        </r>
      </text>
    </comment>
    <comment ref="D296" authorId="0">
      <text>
        <r>
          <rPr>
            <sz val="10"/>
            <color rgb="FF000000"/>
            <rFont val="Tahoma"/>
            <charset val="1"/>
          </rPr>
          <t xml:space="preserve">data from Wirtgen
</t>
        </r>
      </text>
    </comment>
    <comment ref="E296" authorId="0">
      <text>
        <r>
          <rPr>
            <sz val="10"/>
            <color rgb="FF000000"/>
            <rFont val="Tahoma"/>
            <charset val="1"/>
          </rPr>
          <t xml:space="preserve">data from Wirtgen
</t>
        </r>
      </text>
    </comment>
    <comment ref="F296" authorId="0">
      <text>
        <r>
          <rPr>
            <sz val="10"/>
            <color rgb="FF000000"/>
            <rFont val="Tahoma"/>
            <charset val="1"/>
          </rPr>
          <t xml:space="preserve">data from Wirtgen
</t>
        </r>
      </text>
    </comment>
    <comment ref="G296" authorId="0">
      <text>
        <r>
          <rPr>
            <sz val="10"/>
            <color rgb="FF000000"/>
            <rFont val="Tahoma"/>
            <charset val="1"/>
          </rPr>
          <t xml:space="preserve">data from Wirtgen
</t>
        </r>
      </text>
    </comment>
    <comment ref="H296" authorId="0">
      <text>
        <r>
          <rPr>
            <sz val="10"/>
            <color rgb="FF000000"/>
            <rFont val="Tahoma"/>
            <charset val="1"/>
          </rPr>
          <t xml:space="preserve">data from Wirtgen
</t>
        </r>
      </text>
    </comment>
    <comment ref="I296" authorId="0">
      <text>
        <r>
          <rPr>
            <sz val="10"/>
            <color rgb="FF000000"/>
            <rFont val="Tahoma"/>
            <charset val="1"/>
          </rPr>
          <t xml:space="preserve">data from Wirtgen
</t>
        </r>
      </text>
    </comment>
    <comment ref="J296" authorId="0">
      <text>
        <r>
          <rPr>
            <sz val="10"/>
            <color rgb="FF000000"/>
            <rFont val="Tahoma"/>
            <charset val="1"/>
          </rPr>
          <t xml:space="preserve">data from Wirtgen
</t>
        </r>
      </text>
    </comment>
    <comment ref="K296" authorId="0">
      <text>
        <r>
          <rPr>
            <sz val="10"/>
            <color rgb="FF000000"/>
            <rFont val="Tahoma"/>
            <charset val="1"/>
          </rPr>
          <t xml:space="preserve">data from Wirtgen
</t>
        </r>
      </text>
    </comment>
    <comment ref="L296" authorId="0">
      <text>
        <r>
          <rPr>
            <sz val="10"/>
            <color rgb="FF000000"/>
            <rFont val="Tahoma"/>
            <charset val="1"/>
          </rPr>
          <t xml:space="preserve">data from Wirtgen
</t>
        </r>
      </text>
    </comment>
    <comment ref="M296" authorId="0">
      <text>
        <r>
          <rPr>
            <sz val="10"/>
            <color rgb="FF000000"/>
            <rFont val="Tahoma"/>
            <charset val="1"/>
          </rPr>
          <t xml:space="preserve">data from Wirtgen
</t>
        </r>
      </text>
    </comment>
    <comment ref="N296" authorId="0">
      <text>
        <r>
          <rPr>
            <sz val="10"/>
            <color rgb="FF000000"/>
            <rFont val="Tahoma"/>
            <charset val="1"/>
          </rPr>
          <t xml:space="preserve">data from Wirtgen
</t>
        </r>
      </text>
    </comment>
    <comment ref="O296" authorId="0">
      <text>
        <r>
          <rPr>
            <sz val="10"/>
            <color rgb="FF000000"/>
            <rFont val="Tahoma"/>
            <charset val="1"/>
          </rPr>
          <t xml:space="preserve">data from Wirtgen
</t>
        </r>
      </text>
    </comment>
    <comment ref="P296" authorId="0">
      <text>
        <r>
          <rPr>
            <sz val="10"/>
            <color rgb="FF000000"/>
            <rFont val="Tahoma"/>
            <charset val="1"/>
          </rPr>
          <t xml:space="preserve">data from Wirtgen
</t>
        </r>
      </text>
    </comment>
    <comment ref="Q296" authorId="0">
      <text>
        <r>
          <rPr>
            <sz val="10"/>
            <color rgb="FF000000"/>
            <rFont val="Tahoma"/>
            <charset val="1"/>
          </rPr>
          <t xml:space="preserve">data from Wirtgen
</t>
        </r>
      </text>
    </comment>
    <comment ref="R296" authorId="0">
      <text>
        <r>
          <rPr>
            <sz val="10"/>
            <color rgb="FF000000"/>
            <rFont val="Tahoma"/>
            <charset val="1"/>
          </rPr>
          <t xml:space="preserve">data from Wirtgen
</t>
        </r>
      </text>
    </comment>
    <comment ref="S296" authorId="0">
      <text>
        <r>
          <rPr>
            <sz val="10"/>
            <color rgb="FF000000"/>
            <rFont val="Tahoma"/>
            <charset val="1"/>
          </rPr>
          <t xml:space="preserve">data from Wirtgen
</t>
        </r>
      </text>
    </comment>
    <comment ref="T296" authorId="0">
      <text>
        <r>
          <rPr>
            <sz val="10"/>
            <color rgb="FF000000"/>
            <rFont val="Tahoma"/>
            <charset val="1"/>
          </rPr>
          <t xml:space="preserve">data from Wirtgen
</t>
        </r>
      </text>
    </comment>
    <comment ref="U296" authorId="0">
      <text>
        <r>
          <rPr>
            <sz val="10"/>
            <color rgb="FF000000"/>
            <rFont val="Tahoma"/>
            <charset val="1"/>
          </rPr>
          <t xml:space="preserve">data from Wirtgen
</t>
        </r>
      </text>
    </comment>
    <comment ref="V296" authorId="0">
      <text>
        <r>
          <rPr>
            <sz val="10"/>
            <color rgb="FF000000"/>
            <rFont val="Tahoma"/>
            <charset val="1"/>
          </rPr>
          <t xml:space="preserve">data from Wirtgen
</t>
        </r>
      </text>
    </comment>
    <comment ref="W296" authorId="0">
      <text>
        <r>
          <rPr>
            <sz val="10"/>
            <color rgb="FF000000"/>
            <rFont val="Tahoma"/>
            <charset val="1"/>
          </rPr>
          <t xml:space="preserve">data from Wirtgen
</t>
        </r>
      </text>
    </comment>
    <comment ref="C297" authorId="0">
      <text>
        <r>
          <rPr>
            <sz val="10"/>
            <color rgb="FF000000"/>
            <rFont val="Tahoma"/>
            <charset val="1"/>
          </rPr>
          <t>2 on ground plus tending crew (3) and mtce crew allowance (1)</t>
        </r>
      </text>
    </comment>
    <comment ref="D297" authorId="0">
      <text>
        <r>
          <rPr>
            <sz val="10"/>
            <color rgb="FF000000"/>
            <rFont val="Tahoma"/>
            <charset val="1"/>
          </rPr>
          <t>2 on ground plus tending crew (3) and mtce crew allowance (1)</t>
        </r>
      </text>
    </comment>
    <comment ref="E297" authorId="0">
      <text>
        <r>
          <rPr>
            <sz val="10"/>
            <color rgb="FF000000"/>
            <rFont val="Tahoma"/>
            <charset val="1"/>
          </rPr>
          <t>2 on ground plus tending crew (3) and mtce crew allowance (1)</t>
        </r>
      </text>
    </comment>
    <comment ref="F297" authorId="0">
      <text>
        <r>
          <rPr>
            <sz val="10"/>
            <color rgb="FF000000"/>
            <rFont val="Tahoma"/>
            <charset val="1"/>
          </rPr>
          <t>2 on ground plus tending crew (3) and mtce crew allowance (1)</t>
        </r>
      </text>
    </comment>
    <comment ref="G297" authorId="0">
      <text>
        <r>
          <rPr>
            <sz val="10"/>
            <color rgb="FF000000"/>
            <rFont val="Tahoma"/>
            <charset val="1"/>
          </rPr>
          <t>2 on ground plus tending crew (3) and mtce crew allowance (1)</t>
        </r>
      </text>
    </comment>
    <comment ref="H297" authorId="0">
      <text>
        <r>
          <rPr>
            <sz val="10"/>
            <color rgb="FF000000"/>
            <rFont val="Tahoma"/>
            <charset val="1"/>
          </rPr>
          <t>2 on ground plus tending crew (3) and mtce crew allowance (1)</t>
        </r>
      </text>
    </comment>
    <comment ref="I297" authorId="0">
      <text>
        <r>
          <rPr>
            <sz val="10"/>
            <color rgb="FF000000"/>
            <rFont val="Tahoma"/>
            <charset val="1"/>
          </rPr>
          <t>2 on ground plus tending crew (3) and mtce crew allowance (1)</t>
        </r>
      </text>
    </comment>
    <comment ref="J297" authorId="0">
      <text>
        <r>
          <rPr>
            <sz val="10"/>
            <color rgb="FF000000"/>
            <rFont val="Tahoma"/>
            <charset val="1"/>
          </rPr>
          <t>2 on ground plus tending crew (3) and mtce crew allowance (1)</t>
        </r>
      </text>
    </comment>
    <comment ref="K297" authorId="0">
      <text>
        <r>
          <rPr>
            <sz val="10"/>
            <color rgb="FF000000"/>
            <rFont val="Tahoma"/>
            <charset val="1"/>
          </rPr>
          <t>2 on ground plus tending crew (3) and mtce crew allowance (1)</t>
        </r>
      </text>
    </comment>
    <comment ref="L297" authorId="0">
      <text>
        <r>
          <rPr>
            <sz val="10"/>
            <color rgb="FF000000"/>
            <rFont val="Tahoma"/>
            <charset val="1"/>
          </rPr>
          <t>2 on ground plus tending crew (3) and mtce crew allowance (1)</t>
        </r>
      </text>
    </comment>
    <comment ref="M297" authorId="0">
      <text>
        <r>
          <rPr>
            <sz val="10"/>
            <color rgb="FF000000"/>
            <rFont val="Tahoma"/>
            <charset val="1"/>
          </rPr>
          <t>2 on ground plus tending crew (3) and mtce crew allowance (1)</t>
        </r>
      </text>
    </comment>
    <comment ref="N297" authorId="0">
      <text>
        <r>
          <rPr>
            <sz val="10"/>
            <color rgb="FF000000"/>
            <rFont val="Tahoma"/>
            <charset val="1"/>
          </rPr>
          <t>2 on ground plus tending crew (3) and mtce crew allowance (1)</t>
        </r>
      </text>
    </comment>
    <comment ref="O297" authorId="0">
      <text>
        <r>
          <rPr>
            <sz val="10"/>
            <color rgb="FF000000"/>
            <rFont val="Tahoma"/>
            <charset val="1"/>
          </rPr>
          <t>2 on ground plus tending crew (3) and mtce crew allowance (1)</t>
        </r>
      </text>
    </comment>
    <comment ref="P297" authorId="0">
      <text>
        <r>
          <rPr>
            <sz val="10"/>
            <color rgb="FF000000"/>
            <rFont val="Tahoma"/>
            <charset val="1"/>
          </rPr>
          <t>2 on ground plus tending crew (3) and mtce crew allowance (1)</t>
        </r>
      </text>
    </comment>
    <comment ref="Q297" authorId="0">
      <text>
        <r>
          <rPr>
            <sz val="10"/>
            <color rgb="FF000000"/>
            <rFont val="Tahoma"/>
            <charset val="1"/>
          </rPr>
          <t>2 on ground plus tending crew (3) and mtce crew allowance (1)</t>
        </r>
      </text>
    </comment>
    <comment ref="R297" authorId="0">
      <text>
        <r>
          <rPr>
            <sz val="10"/>
            <color rgb="FF000000"/>
            <rFont val="Tahoma"/>
            <charset val="1"/>
          </rPr>
          <t>2 on ground plus tending crew (3) and mtce crew allowance (1)</t>
        </r>
      </text>
    </comment>
    <comment ref="S297" authorId="0">
      <text>
        <r>
          <rPr>
            <sz val="10"/>
            <color rgb="FF000000"/>
            <rFont val="Tahoma"/>
            <charset val="1"/>
          </rPr>
          <t>2 on ground plus tending crew (3) and mtce crew allowance (1)</t>
        </r>
      </text>
    </comment>
    <comment ref="T297" authorId="0">
      <text>
        <r>
          <rPr>
            <sz val="10"/>
            <color rgb="FF000000"/>
            <rFont val="Tahoma"/>
            <charset val="1"/>
          </rPr>
          <t>2 on ground plus tending crew (3) and mtce crew allowance (1)</t>
        </r>
      </text>
    </comment>
    <comment ref="U297" authorId="0">
      <text>
        <r>
          <rPr>
            <sz val="10"/>
            <color rgb="FF000000"/>
            <rFont val="Tahoma"/>
            <charset val="1"/>
          </rPr>
          <t>2 on ground plus tending crew (3) and mtce crew allowance (1)</t>
        </r>
      </text>
    </comment>
    <comment ref="V297" authorId="0">
      <text>
        <r>
          <rPr>
            <sz val="10"/>
            <color rgb="FF000000"/>
            <rFont val="Tahoma"/>
            <charset val="1"/>
          </rPr>
          <t>2 on ground plus tending crew (3) and mtce crew allowance (1)</t>
        </r>
      </text>
    </comment>
    <comment ref="W297" authorId="0">
      <text>
        <r>
          <rPr>
            <sz val="10"/>
            <color rgb="FF000000"/>
            <rFont val="Tahoma"/>
            <charset val="1"/>
          </rPr>
          <t>2 on ground plus tending crew (3) and mtce crew allowance (1)</t>
        </r>
      </text>
    </comment>
    <comment ref="C298" authorId="0">
      <text>
        <r>
          <rPr>
            <sz val="10"/>
            <color rgb="FF000000"/>
            <rFont val="Tahoma"/>
            <charset val="1"/>
          </rPr>
          <t xml:space="preserve">Wirtgen supplied data at 650 tph converted from euros to US$ and then to a per wmt rate
</t>
        </r>
      </text>
    </comment>
    <comment ref="D298" authorId="0">
      <text>
        <r>
          <rPr>
            <sz val="10"/>
            <color rgb="FF000000"/>
            <rFont val="Tahoma"/>
            <charset val="1"/>
          </rPr>
          <t xml:space="preserve">Wirtgen supplied data at 650 tph converted from euros to US$ and then to a per wmt rate
</t>
        </r>
      </text>
    </comment>
    <comment ref="E298" authorId="0">
      <text>
        <r>
          <rPr>
            <sz val="10"/>
            <color rgb="FF000000"/>
            <rFont val="Tahoma"/>
            <charset val="1"/>
          </rPr>
          <t xml:space="preserve">Wirtgen supplied data at 650 tph converted from euros to US$ and then to a per wmt rate
</t>
        </r>
      </text>
    </comment>
    <comment ref="F298" authorId="0">
      <text>
        <r>
          <rPr>
            <sz val="10"/>
            <color rgb="FF000000"/>
            <rFont val="Tahoma"/>
            <charset val="1"/>
          </rPr>
          <t xml:space="preserve">Wirtgen supplied data at 650 tph converted from euros to US$ and then to a per wmt rate
</t>
        </r>
      </text>
    </comment>
    <comment ref="G298" authorId="0">
      <text>
        <r>
          <rPr>
            <sz val="10"/>
            <color rgb="FF000000"/>
            <rFont val="Tahoma"/>
            <charset val="1"/>
          </rPr>
          <t xml:space="preserve">Wirtgen supplied data at 650 tph converted from euros to US$ and then to a per wmt rate
</t>
        </r>
      </text>
    </comment>
    <comment ref="H298" authorId="0">
      <text>
        <r>
          <rPr>
            <sz val="10"/>
            <color rgb="FF000000"/>
            <rFont val="Tahoma"/>
            <charset val="1"/>
          </rPr>
          <t xml:space="preserve">Wirtgen supplied data at 650 tph converted from euros to US$ and then to a per wmt rate
</t>
        </r>
      </text>
    </comment>
    <comment ref="I298" authorId="0">
      <text>
        <r>
          <rPr>
            <sz val="10"/>
            <color rgb="FF000000"/>
            <rFont val="Tahoma"/>
            <charset val="1"/>
          </rPr>
          <t xml:space="preserve">Wirtgen supplied data at 650 tph converted from euros to US$ and then to a per wmt rate
</t>
        </r>
      </text>
    </comment>
    <comment ref="J298" authorId="0">
      <text>
        <r>
          <rPr>
            <sz val="10"/>
            <color rgb="FF000000"/>
            <rFont val="Tahoma"/>
            <charset val="1"/>
          </rPr>
          <t xml:space="preserve">Wirtgen supplied data at 650 tph converted from euros to US$ and then to a per wmt rate
</t>
        </r>
      </text>
    </comment>
    <comment ref="K298" authorId="0">
      <text>
        <r>
          <rPr>
            <sz val="10"/>
            <color rgb="FF000000"/>
            <rFont val="Tahoma"/>
            <charset val="1"/>
          </rPr>
          <t xml:space="preserve">Wirtgen supplied data at 650 tph converted from euros to US$ and then to a per wmt rate
</t>
        </r>
      </text>
    </comment>
    <comment ref="L298" authorId="0">
      <text>
        <r>
          <rPr>
            <sz val="10"/>
            <color rgb="FF000000"/>
            <rFont val="Tahoma"/>
            <charset val="1"/>
          </rPr>
          <t xml:space="preserve">Wirtgen supplied data at 650 tph converted from euros to US$ and then to a per wmt rate
</t>
        </r>
      </text>
    </comment>
    <comment ref="M298" authorId="0">
      <text>
        <r>
          <rPr>
            <sz val="10"/>
            <color rgb="FF000000"/>
            <rFont val="Tahoma"/>
            <charset val="1"/>
          </rPr>
          <t xml:space="preserve">Wirtgen supplied data at 650 tph converted from euros to US$ and then to a per wmt rate
</t>
        </r>
      </text>
    </comment>
    <comment ref="N298" authorId="0">
      <text>
        <r>
          <rPr>
            <sz val="10"/>
            <color rgb="FF000000"/>
            <rFont val="Tahoma"/>
            <charset val="1"/>
          </rPr>
          <t xml:space="preserve">Wirtgen supplied data at 650 tph converted from euros to US$ and then to a per wmt rate
</t>
        </r>
      </text>
    </comment>
    <comment ref="O298" authorId="0">
      <text>
        <r>
          <rPr>
            <sz val="10"/>
            <color rgb="FF000000"/>
            <rFont val="Tahoma"/>
            <charset val="1"/>
          </rPr>
          <t xml:space="preserve">Wirtgen supplied data at 650 tph converted from euros to US$ and then to a per wmt rate
</t>
        </r>
      </text>
    </comment>
    <comment ref="P298" authorId="0">
      <text>
        <r>
          <rPr>
            <sz val="10"/>
            <color rgb="FF000000"/>
            <rFont val="Tahoma"/>
            <charset val="1"/>
          </rPr>
          <t xml:space="preserve">Wirtgen supplied data at 650 tph converted from euros to US$ and then to a per wmt rate
</t>
        </r>
      </text>
    </comment>
    <comment ref="Q298" authorId="0">
      <text>
        <r>
          <rPr>
            <sz val="10"/>
            <color rgb="FF000000"/>
            <rFont val="Tahoma"/>
            <charset val="1"/>
          </rPr>
          <t xml:space="preserve">Wirtgen supplied data at 650 tph converted from euros to US$ and then to a per wmt rate
</t>
        </r>
      </text>
    </comment>
    <comment ref="R298" authorId="0">
      <text>
        <r>
          <rPr>
            <sz val="10"/>
            <color rgb="FF000000"/>
            <rFont val="Tahoma"/>
            <charset val="1"/>
          </rPr>
          <t xml:space="preserve">Wirtgen supplied data at 650 tph converted from euros to US$ and then to a per wmt rate
</t>
        </r>
      </text>
    </comment>
    <comment ref="S298" authorId="0">
      <text>
        <r>
          <rPr>
            <sz val="10"/>
            <color rgb="FF000000"/>
            <rFont val="Tahoma"/>
            <charset val="1"/>
          </rPr>
          <t xml:space="preserve">Wirtgen supplied data at 650 tph converted from euros to US$ and then to a per wmt rate
</t>
        </r>
      </text>
    </comment>
    <comment ref="T298" authorId="0">
      <text>
        <r>
          <rPr>
            <sz val="10"/>
            <color rgb="FF000000"/>
            <rFont val="Tahoma"/>
            <charset val="1"/>
          </rPr>
          <t xml:space="preserve">Wirtgen supplied data at 650 tph converted from euros to US$ and then to a per wmt rate
</t>
        </r>
      </text>
    </comment>
    <comment ref="U298" authorId="0">
      <text>
        <r>
          <rPr>
            <sz val="10"/>
            <color rgb="FF000000"/>
            <rFont val="Tahoma"/>
            <charset val="1"/>
          </rPr>
          <t xml:space="preserve">Wirtgen supplied data at 650 tph converted from euros to US$ and then to a per wmt rate
</t>
        </r>
      </text>
    </comment>
    <comment ref="V298" authorId="0">
      <text>
        <r>
          <rPr>
            <sz val="10"/>
            <color rgb="FF000000"/>
            <rFont val="Tahoma"/>
            <charset val="1"/>
          </rPr>
          <t xml:space="preserve">Wirtgen supplied data at 650 tph converted from euros to US$ and then to a per wmt rate
</t>
        </r>
      </text>
    </comment>
    <comment ref="W298" authorId="0">
      <text>
        <r>
          <rPr>
            <sz val="10"/>
            <color rgb="FF000000"/>
            <rFont val="Tahoma"/>
            <charset val="1"/>
          </rPr>
          <t xml:space="preserve">Wirtgen supplied data at 650 tph converted from euros to US$ and then to a per wmt rate
</t>
        </r>
      </text>
    </comment>
    <comment ref="C319" authorId="0">
      <text>
        <r>
          <rPr>
            <sz val="10"/>
            <color rgb="FF000000"/>
            <rFont val="Tahoma"/>
            <charset val="1"/>
          </rPr>
          <t xml:space="preserve">built on machine doing relatively free digging = 200 tph, halve or quarter this for more difficult or insitu material
</t>
        </r>
      </text>
    </comment>
    <comment ref="D319" authorId="0">
      <text>
        <r>
          <rPr>
            <sz val="10"/>
            <color rgb="FF000000"/>
            <rFont val="Tahoma"/>
            <charset val="1"/>
          </rPr>
          <t xml:space="preserve">built on machine doing relatively free digging = 200 tph, halve or quarter this for more difficult or insitu material
</t>
        </r>
      </text>
    </comment>
    <comment ref="E319" authorId="0">
      <text>
        <r>
          <rPr>
            <sz val="10"/>
            <color rgb="FF000000"/>
            <rFont val="Tahoma"/>
            <charset val="1"/>
          </rPr>
          <t xml:space="preserve">built on machine doing relatively free digging = 200 tph, halve or quarter this for more difficult or insitu material
</t>
        </r>
      </text>
    </comment>
    <comment ref="F319" authorId="0">
      <text>
        <r>
          <rPr>
            <sz val="10"/>
            <color rgb="FF000000"/>
            <rFont val="Tahoma"/>
            <charset val="1"/>
          </rPr>
          <t xml:space="preserve">built on machine doing relatively free digging = 200 tph, halve or quarter this for more difficult or insitu material
</t>
        </r>
      </text>
    </comment>
    <comment ref="G319" authorId="0">
      <text>
        <r>
          <rPr>
            <sz val="10"/>
            <color rgb="FF000000"/>
            <rFont val="Tahoma"/>
            <charset val="1"/>
          </rPr>
          <t xml:space="preserve">built on machine doing relatively free digging = 200 tph, halve or quarter this for more difficult or insitu material
</t>
        </r>
      </text>
    </comment>
    <comment ref="H319" authorId="0">
      <text>
        <r>
          <rPr>
            <sz val="10"/>
            <color rgb="FF000000"/>
            <rFont val="Tahoma"/>
            <charset val="1"/>
          </rPr>
          <t xml:space="preserve">built on machine doing relatively free digging = 200 tph, halve or quarter this for more difficult or insitu material
</t>
        </r>
      </text>
    </comment>
    <comment ref="I319" authorId="0">
      <text>
        <r>
          <rPr>
            <sz val="10"/>
            <color rgb="FF000000"/>
            <rFont val="Tahoma"/>
            <charset val="1"/>
          </rPr>
          <t xml:space="preserve">built on machine doing relatively free digging = 200 tph, halve or quarter this for more difficult or insitu material
</t>
        </r>
      </text>
    </comment>
    <comment ref="J319" authorId="0">
      <text>
        <r>
          <rPr>
            <sz val="10"/>
            <color rgb="FF000000"/>
            <rFont val="Tahoma"/>
            <charset val="1"/>
          </rPr>
          <t xml:space="preserve">built on machine doing relatively free digging = 200 tph, halve or quarter this for more difficult or insitu material
</t>
        </r>
      </text>
    </comment>
    <comment ref="K319" authorId="0">
      <text>
        <r>
          <rPr>
            <sz val="10"/>
            <color rgb="FF000000"/>
            <rFont val="Tahoma"/>
            <charset val="1"/>
          </rPr>
          <t xml:space="preserve">built on machine doing relatively free digging = 200 tph, halve or quarter this for more difficult or insitu material
</t>
        </r>
      </text>
    </comment>
    <comment ref="L319" authorId="0">
      <text>
        <r>
          <rPr>
            <sz val="10"/>
            <color rgb="FF000000"/>
            <rFont val="Tahoma"/>
            <charset val="1"/>
          </rPr>
          <t xml:space="preserve">built on machine doing relatively free digging = 200 tph, halve or quarter this for more difficult or insitu material
</t>
        </r>
      </text>
    </comment>
    <comment ref="M319" authorId="0">
      <text>
        <r>
          <rPr>
            <sz val="10"/>
            <color rgb="FF000000"/>
            <rFont val="Tahoma"/>
            <charset val="1"/>
          </rPr>
          <t xml:space="preserve">built on machine doing relatively free digging = 200 tph, halve or quarter this for more difficult or insitu material
</t>
        </r>
      </text>
    </comment>
    <comment ref="N319" authorId="0">
      <text>
        <r>
          <rPr>
            <sz val="10"/>
            <color rgb="FF000000"/>
            <rFont val="Tahoma"/>
            <charset val="1"/>
          </rPr>
          <t xml:space="preserve">built on machine doing relatively free digging = 200 tph, halve or quarter this for more difficult or insitu material
</t>
        </r>
      </text>
    </comment>
    <comment ref="O319" authorId="0">
      <text>
        <r>
          <rPr>
            <sz val="10"/>
            <color rgb="FF000000"/>
            <rFont val="Tahoma"/>
            <charset val="1"/>
          </rPr>
          <t xml:space="preserve">built on machine doing relatively free digging = 200 tph, halve or quarter this for more difficult or insitu material
</t>
        </r>
      </text>
    </comment>
    <comment ref="P319" authorId="0">
      <text>
        <r>
          <rPr>
            <sz val="10"/>
            <color rgb="FF000000"/>
            <rFont val="Tahoma"/>
            <charset val="1"/>
          </rPr>
          <t xml:space="preserve">built on machine doing relatively free digging = 200 tph, halve or quarter this for more difficult or insitu material
</t>
        </r>
      </text>
    </comment>
    <comment ref="Q319" authorId="0">
      <text>
        <r>
          <rPr>
            <sz val="10"/>
            <color rgb="FF000000"/>
            <rFont val="Tahoma"/>
            <charset val="1"/>
          </rPr>
          <t xml:space="preserve">built on machine doing relatively free digging = 200 tph, halve or quarter this for more difficult or insitu material
</t>
        </r>
      </text>
    </comment>
    <comment ref="R319" authorId="0">
      <text>
        <r>
          <rPr>
            <sz val="10"/>
            <color rgb="FF000000"/>
            <rFont val="Tahoma"/>
            <charset val="1"/>
          </rPr>
          <t xml:space="preserve">built on machine doing relatively free digging = 200 tph, halve or quarter this for more difficult or insitu material
</t>
        </r>
      </text>
    </comment>
    <comment ref="S319" authorId="0">
      <text>
        <r>
          <rPr>
            <sz val="10"/>
            <color rgb="FF000000"/>
            <rFont val="Tahoma"/>
            <charset val="1"/>
          </rPr>
          <t xml:space="preserve">built on machine doing relatively free digging = 200 tph, halve or quarter this for more difficult or insitu material
</t>
        </r>
      </text>
    </comment>
    <comment ref="T319" authorId="0">
      <text>
        <r>
          <rPr>
            <sz val="10"/>
            <color rgb="FF000000"/>
            <rFont val="Tahoma"/>
            <charset val="1"/>
          </rPr>
          <t xml:space="preserve">built on machine doing relatively free digging = 200 tph, halve or quarter this for more difficult or insitu material
</t>
        </r>
      </text>
    </comment>
    <comment ref="U319" authorId="0">
      <text>
        <r>
          <rPr>
            <sz val="10"/>
            <color rgb="FF000000"/>
            <rFont val="Tahoma"/>
            <charset val="1"/>
          </rPr>
          <t xml:space="preserve">built on machine doing relatively free digging = 200 tph, halve or quarter this for more difficult or insitu material
</t>
        </r>
      </text>
    </comment>
    <comment ref="V319" authorId="0">
      <text>
        <r>
          <rPr>
            <sz val="10"/>
            <color rgb="FF000000"/>
            <rFont val="Tahoma"/>
            <charset val="1"/>
          </rPr>
          <t xml:space="preserve">built on machine doing relatively free digging = 200 tph, halve or quarter this for more difficult or insitu material
</t>
        </r>
      </text>
    </comment>
    <comment ref="W319" authorId="0">
      <text>
        <r>
          <rPr>
            <sz val="10"/>
            <color rgb="FF000000"/>
            <rFont val="Tahoma"/>
            <charset val="1"/>
          </rPr>
          <t xml:space="preserve">built on machine doing relatively free digging = 200 tph, halve or quarter this for more difficult or insitu material
</t>
        </r>
      </text>
    </comment>
    <comment ref="C321" authorId="0">
      <text>
        <r>
          <rPr>
            <sz val="10"/>
            <color rgb="FF000000"/>
            <rFont val="Tahoma"/>
            <charset val="1"/>
          </rPr>
          <t xml:space="preserve">data from Wirtgen
</t>
        </r>
      </text>
    </comment>
    <comment ref="D321" authorId="0">
      <text>
        <r>
          <rPr>
            <sz val="10"/>
            <color rgb="FF000000"/>
            <rFont val="Tahoma"/>
            <charset val="1"/>
          </rPr>
          <t xml:space="preserve">data from Wirtgen
</t>
        </r>
      </text>
    </comment>
    <comment ref="E321" authorId="0">
      <text>
        <r>
          <rPr>
            <sz val="10"/>
            <color rgb="FF000000"/>
            <rFont val="Tahoma"/>
            <charset val="1"/>
          </rPr>
          <t xml:space="preserve">data from Wirtgen
</t>
        </r>
      </text>
    </comment>
    <comment ref="F321" authorId="0">
      <text>
        <r>
          <rPr>
            <sz val="10"/>
            <color rgb="FF000000"/>
            <rFont val="Tahoma"/>
            <charset val="1"/>
          </rPr>
          <t xml:space="preserve">data from Wirtgen
</t>
        </r>
      </text>
    </comment>
    <comment ref="G321" authorId="0">
      <text>
        <r>
          <rPr>
            <sz val="10"/>
            <color rgb="FF000000"/>
            <rFont val="Tahoma"/>
            <charset val="1"/>
          </rPr>
          <t xml:space="preserve">data from Wirtgen
</t>
        </r>
      </text>
    </comment>
    <comment ref="H321" authorId="0">
      <text>
        <r>
          <rPr>
            <sz val="10"/>
            <color rgb="FF000000"/>
            <rFont val="Tahoma"/>
            <charset val="1"/>
          </rPr>
          <t xml:space="preserve">data from Wirtgen
</t>
        </r>
      </text>
    </comment>
    <comment ref="I321" authorId="0">
      <text>
        <r>
          <rPr>
            <sz val="10"/>
            <color rgb="FF000000"/>
            <rFont val="Tahoma"/>
            <charset val="1"/>
          </rPr>
          <t xml:space="preserve">data from Wirtgen
</t>
        </r>
      </text>
    </comment>
    <comment ref="J321" authorId="0">
      <text>
        <r>
          <rPr>
            <sz val="10"/>
            <color rgb="FF000000"/>
            <rFont val="Tahoma"/>
            <charset val="1"/>
          </rPr>
          <t xml:space="preserve">data from Wirtgen
</t>
        </r>
      </text>
    </comment>
    <comment ref="K321" authorId="0">
      <text>
        <r>
          <rPr>
            <sz val="10"/>
            <color rgb="FF000000"/>
            <rFont val="Tahoma"/>
            <charset val="1"/>
          </rPr>
          <t xml:space="preserve">data from Wirtgen
</t>
        </r>
      </text>
    </comment>
    <comment ref="L321" authorId="0">
      <text>
        <r>
          <rPr>
            <sz val="10"/>
            <color rgb="FF000000"/>
            <rFont val="Tahoma"/>
            <charset val="1"/>
          </rPr>
          <t xml:space="preserve">data from Wirtgen
</t>
        </r>
      </text>
    </comment>
    <comment ref="M321" authorId="0">
      <text>
        <r>
          <rPr>
            <sz val="10"/>
            <color rgb="FF000000"/>
            <rFont val="Tahoma"/>
            <charset val="1"/>
          </rPr>
          <t xml:space="preserve">data from Wirtgen
</t>
        </r>
      </text>
    </comment>
    <comment ref="N321" authorId="0">
      <text>
        <r>
          <rPr>
            <sz val="10"/>
            <color rgb="FF000000"/>
            <rFont val="Tahoma"/>
            <charset val="1"/>
          </rPr>
          <t xml:space="preserve">data from Wirtgen
</t>
        </r>
      </text>
    </comment>
    <comment ref="O321" authorId="0">
      <text>
        <r>
          <rPr>
            <sz val="10"/>
            <color rgb="FF000000"/>
            <rFont val="Tahoma"/>
            <charset val="1"/>
          </rPr>
          <t xml:space="preserve">data from Wirtgen
</t>
        </r>
      </text>
    </comment>
    <comment ref="P321" authorId="0">
      <text>
        <r>
          <rPr>
            <sz val="10"/>
            <color rgb="FF000000"/>
            <rFont val="Tahoma"/>
            <charset val="1"/>
          </rPr>
          <t xml:space="preserve">data from Wirtgen
</t>
        </r>
      </text>
    </comment>
    <comment ref="Q321" authorId="0">
      <text>
        <r>
          <rPr>
            <sz val="10"/>
            <color rgb="FF000000"/>
            <rFont val="Tahoma"/>
            <charset val="1"/>
          </rPr>
          <t xml:space="preserve">data from Wirtgen
</t>
        </r>
      </text>
    </comment>
    <comment ref="R321" authorId="0">
      <text>
        <r>
          <rPr>
            <sz val="10"/>
            <color rgb="FF000000"/>
            <rFont val="Tahoma"/>
            <charset val="1"/>
          </rPr>
          <t xml:space="preserve">data from Wirtgen
</t>
        </r>
      </text>
    </comment>
    <comment ref="S321" authorId="0">
      <text>
        <r>
          <rPr>
            <sz val="10"/>
            <color rgb="FF000000"/>
            <rFont val="Tahoma"/>
            <charset val="1"/>
          </rPr>
          <t xml:space="preserve">data from Wirtgen
</t>
        </r>
      </text>
    </comment>
    <comment ref="T321" authorId="0">
      <text>
        <r>
          <rPr>
            <sz val="10"/>
            <color rgb="FF000000"/>
            <rFont val="Tahoma"/>
            <charset val="1"/>
          </rPr>
          <t xml:space="preserve">data from Wirtgen
</t>
        </r>
      </text>
    </comment>
    <comment ref="U321" authorId="0">
      <text>
        <r>
          <rPr>
            <sz val="10"/>
            <color rgb="FF000000"/>
            <rFont val="Tahoma"/>
            <charset val="1"/>
          </rPr>
          <t xml:space="preserve">data from Wirtgen
</t>
        </r>
      </text>
    </comment>
    <comment ref="V321" authorId="0">
      <text>
        <r>
          <rPr>
            <sz val="10"/>
            <color rgb="FF000000"/>
            <rFont val="Tahoma"/>
            <charset val="1"/>
          </rPr>
          <t xml:space="preserve">data from Wirtgen
</t>
        </r>
      </text>
    </comment>
    <comment ref="W321" authorId="0">
      <text>
        <r>
          <rPr>
            <sz val="10"/>
            <color rgb="FF000000"/>
            <rFont val="Tahoma"/>
            <charset val="1"/>
          </rPr>
          <t xml:space="preserve">data from Wirtgen
</t>
        </r>
      </text>
    </comment>
    <comment ref="C322" authorId="0">
      <text>
        <r>
          <rPr>
            <sz val="10"/>
            <color rgb="FF000000"/>
            <rFont val="Tahoma"/>
            <charset val="1"/>
          </rPr>
          <t>2 on ground plus tending crew (2) and mtce crew allowance (2)</t>
        </r>
      </text>
    </comment>
    <comment ref="D322" authorId="0">
      <text>
        <r>
          <rPr>
            <sz val="10"/>
            <color rgb="FF000000"/>
            <rFont val="Tahoma"/>
            <charset val="1"/>
          </rPr>
          <t>2 on ground plus tending crew (2) and mtce crew allowance (2)</t>
        </r>
      </text>
    </comment>
    <comment ref="E322" authorId="0">
      <text>
        <r>
          <rPr>
            <sz val="10"/>
            <color rgb="FF000000"/>
            <rFont val="Tahoma"/>
            <charset val="1"/>
          </rPr>
          <t>2 on ground plus tending crew (2) and mtce crew allowance (2)</t>
        </r>
      </text>
    </comment>
    <comment ref="F322" authorId="0">
      <text>
        <r>
          <rPr>
            <sz val="10"/>
            <color rgb="FF000000"/>
            <rFont val="Tahoma"/>
            <charset val="1"/>
          </rPr>
          <t>2 on ground plus tending crew (2) and mtce crew allowance (2)</t>
        </r>
      </text>
    </comment>
    <comment ref="G322" authorId="0">
      <text>
        <r>
          <rPr>
            <sz val="10"/>
            <color rgb="FF000000"/>
            <rFont val="Tahoma"/>
            <charset val="1"/>
          </rPr>
          <t>2 on ground plus tending crew (2) and mtce crew allowance (2)</t>
        </r>
      </text>
    </comment>
    <comment ref="H322" authorId="0">
      <text>
        <r>
          <rPr>
            <sz val="10"/>
            <color rgb="FF000000"/>
            <rFont val="Tahoma"/>
            <charset val="1"/>
          </rPr>
          <t>2 on ground plus tending crew (2) and mtce crew allowance (2)</t>
        </r>
      </text>
    </comment>
    <comment ref="I322" authorId="0">
      <text>
        <r>
          <rPr>
            <sz val="10"/>
            <color rgb="FF000000"/>
            <rFont val="Tahoma"/>
            <charset val="1"/>
          </rPr>
          <t>2 on ground plus tending crew (2) and mtce crew allowance (2)</t>
        </r>
      </text>
    </comment>
    <comment ref="J322" authorId="0">
      <text>
        <r>
          <rPr>
            <sz val="10"/>
            <color rgb="FF000000"/>
            <rFont val="Tahoma"/>
            <charset val="1"/>
          </rPr>
          <t>2 on ground plus tending crew (2) and mtce crew allowance (2)</t>
        </r>
      </text>
    </comment>
    <comment ref="K322" authorId="0">
      <text>
        <r>
          <rPr>
            <sz val="10"/>
            <color rgb="FF000000"/>
            <rFont val="Tahoma"/>
            <charset val="1"/>
          </rPr>
          <t>2 on ground plus tending crew (2) and mtce crew allowance (2)</t>
        </r>
      </text>
    </comment>
    <comment ref="L322" authorId="0">
      <text>
        <r>
          <rPr>
            <sz val="10"/>
            <color rgb="FF000000"/>
            <rFont val="Tahoma"/>
            <charset val="1"/>
          </rPr>
          <t>2 on ground plus tending crew (2) and mtce crew allowance (2)</t>
        </r>
      </text>
    </comment>
    <comment ref="M322" authorId="0">
      <text>
        <r>
          <rPr>
            <sz val="10"/>
            <color rgb="FF000000"/>
            <rFont val="Tahoma"/>
            <charset val="1"/>
          </rPr>
          <t>2 on ground plus tending crew (2) and mtce crew allowance (2)</t>
        </r>
      </text>
    </comment>
    <comment ref="N322" authorId="0">
      <text>
        <r>
          <rPr>
            <sz val="10"/>
            <color rgb="FF000000"/>
            <rFont val="Tahoma"/>
            <charset val="1"/>
          </rPr>
          <t>2 on ground plus tending crew (2) and mtce crew allowance (2)</t>
        </r>
      </text>
    </comment>
    <comment ref="O322" authorId="0">
      <text>
        <r>
          <rPr>
            <sz val="10"/>
            <color rgb="FF000000"/>
            <rFont val="Tahoma"/>
            <charset val="1"/>
          </rPr>
          <t>2 on ground plus tending crew (2) and mtce crew allowance (2)</t>
        </r>
      </text>
    </comment>
    <comment ref="P322" authorId="0">
      <text>
        <r>
          <rPr>
            <sz val="10"/>
            <color rgb="FF000000"/>
            <rFont val="Tahoma"/>
            <charset val="1"/>
          </rPr>
          <t>2 on ground plus tending crew (2) and mtce crew allowance (2)</t>
        </r>
      </text>
    </comment>
    <comment ref="Q322" authorId="0">
      <text>
        <r>
          <rPr>
            <sz val="10"/>
            <color rgb="FF000000"/>
            <rFont val="Tahoma"/>
            <charset val="1"/>
          </rPr>
          <t>2 on ground plus tending crew (2) and mtce crew allowance (2)</t>
        </r>
      </text>
    </comment>
    <comment ref="R322" authorId="0">
      <text>
        <r>
          <rPr>
            <sz val="10"/>
            <color rgb="FF000000"/>
            <rFont val="Tahoma"/>
            <charset val="1"/>
          </rPr>
          <t>2 on ground plus tending crew (2) and mtce crew allowance (2)</t>
        </r>
      </text>
    </comment>
    <comment ref="S322" authorId="0">
      <text>
        <r>
          <rPr>
            <sz val="10"/>
            <color rgb="FF000000"/>
            <rFont val="Tahoma"/>
            <charset val="1"/>
          </rPr>
          <t>2 on ground plus tending crew (2) and mtce crew allowance (2)</t>
        </r>
      </text>
    </comment>
    <comment ref="T322" authorId="0">
      <text>
        <r>
          <rPr>
            <sz val="10"/>
            <color rgb="FF000000"/>
            <rFont val="Tahoma"/>
            <charset val="1"/>
          </rPr>
          <t>2 on ground plus tending crew (2) and mtce crew allowance (2)</t>
        </r>
      </text>
    </comment>
    <comment ref="U322" authorId="0">
      <text>
        <r>
          <rPr>
            <sz val="10"/>
            <color rgb="FF000000"/>
            <rFont val="Tahoma"/>
            <charset val="1"/>
          </rPr>
          <t>2 on ground plus tending crew (2) and mtce crew allowance (2)</t>
        </r>
      </text>
    </comment>
    <comment ref="V322" authorId="0">
      <text>
        <r>
          <rPr>
            <sz val="10"/>
            <color rgb="FF000000"/>
            <rFont val="Tahoma"/>
            <charset val="1"/>
          </rPr>
          <t>2 on ground plus tending crew (2) and mtce crew allowance (2)</t>
        </r>
      </text>
    </comment>
    <comment ref="W322" authorId="0">
      <text>
        <r>
          <rPr>
            <sz val="10"/>
            <color rgb="FF000000"/>
            <rFont val="Tahoma"/>
            <charset val="1"/>
          </rPr>
          <t>2 on ground plus tending crew (2) and mtce crew allowance (2)</t>
        </r>
      </text>
    </comment>
    <comment ref="C323" authorId="0">
      <text>
        <r>
          <rPr>
            <sz val="10"/>
            <color rgb="FF000000"/>
            <rFont val="Tahoma"/>
            <charset val="1"/>
          </rPr>
          <t xml:space="preserve">Wirtgen supplied data at 650 tph converted from euros to US$ and then to a per wmt rate
</t>
        </r>
      </text>
    </comment>
    <comment ref="D323" authorId="0">
      <text>
        <r>
          <rPr>
            <sz val="10"/>
            <color rgb="FF000000"/>
            <rFont val="Tahoma"/>
            <charset val="1"/>
          </rPr>
          <t xml:space="preserve">Wirtgen supplied data at 650 tph converted from euros to US$ and then to a per wmt rate
</t>
        </r>
      </text>
    </comment>
    <comment ref="E323" authorId="0">
      <text>
        <r>
          <rPr>
            <sz val="10"/>
            <color rgb="FF000000"/>
            <rFont val="Tahoma"/>
            <charset val="1"/>
          </rPr>
          <t xml:space="preserve">Wirtgen supplied data at 650 tph converted from euros to US$ and then to a per wmt rate
</t>
        </r>
      </text>
    </comment>
    <comment ref="F323" authorId="0">
      <text>
        <r>
          <rPr>
            <sz val="10"/>
            <color rgb="FF000000"/>
            <rFont val="Tahoma"/>
            <charset val="1"/>
          </rPr>
          <t xml:space="preserve">Wirtgen supplied data at 650 tph converted from euros to US$ and then to a per wmt rate
</t>
        </r>
      </text>
    </comment>
    <comment ref="G323" authorId="0">
      <text>
        <r>
          <rPr>
            <sz val="10"/>
            <color rgb="FF000000"/>
            <rFont val="Tahoma"/>
            <charset val="1"/>
          </rPr>
          <t xml:space="preserve">Wirtgen supplied data at 650 tph converted from euros to US$ and then to a per wmt rate
</t>
        </r>
      </text>
    </comment>
    <comment ref="H323" authorId="0">
      <text>
        <r>
          <rPr>
            <sz val="10"/>
            <color rgb="FF000000"/>
            <rFont val="Tahoma"/>
            <charset val="1"/>
          </rPr>
          <t xml:space="preserve">Wirtgen supplied data at 650 tph converted from euros to US$ and then to a per wmt rate
</t>
        </r>
      </text>
    </comment>
    <comment ref="I323" authorId="0">
      <text>
        <r>
          <rPr>
            <sz val="10"/>
            <color rgb="FF000000"/>
            <rFont val="Tahoma"/>
            <charset val="1"/>
          </rPr>
          <t xml:space="preserve">Wirtgen supplied data at 650 tph converted from euros to US$ and then to a per wmt rate
</t>
        </r>
      </text>
    </comment>
    <comment ref="J323" authorId="0">
      <text>
        <r>
          <rPr>
            <sz val="10"/>
            <color rgb="FF000000"/>
            <rFont val="Tahoma"/>
            <charset val="1"/>
          </rPr>
          <t xml:space="preserve">Wirtgen supplied data at 650 tph converted from euros to US$ and then to a per wmt rate
</t>
        </r>
      </text>
    </comment>
    <comment ref="K323" authorId="0">
      <text>
        <r>
          <rPr>
            <sz val="10"/>
            <color rgb="FF000000"/>
            <rFont val="Tahoma"/>
            <charset val="1"/>
          </rPr>
          <t xml:space="preserve">Wirtgen supplied data at 650 tph converted from euros to US$ and then to a per wmt rate
</t>
        </r>
      </text>
    </comment>
    <comment ref="L323" authorId="0">
      <text>
        <r>
          <rPr>
            <sz val="10"/>
            <color rgb="FF000000"/>
            <rFont val="Tahoma"/>
            <charset val="1"/>
          </rPr>
          <t xml:space="preserve">Wirtgen supplied data at 650 tph converted from euros to US$ and then to a per wmt rate
</t>
        </r>
      </text>
    </comment>
    <comment ref="M323" authorId="0">
      <text>
        <r>
          <rPr>
            <sz val="10"/>
            <color rgb="FF000000"/>
            <rFont val="Tahoma"/>
            <charset val="1"/>
          </rPr>
          <t xml:space="preserve">Wirtgen supplied data at 650 tph converted from euros to US$ and then to a per wmt rate
</t>
        </r>
      </text>
    </comment>
    <comment ref="N323" authorId="0">
      <text>
        <r>
          <rPr>
            <sz val="10"/>
            <color rgb="FF000000"/>
            <rFont val="Tahoma"/>
            <charset val="1"/>
          </rPr>
          <t xml:space="preserve">Wirtgen supplied data at 650 tph converted from euros to US$ and then to a per wmt rate
</t>
        </r>
      </text>
    </comment>
    <comment ref="O323" authorId="0">
      <text>
        <r>
          <rPr>
            <sz val="10"/>
            <color rgb="FF000000"/>
            <rFont val="Tahoma"/>
            <charset val="1"/>
          </rPr>
          <t xml:space="preserve">Wirtgen supplied data at 650 tph converted from euros to US$ and then to a per wmt rate
</t>
        </r>
      </text>
    </comment>
    <comment ref="P323" authorId="0">
      <text>
        <r>
          <rPr>
            <sz val="10"/>
            <color rgb="FF000000"/>
            <rFont val="Tahoma"/>
            <charset val="1"/>
          </rPr>
          <t xml:space="preserve">Wirtgen supplied data at 650 tph converted from euros to US$ and then to a per wmt rate
</t>
        </r>
      </text>
    </comment>
    <comment ref="Q323" authorId="0">
      <text>
        <r>
          <rPr>
            <sz val="10"/>
            <color rgb="FF000000"/>
            <rFont val="Tahoma"/>
            <charset val="1"/>
          </rPr>
          <t xml:space="preserve">Wirtgen supplied data at 650 tph converted from euros to US$ and then to a per wmt rate
</t>
        </r>
      </text>
    </comment>
    <comment ref="R323" authorId="0">
      <text>
        <r>
          <rPr>
            <sz val="10"/>
            <color rgb="FF000000"/>
            <rFont val="Tahoma"/>
            <charset val="1"/>
          </rPr>
          <t xml:space="preserve">Wirtgen supplied data at 650 tph converted from euros to US$ and then to a per wmt rate
</t>
        </r>
      </text>
    </comment>
    <comment ref="S323" authorId="0">
      <text>
        <r>
          <rPr>
            <sz val="10"/>
            <color rgb="FF000000"/>
            <rFont val="Tahoma"/>
            <charset val="1"/>
          </rPr>
          <t xml:space="preserve">Wirtgen supplied data at 650 tph converted from euros to US$ and then to a per wmt rate
</t>
        </r>
      </text>
    </comment>
    <comment ref="T323" authorId="0">
      <text>
        <r>
          <rPr>
            <sz val="10"/>
            <color rgb="FF000000"/>
            <rFont val="Tahoma"/>
            <charset val="1"/>
          </rPr>
          <t xml:space="preserve">Wirtgen supplied data at 650 tph converted from euros to US$ and then to a per wmt rate
</t>
        </r>
      </text>
    </comment>
    <comment ref="U323" authorId="0">
      <text>
        <r>
          <rPr>
            <sz val="10"/>
            <color rgb="FF000000"/>
            <rFont val="Tahoma"/>
            <charset val="1"/>
          </rPr>
          <t xml:space="preserve">Wirtgen supplied data at 650 tph converted from euros to US$ and then to a per wmt rate
</t>
        </r>
      </text>
    </comment>
    <comment ref="V323" authorId="0">
      <text>
        <r>
          <rPr>
            <sz val="10"/>
            <color rgb="FF000000"/>
            <rFont val="Tahoma"/>
            <charset val="1"/>
          </rPr>
          <t xml:space="preserve">Wirtgen supplied data at 650 tph converted from euros to US$ and then to a per wmt rate
</t>
        </r>
      </text>
    </comment>
    <comment ref="W323" authorId="0">
      <text>
        <r>
          <rPr>
            <sz val="10"/>
            <color rgb="FF000000"/>
            <rFont val="Tahoma"/>
            <charset val="1"/>
          </rPr>
          <t xml:space="preserve">Wirtgen supplied data at 650 tph converted from euros to US$ and then to a per wmt rate
</t>
        </r>
      </text>
    </comment>
    <comment ref="D339" authorId="0">
      <text>
        <r>
          <rPr>
            <sz val="10"/>
            <color rgb="FF000000"/>
            <rFont val="Tahoma"/>
            <charset val="1"/>
          </rPr>
          <t xml:space="preserve">15-20 km
</t>
        </r>
      </text>
    </comment>
    <comment ref="E339" authorId="0">
      <text>
        <r>
          <rPr>
            <sz val="10"/>
            <color rgb="FF000000"/>
            <rFont val="Tahoma"/>
            <charset val="1"/>
          </rPr>
          <t xml:space="preserve">15-20 km
</t>
        </r>
      </text>
    </comment>
    <comment ref="F339" authorId="0">
      <text>
        <r>
          <rPr>
            <sz val="10"/>
            <color rgb="FF000000"/>
            <rFont val="Tahoma"/>
            <charset val="1"/>
          </rPr>
          <t xml:space="preserve">20km assumption for Kindia
</t>
        </r>
      </text>
    </comment>
    <comment ref="G339" authorId="0">
      <text>
        <r>
          <rPr>
            <sz val="10"/>
            <color rgb="FF000000"/>
            <rFont val="Tahoma"/>
            <charset val="1"/>
          </rPr>
          <t xml:space="preserve">20km assumption for Kindia
</t>
        </r>
      </text>
    </comment>
    <comment ref="C341" authorId="0">
      <text>
        <r>
          <rPr>
            <sz val="10"/>
            <color rgb="FF000000"/>
            <rFont val="Tahoma"/>
            <charset val="1"/>
          </rPr>
          <t>tuned roughly to Henan Chine trip data</t>
        </r>
      </text>
    </comment>
    <comment ref="D341" authorId="0">
      <text>
        <r>
          <rPr>
            <sz val="10"/>
            <color rgb="FF000000"/>
            <rFont val="Tahoma"/>
            <charset val="1"/>
          </rPr>
          <t>tuned roughly to Henan Chine trip data</t>
        </r>
      </text>
    </comment>
    <comment ref="E341" authorId="0">
      <text>
        <r>
          <rPr>
            <sz val="10"/>
            <color rgb="FF000000"/>
            <rFont val="Tahoma"/>
            <charset val="1"/>
          </rPr>
          <t>tuned roughly to Henan Chine trip data</t>
        </r>
      </text>
    </comment>
    <comment ref="F341" authorId="0">
      <text>
        <r>
          <rPr>
            <sz val="10"/>
            <color rgb="FF000000"/>
            <rFont val="Tahoma"/>
            <charset val="1"/>
          </rPr>
          <t>tuned roughly to Henan Chine trip data</t>
        </r>
      </text>
    </comment>
    <comment ref="G341" authorId="0">
      <text>
        <r>
          <rPr>
            <sz val="10"/>
            <color rgb="FF000000"/>
            <rFont val="Tahoma"/>
            <charset val="1"/>
          </rPr>
          <t>tuned roughly to Henan Chine trip data</t>
        </r>
      </text>
    </comment>
    <comment ref="H341" authorId="0">
      <text>
        <r>
          <rPr>
            <sz val="10"/>
            <color rgb="FF000000"/>
            <rFont val="Tahoma"/>
            <charset val="1"/>
          </rPr>
          <t>tuned roughly to Henan Chine trip data</t>
        </r>
      </text>
    </comment>
    <comment ref="I341" authorId="0">
      <text>
        <r>
          <rPr>
            <sz val="10"/>
            <color rgb="FF000000"/>
            <rFont val="Tahoma"/>
            <charset val="1"/>
          </rPr>
          <t>tuned roughly to Henan Chine trip data</t>
        </r>
      </text>
    </comment>
    <comment ref="J341" authorId="0">
      <text>
        <r>
          <rPr>
            <sz val="10"/>
            <color rgb="FF000000"/>
            <rFont val="Tahoma"/>
            <charset val="1"/>
          </rPr>
          <t>tuned roughly to Henan Chine trip data</t>
        </r>
      </text>
    </comment>
    <comment ref="K341" authorId="0">
      <text>
        <r>
          <rPr>
            <sz val="10"/>
            <color rgb="FF000000"/>
            <rFont val="Tahoma"/>
            <charset val="1"/>
          </rPr>
          <t>tuned roughly to Henan Chine trip data</t>
        </r>
      </text>
    </comment>
    <comment ref="L341" authorId="0">
      <text>
        <r>
          <rPr>
            <sz val="10"/>
            <color rgb="FF000000"/>
            <rFont val="Tahoma"/>
            <charset val="1"/>
          </rPr>
          <t>tuned roughly to Henan Chine trip data</t>
        </r>
      </text>
    </comment>
    <comment ref="M341" authorId="0">
      <text>
        <r>
          <rPr>
            <sz val="10"/>
            <color rgb="FF000000"/>
            <rFont val="Tahoma"/>
            <charset val="1"/>
          </rPr>
          <t>tuned roughly to Henan Chine trip data</t>
        </r>
      </text>
    </comment>
    <comment ref="N341" authorId="0">
      <text>
        <r>
          <rPr>
            <sz val="10"/>
            <color rgb="FF000000"/>
            <rFont val="Tahoma"/>
            <charset val="1"/>
          </rPr>
          <t>tuned roughly to Henan Chine trip data</t>
        </r>
      </text>
    </comment>
    <comment ref="O341" authorId="0">
      <text>
        <r>
          <rPr>
            <sz val="10"/>
            <color rgb="FF000000"/>
            <rFont val="Tahoma"/>
            <charset val="1"/>
          </rPr>
          <t>tuned roughly to Henan Chine trip data</t>
        </r>
      </text>
    </comment>
    <comment ref="P341" authorId="0">
      <text>
        <r>
          <rPr>
            <sz val="10"/>
            <color rgb="FF000000"/>
            <rFont val="Tahoma"/>
            <charset val="1"/>
          </rPr>
          <t>tuned roughly to Henan Chine trip data</t>
        </r>
      </text>
    </comment>
    <comment ref="Q341" authorId="0">
      <text>
        <r>
          <rPr>
            <sz val="10"/>
            <color rgb="FF000000"/>
            <rFont val="Tahoma"/>
            <charset val="1"/>
          </rPr>
          <t>tuned roughly to Henan Chine trip data</t>
        </r>
      </text>
    </comment>
    <comment ref="R341" authorId="0">
      <text>
        <r>
          <rPr>
            <sz val="10"/>
            <color rgb="FF000000"/>
            <rFont val="Tahoma"/>
            <charset val="1"/>
          </rPr>
          <t>tuned roughly to Henan Chine trip data</t>
        </r>
      </text>
    </comment>
    <comment ref="S341" authorId="0">
      <text>
        <r>
          <rPr>
            <sz val="10"/>
            <color rgb="FF000000"/>
            <rFont val="Tahoma"/>
            <charset val="1"/>
          </rPr>
          <t>tuned roughly to Henan Chine trip data</t>
        </r>
      </text>
    </comment>
    <comment ref="T341" authorId="0">
      <text>
        <r>
          <rPr>
            <sz val="10"/>
            <color rgb="FF000000"/>
            <rFont val="Tahoma"/>
            <charset val="1"/>
          </rPr>
          <t>tuned roughly to Henan Chine trip data</t>
        </r>
      </text>
    </comment>
    <comment ref="U341" authorId="0">
      <text>
        <r>
          <rPr>
            <sz val="10"/>
            <color rgb="FF000000"/>
            <rFont val="Tahoma"/>
            <charset val="1"/>
          </rPr>
          <t>tuned roughly to Henan Chine trip data</t>
        </r>
      </text>
    </comment>
    <comment ref="V341" authorId="0">
      <text>
        <r>
          <rPr>
            <sz val="10"/>
            <color rgb="FF000000"/>
            <rFont val="Tahoma"/>
            <charset val="1"/>
          </rPr>
          <t>tuned roughly to Henan Chine trip data</t>
        </r>
      </text>
    </comment>
    <comment ref="W341" authorId="0">
      <text>
        <r>
          <rPr>
            <sz val="10"/>
            <color rgb="FF000000"/>
            <rFont val="Tahoma"/>
            <charset val="1"/>
          </rPr>
          <t>tuned roughly to Henan Chine trip data</t>
        </r>
      </text>
    </comment>
    <comment ref="C342" authorId="0">
      <text>
        <r>
          <rPr>
            <sz val="10"/>
            <color rgb="FF000000"/>
            <rFont val="Calibri"/>
            <charset val="1"/>
          </rPr>
          <t xml:space="preserve">Baes off India bx truck data &amp; Guidelines for Measuring and Managing CO2 Emission from Freight Transport Operations </t>
        </r>
      </text>
    </comment>
    <comment ref="D342" authorId="0">
      <text>
        <r>
          <rPr>
            <sz val="10"/>
            <color rgb="FF000000"/>
            <rFont val="Calibri"/>
            <charset val="1"/>
          </rPr>
          <t xml:space="preserve">Baes off India bx truck data &amp; Guidelines for Measuring and Managing CO2 Emission from Freight Transport Operations </t>
        </r>
      </text>
    </comment>
    <comment ref="E342" authorId="0">
      <text>
        <r>
          <rPr>
            <sz val="10"/>
            <color rgb="FF000000"/>
            <rFont val="Calibri"/>
            <charset val="1"/>
          </rPr>
          <t xml:space="preserve">Baes off India bx truck data &amp; Guidelines for Measuring and Managing CO2 Emission from Freight Transport Operations </t>
        </r>
      </text>
    </comment>
    <comment ref="F342" authorId="0">
      <text>
        <r>
          <rPr>
            <sz val="10"/>
            <color rgb="FF000000"/>
            <rFont val="Calibri"/>
            <charset val="1"/>
          </rPr>
          <t xml:space="preserve">Baes off India bx truck data &amp; Guidelines for Measuring and Managing CO2 Emission from Freight Transport Operations </t>
        </r>
      </text>
    </comment>
    <comment ref="G342" authorId="0">
      <text>
        <r>
          <rPr>
            <sz val="10"/>
            <color rgb="FF000000"/>
            <rFont val="Calibri"/>
            <charset val="1"/>
          </rPr>
          <t xml:space="preserve">Baes off India bx truck data &amp; Guidelines for Measuring and Managing CO2 Emission from Freight Transport Operations </t>
        </r>
      </text>
    </comment>
    <comment ref="H342" authorId="0">
      <text>
        <r>
          <rPr>
            <sz val="10"/>
            <color rgb="FF000000"/>
            <rFont val="Calibri"/>
            <charset val="1"/>
          </rPr>
          <t xml:space="preserve">Baes off India bx truck data &amp; Guidelines for Measuring and Managing CO2 Emission from Freight Transport Operations </t>
        </r>
      </text>
    </comment>
    <comment ref="I342" authorId="0">
      <text>
        <r>
          <rPr>
            <sz val="10"/>
            <color rgb="FF000000"/>
            <rFont val="Calibri"/>
            <charset val="1"/>
          </rPr>
          <t xml:space="preserve">Baes off India bx truck data &amp; Guidelines for Measuring and Managing CO2 Emission from Freight Transport Operations </t>
        </r>
      </text>
    </comment>
    <comment ref="J342" authorId="0">
      <text>
        <r>
          <rPr>
            <sz val="10"/>
            <color rgb="FF000000"/>
            <rFont val="Calibri"/>
            <charset val="1"/>
          </rPr>
          <t xml:space="preserve">Baes off India bx truck data &amp; Guidelines for Measuring and Managing CO2 Emission from Freight Transport Operations </t>
        </r>
      </text>
    </comment>
    <comment ref="K342" authorId="0">
      <text>
        <r>
          <rPr>
            <sz val="10"/>
            <color rgb="FF000000"/>
            <rFont val="Calibri"/>
            <charset val="1"/>
          </rPr>
          <t xml:space="preserve">Baes off India bx truck data &amp; Guidelines for Measuring and Managing CO2 Emission from Freight Transport Operations </t>
        </r>
      </text>
    </comment>
    <comment ref="L342" authorId="0">
      <text>
        <r>
          <rPr>
            <sz val="10"/>
            <color rgb="FF000000"/>
            <rFont val="Calibri"/>
            <charset val="1"/>
          </rPr>
          <t xml:space="preserve">Baes off India bx truck data &amp; Guidelines for Measuring and Managing CO2 Emission from Freight Transport Operations </t>
        </r>
      </text>
    </comment>
    <comment ref="M342" authorId="0">
      <text>
        <r>
          <rPr>
            <sz val="10"/>
            <color rgb="FF000000"/>
            <rFont val="Calibri"/>
            <charset val="1"/>
          </rPr>
          <t xml:space="preserve">Baes off India bx truck data &amp; Guidelines for Measuring and Managing CO2 Emission from Freight Transport Operations </t>
        </r>
      </text>
    </comment>
    <comment ref="N342" authorId="0">
      <text>
        <r>
          <rPr>
            <sz val="10"/>
            <color rgb="FF000000"/>
            <rFont val="Calibri"/>
            <charset val="1"/>
          </rPr>
          <t xml:space="preserve">Baes off India bx truck data &amp; Guidelines for Measuring and Managing CO2 Emission from Freight Transport Operations </t>
        </r>
      </text>
    </comment>
    <comment ref="O342" authorId="0">
      <text>
        <r>
          <rPr>
            <sz val="10"/>
            <color rgb="FF000000"/>
            <rFont val="Calibri"/>
            <charset val="1"/>
          </rPr>
          <t xml:space="preserve">Baes off India bx truck data &amp; Guidelines for Measuring and Managing CO2 Emission from Freight Transport Operations </t>
        </r>
      </text>
    </comment>
    <comment ref="P342" authorId="0">
      <text>
        <r>
          <rPr>
            <sz val="10"/>
            <color rgb="FF000000"/>
            <rFont val="Calibri"/>
            <charset val="1"/>
          </rPr>
          <t xml:space="preserve">Baes off India bx truck data &amp; Guidelines for Measuring and Managing CO2 Emission from Freight Transport Operations </t>
        </r>
      </text>
    </comment>
    <comment ref="Q342" authorId="0">
      <text>
        <r>
          <rPr>
            <sz val="10"/>
            <color rgb="FF000000"/>
            <rFont val="Calibri"/>
            <charset val="1"/>
          </rPr>
          <t xml:space="preserve">Baes off India bx truck data &amp; Guidelines for Measuring and Managing CO2 Emission from Freight Transport Operations </t>
        </r>
      </text>
    </comment>
    <comment ref="R342" authorId="0">
      <text>
        <r>
          <rPr>
            <sz val="10"/>
            <color rgb="FF000000"/>
            <rFont val="Calibri"/>
            <charset val="1"/>
          </rPr>
          <t xml:space="preserve">Baes off India bx truck data &amp; Guidelines for Measuring and Managing CO2 Emission from Freight Transport Operations </t>
        </r>
      </text>
    </comment>
    <comment ref="S342" authorId="0">
      <text>
        <r>
          <rPr>
            <sz val="10"/>
            <color rgb="FF000000"/>
            <rFont val="Calibri"/>
            <charset val="1"/>
          </rPr>
          <t xml:space="preserve">Baes off India bx truck data &amp; Guidelines for Measuring and Managing CO2 Emission from Freight Transport Operations </t>
        </r>
      </text>
    </comment>
    <comment ref="T342" authorId="0">
      <text>
        <r>
          <rPr>
            <sz val="10"/>
            <color rgb="FF000000"/>
            <rFont val="Calibri"/>
            <charset val="1"/>
          </rPr>
          <t xml:space="preserve">Baes off India bx truck data &amp; Guidelines for Measuring and Managing CO2 Emission from Freight Transport Operations </t>
        </r>
      </text>
    </comment>
    <comment ref="U342" authorId="0">
      <text>
        <r>
          <rPr>
            <sz val="10"/>
            <color rgb="FF000000"/>
            <rFont val="Calibri"/>
            <charset val="1"/>
          </rPr>
          <t xml:space="preserve">Baes off India bx truck data &amp; Guidelines for Measuring and Managing CO2 Emission from Freight Transport Operations </t>
        </r>
      </text>
    </comment>
    <comment ref="V342" authorId="0">
      <text>
        <r>
          <rPr>
            <sz val="10"/>
            <color rgb="FF000000"/>
            <rFont val="Calibri"/>
            <charset val="1"/>
          </rPr>
          <t xml:space="preserve">Baes off India bx truck data &amp; Guidelines for Measuring and Managing CO2 Emission from Freight Transport Operations </t>
        </r>
      </text>
    </comment>
    <comment ref="W342" authorId="0">
      <text>
        <r>
          <rPr>
            <sz val="10"/>
            <color rgb="FF000000"/>
            <rFont val="Calibri"/>
            <charset val="1"/>
          </rPr>
          <t xml:space="preserve">Baes off India bx truck data &amp; Guidelines for Measuring and Managing CO2 Emission from Freight Transport Operations </t>
        </r>
      </text>
    </comment>
    <comment ref="C343" authorId="0">
      <text>
        <r>
          <rPr>
            <sz val="10"/>
            <color rgb="FF000000"/>
            <rFont val="Tahoma"/>
            <charset val="1"/>
          </rPr>
          <t>tuned roughly to Henan Chine trip data</t>
        </r>
      </text>
    </comment>
    <comment ref="D343" authorId="0">
      <text>
        <r>
          <rPr>
            <sz val="10"/>
            <color rgb="FF000000"/>
            <rFont val="Tahoma"/>
            <charset val="1"/>
          </rPr>
          <t>tuned roughly to Henan Chine trip data</t>
        </r>
      </text>
    </comment>
    <comment ref="E343" authorId="0">
      <text>
        <r>
          <rPr>
            <sz val="10"/>
            <color rgb="FF000000"/>
            <rFont val="Tahoma"/>
            <charset val="1"/>
          </rPr>
          <t>tuned roughly to Henan Chine trip data</t>
        </r>
      </text>
    </comment>
    <comment ref="F343" authorId="0">
      <text>
        <r>
          <rPr>
            <sz val="10"/>
            <color rgb="FF000000"/>
            <rFont val="Tahoma"/>
            <charset val="1"/>
          </rPr>
          <t>tuned roughly to Henan Chine trip data</t>
        </r>
      </text>
    </comment>
    <comment ref="G343" authorId="0">
      <text>
        <r>
          <rPr>
            <sz val="10"/>
            <color rgb="FF000000"/>
            <rFont val="Tahoma"/>
            <charset val="1"/>
          </rPr>
          <t>tuned roughly to Henan Chine trip data</t>
        </r>
      </text>
    </comment>
    <comment ref="H343" authorId="0">
      <text>
        <r>
          <rPr>
            <sz val="10"/>
            <color rgb="FF000000"/>
            <rFont val="Tahoma"/>
            <charset val="1"/>
          </rPr>
          <t>tuned roughly to Henan Chine trip data</t>
        </r>
      </text>
    </comment>
    <comment ref="I343" authorId="0">
      <text>
        <r>
          <rPr>
            <sz val="10"/>
            <color rgb="FF000000"/>
            <rFont val="Tahoma"/>
            <charset val="1"/>
          </rPr>
          <t>tuned roughly to Henan Chine trip data</t>
        </r>
      </text>
    </comment>
    <comment ref="J343" authorId="0">
      <text>
        <r>
          <rPr>
            <sz val="10"/>
            <color rgb="FF000000"/>
            <rFont val="Tahoma"/>
            <charset val="1"/>
          </rPr>
          <t>tuned roughly to Henan Chine trip data</t>
        </r>
      </text>
    </comment>
    <comment ref="K343" authorId="0">
      <text>
        <r>
          <rPr>
            <sz val="10"/>
            <color rgb="FF000000"/>
            <rFont val="Tahoma"/>
            <charset val="1"/>
          </rPr>
          <t>tuned roughly to Henan Chine trip data</t>
        </r>
      </text>
    </comment>
    <comment ref="L343" authorId="0">
      <text>
        <r>
          <rPr>
            <sz val="10"/>
            <color rgb="FF000000"/>
            <rFont val="Tahoma"/>
            <charset val="1"/>
          </rPr>
          <t>tuned roughly to Henan Chine trip data</t>
        </r>
      </text>
    </comment>
    <comment ref="M343" authorId="0">
      <text>
        <r>
          <rPr>
            <sz val="10"/>
            <color rgb="FF000000"/>
            <rFont val="Tahoma"/>
            <charset val="1"/>
          </rPr>
          <t>tuned roughly to Henan Chine trip data</t>
        </r>
      </text>
    </comment>
    <comment ref="N343" authorId="0">
      <text>
        <r>
          <rPr>
            <sz val="10"/>
            <color rgb="FF000000"/>
            <rFont val="Tahoma"/>
            <charset val="1"/>
          </rPr>
          <t>tuned roughly to Henan Chine trip data</t>
        </r>
      </text>
    </comment>
    <comment ref="O343" authorId="0">
      <text>
        <r>
          <rPr>
            <sz val="10"/>
            <color rgb="FF000000"/>
            <rFont val="Tahoma"/>
            <charset val="1"/>
          </rPr>
          <t>tuned roughly to Henan Chine trip data</t>
        </r>
      </text>
    </comment>
    <comment ref="P343" authorId="0">
      <text>
        <r>
          <rPr>
            <sz val="10"/>
            <color rgb="FF000000"/>
            <rFont val="Tahoma"/>
            <charset val="1"/>
          </rPr>
          <t>tuned roughly to Henan Chine trip data</t>
        </r>
      </text>
    </comment>
    <comment ref="Q343" authorId="0">
      <text>
        <r>
          <rPr>
            <sz val="10"/>
            <color rgb="FF000000"/>
            <rFont val="Tahoma"/>
            <charset val="1"/>
          </rPr>
          <t>tuned roughly to Henan Chine trip data</t>
        </r>
      </text>
    </comment>
    <comment ref="R343" authorId="0">
      <text>
        <r>
          <rPr>
            <sz val="10"/>
            <color rgb="FF000000"/>
            <rFont val="Tahoma"/>
            <charset val="1"/>
          </rPr>
          <t>tuned roughly to Henan Chine trip data</t>
        </r>
      </text>
    </comment>
    <comment ref="S343" authorId="0">
      <text>
        <r>
          <rPr>
            <sz val="10"/>
            <color rgb="FF000000"/>
            <rFont val="Tahoma"/>
            <charset val="1"/>
          </rPr>
          <t>tuned roughly to Henan Chine trip data</t>
        </r>
      </text>
    </comment>
    <comment ref="T343" authorId="0">
      <text>
        <r>
          <rPr>
            <sz val="10"/>
            <color rgb="FF000000"/>
            <rFont val="Tahoma"/>
            <charset val="1"/>
          </rPr>
          <t>tuned roughly to Henan Chine trip data</t>
        </r>
      </text>
    </comment>
    <comment ref="U343" authorId="0">
      <text>
        <r>
          <rPr>
            <sz val="10"/>
            <color rgb="FF000000"/>
            <rFont val="Tahoma"/>
            <charset val="1"/>
          </rPr>
          <t>tuned roughly to Henan Chine trip data</t>
        </r>
      </text>
    </comment>
    <comment ref="V343" authorId="0">
      <text>
        <r>
          <rPr>
            <sz val="10"/>
            <color rgb="FF000000"/>
            <rFont val="Tahoma"/>
            <charset val="1"/>
          </rPr>
          <t>tuned roughly to Henan Chine trip data</t>
        </r>
      </text>
    </comment>
    <comment ref="W343" authorId="0">
      <text>
        <r>
          <rPr>
            <sz val="10"/>
            <color rgb="FF000000"/>
            <rFont val="Tahoma"/>
            <charset val="1"/>
          </rPr>
          <t>tuned roughly to Henan Chine trip data</t>
        </r>
      </text>
    </comment>
    <comment ref="C371" authorId="0">
      <text>
        <r>
          <rPr>
            <sz val="10"/>
            <color rgb="FF000000"/>
            <rFont val="Tahoma"/>
            <charset val="1"/>
          </rPr>
          <t xml:space="preserve">built on machine doing relatively free digging = 200 tph, halve or quarter this for more difficult or insitu material
</t>
        </r>
      </text>
    </comment>
    <comment ref="D371" authorId="0">
      <text>
        <r>
          <rPr>
            <sz val="10"/>
            <color rgb="FF000000"/>
            <rFont val="Tahoma"/>
            <charset val="1"/>
          </rPr>
          <t xml:space="preserve">built on machine doing relatively free digging = 200 tph, halve or quarter this for more difficult or insitu material
</t>
        </r>
      </text>
    </comment>
    <comment ref="E371" authorId="0">
      <text>
        <r>
          <rPr>
            <sz val="10"/>
            <color rgb="FF000000"/>
            <rFont val="Tahoma"/>
            <charset val="1"/>
          </rPr>
          <t xml:space="preserve">built on machine doing relatively free digging = 200 tph, halve or quarter this for more difficult or insitu material
</t>
        </r>
      </text>
    </comment>
    <comment ref="F371" authorId="0">
      <text>
        <r>
          <rPr>
            <sz val="10"/>
            <color rgb="FF000000"/>
            <rFont val="Tahoma"/>
            <charset val="1"/>
          </rPr>
          <t xml:space="preserve">built on machine doing relatively free digging = 200 tph, halve or quarter this for more difficult or insitu material
</t>
        </r>
      </text>
    </comment>
    <comment ref="G371" authorId="0">
      <text>
        <r>
          <rPr>
            <sz val="10"/>
            <color rgb="FF000000"/>
            <rFont val="Tahoma"/>
            <charset val="1"/>
          </rPr>
          <t xml:space="preserve">built on machine doing relatively free digging = 200 tph, halve or quarter this for more difficult or insitu material
</t>
        </r>
      </text>
    </comment>
    <comment ref="H371" authorId="0">
      <text>
        <r>
          <rPr>
            <sz val="10"/>
            <color rgb="FF000000"/>
            <rFont val="Tahoma"/>
            <charset val="1"/>
          </rPr>
          <t xml:space="preserve">built on machine doing relatively free digging = 200 tph, halve or quarter this for more difficult or insitu material
</t>
        </r>
      </text>
    </comment>
    <comment ref="I371" authorId="0">
      <text>
        <r>
          <rPr>
            <sz val="10"/>
            <color rgb="FF000000"/>
            <rFont val="Tahoma"/>
            <charset val="1"/>
          </rPr>
          <t xml:space="preserve">built on machine doing relatively free digging = 200 tph, halve or quarter this for more difficult or insitu material
</t>
        </r>
      </text>
    </comment>
    <comment ref="J371" authorId="0">
      <text>
        <r>
          <rPr>
            <sz val="10"/>
            <color rgb="FF000000"/>
            <rFont val="Tahoma"/>
            <charset val="1"/>
          </rPr>
          <t xml:space="preserve">built on machine doing relatively free digging = 200 tph, halve or quarter this for more difficult or insitu material
</t>
        </r>
      </text>
    </comment>
    <comment ref="K371" authorId="0">
      <text>
        <r>
          <rPr>
            <sz val="10"/>
            <color rgb="FF000000"/>
            <rFont val="Tahoma"/>
            <charset val="1"/>
          </rPr>
          <t xml:space="preserve">built on machine doing relatively free digging = 200 tph, halve or quarter this for more difficult or insitu material
</t>
        </r>
      </text>
    </comment>
    <comment ref="L371" authorId="0">
      <text>
        <r>
          <rPr>
            <sz val="10"/>
            <color rgb="FF000000"/>
            <rFont val="Tahoma"/>
            <charset val="1"/>
          </rPr>
          <t xml:space="preserve">built on machine doing relatively free digging = 200 tph, halve or quarter this for more difficult or insitu material
</t>
        </r>
      </text>
    </comment>
    <comment ref="M371" authorId="0">
      <text>
        <r>
          <rPr>
            <sz val="10"/>
            <color rgb="FF000000"/>
            <rFont val="Tahoma"/>
            <charset val="1"/>
          </rPr>
          <t xml:space="preserve">built on machine doing relatively free digging = 200 tph, halve or quarter this for more difficult or insitu material
</t>
        </r>
      </text>
    </comment>
    <comment ref="N371" authorId="0">
      <text>
        <r>
          <rPr>
            <sz val="10"/>
            <color rgb="FF000000"/>
            <rFont val="Tahoma"/>
            <charset val="1"/>
          </rPr>
          <t xml:space="preserve">built on machine doing relatively free digging = 200 tph, halve or quarter this for more difficult or insitu material
</t>
        </r>
      </text>
    </comment>
    <comment ref="O371" authorId="0">
      <text>
        <r>
          <rPr>
            <sz val="10"/>
            <color rgb="FF000000"/>
            <rFont val="Tahoma"/>
            <charset val="1"/>
          </rPr>
          <t xml:space="preserve">built on machine doing relatively free digging = 200 tph, halve or quarter this for more difficult or insitu material
</t>
        </r>
      </text>
    </comment>
    <comment ref="P371" authorId="0">
      <text>
        <r>
          <rPr>
            <sz val="10"/>
            <color rgb="FF000000"/>
            <rFont val="Tahoma"/>
            <charset val="1"/>
          </rPr>
          <t xml:space="preserve">built on machine doing relatively free digging = 200 tph, halve or quarter this for more difficult or insitu material
</t>
        </r>
      </text>
    </comment>
    <comment ref="Q371" authorId="0">
      <text>
        <r>
          <rPr>
            <sz val="10"/>
            <color rgb="FF000000"/>
            <rFont val="Tahoma"/>
            <charset val="1"/>
          </rPr>
          <t xml:space="preserve">built on machine doing relatively free digging = 200 tph, halve or quarter this for more difficult or insitu material
</t>
        </r>
      </text>
    </comment>
    <comment ref="R371" authorId="0">
      <text>
        <r>
          <rPr>
            <sz val="10"/>
            <color rgb="FF000000"/>
            <rFont val="Tahoma"/>
            <charset val="1"/>
          </rPr>
          <t xml:space="preserve">built on machine doing relatively free digging = 200 tph, halve or quarter this for more difficult or insitu material
</t>
        </r>
      </text>
    </comment>
    <comment ref="S371" authorId="0">
      <text>
        <r>
          <rPr>
            <sz val="10"/>
            <color rgb="FF000000"/>
            <rFont val="Tahoma"/>
            <charset val="1"/>
          </rPr>
          <t xml:space="preserve">built on machine doing relatively free digging = 200 tph, halve or quarter this for more difficult or insitu material
</t>
        </r>
      </text>
    </comment>
    <comment ref="T371" authorId="0">
      <text>
        <r>
          <rPr>
            <sz val="10"/>
            <color rgb="FF000000"/>
            <rFont val="Tahoma"/>
            <charset val="1"/>
          </rPr>
          <t xml:space="preserve">built on machine doing relatively free digging = 200 tph, halve or quarter this for more difficult or insitu material
</t>
        </r>
      </text>
    </comment>
    <comment ref="U371" authorId="0">
      <text>
        <r>
          <rPr>
            <sz val="10"/>
            <color rgb="FF000000"/>
            <rFont val="Tahoma"/>
            <charset val="1"/>
          </rPr>
          <t xml:space="preserve">built on machine doing relatively free digging = 200 tph, halve or quarter this for more difficult or insitu material
</t>
        </r>
      </text>
    </comment>
    <comment ref="V371" authorId="0">
      <text>
        <r>
          <rPr>
            <sz val="10"/>
            <color rgb="FF000000"/>
            <rFont val="Tahoma"/>
            <charset val="1"/>
          </rPr>
          <t xml:space="preserve">built on machine doing relatively free digging = 200 tph, halve or quarter this for more difficult or insitu material
</t>
        </r>
      </text>
    </comment>
    <comment ref="W371" authorId="0">
      <text>
        <r>
          <rPr>
            <sz val="10"/>
            <color rgb="FF000000"/>
            <rFont val="Tahoma"/>
            <charset val="1"/>
          </rPr>
          <t xml:space="preserve">built on machine doing relatively free digging = 200 tph, halve or quarter this for more difficult or insitu material
</t>
        </r>
      </text>
    </comment>
    <comment ref="C373" authorId="0">
      <text>
        <r>
          <rPr>
            <sz val="10"/>
            <color rgb="FF000000"/>
            <rFont val="Tahoma"/>
            <charset val="1"/>
          </rPr>
          <t xml:space="preserve">data from Wirtgen
</t>
        </r>
      </text>
    </comment>
    <comment ref="D373" authorId="0">
      <text>
        <r>
          <rPr>
            <sz val="10"/>
            <color rgb="FF000000"/>
            <rFont val="Tahoma"/>
            <charset val="1"/>
          </rPr>
          <t xml:space="preserve">data from Wirtgen
</t>
        </r>
      </text>
    </comment>
    <comment ref="E373" authorId="0">
      <text>
        <r>
          <rPr>
            <sz val="10"/>
            <color rgb="FF000000"/>
            <rFont val="Tahoma"/>
            <charset val="1"/>
          </rPr>
          <t xml:space="preserve">data from Wirtgen
</t>
        </r>
      </text>
    </comment>
    <comment ref="F373" authorId="0">
      <text>
        <r>
          <rPr>
            <sz val="10"/>
            <color rgb="FF000000"/>
            <rFont val="Tahoma"/>
            <charset val="1"/>
          </rPr>
          <t xml:space="preserve">data from Wirtgen
</t>
        </r>
      </text>
    </comment>
    <comment ref="G373" authorId="0">
      <text>
        <r>
          <rPr>
            <sz val="10"/>
            <color rgb="FF000000"/>
            <rFont val="Tahoma"/>
            <charset val="1"/>
          </rPr>
          <t xml:space="preserve">data from Wirtgen
</t>
        </r>
      </text>
    </comment>
    <comment ref="H373" authorId="0">
      <text>
        <r>
          <rPr>
            <sz val="10"/>
            <color rgb="FF000000"/>
            <rFont val="Tahoma"/>
            <charset val="1"/>
          </rPr>
          <t xml:space="preserve">data from Wirtgen
</t>
        </r>
      </text>
    </comment>
    <comment ref="I373" authorId="0">
      <text>
        <r>
          <rPr>
            <sz val="10"/>
            <color rgb="FF000000"/>
            <rFont val="Tahoma"/>
            <charset val="1"/>
          </rPr>
          <t xml:space="preserve">data from Wirtgen
</t>
        </r>
      </text>
    </comment>
    <comment ref="J373" authorId="0">
      <text>
        <r>
          <rPr>
            <sz val="10"/>
            <color rgb="FF000000"/>
            <rFont val="Tahoma"/>
            <charset val="1"/>
          </rPr>
          <t xml:space="preserve">data from Wirtgen
</t>
        </r>
      </text>
    </comment>
    <comment ref="K373" authorId="0">
      <text>
        <r>
          <rPr>
            <sz val="10"/>
            <color rgb="FF000000"/>
            <rFont val="Tahoma"/>
            <charset val="1"/>
          </rPr>
          <t xml:space="preserve">data from Wirtgen
</t>
        </r>
      </text>
    </comment>
    <comment ref="L373" authorId="0">
      <text>
        <r>
          <rPr>
            <sz val="10"/>
            <color rgb="FF000000"/>
            <rFont val="Tahoma"/>
            <charset val="1"/>
          </rPr>
          <t xml:space="preserve">data from Wirtgen
</t>
        </r>
      </text>
    </comment>
    <comment ref="M373" authorId="0">
      <text>
        <r>
          <rPr>
            <sz val="10"/>
            <color rgb="FF000000"/>
            <rFont val="Tahoma"/>
            <charset val="1"/>
          </rPr>
          <t xml:space="preserve">data from Wirtgen
</t>
        </r>
      </text>
    </comment>
    <comment ref="N373" authorId="0">
      <text>
        <r>
          <rPr>
            <sz val="10"/>
            <color rgb="FF000000"/>
            <rFont val="Tahoma"/>
            <charset val="1"/>
          </rPr>
          <t xml:space="preserve">data from Wirtgen
</t>
        </r>
      </text>
    </comment>
    <comment ref="O373" authorId="0">
      <text>
        <r>
          <rPr>
            <sz val="10"/>
            <color rgb="FF000000"/>
            <rFont val="Tahoma"/>
            <charset val="1"/>
          </rPr>
          <t xml:space="preserve">data from Wirtgen
</t>
        </r>
      </text>
    </comment>
    <comment ref="P373" authorId="0">
      <text>
        <r>
          <rPr>
            <sz val="10"/>
            <color rgb="FF000000"/>
            <rFont val="Tahoma"/>
            <charset val="1"/>
          </rPr>
          <t xml:space="preserve">data from Wirtgen
</t>
        </r>
      </text>
    </comment>
    <comment ref="Q373" authorId="0">
      <text>
        <r>
          <rPr>
            <sz val="10"/>
            <color rgb="FF000000"/>
            <rFont val="Tahoma"/>
            <charset val="1"/>
          </rPr>
          <t xml:space="preserve">data from Wirtgen
</t>
        </r>
      </text>
    </comment>
    <comment ref="R373" authorId="0">
      <text>
        <r>
          <rPr>
            <sz val="10"/>
            <color rgb="FF000000"/>
            <rFont val="Tahoma"/>
            <charset val="1"/>
          </rPr>
          <t xml:space="preserve">data from Wirtgen
</t>
        </r>
      </text>
    </comment>
    <comment ref="S373" authorId="0">
      <text>
        <r>
          <rPr>
            <sz val="10"/>
            <color rgb="FF000000"/>
            <rFont val="Tahoma"/>
            <charset val="1"/>
          </rPr>
          <t xml:space="preserve">data from Wirtgen
</t>
        </r>
      </text>
    </comment>
    <comment ref="T373" authorId="0">
      <text>
        <r>
          <rPr>
            <sz val="10"/>
            <color rgb="FF000000"/>
            <rFont val="Tahoma"/>
            <charset val="1"/>
          </rPr>
          <t xml:space="preserve">data from Wirtgen
</t>
        </r>
      </text>
    </comment>
    <comment ref="U373" authorId="0">
      <text>
        <r>
          <rPr>
            <sz val="10"/>
            <color rgb="FF000000"/>
            <rFont val="Tahoma"/>
            <charset val="1"/>
          </rPr>
          <t xml:space="preserve">data from Wirtgen
</t>
        </r>
      </text>
    </comment>
    <comment ref="V373" authorId="0">
      <text>
        <r>
          <rPr>
            <sz val="10"/>
            <color rgb="FF000000"/>
            <rFont val="Tahoma"/>
            <charset val="1"/>
          </rPr>
          <t xml:space="preserve">data from Wirtgen
</t>
        </r>
      </text>
    </comment>
    <comment ref="W373" authorId="0">
      <text>
        <r>
          <rPr>
            <sz val="10"/>
            <color rgb="FF000000"/>
            <rFont val="Tahoma"/>
            <charset val="1"/>
          </rPr>
          <t xml:space="preserve">data from Wirtgen
</t>
        </r>
      </text>
    </comment>
    <comment ref="C374" authorId="0">
      <text>
        <r>
          <rPr>
            <sz val="10"/>
            <color rgb="FF000000"/>
            <rFont val="Tahoma"/>
            <charset val="1"/>
          </rPr>
          <t>2 on ground plus tending crew (2) and mtce crew allowance (2)</t>
        </r>
      </text>
    </comment>
    <comment ref="D374" authorId="0">
      <text>
        <r>
          <rPr>
            <sz val="10"/>
            <color rgb="FF000000"/>
            <rFont val="Tahoma"/>
            <charset val="1"/>
          </rPr>
          <t>2 on ground plus tending crew (2) and mtce crew allowance (2)</t>
        </r>
      </text>
    </comment>
    <comment ref="E374" authorId="0">
      <text>
        <r>
          <rPr>
            <sz val="10"/>
            <color rgb="FF000000"/>
            <rFont val="Tahoma"/>
            <charset val="1"/>
          </rPr>
          <t>2 on ground plus tending crew (2) and mtce crew allowance (2)</t>
        </r>
      </text>
    </comment>
    <comment ref="F374" authorId="0">
      <text>
        <r>
          <rPr>
            <sz val="10"/>
            <color rgb="FF000000"/>
            <rFont val="Tahoma"/>
            <charset val="1"/>
          </rPr>
          <t>2 on ground plus tending crew (2) and mtce crew allowance (2)</t>
        </r>
      </text>
    </comment>
    <comment ref="G374" authorId="0">
      <text>
        <r>
          <rPr>
            <sz val="10"/>
            <color rgb="FF000000"/>
            <rFont val="Tahoma"/>
            <charset val="1"/>
          </rPr>
          <t>2 on ground plus tending crew (2) and mtce crew allowance (2)</t>
        </r>
      </text>
    </comment>
    <comment ref="H374" authorId="0">
      <text>
        <r>
          <rPr>
            <sz val="10"/>
            <color rgb="FF000000"/>
            <rFont val="Tahoma"/>
            <charset val="1"/>
          </rPr>
          <t>2 on ground plus tending crew (2) and mtce crew allowance (2)</t>
        </r>
      </text>
    </comment>
    <comment ref="I374" authorId="0">
      <text>
        <r>
          <rPr>
            <sz val="10"/>
            <color rgb="FF000000"/>
            <rFont val="Tahoma"/>
            <charset val="1"/>
          </rPr>
          <t>2 on ground plus tending crew (2) and mtce crew allowance (2)</t>
        </r>
      </text>
    </comment>
    <comment ref="J374" authorId="0">
      <text>
        <r>
          <rPr>
            <sz val="10"/>
            <color rgb="FF000000"/>
            <rFont val="Tahoma"/>
            <charset val="1"/>
          </rPr>
          <t>2 on ground plus tending crew (2) and mtce crew allowance (2)</t>
        </r>
      </text>
    </comment>
    <comment ref="K374" authorId="0">
      <text>
        <r>
          <rPr>
            <sz val="10"/>
            <color rgb="FF000000"/>
            <rFont val="Tahoma"/>
            <charset val="1"/>
          </rPr>
          <t>2 on ground plus tending crew (2) and mtce crew allowance (2)</t>
        </r>
      </text>
    </comment>
    <comment ref="L374" authorId="0">
      <text>
        <r>
          <rPr>
            <sz val="10"/>
            <color rgb="FF000000"/>
            <rFont val="Tahoma"/>
            <charset val="1"/>
          </rPr>
          <t>2 on ground plus tending crew (2) and mtce crew allowance (2)</t>
        </r>
      </text>
    </comment>
    <comment ref="M374" authorId="0">
      <text>
        <r>
          <rPr>
            <sz val="10"/>
            <color rgb="FF000000"/>
            <rFont val="Tahoma"/>
            <charset val="1"/>
          </rPr>
          <t>2 on ground plus tending crew (2) and mtce crew allowance (2)</t>
        </r>
      </text>
    </comment>
    <comment ref="N374" authorId="0">
      <text>
        <r>
          <rPr>
            <sz val="10"/>
            <color rgb="FF000000"/>
            <rFont val="Tahoma"/>
            <charset val="1"/>
          </rPr>
          <t>2 on ground plus tending crew (2) and mtce crew allowance (2)</t>
        </r>
      </text>
    </comment>
    <comment ref="O374" authorId="0">
      <text>
        <r>
          <rPr>
            <sz val="10"/>
            <color rgb="FF000000"/>
            <rFont val="Tahoma"/>
            <charset val="1"/>
          </rPr>
          <t>2 on ground plus tending crew (2) and mtce crew allowance (2)</t>
        </r>
      </text>
    </comment>
    <comment ref="P374" authorId="0">
      <text>
        <r>
          <rPr>
            <sz val="10"/>
            <color rgb="FF000000"/>
            <rFont val="Tahoma"/>
            <charset val="1"/>
          </rPr>
          <t>2 on ground plus tending crew (2) and mtce crew allowance (2)</t>
        </r>
      </text>
    </comment>
    <comment ref="Q374" authorId="0">
      <text>
        <r>
          <rPr>
            <sz val="10"/>
            <color rgb="FF000000"/>
            <rFont val="Tahoma"/>
            <charset val="1"/>
          </rPr>
          <t>2 on ground plus tending crew (2) and mtce crew allowance (2)</t>
        </r>
      </text>
    </comment>
    <comment ref="R374" authorId="0">
      <text>
        <r>
          <rPr>
            <sz val="10"/>
            <color rgb="FF000000"/>
            <rFont val="Tahoma"/>
            <charset val="1"/>
          </rPr>
          <t>2 on ground plus tending crew (2) and mtce crew allowance (2)</t>
        </r>
      </text>
    </comment>
    <comment ref="S374" authorId="0">
      <text>
        <r>
          <rPr>
            <sz val="10"/>
            <color rgb="FF000000"/>
            <rFont val="Tahoma"/>
            <charset val="1"/>
          </rPr>
          <t>2 on ground plus tending crew (2) and mtce crew allowance (2)</t>
        </r>
      </text>
    </comment>
    <comment ref="T374" authorId="0">
      <text>
        <r>
          <rPr>
            <sz val="10"/>
            <color rgb="FF000000"/>
            <rFont val="Tahoma"/>
            <charset val="1"/>
          </rPr>
          <t>2 on ground plus tending crew (2) and mtce crew allowance (2)</t>
        </r>
      </text>
    </comment>
    <comment ref="U374" authorId="0">
      <text>
        <r>
          <rPr>
            <sz val="10"/>
            <color rgb="FF000000"/>
            <rFont val="Tahoma"/>
            <charset val="1"/>
          </rPr>
          <t>2 on ground plus tending crew (2) and mtce crew allowance (2)</t>
        </r>
      </text>
    </comment>
    <comment ref="V374" authorId="0">
      <text>
        <r>
          <rPr>
            <sz val="10"/>
            <color rgb="FF000000"/>
            <rFont val="Tahoma"/>
            <charset val="1"/>
          </rPr>
          <t>2 on ground plus tending crew (2) and mtce crew allowance (2)</t>
        </r>
      </text>
    </comment>
    <comment ref="W374" authorId="0">
      <text>
        <r>
          <rPr>
            <sz val="10"/>
            <color rgb="FF000000"/>
            <rFont val="Tahoma"/>
            <charset val="1"/>
          </rPr>
          <t>2 on ground plus tending crew (2) and mtce crew allowance (2)</t>
        </r>
      </text>
    </comment>
    <comment ref="C375" authorId="0">
      <text>
        <r>
          <rPr>
            <sz val="10"/>
            <color rgb="FF000000"/>
            <rFont val="Tahoma"/>
            <charset val="1"/>
          </rPr>
          <t xml:space="preserve">Wirtgen supplied data at 650 tph converted from euros to US$ and then to a per wmt rate
</t>
        </r>
      </text>
    </comment>
    <comment ref="D375" authorId="0">
      <text>
        <r>
          <rPr>
            <sz val="10"/>
            <color rgb="FF000000"/>
            <rFont val="Tahoma"/>
            <charset val="1"/>
          </rPr>
          <t xml:space="preserve">Wirtgen supplied data at 650 tph converted from euros to US$ and then to a per wmt rate
</t>
        </r>
      </text>
    </comment>
    <comment ref="E375" authorId="0">
      <text>
        <r>
          <rPr>
            <sz val="10"/>
            <color rgb="FF000000"/>
            <rFont val="Tahoma"/>
            <charset val="1"/>
          </rPr>
          <t xml:space="preserve">Wirtgen supplied data at 650 tph converted from euros to US$ and then to a per wmt rate
</t>
        </r>
      </text>
    </comment>
    <comment ref="F375" authorId="0">
      <text>
        <r>
          <rPr>
            <sz val="10"/>
            <color rgb="FF000000"/>
            <rFont val="Tahoma"/>
            <charset val="1"/>
          </rPr>
          <t xml:space="preserve">Wirtgen supplied data at 650 tph converted from euros to US$ and then to a per wmt rate
</t>
        </r>
      </text>
    </comment>
    <comment ref="G375" authorId="0">
      <text>
        <r>
          <rPr>
            <sz val="10"/>
            <color rgb="FF000000"/>
            <rFont val="Tahoma"/>
            <charset val="1"/>
          </rPr>
          <t xml:space="preserve">Wirtgen supplied data at 650 tph converted from euros to US$ and then to a per wmt rate
</t>
        </r>
      </text>
    </comment>
    <comment ref="H375" authorId="0">
      <text>
        <r>
          <rPr>
            <sz val="10"/>
            <color rgb="FF000000"/>
            <rFont val="Tahoma"/>
            <charset val="1"/>
          </rPr>
          <t xml:space="preserve">Wirtgen supplied data at 650 tph converted from euros to US$ and then to a per wmt rate
</t>
        </r>
      </text>
    </comment>
    <comment ref="I375" authorId="0">
      <text>
        <r>
          <rPr>
            <sz val="10"/>
            <color rgb="FF000000"/>
            <rFont val="Tahoma"/>
            <charset val="1"/>
          </rPr>
          <t xml:space="preserve">Wirtgen supplied data at 650 tph converted from euros to US$ and then to a per wmt rate
</t>
        </r>
      </text>
    </comment>
    <comment ref="J375" authorId="0">
      <text>
        <r>
          <rPr>
            <sz val="10"/>
            <color rgb="FF000000"/>
            <rFont val="Tahoma"/>
            <charset val="1"/>
          </rPr>
          <t xml:space="preserve">Wirtgen supplied data at 650 tph converted from euros to US$ and then to a per wmt rate
</t>
        </r>
      </text>
    </comment>
    <comment ref="K375" authorId="0">
      <text>
        <r>
          <rPr>
            <sz val="10"/>
            <color rgb="FF000000"/>
            <rFont val="Tahoma"/>
            <charset val="1"/>
          </rPr>
          <t xml:space="preserve">Wirtgen supplied data at 650 tph converted from euros to US$ and then to a per wmt rate
</t>
        </r>
      </text>
    </comment>
    <comment ref="L375" authorId="0">
      <text>
        <r>
          <rPr>
            <sz val="10"/>
            <color rgb="FF000000"/>
            <rFont val="Tahoma"/>
            <charset val="1"/>
          </rPr>
          <t xml:space="preserve">Wirtgen supplied data at 650 tph converted from euros to US$ and then to a per wmt rate
</t>
        </r>
      </text>
    </comment>
    <comment ref="M375" authorId="0">
      <text>
        <r>
          <rPr>
            <sz val="10"/>
            <color rgb="FF000000"/>
            <rFont val="Tahoma"/>
            <charset val="1"/>
          </rPr>
          <t xml:space="preserve">Wirtgen supplied data at 650 tph converted from euros to US$ and then to a per wmt rate
</t>
        </r>
      </text>
    </comment>
    <comment ref="N375" authorId="0">
      <text>
        <r>
          <rPr>
            <sz val="10"/>
            <color rgb="FF000000"/>
            <rFont val="Tahoma"/>
            <charset val="1"/>
          </rPr>
          <t xml:space="preserve">Wirtgen supplied data at 650 tph converted from euros to US$ and then to a per wmt rate
</t>
        </r>
      </text>
    </comment>
    <comment ref="O375" authorId="0">
      <text>
        <r>
          <rPr>
            <sz val="10"/>
            <color rgb="FF000000"/>
            <rFont val="Tahoma"/>
            <charset val="1"/>
          </rPr>
          <t xml:space="preserve">Wirtgen supplied data at 650 tph converted from euros to US$ and then to a per wmt rate
</t>
        </r>
      </text>
    </comment>
    <comment ref="P375" authorId="0">
      <text>
        <r>
          <rPr>
            <sz val="10"/>
            <color rgb="FF000000"/>
            <rFont val="Tahoma"/>
            <charset val="1"/>
          </rPr>
          <t xml:space="preserve">Wirtgen supplied data at 650 tph converted from euros to US$ and then to a per wmt rate
</t>
        </r>
      </text>
    </comment>
    <comment ref="Q375" authorId="0">
      <text>
        <r>
          <rPr>
            <sz val="10"/>
            <color rgb="FF000000"/>
            <rFont val="Tahoma"/>
            <charset val="1"/>
          </rPr>
          <t xml:space="preserve">Wirtgen supplied data at 650 tph converted from euros to US$ and then to a per wmt rate
</t>
        </r>
      </text>
    </comment>
    <comment ref="R375" authorId="0">
      <text>
        <r>
          <rPr>
            <sz val="10"/>
            <color rgb="FF000000"/>
            <rFont val="Tahoma"/>
            <charset val="1"/>
          </rPr>
          <t xml:space="preserve">Wirtgen supplied data at 650 tph converted from euros to US$ and then to a per wmt rate
</t>
        </r>
      </text>
    </comment>
    <comment ref="S375" authorId="0">
      <text>
        <r>
          <rPr>
            <sz val="10"/>
            <color rgb="FF000000"/>
            <rFont val="Tahoma"/>
            <charset val="1"/>
          </rPr>
          <t xml:space="preserve">Wirtgen supplied data at 650 tph converted from euros to US$ and then to a per wmt rate
</t>
        </r>
      </text>
    </comment>
    <comment ref="T375" authorId="0">
      <text>
        <r>
          <rPr>
            <sz val="10"/>
            <color rgb="FF000000"/>
            <rFont val="Tahoma"/>
            <charset val="1"/>
          </rPr>
          <t xml:space="preserve">Wirtgen supplied data at 650 tph converted from euros to US$ and then to a per wmt rate
</t>
        </r>
      </text>
    </comment>
    <comment ref="U375" authorId="0">
      <text>
        <r>
          <rPr>
            <sz val="10"/>
            <color rgb="FF000000"/>
            <rFont val="Tahoma"/>
            <charset val="1"/>
          </rPr>
          <t xml:space="preserve">Wirtgen supplied data at 650 tph converted from euros to US$ and then to a per wmt rate
</t>
        </r>
      </text>
    </comment>
    <comment ref="V375" authorId="0">
      <text>
        <r>
          <rPr>
            <sz val="10"/>
            <color rgb="FF000000"/>
            <rFont val="Tahoma"/>
            <charset val="1"/>
          </rPr>
          <t xml:space="preserve">Wirtgen supplied data at 650 tph converted from euros to US$ and then to a per wmt rate
</t>
        </r>
      </text>
    </comment>
    <comment ref="W375" authorId="0">
      <text>
        <r>
          <rPr>
            <sz val="10"/>
            <color rgb="FF000000"/>
            <rFont val="Tahoma"/>
            <charset val="1"/>
          </rPr>
          <t xml:space="preserve">Wirtgen supplied data at 650 tph converted from euros to US$ and then to a per wmt rate
</t>
        </r>
      </text>
    </comment>
    <comment ref="C393" authorId="0">
      <text>
        <r>
          <rPr>
            <sz val="10"/>
            <color rgb="FF000000"/>
            <rFont val="Tahoma"/>
            <charset val="1"/>
          </rPr>
          <t>tuned roughly to Henan Chine trip data</t>
        </r>
      </text>
    </comment>
    <comment ref="D393" authorId="0">
      <text>
        <r>
          <rPr>
            <sz val="10"/>
            <color rgb="FF000000"/>
            <rFont val="Tahoma"/>
            <charset val="1"/>
          </rPr>
          <t>tuned roughly to Henan Chine trip data</t>
        </r>
      </text>
    </comment>
    <comment ref="E393" authorId="0">
      <text>
        <r>
          <rPr>
            <sz val="10"/>
            <color rgb="FF000000"/>
            <rFont val="Tahoma"/>
            <charset val="1"/>
          </rPr>
          <t>tuned roughly to Henan Chine trip data</t>
        </r>
      </text>
    </comment>
    <comment ref="F393" authorId="0">
      <text>
        <r>
          <rPr>
            <sz val="10"/>
            <color rgb="FF000000"/>
            <rFont val="Tahoma"/>
            <charset val="1"/>
          </rPr>
          <t>tuned roughly to Henan Chine trip data</t>
        </r>
      </text>
    </comment>
    <comment ref="G393" authorId="0">
      <text>
        <r>
          <rPr>
            <sz val="10"/>
            <color rgb="FF000000"/>
            <rFont val="Tahoma"/>
            <charset val="1"/>
          </rPr>
          <t>tuned roughly to Henan Chine trip data</t>
        </r>
      </text>
    </comment>
    <comment ref="H393" authorId="0">
      <text>
        <r>
          <rPr>
            <sz val="10"/>
            <color rgb="FF000000"/>
            <rFont val="Tahoma"/>
            <charset val="1"/>
          </rPr>
          <t>tuned roughly to Henan Chine trip data</t>
        </r>
      </text>
    </comment>
    <comment ref="I393" authorId="0">
      <text>
        <r>
          <rPr>
            <sz val="10"/>
            <color rgb="FF000000"/>
            <rFont val="Tahoma"/>
            <charset val="1"/>
          </rPr>
          <t>tuned roughly to Henan Chine trip data</t>
        </r>
      </text>
    </comment>
    <comment ref="J393" authorId="0">
      <text>
        <r>
          <rPr>
            <sz val="10"/>
            <color rgb="FF000000"/>
            <rFont val="Tahoma"/>
            <charset val="1"/>
          </rPr>
          <t>tuned roughly to Henan Chine trip data</t>
        </r>
      </text>
    </comment>
    <comment ref="K393" authorId="0">
      <text>
        <r>
          <rPr>
            <sz val="10"/>
            <color rgb="FF000000"/>
            <rFont val="Tahoma"/>
            <charset val="1"/>
          </rPr>
          <t>tuned roughly to Henan Chine trip data</t>
        </r>
      </text>
    </comment>
    <comment ref="L393" authorId="0">
      <text>
        <r>
          <rPr>
            <sz val="10"/>
            <color rgb="FF000000"/>
            <rFont val="Tahoma"/>
            <charset val="1"/>
          </rPr>
          <t>tuned roughly to Henan Chine trip data</t>
        </r>
      </text>
    </comment>
    <comment ref="M393" authorId="0">
      <text>
        <r>
          <rPr>
            <sz val="10"/>
            <color rgb="FF000000"/>
            <rFont val="Tahoma"/>
            <charset val="1"/>
          </rPr>
          <t>tuned roughly to Henan Chine trip data</t>
        </r>
      </text>
    </comment>
    <comment ref="N393" authorId="0">
      <text>
        <r>
          <rPr>
            <sz val="10"/>
            <color rgb="FF000000"/>
            <rFont val="Tahoma"/>
            <charset val="1"/>
          </rPr>
          <t>tuned roughly to Henan Chine trip data</t>
        </r>
      </text>
    </comment>
    <comment ref="O393" authorId="0">
      <text>
        <r>
          <rPr>
            <sz val="10"/>
            <color rgb="FF000000"/>
            <rFont val="Tahoma"/>
            <charset val="1"/>
          </rPr>
          <t>tuned roughly to Henan Chine trip data</t>
        </r>
      </text>
    </comment>
    <comment ref="P393" authorId="0">
      <text>
        <r>
          <rPr>
            <sz val="10"/>
            <color rgb="FF000000"/>
            <rFont val="Tahoma"/>
            <charset val="1"/>
          </rPr>
          <t>tuned roughly to Henan Chine trip data</t>
        </r>
      </text>
    </comment>
    <comment ref="Q393" authorId="0">
      <text>
        <r>
          <rPr>
            <sz val="10"/>
            <color rgb="FF000000"/>
            <rFont val="Tahoma"/>
            <charset val="1"/>
          </rPr>
          <t>tuned roughly to Henan Chine trip data</t>
        </r>
      </text>
    </comment>
    <comment ref="R393" authorId="0">
      <text>
        <r>
          <rPr>
            <sz val="10"/>
            <color rgb="FF000000"/>
            <rFont val="Tahoma"/>
            <charset val="1"/>
          </rPr>
          <t>tuned roughly to Henan Chine trip data</t>
        </r>
      </text>
    </comment>
    <comment ref="S393" authorId="0">
      <text>
        <r>
          <rPr>
            <sz val="10"/>
            <color rgb="FF000000"/>
            <rFont val="Tahoma"/>
            <charset val="1"/>
          </rPr>
          <t>tuned roughly to Henan Chine trip data</t>
        </r>
      </text>
    </comment>
    <comment ref="T393" authorId="0">
      <text>
        <r>
          <rPr>
            <sz val="10"/>
            <color rgb="FF000000"/>
            <rFont val="Tahoma"/>
            <charset val="1"/>
          </rPr>
          <t>tuned roughly to Henan Chine trip data</t>
        </r>
      </text>
    </comment>
    <comment ref="U393" authorId="0">
      <text>
        <r>
          <rPr>
            <sz val="10"/>
            <color rgb="FF000000"/>
            <rFont val="Tahoma"/>
            <charset val="1"/>
          </rPr>
          <t>tuned roughly to Henan Chine trip data</t>
        </r>
      </text>
    </comment>
    <comment ref="V393" authorId="0">
      <text>
        <r>
          <rPr>
            <sz val="10"/>
            <color rgb="FF000000"/>
            <rFont val="Tahoma"/>
            <charset val="1"/>
          </rPr>
          <t>tuned roughly to Henan Chine trip data</t>
        </r>
      </text>
    </comment>
    <comment ref="W393" authorId="0">
      <text>
        <r>
          <rPr>
            <sz val="10"/>
            <color rgb="FF000000"/>
            <rFont val="Tahoma"/>
            <charset val="1"/>
          </rPr>
          <t>tuned roughly to Henan Chine trip data</t>
        </r>
      </text>
    </comment>
    <comment ref="C394" authorId="0">
      <text>
        <r>
          <rPr>
            <sz val="10"/>
            <color rgb="FF000000"/>
            <rFont val="Calibri"/>
            <charset val="1"/>
          </rPr>
          <t xml:space="preserve">Baes off India bx truck data &amp; Guidelines for Measuring and Managing CO2 Emission from Freight Transport Operations </t>
        </r>
      </text>
    </comment>
    <comment ref="D394" authorId="0">
      <text>
        <r>
          <rPr>
            <sz val="10"/>
            <color rgb="FF000000"/>
            <rFont val="Calibri"/>
            <charset val="1"/>
          </rPr>
          <t xml:space="preserve">Baes off India bx truck data &amp; Guidelines for Measuring and Managing CO2 Emission from Freight Transport Operations </t>
        </r>
      </text>
    </comment>
    <comment ref="E394" authorId="0">
      <text>
        <r>
          <rPr>
            <sz val="10"/>
            <color rgb="FF000000"/>
            <rFont val="Calibri"/>
            <charset val="1"/>
          </rPr>
          <t xml:space="preserve">Baes off India bx truck data &amp; Guidelines for Measuring and Managing CO2 Emission from Freight Transport Operations </t>
        </r>
      </text>
    </comment>
    <comment ref="F394" authorId="0">
      <text>
        <r>
          <rPr>
            <sz val="10"/>
            <color rgb="FF000000"/>
            <rFont val="Calibri"/>
            <charset val="1"/>
          </rPr>
          <t xml:space="preserve">Baes off India bx truck data &amp; Guidelines for Measuring and Managing CO2 Emission from Freight Transport Operations </t>
        </r>
      </text>
    </comment>
    <comment ref="G394" authorId="0">
      <text>
        <r>
          <rPr>
            <sz val="10"/>
            <color rgb="FF000000"/>
            <rFont val="Calibri"/>
            <charset val="1"/>
          </rPr>
          <t xml:space="preserve">Baes off India bx truck data &amp; Guidelines for Measuring and Managing CO2 Emission from Freight Transport Operations </t>
        </r>
      </text>
    </comment>
    <comment ref="H394" authorId="0">
      <text>
        <r>
          <rPr>
            <sz val="10"/>
            <color rgb="FF000000"/>
            <rFont val="Calibri"/>
            <charset val="1"/>
          </rPr>
          <t xml:space="preserve">Baes off India bx truck data &amp; Guidelines for Measuring and Managing CO2 Emission from Freight Transport Operations </t>
        </r>
      </text>
    </comment>
    <comment ref="I394" authorId="0">
      <text>
        <r>
          <rPr>
            <sz val="10"/>
            <color rgb="FF000000"/>
            <rFont val="Calibri"/>
            <charset val="1"/>
          </rPr>
          <t xml:space="preserve">Baes off India bx truck data &amp; Guidelines for Measuring and Managing CO2 Emission from Freight Transport Operations </t>
        </r>
      </text>
    </comment>
    <comment ref="J394" authorId="0">
      <text>
        <r>
          <rPr>
            <sz val="10"/>
            <color rgb="FF000000"/>
            <rFont val="Calibri"/>
            <charset val="1"/>
          </rPr>
          <t xml:space="preserve">Baes off India bx truck data &amp; Guidelines for Measuring and Managing CO2 Emission from Freight Transport Operations </t>
        </r>
      </text>
    </comment>
    <comment ref="K394" authorId="0">
      <text>
        <r>
          <rPr>
            <sz val="10"/>
            <color rgb="FF000000"/>
            <rFont val="Calibri"/>
            <charset val="1"/>
          </rPr>
          <t xml:space="preserve">Baes off India bx truck data &amp; Guidelines for Measuring and Managing CO2 Emission from Freight Transport Operations </t>
        </r>
      </text>
    </comment>
    <comment ref="L394" authorId="0">
      <text>
        <r>
          <rPr>
            <sz val="10"/>
            <color rgb="FF000000"/>
            <rFont val="Calibri"/>
            <charset val="1"/>
          </rPr>
          <t xml:space="preserve">Baes off India bx truck data &amp; Guidelines for Measuring and Managing CO2 Emission from Freight Transport Operations </t>
        </r>
      </text>
    </comment>
    <comment ref="M394" authorId="0">
      <text>
        <r>
          <rPr>
            <sz val="10"/>
            <color rgb="FF000000"/>
            <rFont val="Calibri"/>
            <charset val="1"/>
          </rPr>
          <t xml:space="preserve">Baes off India bx truck data &amp; Guidelines for Measuring and Managing CO2 Emission from Freight Transport Operations </t>
        </r>
      </text>
    </comment>
    <comment ref="N394" authorId="0">
      <text>
        <r>
          <rPr>
            <sz val="10"/>
            <color rgb="FF000000"/>
            <rFont val="Calibri"/>
            <charset val="1"/>
          </rPr>
          <t xml:space="preserve">Baes off India bx truck data &amp; Guidelines for Measuring and Managing CO2 Emission from Freight Transport Operations </t>
        </r>
      </text>
    </comment>
    <comment ref="O394" authorId="0">
      <text>
        <r>
          <rPr>
            <sz val="10"/>
            <color rgb="FF000000"/>
            <rFont val="Calibri"/>
            <charset val="1"/>
          </rPr>
          <t xml:space="preserve">Baes off India bx truck data &amp; Guidelines for Measuring and Managing CO2 Emission from Freight Transport Operations </t>
        </r>
      </text>
    </comment>
    <comment ref="P394" authorId="0">
      <text>
        <r>
          <rPr>
            <sz val="10"/>
            <color rgb="FF000000"/>
            <rFont val="Calibri"/>
            <charset val="1"/>
          </rPr>
          <t xml:space="preserve">Baes off India bx truck data &amp; Guidelines for Measuring and Managing CO2 Emission from Freight Transport Operations </t>
        </r>
      </text>
    </comment>
    <comment ref="Q394" authorId="0">
      <text>
        <r>
          <rPr>
            <sz val="10"/>
            <color rgb="FF000000"/>
            <rFont val="Calibri"/>
            <charset val="1"/>
          </rPr>
          <t xml:space="preserve">Baes off India bx truck data &amp; Guidelines for Measuring and Managing CO2 Emission from Freight Transport Operations </t>
        </r>
      </text>
    </comment>
    <comment ref="R394" authorId="0">
      <text>
        <r>
          <rPr>
            <sz val="10"/>
            <color rgb="FF000000"/>
            <rFont val="Calibri"/>
            <charset val="1"/>
          </rPr>
          <t xml:space="preserve">Baes off India bx truck data &amp; Guidelines for Measuring and Managing CO2 Emission from Freight Transport Operations </t>
        </r>
      </text>
    </comment>
    <comment ref="S394" authorId="0">
      <text>
        <r>
          <rPr>
            <sz val="10"/>
            <color rgb="FF000000"/>
            <rFont val="Calibri"/>
            <charset val="1"/>
          </rPr>
          <t xml:space="preserve">Baes off India bx truck data &amp; Guidelines for Measuring and Managing CO2 Emission from Freight Transport Operations </t>
        </r>
      </text>
    </comment>
    <comment ref="T394" authorId="0">
      <text>
        <r>
          <rPr>
            <sz val="10"/>
            <color rgb="FF000000"/>
            <rFont val="Calibri"/>
            <charset val="1"/>
          </rPr>
          <t xml:space="preserve">Baes off India bx truck data &amp; Guidelines for Measuring and Managing CO2 Emission from Freight Transport Operations </t>
        </r>
      </text>
    </comment>
    <comment ref="U394" authorId="0">
      <text>
        <r>
          <rPr>
            <sz val="10"/>
            <color rgb="FF000000"/>
            <rFont val="Calibri"/>
            <charset val="1"/>
          </rPr>
          <t xml:space="preserve">Baes off India bx truck data &amp; Guidelines for Measuring and Managing CO2 Emission from Freight Transport Operations </t>
        </r>
      </text>
    </comment>
    <comment ref="V394" authorId="0">
      <text>
        <r>
          <rPr>
            <sz val="10"/>
            <color rgb="FF000000"/>
            <rFont val="Calibri"/>
            <charset val="1"/>
          </rPr>
          <t xml:space="preserve">Baes off India bx truck data &amp; Guidelines for Measuring and Managing CO2 Emission from Freight Transport Operations </t>
        </r>
      </text>
    </comment>
    <comment ref="W394" authorId="0">
      <text>
        <r>
          <rPr>
            <sz val="10"/>
            <color rgb="FF000000"/>
            <rFont val="Calibri"/>
            <charset val="1"/>
          </rPr>
          <t xml:space="preserve">Baes off India bx truck data &amp; Guidelines for Measuring and Managing CO2 Emission from Freight Transport Operations </t>
        </r>
      </text>
    </comment>
    <comment ref="C395" authorId="0">
      <text>
        <r>
          <rPr>
            <sz val="10"/>
            <color rgb="FF000000"/>
            <rFont val="Tahoma"/>
            <charset val="1"/>
          </rPr>
          <t>tuned roughly to Henan Chine trip data</t>
        </r>
      </text>
    </comment>
    <comment ref="D395" authorId="0">
      <text>
        <r>
          <rPr>
            <sz val="10"/>
            <color rgb="FF000000"/>
            <rFont val="Tahoma"/>
            <charset val="1"/>
          </rPr>
          <t>tuned roughly to Henan Chine trip data</t>
        </r>
      </text>
    </comment>
    <comment ref="E395" authorId="0">
      <text>
        <r>
          <rPr>
            <sz val="10"/>
            <color rgb="FF000000"/>
            <rFont val="Tahoma"/>
            <charset val="1"/>
          </rPr>
          <t>tuned roughly to Henan Chine trip data</t>
        </r>
      </text>
    </comment>
    <comment ref="F395" authorId="0">
      <text>
        <r>
          <rPr>
            <sz val="10"/>
            <color rgb="FF000000"/>
            <rFont val="Tahoma"/>
            <charset val="1"/>
          </rPr>
          <t>tuned roughly to Henan Chine trip data</t>
        </r>
      </text>
    </comment>
    <comment ref="G395" authorId="0">
      <text>
        <r>
          <rPr>
            <sz val="10"/>
            <color rgb="FF000000"/>
            <rFont val="Tahoma"/>
            <charset val="1"/>
          </rPr>
          <t>tuned roughly to Henan Chine trip data</t>
        </r>
      </text>
    </comment>
    <comment ref="H395" authorId="0">
      <text>
        <r>
          <rPr>
            <sz val="10"/>
            <color rgb="FF000000"/>
            <rFont val="Tahoma"/>
            <charset val="1"/>
          </rPr>
          <t>tuned roughly to Henan Chine trip data</t>
        </r>
      </text>
    </comment>
    <comment ref="I395" authorId="0">
      <text>
        <r>
          <rPr>
            <sz val="10"/>
            <color rgb="FF000000"/>
            <rFont val="Tahoma"/>
            <charset val="1"/>
          </rPr>
          <t>tuned roughly to Henan Chine trip data</t>
        </r>
      </text>
    </comment>
    <comment ref="J395" authorId="0">
      <text>
        <r>
          <rPr>
            <sz val="10"/>
            <color rgb="FF000000"/>
            <rFont val="Tahoma"/>
            <charset val="1"/>
          </rPr>
          <t>tuned roughly to Henan Chine trip data</t>
        </r>
      </text>
    </comment>
    <comment ref="K395" authorId="0">
      <text>
        <r>
          <rPr>
            <sz val="10"/>
            <color rgb="FF000000"/>
            <rFont val="Tahoma"/>
            <charset val="1"/>
          </rPr>
          <t>tuned roughly to Henan Chine trip data</t>
        </r>
      </text>
    </comment>
    <comment ref="L395" authorId="0">
      <text>
        <r>
          <rPr>
            <sz val="10"/>
            <color rgb="FF000000"/>
            <rFont val="Tahoma"/>
            <charset val="1"/>
          </rPr>
          <t>tuned roughly to Henan Chine trip data</t>
        </r>
      </text>
    </comment>
    <comment ref="M395" authorId="0">
      <text>
        <r>
          <rPr>
            <sz val="10"/>
            <color rgb="FF000000"/>
            <rFont val="Tahoma"/>
            <charset val="1"/>
          </rPr>
          <t>tuned roughly to Henan Chine trip data</t>
        </r>
      </text>
    </comment>
    <comment ref="N395" authorId="0">
      <text>
        <r>
          <rPr>
            <sz val="10"/>
            <color rgb="FF000000"/>
            <rFont val="Tahoma"/>
            <charset val="1"/>
          </rPr>
          <t>tuned roughly to Henan Chine trip data</t>
        </r>
      </text>
    </comment>
    <comment ref="O395" authorId="0">
      <text>
        <r>
          <rPr>
            <sz val="10"/>
            <color rgb="FF000000"/>
            <rFont val="Tahoma"/>
            <charset val="1"/>
          </rPr>
          <t>tuned roughly to Henan Chine trip data</t>
        </r>
      </text>
    </comment>
    <comment ref="P395" authorId="0">
      <text>
        <r>
          <rPr>
            <sz val="10"/>
            <color rgb="FF000000"/>
            <rFont val="Tahoma"/>
            <charset val="1"/>
          </rPr>
          <t>tuned roughly to Henan Chine trip data</t>
        </r>
      </text>
    </comment>
    <comment ref="Q395" authorId="0">
      <text>
        <r>
          <rPr>
            <sz val="10"/>
            <color rgb="FF000000"/>
            <rFont val="Tahoma"/>
            <charset val="1"/>
          </rPr>
          <t>tuned roughly to Henan Chine trip data</t>
        </r>
      </text>
    </comment>
    <comment ref="R395" authorId="0">
      <text>
        <r>
          <rPr>
            <sz val="10"/>
            <color rgb="FF000000"/>
            <rFont val="Tahoma"/>
            <charset val="1"/>
          </rPr>
          <t>tuned roughly to Henan Chine trip data</t>
        </r>
      </text>
    </comment>
    <comment ref="S395" authorId="0">
      <text>
        <r>
          <rPr>
            <sz val="10"/>
            <color rgb="FF000000"/>
            <rFont val="Tahoma"/>
            <charset val="1"/>
          </rPr>
          <t>tuned roughly to Henan Chine trip data</t>
        </r>
      </text>
    </comment>
    <comment ref="T395" authorId="0">
      <text>
        <r>
          <rPr>
            <sz val="10"/>
            <color rgb="FF000000"/>
            <rFont val="Tahoma"/>
            <charset val="1"/>
          </rPr>
          <t>tuned roughly to Henan Chine trip data</t>
        </r>
      </text>
    </comment>
    <comment ref="U395" authorId="0">
      <text>
        <r>
          <rPr>
            <sz val="10"/>
            <color rgb="FF000000"/>
            <rFont val="Tahoma"/>
            <charset val="1"/>
          </rPr>
          <t>tuned roughly to Henan Chine trip data</t>
        </r>
      </text>
    </comment>
    <comment ref="V395" authorId="0">
      <text>
        <r>
          <rPr>
            <sz val="10"/>
            <color rgb="FF000000"/>
            <rFont val="Tahoma"/>
            <charset val="1"/>
          </rPr>
          <t>tuned roughly to Henan Chine trip data</t>
        </r>
      </text>
    </comment>
    <comment ref="W395" authorId="0">
      <text>
        <r>
          <rPr>
            <sz val="10"/>
            <color rgb="FF000000"/>
            <rFont val="Tahoma"/>
            <charset val="1"/>
          </rPr>
          <t>tuned roughly to Henan Chine trip data</t>
        </r>
      </text>
    </comment>
    <comment ref="C423" authorId="0">
      <text>
        <r>
          <rPr>
            <sz val="10"/>
            <color rgb="FF000000"/>
            <rFont val="Tahoma"/>
            <charset val="1"/>
          </rPr>
          <t xml:space="preserve">built on machine doing relatively free digging = 200 tph, halve or quarter this for more difficult or insitu material
</t>
        </r>
      </text>
    </comment>
    <comment ref="D423" authorId="0">
      <text>
        <r>
          <rPr>
            <sz val="10"/>
            <color rgb="FF000000"/>
            <rFont val="Tahoma"/>
            <charset val="1"/>
          </rPr>
          <t xml:space="preserve">built on machine doing relatively free digging = 200 tph, halve or quarter this for more difficult or insitu material
</t>
        </r>
      </text>
    </comment>
    <comment ref="E423" authorId="0">
      <text>
        <r>
          <rPr>
            <sz val="10"/>
            <color rgb="FF000000"/>
            <rFont val="Tahoma"/>
            <charset val="1"/>
          </rPr>
          <t xml:space="preserve">built on machine doing relatively free digging = 200 tph, halve or quarter this for more difficult or insitu material
</t>
        </r>
      </text>
    </comment>
    <comment ref="F423" authorId="0">
      <text>
        <r>
          <rPr>
            <sz val="10"/>
            <color rgb="FF000000"/>
            <rFont val="Tahoma"/>
            <charset val="1"/>
          </rPr>
          <t xml:space="preserve">built on machine doing relatively free digging = 200 tph, halve or quarter this for more difficult or insitu material
</t>
        </r>
      </text>
    </comment>
    <comment ref="G423" authorId="0">
      <text>
        <r>
          <rPr>
            <sz val="10"/>
            <color rgb="FF000000"/>
            <rFont val="Tahoma"/>
            <charset val="1"/>
          </rPr>
          <t xml:space="preserve">built on machine doing relatively free digging = 200 tph, halve or quarter this for more difficult or insitu material
</t>
        </r>
      </text>
    </comment>
    <comment ref="H423" authorId="0">
      <text>
        <r>
          <rPr>
            <sz val="10"/>
            <color rgb="FF000000"/>
            <rFont val="Tahoma"/>
            <charset val="1"/>
          </rPr>
          <t xml:space="preserve">built on machine doing relatively free digging = 200 tph, halve or quarter this for more difficult or insitu material
</t>
        </r>
      </text>
    </comment>
    <comment ref="I423" authorId="0">
      <text>
        <r>
          <rPr>
            <sz val="10"/>
            <color rgb="FF000000"/>
            <rFont val="Tahoma"/>
            <charset val="1"/>
          </rPr>
          <t xml:space="preserve">built on machine doing relatively free digging = 200 tph, halve or quarter this for more difficult or insitu material
</t>
        </r>
      </text>
    </comment>
    <comment ref="J423" authorId="0">
      <text>
        <r>
          <rPr>
            <sz val="10"/>
            <color rgb="FF000000"/>
            <rFont val="Tahoma"/>
            <charset val="1"/>
          </rPr>
          <t xml:space="preserve">built on machine doing relatively free digging = 200 tph, halve or quarter this for more difficult or insitu material
</t>
        </r>
      </text>
    </comment>
    <comment ref="K423" authorId="0">
      <text>
        <r>
          <rPr>
            <sz val="10"/>
            <color rgb="FF000000"/>
            <rFont val="Tahoma"/>
            <charset val="1"/>
          </rPr>
          <t xml:space="preserve">built on machine doing relatively free digging = 200 tph, halve or quarter this for more difficult or insitu material
</t>
        </r>
      </text>
    </comment>
    <comment ref="L423" authorId="0">
      <text>
        <r>
          <rPr>
            <sz val="10"/>
            <color rgb="FF000000"/>
            <rFont val="Tahoma"/>
            <charset val="1"/>
          </rPr>
          <t xml:space="preserve">built on machine doing relatively free digging = 200 tph, halve or quarter this for more difficult or insitu material
</t>
        </r>
      </text>
    </comment>
    <comment ref="M423" authorId="0">
      <text>
        <r>
          <rPr>
            <sz val="10"/>
            <color rgb="FF000000"/>
            <rFont val="Tahoma"/>
            <charset val="1"/>
          </rPr>
          <t xml:space="preserve">built on machine doing relatively free digging = 200 tph, halve or quarter this for more difficult or insitu material
</t>
        </r>
      </text>
    </comment>
    <comment ref="N423" authorId="0">
      <text>
        <r>
          <rPr>
            <sz val="10"/>
            <color rgb="FF000000"/>
            <rFont val="Tahoma"/>
            <charset val="1"/>
          </rPr>
          <t xml:space="preserve">built on machine doing relatively free digging = 200 tph, halve or quarter this for more difficult or insitu material
</t>
        </r>
      </text>
    </comment>
    <comment ref="O423" authorId="0">
      <text>
        <r>
          <rPr>
            <sz val="10"/>
            <color rgb="FF000000"/>
            <rFont val="Tahoma"/>
            <charset val="1"/>
          </rPr>
          <t xml:space="preserve">built on machine doing relatively free digging = 200 tph, halve or quarter this for more difficult or insitu material
</t>
        </r>
      </text>
    </comment>
    <comment ref="P423" authorId="0">
      <text>
        <r>
          <rPr>
            <sz val="10"/>
            <color rgb="FF000000"/>
            <rFont val="Tahoma"/>
            <charset val="1"/>
          </rPr>
          <t xml:space="preserve">built on machine doing relatively free digging = 200 tph, halve or quarter this for more difficult or insitu material
</t>
        </r>
      </text>
    </comment>
    <comment ref="Q423" authorId="0">
      <text>
        <r>
          <rPr>
            <sz val="10"/>
            <color rgb="FF000000"/>
            <rFont val="Tahoma"/>
            <charset val="1"/>
          </rPr>
          <t xml:space="preserve">built on machine doing relatively free digging = 200 tph, halve or quarter this for more difficult or insitu material
</t>
        </r>
      </text>
    </comment>
    <comment ref="R423" authorId="0">
      <text>
        <r>
          <rPr>
            <sz val="10"/>
            <color rgb="FF000000"/>
            <rFont val="Tahoma"/>
            <charset val="1"/>
          </rPr>
          <t xml:space="preserve">built on machine doing relatively free digging = 200 tph, halve or quarter this for more difficult or insitu material
</t>
        </r>
      </text>
    </comment>
    <comment ref="S423" authorId="0">
      <text>
        <r>
          <rPr>
            <sz val="10"/>
            <color rgb="FF000000"/>
            <rFont val="Tahoma"/>
            <charset val="1"/>
          </rPr>
          <t xml:space="preserve">built on machine doing relatively free digging = 200 tph, halve or quarter this for more difficult or insitu material
</t>
        </r>
      </text>
    </comment>
    <comment ref="T423" authorId="0">
      <text>
        <r>
          <rPr>
            <sz val="10"/>
            <color rgb="FF000000"/>
            <rFont val="Tahoma"/>
            <charset val="1"/>
          </rPr>
          <t xml:space="preserve">built on machine doing relatively free digging = 200 tph, halve or quarter this for more difficult or insitu material
</t>
        </r>
      </text>
    </comment>
    <comment ref="U423" authorId="0">
      <text>
        <r>
          <rPr>
            <sz val="10"/>
            <color rgb="FF000000"/>
            <rFont val="Tahoma"/>
            <charset val="1"/>
          </rPr>
          <t xml:space="preserve">built on machine doing relatively free digging = 200 tph, halve or quarter this for more difficult or insitu material
</t>
        </r>
      </text>
    </comment>
    <comment ref="V423" authorId="0">
      <text>
        <r>
          <rPr>
            <sz val="10"/>
            <color rgb="FF000000"/>
            <rFont val="Tahoma"/>
            <charset val="1"/>
          </rPr>
          <t xml:space="preserve">built on machine doing relatively free digging = 200 tph, halve or quarter this for more difficult or insitu material
</t>
        </r>
      </text>
    </comment>
    <comment ref="W423" authorId="0">
      <text>
        <r>
          <rPr>
            <sz val="10"/>
            <color rgb="FF000000"/>
            <rFont val="Tahoma"/>
            <charset val="1"/>
          </rPr>
          <t xml:space="preserve">built on machine doing relatively free digging = 200 tph, halve or quarter this for more difficult or insitu material
</t>
        </r>
      </text>
    </comment>
    <comment ref="C425" authorId="0">
      <text>
        <r>
          <rPr>
            <sz val="10"/>
            <color rgb="FF000000"/>
            <rFont val="Tahoma"/>
            <charset val="1"/>
          </rPr>
          <t xml:space="preserve">data from Wirtgen
</t>
        </r>
      </text>
    </comment>
    <comment ref="D425" authorId="0">
      <text>
        <r>
          <rPr>
            <sz val="10"/>
            <color rgb="FF000000"/>
            <rFont val="Tahoma"/>
            <charset val="1"/>
          </rPr>
          <t xml:space="preserve">data from Wirtgen
</t>
        </r>
      </text>
    </comment>
    <comment ref="E425" authorId="0">
      <text>
        <r>
          <rPr>
            <sz val="10"/>
            <color rgb="FF000000"/>
            <rFont val="Tahoma"/>
            <charset val="1"/>
          </rPr>
          <t xml:space="preserve">data from Wirtgen
</t>
        </r>
      </text>
    </comment>
    <comment ref="F425" authorId="0">
      <text>
        <r>
          <rPr>
            <sz val="10"/>
            <color rgb="FF000000"/>
            <rFont val="Tahoma"/>
            <charset val="1"/>
          </rPr>
          <t xml:space="preserve">data from Wirtgen
</t>
        </r>
      </text>
    </comment>
    <comment ref="G425" authorId="0">
      <text>
        <r>
          <rPr>
            <sz val="10"/>
            <color rgb="FF000000"/>
            <rFont val="Tahoma"/>
            <charset val="1"/>
          </rPr>
          <t xml:space="preserve">data from Wirtgen
</t>
        </r>
      </text>
    </comment>
    <comment ref="H425" authorId="0">
      <text>
        <r>
          <rPr>
            <sz val="10"/>
            <color rgb="FF000000"/>
            <rFont val="Tahoma"/>
            <charset val="1"/>
          </rPr>
          <t xml:space="preserve">data from Wirtgen
</t>
        </r>
      </text>
    </comment>
    <comment ref="I425" authorId="0">
      <text>
        <r>
          <rPr>
            <sz val="10"/>
            <color rgb="FF000000"/>
            <rFont val="Tahoma"/>
            <charset val="1"/>
          </rPr>
          <t xml:space="preserve">data from Wirtgen
</t>
        </r>
      </text>
    </comment>
    <comment ref="J425" authorId="0">
      <text>
        <r>
          <rPr>
            <sz val="10"/>
            <color rgb="FF000000"/>
            <rFont val="Tahoma"/>
            <charset val="1"/>
          </rPr>
          <t xml:space="preserve">data from Wirtgen
</t>
        </r>
      </text>
    </comment>
    <comment ref="K425" authorId="0">
      <text>
        <r>
          <rPr>
            <sz val="10"/>
            <color rgb="FF000000"/>
            <rFont val="Tahoma"/>
            <charset val="1"/>
          </rPr>
          <t xml:space="preserve">data from Wirtgen
</t>
        </r>
      </text>
    </comment>
    <comment ref="L425" authorId="0">
      <text>
        <r>
          <rPr>
            <sz val="10"/>
            <color rgb="FF000000"/>
            <rFont val="Tahoma"/>
            <charset val="1"/>
          </rPr>
          <t xml:space="preserve">data from Wirtgen
</t>
        </r>
      </text>
    </comment>
    <comment ref="M425" authorId="0">
      <text>
        <r>
          <rPr>
            <sz val="10"/>
            <color rgb="FF000000"/>
            <rFont val="Tahoma"/>
            <charset val="1"/>
          </rPr>
          <t xml:space="preserve">data from Wirtgen
</t>
        </r>
      </text>
    </comment>
    <comment ref="N425" authorId="0">
      <text>
        <r>
          <rPr>
            <sz val="10"/>
            <color rgb="FF000000"/>
            <rFont val="Tahoma"/>
            <charset val="1"/>
          </rPr>
          <t xml:space="preserve">data from Wirtgen
</t>
        </r>
      </text>
    </comment>
    <comment ref="O425" authorId="0">
      <text>
        <r>
          <rPr>
            <sz val="10"/>
            <color rgb="FF000000"/>
            <rFont val="Tahoma"/>
            <charset val="1"/>
          </rPr>
          <t xml:space="preserve">data from Wirtgen
</t>
        </r>
      </text>
    </comment>
    <comment ref="P425" authorId="0">
      <text>
        <r>
          <rPr>
            <sz val="10"/>
            <color rgb="FF000000"/>
            <rFont val="Tahoma"/>
            <charset val="1"/>
          </rPr>
          <t xml:space="preserve">data from Wirtgen
</t>
        </r>
      </text>
    </comment>
    <comment ref="Q425" authorId="0">
      <text>
        <r>
          <rPr>
            <sz val="10"/>
            <color rgb="FF000000"/>
            <rFont val="Tahoma"/>
            <charset val="1"/>
          </rPr>
          <t xml:space="preserve">data from Wirtgen
</t>
        </r>
      </text>
    </comment>
    <comment ref="R425" authorId="0">
      <text>
        <r>
          <rPr>
            <sz val="10"/>
            <color rgb="FF000000"/>
            <rFont val="Tahoma"/>
            <charset val="1"/>
          </rPr>
          <t xml:space="preserve">data from Wirtgen
</t>
        </r>
      </text>
    </comment>
    <comment ref="S425" authorId="0">
      <text>
        <r>
          <rPr>
            <sz val="10"/>
            <color rgb="FF000000"/>
            <rFont val="Tahoma"/>
            <charset val="1"/>
          </rPr>
          <t xml:space="preserve">data from Wirtgen
</t>
        </r>
      </text>
    </comment>
    <comment ref="T425" authorId="0">
      <text>
        <r>
          <rPr>
            <sz val="10"/>
            <color rgb="FF000000"/>
            <rFont val="Tahoma"/>
            <charset val="1"/>
          </rPr>
          <t xml:space="preserve">data from Wirtgen
</t>
        </r>
      </text>
    </comment>
    <comment ref="U425" authorId="0">
      <text>
        <r>
          <rPr>
            <sz val="10"/>
            <color rgb="FF000000"/>
            <rFont val="Tahoma"/>
            <charset val="1"/>
          </rPr>
          <t xml:space="preserve">data from Wirtgen
</t>
        </r>
      </text>
    </comment>
    <comment ref="V425" authorId="0">
      <text>
        <r>
          <rPr>
            <sz val="10"/>
            <color rgb="FF000000"/>
            <rFont val="Tahoma"/>
            <charset val="1"/>
          </rPr>
          <t xml:space="preserve">data from Wirtgen
</t>
        </r>
      </text>
    </comment>
    <comment ref="W425" authorId="0">
      <text>
        <r>
          <rPr>
            <sz val="10"/>
            <color rgb="FF000000"/>
            <rFont val="Tahoma"/>
            <charset val="1"/>
          </rPr>
          <t xml:space="preserve">data from Wirtgen
</t>
        </r>
      </text>
    </comment>
    <comment ref="C426" authorId="0">
      <text>
        <r>
          <rPr>
            <sz val="10"/>
            <color rgb="FF000000"/>
            <rFont val="Tahoma"/>
            <charset val="1"/>
          </rPr>
          <t>2 on ground plus tending crew (2) and mtce crew allowance (2)</t>
        </r>
      </text>
    </comment>
    <comment ref="D426" authorId="0">
      <text>
        <r>
          <rPr>
            <sz val="10"/>
            <color rgb="FF000000"/>
            <rFont val="Tahoma"/>
            <charset val="1"/>
          </rPr>
          <t>2 on ground plus tending crew (2) and mtce crew allowance (2)</t>
        </r>
      </text>
    </comment>
    <comment ref="E426" authorId="0">
      <text>
        <r>
          <rPr>
            <sz val="10"/>
            <color rgb="FF000000"/>
            <rFont val="Tahoma"/>
            <charset val="1"/>
          </rPr>
          <t>2 on ground plus tending crew (2) and mtce crew allowance (2)</t>
        </r>
      </text>
    </comment>
    <comment ref="F426" authorId="0">
      <text>
        <r>
          <rPr>
            <sz val="10"/>
            <color rgb="FF000000"/>
            <rFont val="Tahoma"/>
            <charset val="1"/>
          </rPr>
          <t>2 on ground plus tending crew (2) and mtce crew allowance (2)</t>
        </r>
      </text>
    </comment>
    <comment ref="G426" authorId="0">
      <text>
        <r>
          <rPr>
            <sz val="10"/>
            <color rgb="FF000000"/>
            <rFont val="Tahoma"/>
            <charset val="1"/>
          </rPr>
          <t>2 on ground plus tending crew (2) and mtce crew allowance (2)</t>
        </r>
      </text>
    </comment>
    <comment ref="H426" authorId="0">
      <text>
        <r>
          <rPr>
            <sz val="10"/>
            <color rgb="FF000000"/>
            <rFont val="Tahoma"/>
            <charset val="1"/>
          </rPr>
          <t>2 on ground plus tending crew (2) and mtce crew allowance (2)</t>
        </r>
      </text>
    </comment>
    <comment ref="I426" authorId="0">
      <text>
        <r>
          <rPr>
            <sz val="10"/>
            <color rgb="FF000000"/>
            <rFont val="Tahoma"/>
            <charset val="1"/>
          </rPr>
          <t>2 on ground plus tending crew (2) and mtce crew allowance (2)</t>
        </r>
      </text>
    </comment>
    <comment ref="J426" authorId="0">
      <text>
        <r>
          <rPr>
            <sz val="10"/>
            <color rgb="FF000000"/>
            <rFont val="Tahoma"/>
            <charset val="1"/>
          </rPr>
          <t>2 on ground plus tending crew (2) and mtce crew allowance (2)</t>
        </r>
      </text>
    </comment>
    <comment ref="K426" authorId="0">
      <text>
        <r>
          <rPr>
            <sz val="10"/>
            <color rgb="FF000000"/>
            <rFont val="Tahoma"/>
            <charset val="1"/>
          </rPr>
          <t>2 on ground plus tending crew (2) and mtce crew allowance (2)</t>
        </r>
      </text>
    </comment>
    <comment ref="L426" authorId="0">
      <text>
        <r>
          <rPr>
            <sz val="10"/>
            <color rgb="FF000000"/>
            <rFont val="Tahoma"/>
            <charset val="1"/>
          </rPr>
          <t>2 on ground plus tending crew (2) and mtce crew allowance (2)</t>
        </r>
      </text>
    </comment>
    <comment ref="M426" authorId="0">
      <text>
        <r>
          <rPr>
            <sz val="10"/>
            <color rgb="FF000000"/>
            <rFont val="Tahoma"/>
            <charset val="1"/>
          </rPr>
          <t>2 on ground plus tending crew (2) and mtce crew allowance (2)</t>
        </r>
      </text>
    </comment>
    <comment ref="N426" authorId="0">
      <text>
        <r>
          <rPr>
            <sz val="10"/>
            <color rgb="FF000000"/>
            <rFont val="Tahoma"/>
            <charset val="1"/>
          </rPr>
          <t>2 on ground plus tending crew (2) and mtce crew allowance (2)</t>
        </r>
      </text>
    </comment>
    <comment ref="O426" authorId="0">
      <text>
        <r>
          <rPr>
            <sz val="10"/>
            <color rgb="FF000000"/>
            <rFont val="Tahoma"/>
            <charset val="1"/>
          </rPr>
          <t>2 on ground plus tending crew (2) and mtce crew allowance (2)</t>
        </r>
      </text>
    </comment>
    <comment ref="P426" authorId="0">
      <text>
        <r>
          <rPr>
            <sz val="10"/>
            <color rgb="FF000000"/>
            <rFont val="Tahoma"/>
            <charset val="1"/>
          </rPr>
          <t>2 on ground plus tending crew (2) and mtce crew allowance (2)</t>
        </r>
      </text>
    </comment>
    <comment ref="Q426" authorId="0">
      <text>
        <r>
          <rPr>
            <sz val="10"/>
            <color rgb="FF000000"/>
            <rFont val="Tahoma"/>
            <charset val="1"/>
          </rPr>
          <t>2 on ground plus tending crew (2) and mtce crew allowance (2)</t>
        </r>
      </text>
    </comment>
    <comment ref="R426" authorId="0">
      <text>
        <r>
          <rPr>
            <sz val="10"/>
            <color rgb="FF000000"/>
            <rFont val="Tahoma"/>
            <charset val="1"/>
          </rPr>
          <t>2 on ground plus tending crew (2) and mtce crew allowance (2)</t>
        </r>
      </text>
    </comment>
    <comment ref="S426" authorId="0">
      <text>
        <r>
          <rPr>
            <sz val="10"/>
            <color rgb="FF000000"/>
            <rFont val="Tahoma"/>
            <charset val="1"/>
          </rPr>
          <t>2 on ground plus tending crew (2) and mtce crew allowance (2)</t>
        </r>
      </text>
    </comment>
    <comment ref="T426" authorId="0">
      <text>
        <r>
          <rPr>
            <sz val="10"/>
            <color rgb="FF000000"/>
            <rFont val="Tahoma"/>
            <charset val="1"/>
          </rPr>
          <t>2 on ground plus tending crew (2) and mtce crew allowance (2)</t>
        </r>
      </text>
    </comment>
    <comment ref="U426" authorId="0">
      <text>
        <r>
          <rPr>
            <sz val="10"/>
            <color rgb="FF000000"/>
            <rFont val="Tahoma"/>
            <charset val="1"/>
          </rPr>
          <t>2 on ground plus tending crew (2) and mtce crew allowance (2)</t>
        </r>
      </text>
    </comment>
    <comment ref="V426" authorId="0">
      <text>
        <r>
          <rPr>
            <sz val="10"/>
            <color rgb="FF000000"/>
            <rFont val="Tahoma"/>
            <charset val="1"/>
          </rPr>
          <t>2 on ground plus tending crew (2) and mtce crew allowance (2)</t>
        </r>
      </text>
    </comment>
    <comment ref="W426" authorId="0">
      <text>
        <r>
          <rPr>
            <sz val="10"/>
            <color rgb="FF000000"/>
            <rFont val="Tahoma"/>
            <charset val="1"/>
          </rPr>
          <t>2 on ground plus tending crew (2) and mtce crew allowance (2)</t>
        </r>
      </text>
    </comment>
    <comment ref="C427" authorId="0">
      <text>
        <r>
          <rPr>
            <sz val="10"/>
            <color rgb="FF000000"/>
            <rFont val="Tahoma"/>
            <charset val="1"/>
          </rPr>
          <t xml:space="preserve">Wirtgen supplied data at 650 tph converted from euros to US$ and then to a per wmt rate
</t>
        </r>
      </text>
    </comment>
    <comment ref="D427" authorId="0">
      <text>
        <r>
          <rPr>
            <sz val="10"/>
            <color rgb="FF000000"/>
            <rFont val="Tahoma"/>
            <charset val="1"/>
          </rPr>
          <t xml:space="preserve">Wirtgen supplied data at 650 tph converted from euros to US$ and then to a per wmt rate
</t>
        </r>
      </text>
    </comment>
    <comment ref="E427" authorId="0">
      <text>
        <r>
          <rPr>
            <sz val="10"/>
            <color rgb="FF000000"/>
            <rFont val="Tahoma"/>
            <charset val="1"/>
          </rPr>
          <t xml:space="preserve">Wirtgen supplied data at 650 tph converted from euros to US$ and then to a per wmt rate
</t>
        </r>
      </text>
    </comment>
    <comment ref="F427" authorId="0">
      <text>
        <r>
          <rPr>
            <sz val="10"/>
            <color rgb="FF000000"/>
            <rFont val="Tahoma"/>
            <charset val="1"/>
          </rPr>
          <t xml:space="preserve">Wirtgen supplied data at 650 tph converted from euros to US$ and then to a per wmt rate
</t>
        </r>
      </text>
    </comment>
    <comment ref="G427" authorId="0">
      <text>
        <r>
          <rPr>
            <sz val="10"/>
            <color rgb="FF000000"/>
            <rFont val="Tahoma"/>
            <charset val="1"/>
          </rPr>
          <t xml:space="preserve">Wirtgen supplied data at 650 tph converted from euros to US$ and then to a per wmt rate
</t>
        </r>
      </text>
    </comment>
    <comment ref="H427" authorId="0">
      <text>
        <r>
          <rPr>
            <sz val="10"/>
            <color rgb="FF000000"/>
            <rFont val="Tahoma"/>
            <charset val="1"/>
          </rPr>
          <t xml:space="preserve">Wirtgen supplied data at 650 tph converted from euros to US$ and then to a per wmt rate
</t>
        </r>
      </text>
    </comment>
    <comment ref="I427" authorId="0">
      <text>
        <r>
          <rPr>
            <sz val="10"/>
            <color rgb="FF000000"/>
            <rFont val="Tahoma"/>
            <charset val="1"/>
          </rPr>
          <t xml:space="preserve">Wirtgen supplied data at 650 tph converted from euros to US$ and then to a per wmt rate
</t>
        </r>
      </text>
    </comment>
    <comment ref="J427" authorId="0">
      <text>
        <r>
          <rPr>
            <sz val="10"/>
            <color rgb="FF000000"/>
            <rFont val="Tahoma"/>
            <charset val="1"/>
          </rPr>
          <t xml:space="preserve">Wirtgen supplied data at 650 tph converted from euros to US$ and then to a per wmt rate
</t>
        </r>
      </text>
    </comment>
    <comment ref="K427" authorId="0">
      <text>
        <r>
          <rPr>
            <sz val="10"/>
            <color rgb="FF000000"/>
            <rFont val="Tahoma"/>
            <charset val="1"/>
          </rPr>
          <t xml:space="preserve">Wirtgen supplied data at 650 tph converted from euros to US$ and then to a per wmt rate
</t>
        </r>
      </text>
    </comment>
    <comment ref="L427" authorId="0">
      <text>
        <r>
          <rPr>
            <sz val="10"/>
            <color rgb="FF000000"/>
            <rFont val="Tahoma"/>
            <charset val="1"/>
          </rPr>
          <t xml:space="preserve">Wirtgen supplied data at 650 tph converted from euros to US$ and then to a per wmt rate
</t>
        </r>
      </text>
    </comment>
    <comment ref="M427" authorId="0">
      <text>
        <r>
          <rPr>
            <sz val="10"/>
            <color rgb="FF000000"/>
            <rFont val="Tahoma"/>
            <charset val="1"/>
          </rPr>
          <t xml:space="preserve">Wirtgen supplied data at 650 tph converted from euros to US$ and then to a per wmt rate
</t>
        </r>
      </text>
    </comment>
    <comment ref="N427" authorId="0">
      <text>
        <r>
          <rPr>
            <sz val="10"/>
            <color rgb="FF000000"/>
            <rFont val="Tahoma"/>
            <charset val="1"/>
          </rPr>
          <t xml:space="preserve">Wirtgen supplied data at 650 tph converted from euros to US$ and then to a per wmt rate
</t>
        </r>
      </text>
    </comment>
    <comment ref="O427" authorId="0">
      <text>
        <r>
          <rPr>
            <sz val="10"/>
            <color rgb="FF000000"/>
            <rFont val="Tahoma"/>
            <charset val="1"/>
          </rPr>
          <t xml:space="preserve">Wirtgen supplied data at 650 tph converted from euros to US$ and then to a per wmt rate
</t>
        </r>
      </text>
    </comment>
    <comment ref="P427" authorId="0">
      <text>
        <r>
          <rPr>
            <sz val="10"/>
            <color rgb="FF000000"/>
            <rFont val="Tahoma"/>
            <charset val="1"/>
          </rPr>
          <t xml:space="preserve">Wirtgen supplied data at 650 tph converted from euros to US$ and then to a per wmt rate
</t>
        </r>
      </text>
    </comment>
    <comment ref="Q427" authorId="0">
      <text>
        <r>
          <rPr>
            <sz val="10"/>
            <color rgb="FF000000"/>
            <rFont val="Tahoma"/>
            <charset val="1"/>
          </rPr>
          <t xml:space="preserve">Wirtgen supplied data at 650 tph converted from euros to US$ and then to a per wmt rate
</t>
        </r>
      </text>
    </comment>
    <comment ref="R427" authorId="0">
      <text>
        <r>
          <rPr>
            <sz val="10"/>
            <color rgb="FF000000"/>
            <rFont val="Tahoma"/>
            <charset val="1"/>
          </rPr>
          <t xml:space="preserve">Wirtgen supplied data at 650 tph converted from euros to US$ and then to a per wmt rate
</t>
        </r>
      </text>
    </comment>
    <comment ref="S427" authorId="0">
      <text>
        <r>
          <rPr>
            <sz val="10"/>
            <color rgb="FF000000"/>
            <rFont val="Tahoma"/>
            <charset val="1"/>
          </rPr>
          <t xml:space="preserve">Wirtgen supplied data at 650 tph converted from euros to US$ and then to a per wmt rate
</t>
        </r>
      </text>
    </comment>
    <comment ref="T427" authorId="0">
      <text>
        <r>
          <rPr>
            <sz val="10"/>
            <color rgb="FF000000"/>
            <rFont val="Tahoma"/>
            <charset val="1"/>
          </rPr>
          <t xml:space="preserve">Wirtgen supplied data at 650 tph converted from euros to US$ and then to a per wmt rate
</t>
        </r>
      </text>
    </comment>
    <comment ref="U427" authorId="0">
      <text>
        <r>
          <rPr>
            <sz val="10"/>
            <color rgb="FF000000"/>
            <rFont val="Tahoma"/>
            <charset val="1"/>
          </rPr>
          <t xml:space="preserve">Wirtgen supplied data at 650 tph converted from euros to US$ and then to a per wmt rate
</t>
        </r>
      </text>
    </comment>
    <comment ref="V427" authorId="0">
      <text>
        <r>
          <rPr>
            <sz val="10"/>
            <color rgb="FF000000"/>
            <rFont val="Tahoma"/>
            <charset val="1"/>
          </rPr>
          <t xml:space="preserve">Wirtgen supplied data at 650 tph converted from euros to US$ and then to a per wmt rate
</t>
        </r>
      </text>
    </comment>
    <comment ref="W427" authorId="0">
      <text>
        <r>
          <rPr>
            <sz val="10"/>
            <color rgb="FF000000"/>
            <rFont val="Tahoma"/>
            <charset val="1"/>
          </rPr>
          <t xml:space="preserve">Wirtgen supplied data at 650 tph converted from euros to US$ and then to a per wmt rate
</t>
        </r>
      </text>
    </comment>
    <comment ref="C445" authorId="0">
      <text>
        <r>
          <rPr>
            <sz val="10"/>
            <color rgb="FF000000"/>
            <rFont val="Tahoma"/>
            <charset val="1"/>
          </rPr>
          <t>tuned roughly to Henan Chine trip data</t>
        </r>
      </text>
    </comment>
    <comment ref="D445" authorId="0">
      <text>
        <r>
          <rPr>
            <sz val="10"/>
            <color rgb="FF000000"/>
            <rFont val="Tahoma"/>
            <charset val="1"/>
          </rPr>
          <t>tuned roughly to Henan Chine trip data</t>
        </r>
      </text>
    </comment>
    <comment ref="E445" authorId="0">
      <text>
        <r>
          <rPr>
            <sz val="10"/>
            <color rgb="FF000000"/>
            <rFont val="Tahoma"/>
            <charset val="1"/>
          </rPr>
          <t>tuned roughly to Henan Chine trip data</t>
        </r>
      </text>
    </comment>
    <comment ref="F445" authorId="0">
      <text>
        <r>
          <rPr>
            <sz val="10"/>
            <color rgb="FF000000"/>
            <rFont val="Tahoma"/>
            <charset val="1"/>
          </rPr>
          <t>tuned roughly to Henan Chine trip data</t>
        </r>
      </text>
    </comment>
    <comment ref="G445" authorId="0">
      <text>
        <r>
          <rPr>
            <sz val="10"/>
            <color rgb="FF000000"/>
            <rFont val="Tahoma"/>
            <charset val="1"/>
          </rPr>
          <t>tuned roughly to Henan Chine trip data</t>
        </r>
      </text>
    </comment>
    <comment ref="H445" authorId="0">
      <text>
        <r>
          <rPr>
            <sz val="10"/>
            <color rgb="FF000000"/>
            <rFont val="Tahoma"/>
            <charset val="1"/>
          </rPr>
          <t>tuned roughly to Henan Chine trip data</t>
        </r>
      </text>
    </comment>
    <comment ref="I445" authorId="0">
      <text>
        <r>
          <rPr>
            <sz val="10"/>
            <color rgb="FF000000"/>
            <rFont val="Tahoma"/>
            <charset val="1"/>
          </rPr>
          <t>tuned roughly to Henan Chine trip data</t>
        </r>
      </text>
    </comment>
    <comment ref="J445" authorId="0">
      <text>
        <r>
          <rPr>
            <sz val="10"/>
            <color rgb="FF000000"/>
            <rFont val="Tahoma"/>
            <charset val="1"/>
          </rPr>
          <t>tuned roughly to Henan Chine trip data</t>
        </r>
      </text>
    </comment>
    <comment ref="K445" authorId="0">
      <text>
        <r>
          <rPr>
            <sz val="10"/>
            <color rgb="FF000000"/>
            <rFont val="Tahoma"/>
            <charset val="1"/>
          </rPr>
          <t>tuned roughly to Henan Chine trip data</t>
        </r>
      </text>
    </comment>
    <comment ref="L445" authorId="0">
      <text>
        <r>
          <rPr>
            <sz val="10"/>
            <color rgb="FF000000"/>
            <rFont val="Tahoma"/>
            <charset val="1"/>
          </rPr>
          <t>tuned roughly to Henan Chine trip data</t>
        </r>
      </text>
    </comment>
    <comment ref="M445" authorId="0">
      <text>
        <r>
          <rPr>
            <sz val="10"/>
            <color rgb="FF000000"/>
            <rFont val="Tahoma"/>
            <charset val="1"/>
          </rPr>
          <t>tuned roughly to Henan Chine trip data</t>
        </r>
      </text>
    </comment>
    <comment ref="N445" authorId="0">
      <text>
        <r>
          <rPr>
            <sz val="10"/>
            <color rgb="FF000000"/>
            <rFont val="Tahoma"/>
            <charset val="1"/>
          </rPr>
          <t>tuned roughly to Henan Chine trip data</t>
        </r>
      </text>
    </comment>
    <comment ref="O445" authorId="0">
      <text>
        <r>
          <rPr>
            <sz val="10"/>
            <color rgb="FF000000"/>
            <rFont val="Tahoma"/>
            <charset val="1"/>
          </rPr>
          <t>tuned roughly to Henan Chine trip data</t>
        </r>
      </text>
    </comment>
    <comment ref="P445" authorId="0">
      <text>
        <r>
          <rPr>
            <sz val="10"/>
            <color rgb="FF000000"/>
            <rFont val="Tahoma"/>
            <charset val="1"/>
          </rPr>
          <t>tuned roughly to Henan Chine trip data</t>
        </r>
      </text>
    </comment>
    <comment ref="Q445" authorId="0">
      <text>
        <r>
          <rPr>
            <sz val="10"/>
            <color rgb="FF000000"/>
            <rFont val="Tahoma"/>
            <charset val="1"/>
          </rPr>
          <t>tuned roughly to Henan Chine trip data</t>
        </r>
      </text>
    </comment>
    <comment ref="R445" authorId="0">
      <text>
        <r>
          <rPr>
            <sz val="10"/>
            <color rgb="FF000000"/>
            <rFont val="Tahoma"/>
            <charset val="1"/>
          </rPr>
          <t>tuned roughly to Henan Chine trip data</t>
        </r>
      </text>
    </comment>
    <comment ref="S445" authorId="0">
      <text>
        <r>
          <rPr>
            <sz val="10"/>
            <color rgb="FF000000"/>
            <rFont val="Tahoma"/>
            <charset val="1"/>
          </rPr>
          <t>tuned roughly to Henan Chine trip data</t>
        </r>
      </text>
    </comment>
    <comment ref="T445" authorId="0">
      <text>
        <r>
          <rPr>
            <sz val="10"/>
            <color rgb="FF000000"/>
            <rFont val="Tahoma"/>
            <charset val="1"/>
          </rPr>
          <t>tuned roughly to Henan Chine trip data</t>
        </r>
      </text>
    </comment>
    <comment ref="U445" authorId="0">
      <text>
        <r>
          <rPr>
            <sz val="10"/>
            <color rgb="FF000000"/>
            <rFont val="Tahoma"/>
            <charset val="1"/>
          </rPr>
          <t>tuned roughly to Henan Chine trip data</t>
        </r>
      </text>
    </comment>
    <comment ref="V445" authorId="0">
      <text>
        <r>
          <rPr>
            <sz val="10"/>
            <color rgb="FF000000"/>
            <rFont val="Tahoma"/>
            <charset val="1"/>
          </rPr>
          <t>tuned roughly to Henan Chine trip data</t>
        </r>
      </text>
    </comment>
    <comment ref="W445" authorId="0">
      <text>
        <r>
          <rPr>
            <sz val="10"/>
            <color rgb="FF000000"/>
            <rFont val="Tahoma"/>
            <charset val="1"/>
          </rPr>
          <t>tuned roughly to Henan Chine trip data</t>
        </r>
      </text>
    </comment>
    <comment ref="C446" authorId="0">
      <text>
        <r>
          <rPr>
            <sz val="10"/>
            <color rgb="FF000000"/>
            <rFont val="Calibri"/>
            <charset val="1"/>
          </rPr>
          <t xml:space="preserve">Baes off India bx truck data &amp; Guidelines for Measuring and Managing CO2 Emission from Freight Transport Operations </t>
        </r>
      </text>
    </comment>
    <comment ref="D446" authorId="0">
      <text>
        <r>
          <rPr>
            <sz val="10"/>
            <color rgb="FF000000"/>
            <rFont val="Calibri"/>
            <charset val="1"/>
          </rPr>
          <t xml:space="preserve">Baes off India bx truck data &amp; Guidelines for Measuring and Managing CO2 Emission from Freight Transport Operations </t>
        </r>
      </text>
    </comment>
    <comment ref="E446" authorId="0">
      <text>
        <r>
          <rPr>
            <sz val="10"/>
            <color rgb="FF000000"/>
            <rFont val="Calibri"/>
            <charset val="1"/>
          </rPr>
          <t xml:space="preserve">Baes off India bx truck data &amp; Guidelines for Measuring and Managing CO2 Emission from Freight Transport Operations </t>
        </r>
      </text>
    </comment>
    <comment ref="F446" authorId="0">
      <text>
        <r>
          <rPr>
            <sz val="10"/>
            <color rgb="FF000000"/>
            <rFont val="Calibri"/>
            <charset val="1"/>
          </rPr>
          <t xml:space="preserve">Baes off India bx truck data &amp; Guidelines for Measuring and Managing CO2 Emission from Freight Transport Operations </t>
        </r>
      </text>
    </comment>
    <comment ref="G446" authorId="0">
      <text>
        <r>
          <rPr>
            <sz val="10"/>
            <color rgb="FF000000"/>
            <rFont val="Calibri"/>
            <charset val="1"/>
          </rPr>
          <t xml:space="preserve">Baes off India bx truck data &amp; Guidelines for Measuring and Managing CO2 Emission from Freight Transport Operations </t>
        </r>
      </text>
    </comment>
    <comment ref="H446" authorId="0">
      <text>
        <r>
          <rPr>
            <sz val="10"/>
            <color rgb="FF000000"/>
            <rFont val="Calibri"/>
            <charset val="1"/>
          </rPr>
          <t xml:space="preserve">Baes off India bx truck data &amp; Guidelines for Measuring and Managing CO2 Emission from Freight Transport Operations </t>
        </r>
      </text>
    </comment>
    <comment ref="I446" authorId="0">
      <text>
        <r>
          <rPr>
            <sz val="10"/>
            <color rgb="FF000000"/>
            <rFont val="Calibri"/>
            <charset val="1"/>
          </rPr>
          <t xml:space="preserve">Baes off India bx truck data &amp; Guidelines for Measuring and Managing CO2 Emission from Freight Transport Operations </t>
        </r>
      </text>
    </comment>
    <comment ref="J446" authorId="0">
      <text>
        <r>
          <rPr>
            <sz val="10"/>
            <color rgb="FF000000"/>
            <rFont val="Calibri"/>
            <charset val="1"/>
          </rPr>
          <t xml:space="preserve">Baes off India bx truck data &amp; Guidelines for Measuring and Managing CO2 Emission from Freight Transport Operations </t>
        </r>
      </text>
    </comment>
    <comment ref="K446" authorId="0">
      <text>
        <r>
          <rPr>
            <sz val="10"/>
            <color rgb="FF000000"/>
            <rFont val="Calibri"/>
            <charset val="1"/>
          </rPr>
          <t xml:space="preserve">Baes off India bx truck data &amp; Guidelines for Measuring and Managing CO2 Emission from Freight Transport Operations </t>
        </r>
      </text>
    </comment>
    <comment ref="L446" authorId="0">
      <text>
        <r>
          <rPr>
            <sz val="10"/>
            <color rgb="FF000000"/>
            <rFont val="Calibri"/>
            <charset val="1"/>
          </rPr>
          <t xml:space="preserve">Baes off India bx truck data &amp; Guidelines for Measuring and Managing CO2 Emission from Freight Transport Operations </t>
        </r>
      </text>
    </comment>
    <comment ref="M446" authorId="0">
      <text>
        <r>
          <rPr>
            <sz val="10"/>
            <color rgb="FF000000"/>
            <rFont val="Calibri"/>
            <charset val="1"/>
          </rPr>
          <t xml:space="preserve">Baes off India bx truck data &amp; Guidelines for Measuring and Managing CO2 Emission from Freight Transport Operations </t>
        </r>
      </text>
    </comment>
    <comment ref="N446" authorId="0">
      <text>
        <r>
          <rPr>
            <sz val="10"/>
            <color rgb="FF000000"/>
            <rFont val="Calibri"/>
            <charset val="1"/>
          </rPr>
          <t xml:space="preserve">Baes off India bx truck data &amp; Guidelines for Measuring and Managing CO2 Emission from Freight Transport Operations </t>
        </r>
      </text>
    </comment>
    <comment ref="O446" authorId="0">
      <text>
        <r>
          <rPr>
            <sz val="10"/>
            <color rgb="FF000000"/>
            <rFont val="Calibri"/>
            <charset val="1"/>
          </rPr>
          <t xml:space="preserve">Baes off India bx truck data &amp; Guidelines for Measuring and Managing CO2 Emission from Freight Transport Operations </t>
        </r>
      </text>
    </comment>
    <comment ref="P446" authorId="0">
      <text>
        <r>
          <rPr>
            <sz val="10"/>
            <color rgb="FF000000"/>
            <rFont val="Calibri"/>
            <charset val="1"/>
          </rPr>
          <t xml:space="preserve">Baes off India bx truck data &amp; Guidelines for Measuring and Managing CO2 Emission from Freight Transport Operations </t>
        </r>
      </text>
    </comment>
    <comment ref="Q446" authorId="0">
      <text>
        <r>
          <rPr>
            <sz val="10"/>
            <color rgb="FF000000"/>
            <rFont val="Calibri"/>
            <charset val="1"/>
          </rPr>
          <t xml:space="preserve">Baes off India bx truck data &amp; Guidelines for Measuring and Managing CO2 Emission from Freight Transport Operations </t>
        </r>
      </text>
    </comment>
    <comment ref="R446" authorId="0">
      <text>
        <r>
          <rPr>
            <sz val="10"/>
            <color rgb="FF000000"/>
            <rFont val="Calibri"/>
            <charset val="1"/>
          </rPr>
          <t xml:space="preserve">Baes off India bx truck data &amp; Guidelines for Measuring and Managing CO2 Emission from Freight Transport Operations </t>
        </r>
      </text>
    </comment>
    <comment ref="S446" authorId="0">
      <text>
        <r>
          <rPr>
            <sz val="10"/>
            <color rgb="FF000000"/>
            <rFont val="Calibri"/>
            <charset val="1"/>
          </rPr>
          <t xml:space="preserve">Baes off India bx truck data &amp; Guidelines for Measuring and Managing CO2 Emission from Freight Transport Operations </t>
        </r>
      </text>
    </comment>
    <comment ref="T446" authorId="0">
      <text>
        <r>
          <rPr>
            <sz val="10"/>
            <color rgb="FF000000"/>
            <rFont val="Calibri"/>
            <charset val="1"/>
          </rPr>
          <t xml:space="preserve">Baes off India bx truck data &amp; Guidelines for Measuring and Managing CO2 Emission from Freight Transport Operations </t>
        </r>
      </text>
    </comment>
    <comment ref="U446" authorId="0">
      <text>
        <r>
          <rPr>
            <sz val="10"/>
            <color rgb="FF000000"/>
            <rFont val="Calibri"/>
            <charset val="1"/>
          </rPr>
          <t xml:space="preserve">Baes off India bx truck data &amp; Guidelines for Measuring and Managing CO2 Emission from Freight Transport Operations </t>
        </r>
      </text>
    </comment>
    <comment ref="V446" authorId="0">
      <text>
        <r>
          <rPr>
            <sz val="10"/>
            <color rgb="FF000000"/>
            <rFont val="Calibri"/>
            <charset val="1"/>
          </rPr>
          <t xml:space="preserve">Baes off India bx truck data &amp; Guidelines for Measuring and Managing CO2 Emission from Freight Transport Operations </t>
        </r>
      </text>
    </comment>
    <comment ref="W446" authorId="0">
      <text>
        <r>
          <rPr>
            <sz val="10"/>
            <color rgb="FF000000"/>
            <rFont val="Calibri"/>
            <charset val="1"/>
          </rPr>
          <t xml:space="preserve">Baes off India bx truck data &amp; Guidelines for Measuring and Managing CO2 Emission from Freight Transport Operations </t>
        </r>
      </text>
    </comment>
    <comment ref="C447" authorId="0">
      <text>
        <r>
          <rPr>
            <sz val="10"/>
            <color rgb="FF000000"/>
            <rFont val="Tahoma"/>
            <charset val="1"/>
          </rPr>
          <t>tuned roughly to Henan Chine trip data</t>
        </r>
      </text>
    </comment>
    <comment ref="D447" authorId="0">
      <text>
        <r>
          <rPr>
            <sz val="10"/>
            <color rgb="FF000000"/>
            <rFont val="Tahoma"/>
            <charset val="1"/>
          </rPr>
          <t>tuned roughly to Henan Chine trip data</t>
        </r>
      </text>
    </comment>
    <comment ref="E447" authorId="0">
      <text>
        <r>
          <rPr>
            <sz val="10"/>
            <color rgb="FF000000"/>
            <rFont val="Tahoma"/>
            <charset val="1"/>
          </rPr>
          <t>tuned roughly to Henan Chine trip data</t>
        </r>
      </text>
    </comment>
    <comment ref="F447" authorId="0">
      <text>
        <r>
          <rPr>
            <sz val="10"/>
            <color rgb="FF000000"/>
            <rFont val="Tahoma"/>
            <charset val="1"/>
          </rPr>
          <t>tuned roughly to Henan Chine trip data</t>
        </r>
      </text>
    </comment>
    <comment ref="G447" authorId="0">
      <text>
        <r>
          <rPr>
            <sz val="10"/>
            <color rgb="FF000000"/>
            <rFont val="Tahoma"/>
            <charset val="1"/>
          </rPr>
          <t>tuned roughly to Henan Chine trip data</t>
        </r>
      </text>
    </comment>
    <comment ref="H447" authorId="0">
      <text>
        <r>
          <rPr>
            <sz val="10"/>
            <color rgb="FF000000"/>
            <rFont val="Tahoma"/>
            <charset val="1"/>
          </rPr>
          <t>tuned roughly to Henan Chine trip data</t>
        </r>
      </text>
    </comment>
    <comment ref="I447" authorId="0">
      <text>
        <r>
          <rPr>
            <sz val="10"/>
            <color rgb="FF000000"/>
            <rFont val="Tahoma"/>
            <charset val="1"/>
          </rPr>
          <t>tuned roughly to Henan Chine trip data</t>
        </r>
      </text>
    </comment>
    <comment ref="J447" authorId="0">
      <text>
        <r>
          <rPr>
            <sz val="10"/>
            <color rgb="FF000000"/>
            <rFont val="Tahoma"/>
            <charset val="1"/>
          </rPr>
          <t>tuned roughly to Henan Chine trip data</t>
        </r>
      </text>
    </comment>
    <comment ref="K447" authorId="0">
      <text>
        <r>
          <rPr>
            <sz val="10"/>
            <color rgb="FF000000"/>
            <rFont val="Tahoma"/>
            <charset val="1"/>
          </rPr>
          <t>tuned roughly to Henan Chine trip data</t>
        </r>
      </text>
    </comment>
    <comment ref="L447" authorId="0">
      <text>
        <r>
          <rPr>
            <sz val="10"/>
            <color rgb="FF000000"/>
            <rFont val="Tahoma"/>
            <charset val="1"/>
          </rPr>
          <t>tuned roughly to Henan Chine trip data</t>
        </r>
      </text>
    </comment>
    <comment ref="M447" authorId="0">
      <text>
        <r>
          <rPr>
            <sz val="10"/>
            <color rgb="FF000000"/>
            <rFont val="Tahoma"/>
            <charset val="1"/>
          </rPr>
          <t>tuned roughly to Henan Chine trip data</t>
        </r>
      </text>
    </comment>
    <comment ref="N447" authorId="0">
      <text>
        <r>
          <rPr>
            <sz val="10"/>
            <color rgb="FF000000"/>
            <rFont val="Tahoma"/>
            <charset val="1"/>
          </rPr>
          <t>tuned roughly to Henan Chine trip data</t>
        </r>
      </text>
    </comment>
    <comment ref="O447" authorId="0">
      <text>
        <r>
          <rPr>
            <sz val="10"/>
            <color rgb="FF000000"/>
            <rFont val="Tahoma"/>
            <charset val="1"/>
          </rPr>
          <t>tuned roughly to Henan Chine trip data</t>
        </r>
      </text>
    </comment>
    <comment ref="P447" authorId="0">
      <text>
        <r>
          <rPr>
            <sz val="10"/>
            <color rgb="FF000000"/>
            <rFont val="Tahoma"/>
            <charset val="1"/>
          </rPr>
          <t>tuned roughly to Henan Chine trip data</t>
        </r>
      </text>
    </comment>
    <comment ref="Q447" authorId="0">
      <text>
        <r>
          <rPr>
            <sz val="10"/>
            <color rgb="FF000000"/>
            <rFont val="Tahoma"/>
            <charset val="1"/>
          </rPr>
          <t>tuned roughly to Henan Chine trip data</t>
        </r>
      </text>
    </comment>
    <comment ref="R447" authorId="0">
      <text>
        <r>
          <rPr>
            <sz val="10"/>
            <color rgb="FF000000"/>
            <rFont val="Tahoma"/>
            <charset val="1"/>
          </rPr>
          <t>tuned roughly to Henan Chine trip data</t>
        </r>
      </text>
    </comment>
    <comment ref="S447" authorId="0">
      <text>
        <r>
          <rPr>
            <sz val="10"/>
            <color rgb="FF000000"/>
            <rFont val="Tahoma"/>
            <charset val="1"/>
          </rPr>
          <t>tuned roughly to Henan Chine trip data</t>
        </r>
      </text>
    </comment>
    <comment ref="T447" authorId="0">
      <text>
        <r>
          <rPr>
            <sz val="10"/>
            <color rgb="FF000000"/>
            <rFont val="Tahoma"/>
            <charset val="1"/>
          </rPr>
          <t>tuned roughly to Henan Chine trip data</t>
        </r>
      </text>
    </comment>
    <comment ref="U447" authorId="0">
      <text>
        <r>
          <rPr>
            <sz val="10"/>
            <color rgb="FF000000"/>
            <rFont val="Tahoma"/>
            <charset val="1"/>
          </rPr>
          <t>tuned roughly to Henan Chine trip data</t>
        </r>
      </text>
    </comment>
    <comment ref="V447" authorId="0">
      <text>
        <r>
          <rPr>
            <sz val="10"/>
            <color rgb="FF000000"/>
            <rFont val="Tahoma"/>
            <charset val="1"/>
          </rPr>
          <t>tuned roughly to Henan Chine trip data</t>
        </r>
      </text>
    </comment>
    <comment ref="W447" authorId="0">
      <text>
        <r>
          <rPr>
            <sz val="10"/>
            <color rgb="FF000000"/>
            <rFont val="Tahoma"/>
            <charset val="1"/>
          </rPr>
          <t>tuned roughly to Henan Chine trip data</t>
        </r>
      </text>
    </comment>
    <comment ref="C481" authorId="0">
      <text>
        <r>
          <rPr>
            <sz val="10"/>
            <color rgb="FF000000"/>
            <rFont val="Tahoma"/>
            <charset val="1"/>
          </rPr>
          <t xml:space="preserve">built on machine doing relatively free digging = 200 tph, halve or quarter this for more difficult or insitu material
</t>
        </r>
      </text>
    </comment>
    <comment ref="D481" authorId="0">
      <text>
        <r>
          <rPr>
            <sz val="10"/>
            <color rgb="FF000000"/>
            <rFont val="Tahoma"/>
            <charset val="1"/>
          </rPr>
          <t xml:space="preserve">built on machine doing relatively free digging = 200 tph, halve or quarter this for more difficult or insitu material
</t>
        </r>
      </text>
    </comment>
    <comment ref="E481" authorId="0">
      <text>
        <r>
          <rPr>
            <sz val="10"/>
            <color rgb="FF000000"/>
            <rFont val="Tahoma"/>
            <charset val="1"/>
          </rPr>
          <t xml:space="preserve">built on machine doing relatively free digging = 200 tph, halve or quarter this for more difficult or insitu material
</t>
        </r>
      </text>
    </comment>
    <comment ref="F481" authorId="0">
      <text>
        <r>
          <rPr>
            <sz val="10"/>
            <color rgb="FF000000"/>
            <rFont val="Tahoma"/>
            <charset val="1"/>
          </rPr>
          <t xml:space="preserve">built on machine doing relatively free digging = 200 tph, halve or quarter this for more difficult or insitu material
</t>
        </r>
      </text>
    </comment>
    <comment ref="G481" authorId="0">
      <text>
        <r>
          <rPr>
            <sz val="10"/>
            <color rgb="FF000000"/>
            <rFont val="Tahoma"/>
            <charset val="1"/>
          </rPr>
          <t xml:space="preserve">built on machine doing relatively free digging = 200 tph, halve or quarter this for more difficult or insitu material
</t>
        </r>
      </text>
    </comment>
    <comment ref="H481" authorId="0">
      <text>
        <r>
          <rPr>
            <sz val="10"/>
            <color rgb="FF000000"/>
            <rFont val="Tahoma"/>
            <charset val="1"/>
          </rPr>
          <t xml:space="preserve">built on machine doing relatively free digging = 200 tph, halve or quarter this for more difficult or insitu material
</t>
        </r>
      </text>
    </comment>
    <comment ref="I481" authorId="0">
      <text>
        <r>
          <rPr>
            <sz val="10"/>
            <color rgb="FF000000"/>
            <rFont val="Tahoma"/>
            <charset val="1"/>
          </rPr>
          <t xml:space="preserve">built on machine doing relatively free digging = 200 tph, halve or quarter this for more difficult or insitu material
</t>
        </r>
      </text>
    </comment>
    <comment ref="J481" authorId="0">
      <text>
        <r>
          <rPr>
            <sz val="10"/>
            <color rgb="FF000000"/>
            <rFont val="Tahoma"/>
            <charset val="1"/>
          </rPr>
          <t xml:space="preserve">built on machine doing relatively free digging = 200 tph, halve or quarter this for more difficult or insitu material
</t>
        </r>
      </text>
    </comment>
    <comment ref="K481" authorId="0">
      <text>
        <r>
          <rPr>
            <sz val="10"/>
            <color rgb="FF000000"/>
            <rFont val="Tahoma"/>
            <charset val="1"/>
          </rPr>
          <t xml:space="preserve">built on machine doing relatively free digging = 200 tph, halve or quarter this for more difficult or insitu material
</t>
        </r>
      </text>
    </comment>
    <comment ref="L481" authorId="0">
      <text>
        <r>
          <rPr>
            <sz val="10"/>
            <color rgb="FF000000"/>
            <rFont val="Tahoma"/>
            <charset val="1"/>
          </rPr>
          <t xml:space="preserve">built on machine doing relatively free digging = 200 tph, halve or quarter this for more difficult or insitu material
</t>
        </r>
      </text>
    </comment>
    <comment ref="M481" authorId="0">
      <text>
        <r>
          <rPr>
            <sz val="10"/>
            <color rgb="FF000000"/>
            <rFont val="Tahoma"/>
            <charset val="1"/>
          </rPr>
          <t xml:space="preserve">built on machine doing relatively free digging = 200 tph, halve or quarter this for more difficult or insitu material
</t>
        </r>
      </text>
    </comment>
    <comment ref="N481" authorId="0">
      <text>
        <r>
          <rPr>
            <sz val="10"/>
            <color rgb="FF000000"/>
            <rFont val="Tahoma"/>
            <charset val="1"/>
          </rPr>
          <t xml:space="preserve">built on machine doing relatively free digging = 200 tph, halve or quarter this for more difficult or insitu material
</t>
        </r>
      </text>
    </comment>
    <comment ref="O481" authorId="0">
      <text>
        <r>
          <rPr>
            <sz val="10"/>
            <color rgb="FF000000"/>
            <rFont val="Tahoma"/>
            <charset val="1"/>
          </rPr>
          <t xml:space="preserve">built on machine doing relatively free digging = 200 tph, halve or quarter this for more difficult or insitu material
</t>
        </r>
      </text>
    </comment>
    <comment ref="P481" authorId="0">
      <text>
        <r>
          <rPr>
            <sz val="10"/>
            <color rgb="FF000000"/>
            <rFont val="Tahoma"/>
            <charset val="1"/>
          </rPr>
          <t xml:space="preserve">built on machine doing relatively free digging = 200 tph, halve or quarter this for more difficult or insitu material
</t>
        </r>
      </text>
    </comment>
    <comment ref="Q481" authorId="0">
      <text>
        <r>
          <rPr>
            <sz val="10"/>
            <color rgb="FF000000"/>
            <rFont val="Tahoma"/>
            <charset val="1"/>
          </rPr>
          <t xml:space="preserve">built on machine doing relatively free digging = 200 tph, halve or quarter this for more difficult or insitu material
</t>
        </r>
      </text>
    </comment>
    <comment ref="R481" authorId="0">
      <text>
        <r>
          <rPr>
            <sz val="10"/>
            <color rgb="FF000000"/>
            <rFont val="Tahoma"/>
            <charset val="1"/>
          </rPr>
          <t xml:space="preserve">built on machine doing relatively free digging = 200 tph, halve or quarter this for more difficult or insitu material
</t>
        </r>
      </text>
    </comment>
    <comment ref="S481" authorId="0">
      <text>
        <r>
          <rPr>
            <sz val="10"/>
            <color rgb="FF000000"/>
            <rFont val="Tahoma"/>
            <charset val="1"/>
          </rPr>
          <t xml:space="preserve">built on machine doing relatively free digging = 200 tph, halve or quarter this for more difficult or insitu material
</t>
        </r>
      </text>
    </comment>
    <comment ref="T481" authorId="0">
      <text>
        <r>
          <rPr>
            <sz val="10"/>
            <color rgb="FF000000"/>
            <rFont val="Tahoma"/>
            <charset val="1"/>
          </rPr>
          <t xml:space="preserve">built on machine doing relatively free digging = 200 tph, halve or quarter this for more difficult or insitu material
</t>
        </r>
      </text>
    </comment>
    <comment ref="U481" authorId="0">
      <text>
        <r>
          <rPr>
            <sz val="10"/>
            <color rgb="FF000000"/>
            <rFont val="Tahoma"/>
            <charset val="1"/>
          </rPr>
          <t xml:space="preserve">built on machine doing relatively free digging = 200 tph, halve or quarter this for more difficult or insitu material
</t>
        </r>
      </text>
    </comment>
    <comment ref="V481" authorId="0">
      <text>
        <r>
          <rPr>
            <sz val="10"/>
            <color rgb="FF000000"/>
            <rFont val="Tahoma"/>
            <charset val="1"/>
          </rPr>
          <t xml:space="preserve">built on machine doing relatively free digging = 200 tph, halve or quarter this for more difficult or insitu material
</t>
        </r>
      </text>
    </comment>
    <comment ref="W481" authorId="0">
      <text>
        <r>
          <rPr>
            <sz val="10"/>
            <color rgb="FF000000"/>
            <rFont val="Tahoma"/>
            <charset val="1"/>
          </rPr>
          <t xml:space="preserve">built on machine doing relatively free digging = 200 tph, halve or quarter this for more difficult or insitu material
</t>
        </r>
      </text>
    </comment>
    <comment ref="C483" authorId="0">
      <text>
        <r>
          <rPr>
            <sz val="10"/>
            <color rgb="FF000000"/>
            <rFont val="Tahoma"/>
            <charset val="1"/>
          </rPr>
          <t xml:space="preserve">data from Wirtgen
</t>
        </r>
      </text>
    </comment>
    <comment ref="D483" authorId="0">
      <text>
        <r>
          <rPr>
            <sz val="10"/>
            <color rgb="FF000000"/>
            <rFont val="Tahoma"/>
            <charset val="1"/>
          </rPr>
          <t xml:space="preserve">data from Wirtgen
</t>
        </r>
      </text>
    </comment>
    <comment ref="E483" authorId="0">
      <text>
        <r>
          <rPr>
            <sz val="10"/>
            <color rgb="FF000000"/>
            <rFont val="Tahoma"/>
            <charset val="1"/>
          </rPr>
          <t xml:space="preserve">data from Wirtgen
</t>
        </r>
      </text>
    </comment>
    <comment ref="F483" authorId="0">
      <text>
        <r>
          <rPr>
            <sz val="10"/>
            <color rgb="FF000000"/>
            <rFont val="Tahoma"/>
            <charset val="1"/>
          </rPr>
          <t xml:space="preserve">data from Wirtgen
</t>
        </r>
      </text>
    </comment>
    <comment ref="G483" authorId="0">
      <text>
        <r>
          <rPr>
            <sz val="10"/>
            <color rgb="FF000000"/>
            <rFont val="Tahoma"/>
            <charset val="1"/>
          </rPr>
          <t xml:space="preserve">data from Wirtgen
</t>
        </r>
      </text>
    </comment>
    <comment ref="H483" authorId="0">
      <text>
        <r>
          <rPr>
            <sz val="10"/>
            <color rgb="FF000000"/>
            <rFont val="Tahoma"/>
            <charset val="1"/>
          </rPr>
          <t xml:space="preserve">data from Wirtgen
</t>
        </r>
      </text>
    </comment>
    <comment ref="I483" authorId="0">
      <text>
        <r>
          <rPr>
            <sz val="10"/>
            <color rgb="FF000000"/>
            <rFont val="Tahoma"/>
            <charset val="1"/>
          </rPr>
          <t xml:space="preserve">data from Wirtgen
</t>
        </r>
      </text>
    </comment>
    <comment ref="J483" authorId="0">
      <text>
        <r>
          <rPr>
            <sz val="10"/>
            <color rgb="FF000000"/>
            <rFont val="Tahoma"/>
            <charset val="1"/>
          </rPr>
          <t xml:space="preserve">data from Wirtgen
</t>
        </r>
      </text>
    </comment>
    <comment ref="K483" authorId="0">
      <text>
        <r>
          <rPr>
            <sz val="10"/>
            <color rgb="FF000000"/>
            <rFont val="Tahoma"/>
            <charset val="1"/>
          </rPr>
          <t xml:space="preserve">data from Wirtgen
</t>
        </r>
      </text>
    </comment>
    <comment ref="L483" authorId="0">
      <text>
        <r>
          <rPr>
            <sz val="10"/>
            <color rgb="FF000000"/>
            <rFont val="Tahoma"/>
            <charset val="1"/>
          </rPr>
          <t xml:space="preserve">data from Wirtgen
</t>
        </r>
      </text>
    </comment>
    <comment ref="M483" authorId="0">
      <text>
        <r>
          <rPr>
            <sz val="10"/>
            <color rgb="FF000000"/>
            <rFont val="Tahoma"/>
            <charset val="1"/>
          </rPr>
          <t xml:space="preserve">data from Wirtgen
</t>
        </r>
      </text>
    </comment>
    <comment ref="N483" authorId="0">
      <text>
        <r>
          <rPr>
            <sz val="10"/>
            <color rgb="FF000000"/>
            <rFont val="Tahoma"/>
            <charset val="1"/>
          </rPr>
          <t xml:space="preserve">data from Wirtgen
</t>
        </r>
      </text>
    </comment>
    <comment ref="O483" authorId="0">
      <text>
        <r>
          <rPr>
            <sz val="10"/>
            <color rgb="FF000000"/>
            <rFont val="Tahoma"/>
            <charset val="1"/>
          </rPr>
          <t xml:space="preserve">data from Wirtgen
</t>
        </r>
      </text>
    </comment>
    <comment ref="P483" authorId="0">
      <text>
        <r>
          <rPr>
            <sz val="10"/>
            <color rgb="FF000000"/>
            <rFont val="Tahoma"/>
            <charset val="1"/>
          </rPr>
          <t xml:space="preserve">data from Wirtgen
</t>
        </r>
      </text>
    </comment>
    <comment ref="Q483" authorId="0">
      <text>
        <r>
          <rPr>
            <sz val="10"/>
            <color rgb="FF000000"/>
            <rFont val="Tahoma"/>
            <charset val="1"/>
          </rPr>
          <t xml:space="preserve">data from Wirtgen
</t>
        </r>
      </text>
    </comment>
    <comment ref="R483" authorId="0">
      <text>
        <r>
          <rPr>
            <sz val="10"/>
            <color rgb="FF000000"/>
            <rFont val="Tahoma"/>
            <charset val="1"/>
          </rPr>
          <t xml:space="preserve">data from Wirtgen
</t>
        </r>
      </text>
    </comment>
    <comment ref="S483" authorId="0">
      <text>
        <r>
          <rPr>
            <sz val="10"/>
            <color rgb="FF000000"/>
            <rFont val="Tahoma"/>
            <charset val="1"/>
          </rPr>
          <t xml:space="preserve">data from Wirtgen
</t>
        </r>
      </text>
    </comment>
    <comment ref="T483" authorId="0">
      <text>
        <r>
          <rPr>
            <sz val="10"/>
            <color rgb="FF000000"/>
            <rFont val="Tahoma"/>
            <charset val="1"/>
          </rPr>
          <t xml:space="preserve">data from Wirtgen
</t>
        </r>
      </text>
    </comment>
    <comment ref="U483" authorId="0">
      <text>
        <r>
          <rPr>
            <sz val="10"/>
            <color rgb="FF000000"/>
            <rFont val="Tahoma"/>
            <charset val="1"/>
          </rPr>
          <t xml:space="preserve">data from Wirtgen
</t>
        </r>
      </text>
    </comment>
    <comment ref="V483" authorId="0">
      <text>
        <r>
          <rPr>
            <sz val="10"/>
            <color rgb="FF000000"/>
            <rFont val="Tahoma"/>
            <charset val="1"/>
          </rPr>
          <t xml:space="preserve">data from Wirtgen
</t>
        </r>
      </text>
    </comment>
    <comment ref="W483" authorId="0">
      <text>
        <r>
          <rPr>
            <sz val="10"/>
            <color rgb="FF000000"/>
            <rFont val="Tahoma"/>
            <charset val="1"/>
          </rPr>
          <t xml:space="preserve">data from Wirtgen
</t>
        </r>
      </text>
    </comment>
    <comment ref="C484" authorId="0">
      <text>
        <r>
          <rPr>
            <sz val="10"/>
            <color rgb="FF000000"/>
            <rFont val="Tahoma"/>
            <charset val="1"/>
          </rPr>
          <t>2 on ground plus tending crew (2) and mtce crew allowance (2)</t>
        </r>
      </text>
    </comment>
    <comment ref="D484" authorId="0">
      <text>
        <r>
          <rPr>
            <sz val="10"/>
            <color rgb="FF000000"/>
            <rFont val="Tahoma"/>
            <charset val="1"/>
          </rPr>
          <t>2 on ground plus tending crew (2) and mtce crew allowance (2)</t>
        </r>
      </text>
    </comment>
    <comment ref="E484" authorId="0">
      <text>
        <r>
          <rPr>
            <sz val="10"/>
            <color rgb="FF000000"/>
            <rFont val="Tahoma"/>
            <charset val="1"/>
          </rPr>
          <t>2 on ground plus tending crew (2) and mtce crew allowance (2)</t>
        </r>
      </text>
    </comment>
    <comment ref="F484" authorId="0">
      <text>
        <r>
          <rPr>
            <sz val="10"/>
            <color rgb="FF000000"/>
            <rFont val="Tahoma"/>
            <charset val="1"/>
          </rPr>
          <t>2 on ground plus tending crew (2) and mtce crew allowance (2)</t>
        </r>
      </text>
    </comment>
    <comment ref="G484" authorId="0">
      <text>
        <r>
          <rPr>
            <sz val="10"/>
            <color rgb="FF000000"/>
            <rFont val="Tahoma"/>
            <charset val="1"/>
          </rPr>
          <t>2 on ground plus tending crew (2) and mtce crew allowance (2)</t>
        </r>
      </text>
    </comment>
    <comment ref="H484" authorId="0">
      <text>
        <r>
          <rPr>
            <sz val="10"/>
            <color rgb="FF000000"/>
            <rFont val="Tahoma"/>
            <charset val="1"/>
          </rPr>
          <t>2 on ground plus tending crew (2) and mtce crew allowance (2)</t>
        </r>
      </text>
    </comment>
    <comment ref="I484" authorId="0">
      <text>
        <r>
          <rPr>
            <sz val="10"/>
            <color rgb="FF000000"/>
            <rFont val="Tahoma"/>
            <charset val="1"/>
          </rPr>
          <t>2 on ground plus tending crew (2) and mtce crew allowance (2)</t>
        </r>
      </text>
    </comment>
    <comment ref="J484" authorId="0">
      <text>
        <r>
          <rPr>
            <sz val="10"/>
            <color rgb="FF000000"/>
            <rFont val="Tahoma"/>
            <charset val="1"/>
          </rPr>
          <t>2 on ground plus tending crew (2) and mtce crew allowance (2)</t>
        </r>
      </text>
    </comment>
    <comment ref="K484" authorId="0">
      <text>
        <r>
          <rPr>
            <sz val="10"/>
            <color rgb="FF000000"/>
            <rFont val="Tahoma"/>
            <charset val="1"/>
          </rPr>
          <t>2 on ground plus tending crew (2) and mtce crew allowance (2)</t>
        </r>
      </text>
    </comment>
    <comment ref="L484" authorId="0">
      <text>
        <r>
          <rPr>
            <sz val="10"/>
            <color rgb="FF000000"/>
            <rFont val="Tahoma"/>
            <charset val="1"/>
          </rPr>
          <t>2 on ground plus tending crew (2) and mtce crew allowance (2)</t>
        </r>
      </text>
    </comment>
    <comment ref="M484" authorId="0">
      <text>
        <r>
          <rPr>
            <sz val="10"/>
            <color rgb="FF000000"/>
            <rFont val="Tahoma"/>
            <charset val="1"/>
          </rPr>
          <t>2 on ground plus tending crew (2) and mtce crew allowance (2)</t>
        </r>
      </text>
    </comment>
    <comment ref="N484" authorId="0">
      <text>
        <r>
          <rPr>
            <sz val="10"/>
            <color rgb="FF000000"/>
            <rFont val="Tahoma"/>
            <charset val="1"/>
          </rPr>
          <t>2 on ground plus tending crew (2) and mtce crew allowance (2)</t>
        </r>
      </text>
    </comment>
    <comment ref="O484" authorId="0">
      <text>
        <r>
          <rPr>
            <sz val="10"/>
            <color rgb="FF000000"/>
            <rFont val="Tahoma"/>
            <charset val="1"/>
          </rPr>
          <t>2 on ground plus tending crew (2) and mtce crew allowance (2)</t>
        </r>
      </text>
    </comment>
    <comment ref="P484" authorId="0">
      <text>
        <r>
          <rPr>
            <sz val="10"/>
            <color rgb="FF000000"/>
            <rFont val="Tahoma"/>
            <charset val="1"/>
          </rPr>
          <t>2 on ground plus tending crew (2) and mtce crew allowance (2)</t>
        </r>
      </text>
    </comment>
    <comment ref="Q484" authorId="0">
      <text>
        <r>
          <rPr>
            <sz val="10"/>
            <color rgb="FF000000"/>
            <rFont val="Tahoma"/>
            <charset val="1"/>
          </rPr>
          <t>2 on ground plus tending crew (2) and mtce crew allowance (2)</t>
        </r>
      </text>
    </comment>
    <comment ref="R484" authorId="0">
      <text>
        <r>
          <rPr>
            <sz val="10"/>
            <color rgb="FF000000"/>
            <rFont val="Tahoma"/>
            <charset val="1"/>
          </rPr>
          <t>2 on ground plus tending crew (2) and mtce crew allowance (2)</t>
        </r>
      </text>
    </comment>
    <comment ref="S484" authorId="0">
      <text>
        <r>
          <rPr>
            <sz val="10"/>
            <color rgb="FF000000"/>
            <rFont val="Tahoma"/>
            <charset val="1"/>
          </rPr>
          <t>2 on ground plus tending crew (2) and mtce crew allowance (2)</t>
        </r>
      </text>
    </comment>
    <comment ref="T484" authorId="0">
      <text>
        <r>
          <rPr>
            <sz val="10"/>
            <color rgb="FF000000"/>
            <rFont val="Tahoma"/>
            <charset val="1"/>
          </rPr>
          <t>2 on ground plus tending crew (2) and mtce crew allowance (2)</t>
        </r>
      </text>
    </comment>
    <comment ref="U484" authorId="0">
      <text>
        <r>
          <rPr>
            <sz val="10"/>
            <color rgb="FF000000"/>
            <rFont val="Tahoma"/>
            <charset val="1"/>
          </rPr>
          <t>2 on ground plus tending crew (2) and mtce crew allowance (2)</t>
        </r>
      </text>
    </comment>
    <comment ref="V484" authorId="0">
      <text>
        <r>
          <rPr>
            <sz val="10"/>
            <color rgb="FF000000"/>
            <rFont val="Tahoma"/>
            <charset val="1"/>
          </rPr>
          <t>2 on ground plus tending crew (2) and mtce crew allowance (2)</t>
        </r>
      </text>
    </comment>
    <comment ref="W484" authorId="0">
      <text>
        <r>
          <rPr>
            <sz val="10"/>
            <color rgb="FF000000"/>
            <rFont val="Tahoma"/>
            <charset val="1"/>
          </rPr>
          <t>2 on ground plus tending crew (2) and mtce crew allowance (2)</t>
        </r>
      </text>
    </comment>
    <comment ref="C485" authorId="0">
      <text>
        <r>
          <rPr>
            <sz val="10"/>
            <color rgb="FF000000"/>
            <rFont val="Tahoma"/>
            <charset val="1"/>
          </rPr>
          <t xml:space="preserve">Wirtgen supplied data at 650 tph converted from euros to US$ and then to a per wmt rate
</t>
        </r>
      </text>
    </comment>
    <comment ref="D485" authorId="0">
      <text>
        <r>
          <rPr>
            <sz val="10"/>
            <color rgb="FF000000"/>
            <rFont val="Tahoma"/>
            <charset val="1"/>
          </rPr>
          <t xml:space="preserve">Wirtgen supplied data at 650 tph converted from euros to US$ and then to a per wmt rate
</t>
        </r>
      </text>
    </comment>
    <comment ref="E485" authorId="0">
      <text>
        <r>
          <rPr>
            <sz val="10"/>
            <color rgb="FF000000"/>
            <rFont val="Tahoma"/>
            <charset val="1"/>
          </rPr>
          <t xml:space="preserve">Wirtgen supplied data at 650 tph converted from euros to US$ and then to a per wmt rate
</t>
        </r>
      </text>
    </comment>
    <comment ref="F485" authorId="0">
      <text>
        <r>
          <rPr>
            <sz val="10"/>
            <color rgb="FF000000"/>
            <rFont val="Tahoma"/>
            <charset val="1"/>
          </rPr>
          <t xml:space="preserve">Wirtgen supplied data at 650 tph converted from euros to US$ and then to a per wmt rate
</t>
        </r>
      </text>
    </comment>
    <comment ref="G485" authorId="0">
      <text>
        <r>
          <rPr>
            <sz val="10"/>
            <color rgb="FF000000"/>
            <rFont val="Tahoma"/>
            <charset val="1"/>
          </rPr>
          <t xml:space="preserve">Wirtgen supplied data at 650 tph converted from euros to US$ and then to a per wmt rate
</t>
        </r>
      </text>
    </comment>
    <comment ref="H485" authorId="0">
      <text>
        <r>
          <rPr>
            <sz val="10"/>
            <color rgb="FF000000"/>
            <rFont val="Tahoma"/>
            <charset val="1"/>
          </rPr>
          <t xml:space="preserve">Wirtgen supplied data at 650 tph converted from euros to US$ and then to a per wmt rate
</t>
        </r>
      </text>
    </comment>
    <comment ref="I485" authorId="0">
      <text>
        <r>
          <rPr>
            <sz val="10"/>
            <color rgb="FF000000"/>
            <rFont val="Tahoma"/>
            <charset val="1"/>
          </rPr>
          <t xml:space="preserve">Wirtgen supplied data at 650 tph converted from euros to US$ and then to a per wmt rate
</t>
        </r>
      </text>
    </comment>
    <comment ref="J485" authorId="0">
      <text>
        <r>
          <rPr>
            <sz val="10"/>
            <color rgb="FF000000"/>
            <rFont val="Tahoma"/>
            <charset val="1"/>
          </rPr>
          <t xml:space="preserve">Wirtgen supplied data at 650 tph converted from euros to US$ and then to a per wmt rate
</t>
        </r>
      </text>
    </comment>
    <comment ref="K485" authorId="0">
      <text>
        <r>
          <rPr>
            <sz val="10"/>
            <color rgb="FF000000"/>
            <rFont val="Tahoma"/>
            <charset val="1"/>
          </rPr>
          <t xml:space="preserve">Wirtgen supplied data at 650 tph converted from euros to US$ and then to a per wmt rate
</t>
        </r>
      </text>
    </comment>
    <comment ref="L485" authorId="0">
      <text>
        <r>
          <rPr>
            <sz val="10"/>
            <color rgb="FF000000"/>
            <rFont val="Tahoma"/>
            <charset val="1"/>
          </rPr>
          <t xml:space="preserve">Wirtgen supplied data at 650 tph converted from euros to US$ and then to a per wmt rate
</t>
        </r>
      </text>
    </comment>
    <comment ref="M485" authorId="0">
      <text>
        <r>
          <rPr>
            <sz val="10"/>
            <color rgb="FF000000"/>
            <rFont val="Tahoma"/>
            <charset val="1"/>
          </rPr>
          <t xml:space="preserve">Wirtgen supplied data at 650 tph converted from euros to US$ and then to a per wmt rate
</t>
        </r>
      </text>
    </comment>
    <comment ref="N485" authorId="0">
      <text>
        <r>
          <rPr>
            <sz val="10"/>
            <color rgb="FF000000"/>
            <rFont val="Tahoma"/>
            <charset val="1"/>
          </rPr>
          <t xml:space="preserve">Wirtgen supplied data at 650 tph converted from euros to US$ and then to a per wmt rate
</t>
        </r>
      </text>
    </comment>
    <comment ref="O485" authorId="0">
      <text>
        <r>
          <rPr>
            <sz val="10"/>
            <color rgb="FF000000"/>
            <rFont val="Tahoma"/>
            <charset val="1"/>
          </rPr>
          <t xml:space="preserve">Wirtgen supplied data at 650 tph converted from euros to US$ and then to a per wmt rate
</t>
        </r>
      </text>
    </comment>
    <comment ref="P485" authorId="0">
      <text>
        <r>
          <rPr>
            <sz val="10"/>
            <color rgb="FF000000"/>
            <rFont val="Tahoma"/>
            <charset val="1"/>
          </rPr>
          <t xml:space="preserve">Wirtgen supplied data at 650 tph converted from euros to US$ and then to a per wmt rate
</t>
        </r>
      </text>
    </comment>
    <comment ref="Q485" authorId="0">
      <text>
        <r>
          <rPr>
            <sz val="10"/>
            <color rgb="FF000000"/>
            <rFont val="Tahoma"/>
            <charset val="1"/>
          </rPr>
          <t xml:space="preserve">Wirtgen supplied data at 650 tph converted from euros to US$ and then to a per wmt rate
</t>
        </r>
      </text>
    </comment>
    <comment ref="R485" authorId="0">
      <text>
        <r>
          <rPr>
            <sz val="10"/>
            <color rgb="FF000000"/>
            <rFont val="Tahoma"/>
            <charset val="1"/>
          </rPr>
          <t xml:space="preserve">Wirtgen supplied data at 650 tph converted from euros to US$ and then to a per wmt rate
</t>
        </r>
      </text>
    </comment>
    <comment ref="S485" authorId="0">
      <text>
        <r>
          <rPr>
            <sz val="10"/>
            <color rgb="FF000000"/>
            <rFont val="Tahoma"/>
            <charset val="1"/>
          </rPr>
          <t xml:space="preserve">Wirtgen supplied data at 650 tph converted from euros to US$ and then to a per wmt rate
</t>
        </r>
      </text>
    </comment>
    <comment ref="T485" authorId="0">
      <text>
        <r>
          <rPr>
            <sz val="10"/>
            <color rgb="FF000000"/>
            <rFont val="Tahoma"/>
            <charset val="1"/>
          </rPr>
          <t xml:space="preserve">Wirtgen supplied data at 650 tph converted from euros to US$ and then to a per wmt rate
</t>
        </r>
      </text>
    </comment>
    <comment ref="U485" authorId="0">
      <text>
        <r>
          <rPr>
            <sz val="10"/>
            <color rgb="FF000000"/>
            <rFont val="Tahoma"/>
            <charset val="1"/>
          </rPr>
          <t xml:space="preserve">Wirtgen supplied data at 650 tph converted from euros to US$ and then to a per wmt rate
</t>
        </r>
      </text>
    </comment>
    <comment ref="V485" authorId="0">
      <text>
        <r>
          <rPr>
            <sz val="10"/>
            <color rgb="FF000000"/>
            <rFont val="Tahoma"/>
            <charset val="1"/>
          </rPr>
          <t xml:space="preserve">Wirtgen supplied data at 650 tph converted from euros to US$ and then to a per wmt rate
</t>
        </r>
      </text>
    </comment>
    <comment ref="W485" authorId="0">
      <text>
        <r>
          <rPr>
            <sz val="10"/>
            <color rgb="FF000000"/>
            <rFont val="Tahoma"/>
            <charset val="1"/>
          </rPr>
          <t xml:space="preserve">Wirtgen supplied data at 650 tph converted from euros to US$ and then to a per wmt rate
</t>
        </r>
      </text>
    </comment>
    <comment ref="C503" authorId="0">
      <text>
        <r>
          <rPr>
            <sz val="10"/>
            <color rgb="FF000000"/>
            <rFont val="Tahoma"/>
            <charset val="1"/>
          </rPr>
          <t>tuned roughly to Henan Chine trip data</t>
        </r>
      </text>
    </comment>
    <comment ref="D503" authorId="0">
      <text>
        <r>
          <rPr>
            <sz val="10"/>
            <color rgb="FF000000"/>
            <rFont val="Tahoma"/>
            <charset val="1"/>
          </rPr>
          <t>tuned roughly to Henan Chine trip data</t>
        </r>
      </text>
    </comment>
    <comment ref="E503" authorId="0">
      <text>
        <r>
          <rPr>
            <sz val="10"/>
            <color rgb="FF000000"/>
            <rFont val="Tahoma"/>
            <charset val="1"/>
          </rPr>
          <t>tuned roughly to Henan Chine trip data</t>
        </r>
      </text>
    </comment>
    <comment ref="F503" authorId="0">
      <text>
        <r>
          <rPr>
            <sz val="10"/>
            <color rgb="FF000000"/>
            <rFont val="Tahoma"/>
            <charset val="1"/>
          </rPr>
          <t>tuned roughly to Henan Chine trip data</t>
        </r>
      </text>
    </comment>
    <comment ref="G503" authorId="0">
      <text>
        <r>
          <rPr>
            <sz val="10"/>
            <color rgb="FF000000"/>
            <rFont val="Tahoma"/>
            <charset val="1"/>
          </rPr>
          <t>tuned roughly to Henan Chine trip data</t>
        </r>
      </text>
    </comment>
    <comment ref="H503" authorId="0">
      <text>
        <r>
          <rPr>
            <sz val="10"/>
            <color rgb="FF000000"/>
            <rFont val="Tahoma"/>
            <charset val="1"/>
          </rPr>
          <t>tuned roughly to Henan Chine trip data</t>
        </r>
      </text>
    </comment>
    <comment ref="I503" authorId="0">
      <text>
        <r>
          <rPr>
            <sz val="10"/>
            <color rgb="FF000000"/>
            <rFont val="Tahoma"/>
            <charset val="1"/>
          </rPr>
          <t>tuned roughly to Henan Chine trip data</t>
        </r>
      </text>
    </comment>
    <comment ref="J503" authorId="0">
      <text>
        <r>
          <rPr>
            <sz val="10"/>
            <color rgb="FF000000"/>
            <rFont val="Tahoma"/>
            <charset val="1"/>
          </rPr>
          <t>tuned roughly to Henan Chine trip data</t>
        </r>
      </text>
    </comment>
    <comment ref="K503" authorId="0">
      <text>
        <r>
          <rPr>
            <sz val="10"/>
            <color rgb="FF000000"/>
            <rFont val="Tahoma"/>
            <charset val="1"/>
          </rPr>
          <t>tuned roughly to Henan Chine trip data</t>
        </r>
      </text>
    </comment>
    <comment ref="L503" authorId="0">
      <text>
        <r>
          <rPr>
            <sz val="10"/>
            <color rgb="FF000000"/>
            <rFont val="Tahoma"/>
            <charset val="1"/>
          </rPr>
          <t>tuned roughly to Henan Chine trip data</t>
        </r>
      </text>
    </comment>
    <comment ref="M503" authorId="0">
      <text>
        <r>
          <rPr>
            <sz val="10"/>
            <color rgb="FF000000"/>
            <rFont val="Tahoma"/>
            <charset val="1"/>
          </rPr>
          <t>tuned roughly to Henan Chine trip data</t>
        </r>
      </text>
    </comment>
    <comment ref="N503" authorId="0">
      <text>
        <r>
          <rPr>
            <sz val="10"/>
            <color rgb="FF000000"/>
            <rFont val="Tahoma"/>
            <charset val="1"/>
          </rPr>
          <t>tuned roughly to Henan Chine trip data</t>
        </r>
      </text>
    </comment>
    <comment ref="O503" authorId="0">
      <text>
        <r>
          <rPr>
            <sz val="10"/>
            <color rgb="FF000000"/>
            <rFont val="Tahoma"/>
            <charset val="1"/>
          </rPr>
          <t>tuned roughly to Henan Chine trip data</t>
        </r>
      </text>
    </comment>
    <comment ref="P503" authorId="0">
      <text>
        <r>
          <rPr>
            <sz val="10"/>
            <color rgb="FF000000"/>
            <rFont val="Tahoma"/>
            <charset val="1"/>
          </rPr>
          <t>tuned roughly to Henan Chine trip data</t>
        </r>
      </text>
    </comment>
    <comment ref="Q503" authorId="0">
      <text>
        <r>
          <rPr>
            <sz val="10"/>
            <color rgb="FF000000"/>
            <rFont val="Tahoma"/>
            <charset val="1"/>
          </rPr>
          <t>tuned roughly to Henan Chine trip data</t>
        </r>
      </text>
    </comment>
    <comment ref="R503" authorId="0">
      <text>
        <r>
          <rPr>
            <sz val="10"/>
            <color rgb="FF000000"/>
            <rFont val="Tahoma"/>
            <charset val="1"/>
          </rPr>
          <t>tuned roughly to Henan Chine trip data</t>
        </r>
      </text>
    </comment>
    <comment ref="S503" authorId="0">
      <text>
        <r>
          <rPr>
            <sz val="10"/>
            <color rgb="FF000000"/>
            <rFont val="Tahoma"/>
            <charset val="1"/>
          </rPr>
          <t>tuned roughly to Henan Chine trip data</t>
        </r>
      </text>
    </comment>
    <comment ref="T503" authorId="0">
      <text>
        <r>
          <rPr>
            <sz val="10"/>
            <color rgb="FF000000"/>
            <rFont val="Tahoma"/>
            <charset val="1"/>
          </rPr>
          <t>tuned roughly to Henan Chine trip data</t>
        </r>
      </text>
    </comment>
    <comment ref="U503" authorId="0">
      <text>
        <r>
          <rPr>
            <sz val="10"/>
            <color rgb="FF000000"/>
            <rFont val="Tahoma"/>
            <charset val="1"/>
          </rPr>
          <t>tuned roughly to Henan Chine trip data</t>
        </r>
      </text>
    </comment>
    <comment ref="V503" authorId="0">
      <text>
        <r>
          <rPr>
            <sz val="10"/>
            <color rgb="FF000000"/>
            <rFont val="Tahoma"/>
            <charset val="1"/>
          </rPr>
          <t>tuned roughly to Henan Chine trip data</t>
        </r>
      </text>
    </comment>
    <comment ref="W503" authorId="0">
      <text>
        <r>
          <rPr>
            <sz val="10"/>
            <color rgb="FF000000"/>
            <rFont val="Tahoma"/>
            <charset val="1"/>
          </rPr>
          <t>tuned roughly to Henan Chine trip data</t>
        </r>
      </text>
    </comment>
    <comment ref="C504" authorId="0">
      <text>
        <r>
          <rPr>
            <sz val="10"/>
            <color rgb="FF000000"/>
            <rFont val="Calibri"/>
            <charset val="1"/>
          </rPr>
          <t xml:space="preserve">Baes off India bx truck data &amp; Guidelines for Measuring and Managing CO2 Emission from Freight Transport Operations </t>
        </r>
      </text>
    </comment>
    <comment ref="D504" authorId="0">
      <text>
        <r>
          <rPr>
            <sz val="10"/>
            <color rgb="FF000000"/>
            <rFont val="Calibri"/>
            <charset val="1"/>
          </rPr>
          <t xml:space="preserve">Baes off India bx truck data &amp; Guidelines for Measuring and Managing CO2 Emission from Freight Transport Operations </t>
        </r>
      </text>
    </comment>
    <comment ref="E504" authorId="0">
      <text>
        <r>
          <rPr>
            <sz val="10"/>
            <color rgb="FF000000"/>
            <rFont val="Calibri"/>
            <charset val="1"/>
          </rPr>
          <t xml:space="preserve">Baes off India bx truck data &amp; Guidelines for Measuring and Managing CO2 Emission from Freight Transport Operations </t>
        </r>
      </text>
    </comment>
    <comment ref="F504" authorId="0">
      <text>
        <r>
          <rPr>
            <sz val="10"/>
            <color rgb="FF000000"/>
            <rFont val="Calibri"/>
            <charset val="1"/>
          </rPr>
          <t xml:space="preserve">Baes off India bx truck data &amp; Guidelines for Measuring and Managing CO2 Emission from Freight Transport Operations </t>
        </r>
      </text>
    </comment>
    <comment ref="G504" authorId="0">
      <text>
        <r>
          <rPr>
            <sz val="10"/>
            <color rgb="FF000000"/>
            <rFont val="Calibri"/>
            <charset val="1"/>
          </rPr>
          <t xml:space="preserve">Baes off India bx truck data &amp; Guidelines for Measuring and Managing CO2 Emission from Freight Transport Operations </t>
        </r>
      </text>
    </comment>
    <comment ref="H504" authorId="0">
      <text>
        <r>
          <rPr>
            <sz val="10"/>
            <color rgb="FF000000"/>
            <rFont val="Calibri"/>
            <charset val="1"/>
          </rPr>
          <t xml:space="preserve">Baes off India bx truck data &amp; Guidelines for Measuring and Managing CO2 Emission from Freight Transport Operations </t>
        </r>
      </text>
    </comment>
    <comment ref="I504" authorId="0">
      <text>
        <r>
          <rPr>
            <sz val="10"/>
            <color rgb="FF000000"/>
            <rFont val="Calibri"/>
            <charset val="1"/>
          </rPr>
          <t xml:space="preserve">Baes off India bx truck data &amp; Guidelines for Measuring and Managing CO2 Emission from Freight Transport Operations </t>
        </r>
      </text>
    </comment>
    <comment ref="J504" authorId="0">
      <text>
        <r>
          <rPr>
            <sz val="10"/>
            <color rgb="FF000000"/>
            <rFont val="Calibri"/>
            <charset val="1"/>
          </rPr>
          <t xml:space="preserve">Baes off India bx truck data &amp; Guidelines for Measuring and Managing CO2 Emission from Freight Transport Operations </t>
        </r>
      </text>
    </comment>
    <comment ref="K504" authorId="0">
      <text>
        <r>
          <rPr>
            <sz val="10"/>
            <color rgb="FF000000"/>
            <rFont val="Calibri"/>
            <charset val="1"/>
          </rPr>
          <t xml:space="preserve">Baes off India bx truck data &amp; Guidelines for Measuring and Managing CO2 Emission from Freight Transport Operations </t>
        </r>
      </text>
    </comment>
    <comment ref="L504" authorId="0">
      <text>
        <r>
          <rPr>
            <sz val="10"/>
            <color rgb="FF000000"/>
            <rFont val="Calibri"/>
            <charset val="1"/>
          </rPr>
          <t xml:space="preserve">Baes off India bx truck data &amp; Guidelines for Measuring and Managing CO2 Emission from Freight Transport Operations </t>
        </r>
      </text>
    </comment>
    <comment ref="M504" authorId="0">
      <text>
        <r>
          <rPr>
            <sz val="10"/>
            <color rgb="FF000000"/>
            <rFont val="Calibri"/>
            <charset val="1"/>
          </rPr>
          <t xml:space="preserve">Baes off India bx truck data &amp; Guidelines for Measuring and Managing CO2 Emission from Freight Transport Operations </t>
        </r>
      </text>
    </comment>
    <comment ref="N504" authorId="0">
      <text>
        <r>
          <rPr>
            <sz val="10"/>
            <color rgb="FF000000"/>
            <rFont val="Calibri"/>
            <charset val="1"/>
          </rPr>
          <t xml:space="preserve">Baes off India bx truck data &amp; Guidelines for Measuring and Managing CO2 Emission from Freight Transport Operations </t>
        </r>
      </text>
    </comment>
    <comment ref="O504" authorId="0">
      <text>
        <r>
          <rPr>
            <sz val="10"/>
            <color rgb="FF000000"/>
            <rFont val="Calibri"/>
            <charset val="1"/>
          </rPr>
          <t xml:space="preserve">Baes off India bx truck data &amp; Guidelines for Measuring and Managing CO2 Emission from Freight Transport Operations </t>
        </r>
      </text>
    </comment>
    <comment ref="P504" authorId="0">
      <text>
        <r>
          <rPr>
            <sz val="10"/>
            <color rgb="FF000000"/>
            <rFont val="Calibri"/>
            <charset val="1"/>
          </rPr>
          <t xml:space="preserve">Baes off India bx truck data &amp; Guidelines for Measuring and Managing CO2 Emission from Freight Transport Operations </t>
        </r>
      </text>
    </comment>
    <comment ref="Q504" authorId="0">
      <text>
        <r>
          <rPr>
            <sz val="10"/>
            <color rgb="FF000000"/>
            <rFont val="Calibri"/>
            <charset val="1"/>
          </rPr>
          <t xml:space="preserve">Baes off India bx truck data &amp; Guidelines for Measuring and Managing CO2 Emission from Freight Transport Operations </t>
        </r>
      </text>
    </comment>
    <comment ref="R504" authorId="0">
      <text>
        <r>
          <rPr>
            <sz val="10"/>
            <color rgb="FF000000"/>
            <rFont val="Calibri"/>
            <charset val="1"/>
          </rPr>
          <t xml:space="preserve">Baes off India bx truck data &amp; Guidelines for Measuring and Managing CO2 Emission from Freight Transport Operations </t>
        </r>
      </text>
    </comment>
    <comment ref="S504" authorId="0">
      <text>
        <r>
          <rPr>
            <sz val="10"/>
            <color rgb="FF000000"/>
            <rFont val="Calibri"/>
            <charset val="1"/>
          </rPr>
          <t xml:space="preserve">Baes off India bx truck data &amp; Guidelines for Measuring and Managing CO2 Emission from Freight Transport Operations </t>
        </r>
      </text>
    </comment>
    <comment ref="T504" authorId="0">
      <text>
        <r>
          <rPr>
            <sz val="10"/>
            <color rgb="FF000000"/>
            <rFont val="Calibri"/>
            <charset val="1"/>
          </rPr>
          <t xml:space="preserve">Baes off India bx truck data &amp; Guidelines for Measuring and Managing CO2 Emission from Freight Transport Operations </t>
        </r>
      </text>
    </comment>
    <comment ref="U504" authorId="0">
      <text>
        <r>
          <rPr>
            <sz val="10"/>
            <color rgb="FF000000"/>
            <rFont val="Calibri"/>
            <charset val="1"/>
          </rPr>
          <t xml:space="preserve">Baes off India bx truck data &amp; Guidelines for Measuring and Managing CO2 Emission from Freight Transport Operations </t>
        </r>
      </text>
    </comment>
    <comment ref="V504" authorId="0">
      <text>
        <r>
          <rPr>
            <sz val="10"/>
            <color rgb="FF000000"/>
            <rFont val="Calibri"/>
            <charset val="1"/>
          </rPr>
          <t xml:space="preserve">Baes off India bx truck data &amp; Guidelines for Measuring and Managing CO2 Emission from Freight Transport Operations </t>
        </r>
      </text>
    </comment>
    <comment ref="W504" authorId="0">
      <text>
        <r>
          <rPr>
            <sz val="10"/>
            <color rgb="FF000000"/>
            <rFont val="Calibri"/>
            <charset val="1"/>
          </rPr>
          <t xml:space="preserve">Baes off India bx truck data &amp; Guidelines for Measuring and Managing CO2 Emission from Freight Transport Operations </t>
        </r>
      </text>
    </comment>
    <comment ref="C505" authorId="0">
      <text>
        <r>
          <rPr>
            <sz val="10"/>
            <color rgb="FF000000"/>
            <rFont val="Tahoma"/>
            <charset val="1"/>
          </rPr>
          <t>tuned roughly to Henan Chine trip data</t>
        </r>
      </text>
    </comment>
    <comment ref="D505" authorId="0">
      <text>
        <r>
          <rPr>
            <sz val="10"/>
            <color rgb="FF000000"/>
            <rFont val="Tahoma"/>
            <charset val="1"/>
          </rPr>
          <t>tuned roughly to Henan Chine trip data</t>
        </r>
      </text>
    </comment>
    <comment ref="E505" authorId="0">
      <text>
        <r>
          <rPr>
            <sz val="10"/>
            <color rgb="FF000000"/>
            <rFont val="Tahoma"/>
            <charset val="1"/>
          </rPr>
          <t>tuned roughly to Henan Chine trip data</t>
        </r>
      </text>
    </comment>
    <comment ref="F505" authorId="0">
      <text>
        <r>
          <rPr>
            <sz val="10"/>
            <color rgb="FF000000"/>
            <rFont val="Tahoma"/>
            <charset val="1"/>
          </rPr>
          <t>tuned roughly to Henan Chine trip data</t>
        </r>
      </text>
    </comment>
    <comment ref="G505" authorId="0">
      <text>
        <r>
          <rPr>
            <sz val="10"/>
            <color rgb="FF000000"/>
            <rFont val="Tahoma"/>
            <charset val="1"/>
          </rPr>
          <t>tuned roughly to Henan Chine trip data</t>
        </r>
      </text>
    </comment>
    <comment ref="H505" authorId="0">
      <text>
        <r>
          <rPr>
            <sz val="10"/>
            <color rgb="FF000000"/>
            <rFont val="Tahoma"/>
            <charset val="1"/>
          </rPr>
          <t>tuned roughly to Henan Chine trip data</t>
        </r>
      </text>
    </comment>
    <comment ref="I505" authorId="0">
      <text>
        <r>
          <rPr>
            <sz val="10"/>
            <color rgb="FF000000"/>
            <rFont val="Tahoma"/>
            <charset val="1"/>
          </rPr>
          <t>tuned roughly to Henan Chine trip data</t>
        </r>
      </text>
    </comment>
    <comment ref="J505" authorId="0">
      <text>
        <r>
          <rPr>
            <sz val="10"/>
            <color rgb="FF000000"/>
            <rFont val="Tahoma"/>
            <charset val="1"/>
          </rPr>
          <t>tuned roughly to Henan Chine trip data</t>
        </r>
      </text>
    </comment>
    <comment ref="K505" authorId="0">
      <text>
        <r>
          <rPr>
            <sz val="10"/>
            <color rgb="FF000000"/>
            <rFont val="Tahoma"/>
            <charset val="1"/>
          </rPr>
          <t>tuned roughly to Henan Chine trip data</t>
        </r>
      </text>
    </comment>
    <comment ref="L505" authorId="0">
      <text>
        <r>
          <rPr>
            <sz val="10"/>
            <color rgb="FF000000"/>
            <rFont val="Tahoma"/>
            <charset val="1"/>
          </rPr>
          <t>tuned roughly to Henan Chine trip data</t>
        </r>
      </text>
    </comment>
    <comment ref="M505" authorId="0">
      <text>
        <r>
          <rPr>
            <sz val="10"/>
            <color rgb="FF000000"/>
            <rFont val="Tahoma"/>
            <charset val="1"/>
          </rPr>
          <t>tuned roughly to Henan Chine trip data</t>
        </r>
      </text>
    </comment>
    <comment ref="N505" authorId="0">
      <text>
        <r>
          <rPr>
            <sz val="10"/>
            <color rgb="FF000000"/>
            <rFont val="Tahoma"/>
            <charset val="1"/>
          </rPr>
          <t>tuned roughly to Henan Chine trip data</t>
        </r>
      </text>
    </comment>
    <comment ref="O505" authorId="0">
      <text>
        <r>
          <rPr>
            <sz val="10"/>
            <color rgb="FF000000"/>
            <rFont val="Tahoma"/>
            <charset val="1"/>
          </rPr>
          <t>tuned roughly to Henan Chine trip data</t>
        </r>
      </text>
    </comment>
    <comment ref="P505" authorId="0">
      <text>
        <r>
          <rPr>
            <sz val="10"/>
            <color rgb="FF000000"/>
            <rFont val="Tahoma"/>
            <charset val="1"/>
          </rPr>
          <t>tuned roughly to Henan Chine trip data</t>
        </r>
      </text>
    </comment>
    <comment ref="Q505" authorId="0">
      <text>
        <r>
          <rPr>
            <sz val="10"/>
            <color rgb="FF000000"/>
            <rFont val="Tahoma"/>
            <charset val="1"/>
          </rPr>
          <t>tuned roughly to Henan Chine trip data</t>
        </r>
      </text>
    </comment>
    <comment ref="R505" authorId="0">
      <text>
        <r>
          <rPr>
            <sz val="10"/>
            <color rgb="FF000000"/>
            <rFont val="Tahoma"/>
            <charset val="1"/>
          </rPr>
          <t>tuned roughly to Henan Chine trip data</t>
        </r>
      </text>
    </comment>
    <comment ref="S505" authorId="0">
      <text>
        <r>
          <rPr>
            <sz val="10"/>
            <color rgb="FF000000"/>
            <rFont val="Tahoma"/>
            <charset val="1"/>
          </rPr>
          <t>tuned roughly to Henan Chine trip data</t>
        </r>
      </text>
    </comment>
    <comment ref="T505" authorId="0">
      <text>
        <r>
          <rPr>
            <sz val="10"/>
            <color rgb="FF000000"/>
            <rFont val="Tahoma"/>
            <charset val="1"/>
          </rPr>
          <t>tuned roughly to Henan Chine trip data</t>
        </r>
      </text>
    </comment>
    <comment ref="U505" authorId="0">
      <text>
        <r>
          <rPr>
            <sz val="10"/>
            <color rgb="FF000000"/>
            <rFont val="Tahoma"/>
            <charset val="1"/>
          </rPr>
          <t>tuned roughly to Henan Chine trip data</t>
        </r>
      </text>
    </comment>
    <comment ref="V505" authorId="0">
      <text>
        <r>
          <rPr>
            <sz val="10"/>
            <color rgb="FF000000"/>
            <rFont val="Tahoma"/>
            <charset val="1"/>
          </rPr>
          <t>tuned roughly to Henan Chine trip data</t>
        </r>
      </text>
    </comment>
    <comment ref="W505" authorId="0">
      <text>
        <r>
          <rPr>
            <sz val="10"/>
            <color rgb="FF000000"/>
            <rFont val="Tahoma"/>
            <charset val="1"/>
          </rPr>
          <t>tuned roughly to Henan Chine trip data</t>
        </r>
      </text>
    </comment>
    <comment ref="C550" authorId="0">
      <text>
        <r>
          <rPr>
            <sz val="10"/>
            <color rgb="FF000000"/>
            <rFont val="Tahoma"/>
            <charset val="1"/>
          </rPr>
          <t xml:space="preserve">built on machine doing relatively free digging = 200 tph, halve or quarter this for more difficult or insitu material
</t>
        </r>
      </text>
    </comment>
    <comment ref="D550" authorId="0">
      <text>
        <r>
          <rPr>
            <sz val="10"/>
            <color rgb="FF000000"/>
            <rFont val="Tahoma"/>
            <charset val="1"/>
          </rPr>
          <t xml:space="preserve">built on machine doing relatively free digging = 200 tph, halve or quarter this for more difficult or insitu material
</t>
        </r>
      </text>
    </comment>
    <comment ref="E550" authorId="0">
      <text>
        <r>
          <rPr>
            <sz val="10"/>
            <color rgb="FF000000"/>
            <rFont val="Tahoma"/>
            <charset val="1"/>
          </rPr>
          <t xml:space="preserve">built on machine doing relatively free digging = 200 tph, halve or quarter this for more difficult or insitu material
</t>
        </r>
      </text>
    </comment>
    <comment ref="F550" authorId="0">
      <text>
        <r>
          <rPr>
            <sz val="10"/>
            <color rgb="FF000000"/>
            <rFont val="Tahoma"/>
            <charset val="1"/>
          </rPr>
          <t xml:space="preserve">built on machine doing relatively free digging = 200 tph, halve or quarter this for more difficult or insitu material
</t>
        </r>
      </text>
    </comment>
    <comment ref="G550" authorId="0">
      <text>
        <r>
          <rPr>
            <sz val="10"/>
            <color rgb="FF000000"/>
            <rFont val="Tahoma"/>
            <charset val="1"/>
          </rPr>
          <t xml:space="preserve">built on machine doing relatively free digging = 200 tph, halve or quarter this for more difficult or insitu material
</t>
        </r>
      </text>
    </comment>
    <comment ref="H550" authorId="0">
      <text>
        <r>
          <rPr>
            <sz val="10"/>
            <color rgb="FF000000"/>
            <rFont val="Tahoma"/>
            <charset val="1"/>
          </rPr>
          <t xml:space="preserve">built on machine doing relatively free digging = 200 tph, halve or quarter this for more difficult or insitu material
</t>
        </r>
      </text>
    </comment>
    <comment ref="I550" authorId="0">
      <text>
        <r>
          <rPr>
            <sz val="10"/>
            <color rgb="FF000000"/>
            <rFont val="Tahoma"/>
            <charset val="1"/>
          </rPr>
          <t xml:space="preserve">built on machine doing relatively free digging = 200 tph, halve or quarter this for more difficult or insitu material
</t>
        </r>
      </text>
    </comment>
    <comment ref="J550" authorId="0">
      <text>
        <r>
          <rPr>
            <sz val="10"/>
            <color rgb="FF000000"/>
            <rFont val="Tahoma"/>
            <charset val="1"/>
          </rPr>
          <t xml:space="preserve">built on machine doing relatively free digging = 200 tph, halve or quarter this for more difficult or insitu material
</t>
        </r>
      </text>
    </comment>
    <comment ref="K550" authorId="0">
      <text>
        <r>
          <rPr>
            <sz val="10"/>
            <color rgb="FF000000"/>
            <rFont val="Tahoma"/>
            <charset val="1"/>
          </rPr>
          <t xml:space="preserve">built on machine doing relatively free digging = 200 tph, halve or quarter this for more difficult or insitu material
</t>
        </r>
      </text>
    </comment>
    <comment ref="L550" authorId="0">
      <text>
        <r>
          <rPr>
            <sz val="10"/>
            <color rgb="FF000000"/>
            <rFont val="Tahoma"/>
            <charset val="1"/>
          </rPr>
          <t xml:space="preserve">built on machine doing relatively free digging = 200 tph, halve or quarter this for more difficult or insitu material
</t>
        </r>
      </text>
    </comment>
    <comment ref="M550" authorId="0">
      <text>
        <r>
          <rPr>
            <sz val="10"/>
            <color rgb="FF000000"/>
            <rFont val="Tahoma"/>
            <charset val="1"/>
          </rPr>
          <t xml:space="preserve">built on machine doing relatively free digging = 200 tph, halve or quarter this for more difficult or insitu material
</t>
        </r>
      </text>
    </comment>
    <comment ref="N550" authorId="0">
      <text>
        <r>
          <rPr>
            <sz val="10"/>
            <color rgb="FF000000"/>
            <rFont val="Tahoma"/>
            <charset val="1"/>
          </rPr>
          <t xml:space="preserve">built on machine doing relatively free digging = 200 tph, halve or quarter this for more difficult or insitu material
</t>
        </r>
      </text>
    </comment>
    <comment ref="O550" authorId="0">
      <text>
        <r>
          <rPr>
            <sz val="10"/>
            <color rgb="FF000000"/>
            <rFont val="Tahoma"/>
            <charset val="1"/>
          </rPr>
          <t xml:space="preserve">built on machine doing relatively free digging = 200 tph, halve or quarter this for more difficult or insitu material
</t>
        </r>
      </text>
    </comment>
    <comment ref="P550" authorId="0">
      <text>
        <r>
          <rPr>
            <sz val="10"/>
            <color rgb="FF000000"/>
            <rFont val="Tahoma"/>
            <charset val="1"/>
          </rPr>
          <t xml:space="preserve">built on machine doing relatively free digging = 200 tph, halve or quarter this for more difficult or insitu material
</t>
        </r>
      </text>
    </comment>
    <comment ref="Q550" authorId="0">
      <text>
        <r>
          <rPr>
            <sz val="10"/>
            <color rgb="FF000000"/>
            <rFont val="Tahoma"/>
            <charset val="1"/>
          </rPr>
          <t xml:space="preserve">built on machine doing relatively free digging = 200 tph, halve or quarter this for more difficult or insitu material
</t>
        </r>
      </text>
    </comment>
    <comment ref="R550" authorId="0">
      <text>
        <r>
          <rPr>
            <sz val="10"/>
            <color rgb="FF000000"/>
            <rFont val="Tahoma"/>
            <charset val="1"/>
          </rPr>
          <t xml:space="preserve">built on machine doing relatively free digging = 200 tph, halve or quarter this for more difficult or insitu material
</t>
        </r>
      </text>
    </comment>
    <comment ref="S550" authorId="0">
      <text>
        <r>
          <rPr>
            <sz val="10"/>
            <color rgb="FF000000"/>
            <rFont val="Tahoma"/>
            <charset val="1"/>
          </rPr>
          <t xml:space="preserve">built on machine doing relatively free digging = 200 tph, halve or quarter this for more difficult or insitu material
</t>
        </r>
      </text>
    </comment>
    <comment ref="T550" authorId="0">
      <text>
        <r>
          <rPr>
            <sz val="10"/>
            <color rgb="FF000000"/>
            <rFont val="Tahoma"/>
            <charset val="1"/>
          </rPr>
          <t xml:space="preserve">built on machine doing relatively free digging = 200 tph, halve or quarter this for more difficult or insitu material
</t>
        </r>
      </text>
    </comment>
    <comment ref="U550" authorId="0">
      <text>
        <r>
          <rPr>
            <sz val="10"/>
            <color rgb="FF000000"/>
            <rFont val="Tahoma"/>
            <charset val="1"/>
          </rPr>
          <t xml:space="preserve">built on machine doing relatively free digging = 200 tph, halve or quarter this for more difficult or insitu material
</t>
        </r>
      </text>
    </comment>
    <comment ref="V550" authorId="0">
      <text>
        <r>
          <rPr>
            <sz val="10"/>
            <color rgb="FF000000"/>
            <rFont val="Tahoma"/>
            <charset val="1"/>
          </rPr>
          <t xml:space="preserve">built on machine doing relatively free digging = 200 tph, halve or quarter this for more difficult or insitu material
</t>
        </r>
      </text>
    </comment>
    <comment ref="W550" authorId="0">
      <text>
        <r>
          <rPr>
            <sz val="10"/>
            <color rgb="FF000000"/>
            <rFont val="Tahoma"/>
            <charset val="1"/>
          </rPr>
          <t xml:space="preserve">built on machine doing relatively free digging = 200 tph, halve or quarter this for more difficult or insitu material
</t>
        </r>
      </text>
    </comment>
    <comment ref="C552" authorId="0">
      <text>
        <r>
          <rPr>
            <sz val="10"/>
            <color rgb="FF000000"/>
            <rFont val="Tahoma"/>
            <charset val="1"/>
          </rPr>
          <t xml:space="preserve">data from Wirtgen
</t>
        </r>
      </text>
    </comment>
    <comment ref="D552" authorId="0">
      <text>
        <r>
          <rPr>
            <sz val="10"/>
            <color rgb="FF000000"/>
            <rFont val="Tahoma"/>
            <charset val="1"/>
          </rPr>
          <t xml:space="preserve">data from Wirtgen
</t>
        </r>
      </text>
    </comment>
    <comment ref="E552" authorId="0">
      <text>
        <r>
          <rPr>
            <sz val="10"/>
            <color rgb="FF000000"/>
            <rFont val="Tahoma"/>
            <charset val="1"/>
          </rPr>
          <t xml:space="preserve">data from Wirtgen
</t>
        </r>
      </text>
    </comment>
    <comment ref="F552" authorId="0">
      <text>
        <r>
          <rPr>
            <sz val="10"/>
            <color rgb="FF000000"/>
            <rFont val="Tahoma"/>
            <charset val="1"/>
          </rPr>
          <t xml:space="preserve">data from Wirtgen
</t>
        </r>
      </text>
    </comment>
    <comment ref="G552" authorId="0">
      <text>
        <r>
          <rPr>
            <sz val="10"/>
            <color rgb="FF000000"/>
            <rFont val="Tahoma"/>
            <charset val="1"/>
          </rPr>
          <t xml:space="preserve">data from Wirtgen
</t>
        </r>
      </text>
    </comment>
    <comment ref="H552" authorId="0">
      <text>
        <r>
          <rPr>
            <sz val="10"/>
            <color rgb="FF000000"/>
            <rFont val="Tahoma"/>
            <charset val="1"/>
          </rPr>
          <t xml:space="preserve">data from Wirtgen
</t>
        </r>
      </text>
    </comment>
    <comment ref="I552" authorId="0">
      <text>
        <r>
          <rPr>
            <sz val="10"/>
            <color rgb="FF000000"/>
            <rFont val="Tahoma"/>
            <charset val="1"/>
          </rPr>
          <t xml:space="preserve">data from Wirtgen
</t>
        </r>
      </text>
    </comment>
    <comment ref="J552" authorId="0">
      <text>
        <r>
          <rPr>
            <sz val="10"/>
            <color rgb="FF000000"/>
            <rFont val="Tahoma"/>
            <charset val="1"/>
          </rPr>
          <t xml:space="preserve">data from Wirtgen
</t>
        </r>
      </text>
    </comment>
    <comment ref="K552" authorId="0">
      <text>
        <r>
          <rPr>
            <sz val="10"/>
            <color rgb="FF000000"/>
            <rFont val="Tahoma"/>
            <charset val="1"/>
          </rPr>
          <t xml:space="preserve">data from Wirtgen
</t>
        </r>
      </text>
    </comment>
    <comment ref="L552" authorId="0">
      <text>
        <r>
          <rPr>
            <sz val="10"/>
            <color rgb="FF000000"/>
            <rFont val="Tahoma"/>
            <charset val="1"/>
          </rPr>
          <t xml:space="preserve">data from Wirtgen
</t>
        </r>
      </text>
    </comment>
    <comment ref="M552" authorId="0">
      <text>
        <r>
          <rPr>
            <sz val="10"/>
            <color rgb="FF000000"/>
            <rFont val="Tahoma"/>
            <charset val="1"/>
          </rPr>
          <t xml:space="preserve">data from Wirtgen
</t>
        </r>
      </text>
    </comment>
    <comment ref="N552" authorId="0">
      <text>
        <r>
          <rPr>
            <sz val="10"/>
            <color rgb="FF000000"/>
            <rFont val="Tahoma"/>
            <charset val="1"/>
          </rPr>
          <t xml:space="preserve">data from Wirtgen
</t>
        </r>
      </text>
    </comment>
    <comment ref="O552" authorId="0">
      <text>
        <r>
          <rPr>
            <sz val="10"/>
            <color rgb="FF000000"/>
            <rFont val="Tahoma"/>
            <charset val="1"/>
          </rPr>
          <t xml:space="preserve">data from Wirtgen
</t>
        </r>
      </text>
    </comment>
    <comment ref="P552" authorId="0">
      <text>
        <r>
          <rPr>
            <sz val="10"/>
            <color rgb="FF000000"/>
            <rFont val="Tahoma"/>
            <charset val="1"/>
          </rPr>
          <t xml:space="preserve">data from Wirtgen
</t>
        </r>
      </text>
    </comment>
    <comment ref="Q552" authorId="0">
      <text>
        <r>
          <rPr>
            <sz val="10"/>
            <color rgb="FF000000"/>
            <rFont val="Tahoma"/>
            <charset val="1"/>
          </rPr>
          <t xml:space="preserve">data from Wirtgen
</t>
        </r>
      </text>
    </comment>
    <comment ref="R552" authorId="0">
      <text>
        <r>
          <rPr>
            <sz val="10"/>
            <color rgb="FF000000"/>
            <rFont val="Tahoma"/>
            <charset val="1"/>
          </rPr>
          <t xml:space="preserve">data from Wirtgen
</t>
        </r>
      </text>
    </comment>
    <comment ref="S552" authorId="0">
      <text>
        <r>
          <rPr>
            <sz val="10"/>
            <color rgb="FF000000"/>
            <rFont val="Tahoma"/>
            <charset val="1"/>
          </rPr>
          <t xml:space="preserve">data from Wirtgen
</t>
        </r>
      </text>
    </comment>
    <comment ref="T552" authorId="0">
      <text>
        <r>
          <rPr>
            <sz val="10"/>
            <color rgb="FF000000"/>
            <rFont val="Tahoma"/>
            <charset val="1"/>
          </rPr>
          <t xml:space="preserve">data from Wirtgen
</t>
        </r>
      </text>
    </comment>
    <comment ref="U552" authorId="0">
      <text>
        <r>
          <rPr>
            <sz val="10"/>
            <color rgb="FF000000"/>
            <rFont val="Tahoma"/>
            <charset val="1"/>
          </rPr>
          <t xml:space="preserve">data from Wirtgen
</t>
        </r>
      </text>
    </comment>
    <comment ref="V552" authorId="0">
      <text>
        <r>
          <rPr>
            <sz val="10"/>
            <color rgb="FF000000"/>
            <rFont val="Tahoma"/>
            <charset val="1"/>
          </rPr>
          <t xml:space="preserve">data from Wirtgen
</t>
        </r>
      </text>
    </comment>
    <comment ref="W552" authorId="0">
      <text>
        <r>
          <rPr>
            <sz val="10"/>
            <color rgb="FF000000"/>
            <rFont val="Tahoma"/>
            <charset val="1"/>
          </rPr>
          <t xml:space="preserve">data from Wirtgen
</t>
        </r>
      </text>
    </comment>
    <comment ref="C553" authorId="0">
      <text>
        <r>
          <rPr>
            <sz val="10"/>
            <color rgb="FF000000"/>
            <rFont val="Tahoma"/>
            <charset val="1"/>
          </rPr>
          <t>2 on ground plus tending crew (2) and mtce crew allowance (2)</t>
        </r>
      </text>
    </comment>
    <comment ref="D553" authorId="0">
      <text>
        <r>
          <rPr>
            <sz val="10"/>
            <color rgb="FF000000"/>
            <rFont val="Tahoma"/>
            <charset val="1"/>
          </rPr>
          <t>2 on ground plus tending crew (2) and mtce crew allowance (2)</t>
        </r>
      </text>
    </comment>
    <comment ref="E553" authorId="0">
      <text>
        <r>
          <rPr>
            <sz val="10"/>
            <color rgb="FF000000"/>
            <rFont val="Tahoma"/>
            <charset val="1"/>
          </rPr>
          <t>2 on ground plus tending crew (2) and mtce crew allowance (2)</t>
        </r>
      </text>
    </comment>
    <comment ref="F553" authorId="0">
      <text>
        <r>
          <rPr>
            <sz val="10"/>
            <color rgb="FF000000"/>
            <rFont val="Tahoma"/>
            <charset val="1"/>
          </rPr>
          <t>2 on ground plus tending crew (2) and mtce crew allowance (2)</t>
        </r>
      </text>
    </comment>
    <comment ref="G553" authorId="0">
      <text>
        <r>
          <rPr>
            <sz val="10"/>
            <color rgb="FF000000"/>
            <rFont val="Tahoma"/>
            <charset val="1"/>
          </rPr>
          <t>2 on ground plus tending crew (2) and mtce crew allowance (2)</t>
        </r>
      </text>
    </comment>
    <comment ref="H553" authorId="0">
      <text>
        <r>
          <rPr>
            <sz val="10"/>
            <color rgb="FF000000"/>
            <rFont val="Tahoma"/>
            <charset val="1"/>
          </rPr>
          <t>2 on ground plus tending crew (2) and mtce crew allowance (2)</t>
        </r>
      </text>
    </comment>
    <comment ref="I553" authorId="0">
      <text>
        <r>
          <rPr>
            <sz val="10"/>
            <color rgb="FF000000"/>
            <rFont val="Tahoma"/>
            <charset val="1"/>
          </rPr>
          <t>2 on ground plus tending crew (2) and mtce crew allowance (2)</t>
        </r>
      </text>
    </comment>
    <comment ref="J553" authorId="0">
      <text>
        <r>
          <rPr>
            <sz val="10"/>
            <color rgb="FF000000"/>
            <rFont val="Tahoma"/>
            <charset val="1"/>
          </rPr>
          <t>2 on ground plus tending crew (2) and mtce crew allowance (2)</t>
        </r>
      </text>
    </comment>
    <comment ref="K553" authorId="0">
      <text>
        <r>
          <rPr>
            <sz val="10"/>
            <color rgb="FF000000"/>
            <rFont val="Tahoma"/>
            <charset val="1"/>
          </rPr>
          <t>2 on ground plus tending crew (2) and mtce crew allowance (2)</t>
        </r>
      </text>
    </comment>
    <comment ref="L553" authorId="0">
      <text>
        <r>
          <rPr>
            <sz val="10"/>
            <color rgb="FF000000"/>
            <rFont val="Tahoma"/>
            <charset val="1"/>
          </rPr>
          <t>2 on ground plus tending crew (2) and mtce crew allowance (2)</t>
        </r>
      </text>
    </comment>
    <comment ref="M553" authorId="0">
      <text>
        <r>
          <rPr>
            <sz val="10"/>
            <color rgb="FF000000"/>
            <rFont val="Tahoma"/>
            <charset val="1"/>
          </rPr>
          <t>2 on ground plus tending crew (2) and mtce crew allowance (2)</t>
        </r>
      </text>
    </comment>
    <comment ref="N553" authorId="0">
      <text>
        <r>
          <rPr>
            <sz val="10"/>
            <color rgb="FF000000"/>
            <rFont val="Tahoma"/>
            <charset val="1"/>
          </rPr>
          <t>2 on ground plus tending crew (2) and mtce crew allowance (2)</t>
        </r>
      </text>
    </comment>
    <comment ref="O553" authorId="0">
      <text>
        <r>
          <rPr>
            <sz val="10"/>
            <color rgb="FF000000"/>
            <rFont val="Tahoma"/>
            <charset val="1"/>
          </rPr>
          <t>2 on ground plus tending crew (2) and mtce crew allowance (2)</t>
        </r>
      </text>
    </comment>
    <comment ref="P553" authorId="0">
      <text>
        <r>
          <rPr>
            <sz val="10"/>
            <color rgb="FF000000"/>
            <rFont val="Tahoma"/>
            <charset val="1"/>
          </rPr>
          <t>2 on ground plus tending crew (2) and mtce crew allowance (2)</t>
        </r>
      </text>
    </comment>
    <comment ref="Q553" authorId="0">
      <text>
        <r>
          <rPr>
            <sz val="10"/>
            <color rgb="FF000000"/>
            <rFont val="Tahoma"/>
            <charset val="1"/>
          </rPr>
          <t>2 on ground plus tending crew (2) and mtce crew allowance (2)</t>
        </r>
      </text>
    </comment>
    <comment ref="R553" authorId="0">
      <text>
        <r>
          <rPr>
            <sz val="10"/>
            <color rgb="FF000000"/>
            <rFont val="Tahoma"/>
            <charset val="1"/>
          </rPr>
          <t>2 on ground plus tending crew (2) and mtce crew allowance (2)</t>
        </r>
      </text>
    </comment>
    <comment ref="S553" authorId="0">
      <text>
        <r>
          <rPr>
            <sz val="10"/>
            <color rgb="FF000000"/>
            <rFont val="Tahoma"/>
            <charset val="1"/>
          </rPr>
          <t>2 on ground plus tending crew (2) and mtce crew allowance (2)</t>
        </r>
      </text>
    </comment>
    <comment ref="T553" authorId="0">
      <text>
        <r>
          <rPr>
            <sz val="10"/>
            <color rgb="FF000000"/>
            <rFont val="Tahoma"/>
            <charset val="1"/>
          </rPr>
          <t>2 on ground plus tending crew (2) and mtce crew allowance (2)</t>
        </r>
      </text>
    </comment>
    <comment ref="U553" authorId="0">
      <text>
        <r>
          <rPr>
            <sz val="10"/>
            <color rgb="FF000000"/>
            <rFont val="Tahoma"/>
            <charset val="1"/>
          </rPr>
          <t>2 on ground plus tending crew (2) and mtce crew allowance (2)</t>
        </r>
      </text>
    </comment>
    <comment ref="V553" authorId="0">
      <text>
        <r>
          <rPr>
            <sz val="10"/>
            <color rgb="FF000000"/>
            <rFont val="Tahoma"/>
            <charset val="1"/>
          </rPr>
          <t>2 on ground plus tending crew (2) and mtce crew allowance (2)</t>
        </r>
      </text>
    </comment>
    <comment ref="W553" authorId="0">
      <text>
        <r>
          <rPr>
            <sz val="10"/>
            <color rgb="FF000000"/>
            <rFont val="Tahoma"/>
            <charset val="1"/>
          </rPr>
          <t>2 on ground plus tending crew (2) and mtce crew allowance (2)</t>
        </r>
      </text>
    </comment>
    <comment ref="C554" authorId="0">
      <text>
        <r>
          <rPr>
            <sz val="10"/>
            <color rgb="FF000000"/>
            <rFont val="Tahoma"/>
            <charset val="1"/>
          </rPr>
          <t xml:space="preserve">Wirtgen supplied data at 650 tph converted from euros to US$ and then to a per wmt rate
</t>
        </r>
      </text>
    </comment>
    <comment ref="D554" authorId="0">
      <text>
        <r>
          <rPr>
            <sz val="10"/>
            <color rgb="FF000000"/>
            <rFont val="Tahoma"/>
            <charset val="1"/>
          </rPr>
          <t xml:space="preserve">Wirtgen supplied data at 650 tph converted from euros to US$ and then to a per wmt rate
</t>
        </r>
      </text>
    </comment>
    <comment ref="E554" authorId="0">
      <text>
        <r>
          <rPr>
            <sz val="10"/>
            <color rgb="FF000000"/>
            <rFont val="Tahoma"/>
            <charset val="1"/>
          </rPr>
          <t xml:space="preserve">Wirtgen supplied data at 650 tph converted from euros to US$ and then to a per wmt rate
</t>
        </r>
      </text>
    </comment>
    <comment ref="F554" authorId="0">
      <text>
        <r>
          <rPr>
            <sz val="10"/>
            <color rgb="FF000000"/>
            <rFont val="Tahoma"/>
            <charset val="1"/>
          </rPr>
          <t xml:space="preserve">Wirtgen supplied data at 650 tph converted from euros to US$ and then to a per wmt rate
</t>
        </r>
      </text>
    </comment>
    <comment ref="G554" authorId="0">
      <text>
        <r>
          <rPr>
            <sz val="10"/>
            <color rgb="FF000000"/>
            <rFont val="Tahoma"/>
            <charset val="1"/>
          </rPr>
          <t xml:space="preserve">Wirtgen supplied data at 650 tph converted from euros to US$ and then to a per wmt rate
</t>
        </r>
      </text>
    </comment>
    <comment ref="H554" authorId="0">
      <text>
        <r>
          <rPr>
            <sz val="10"/>
            <color rgb="FF000000"/>
            <rFont val="Tahoma"/>
            <charset val="1"/>
          </rPr>
          <t xml:space="preserve">Wirtgen supplied data at 650 tph converted from euros to US$ and then to a per wmt rate
</t>
        </r>
      </text>
    </comment>
    <comment ref="I554" authorId="0">
      <text>
        <r>
          <rPr>
            <sz val="10"/>
            <color rgb="FF000000"/>
            <rFont val="Tahoma"/>
            <charset val="1"/>
          </rPr>
          <t xml:space="preserve">Wirtgen supplied data at 650 tph converted from euros to US$ and then to a per wmt rate
</t>
        </r>
      </text>
    </comment>
    <comment ref="J554" authorId="0">
      <text>
        <r>
          <rPr>
            <sz val="10"/>
            <color rgb="FF000000"/>
            <rFont val="Tahoma"/>
            <charset val="1"/>
          </rPr>
          <t xml:space="preserve">Wirtgen supplied data at 650 tph converted from euros to US$ and then to a per wmt rate
</t>
        </r>
      </text>
    </comment>
    <comment ref="K554" authorId="0">
      <text>
        <r>
          <rPr>
            <sz val="10"/>
            <color rgb="FF000000"/>
            <rFont val="Tahoma"/>
            <charset val="1"/>
          </rPr>
          <t xml:space="preserve">Wirtgen supplied data at 650 tph converted from euros to US$ and then to a per wmt rate
</t>
        </r>
      </text>
    </comment>
    <comment ref="L554" authorId="0">
      <text>
        <r>
          <rPr>
            <sz val="10"/>
            <color rgb="FF000000"/>
            <rFont val="Tahoma"/>
            <charset val="1"/>
          </rPr>
          <t xml:space="preserve">Wirtgen supplied data at 650 tph converted from euros to US$ and then to a per wmt rate
</t>
        </r>
      </text>
    </comment>
    <comment ref="M554" authorId="0">
      <text>
        <r>
          <rPr>
            <sz val="10"/>
            <color rgb="FF000000"/>
            <rFont val="Tahoma"/>
            <charset val="1"/>
          </rPr>
          <t xml:space="preserve">Wirtgen supplied data at 650 tph converted from euros to US$ and then to a per wmt rate
</t>
        </r>
      </text>
    </comment>
    <comment ref="N554" authorId="0">
      <text>
        <r>
          <rPr>
            <sz val="10"/>
            <color rgb="FF000000"/>
            <rFont val="Tahoma"/>
            <charset val="1"/>
          </rPr>
          <t xml:space="preserve">Wirtgen supplied data at 650 tph converted from euros to US$ and then to a per wmt rate
</t>
        </r>
      </text>
    </comment>
    <comment ref="O554" authorId="0">
      <text>
        <r>
          <rPr>
            <sz val="10"/>
            <color rgb="FF000000"/>
            <rFont val="Tahoma"/>
            <charset val="1"/>
          </rPr>
          <t xml:space="preserve">Wirtgen supplied data at 650 tph converted from euros to US$ and then to a per wmt rate
</t>
        </r>
      </text>
    </comment>
    <comment ref="P554" authorId="0">
      <text>
        <r>
          <rPr>
            <sz val="10"/>
            <color rgb="FF000000"/>
            <rFont val="Tahoma"/>
            <charset val="1"/>
          </rPr>
          <t xml:space="preserve">Wirtgen supplied data at 650 tph converted from euros to US$ and then to a per wmt rate
</t>
        </r>
      </text>
    </comment>
    <comment ref="Q554" authorId="0">
      <text>
        <r>
          <rPr>
            <sz val="10"/>
            <color rgb="FF000000"/>
            <rFont val="Tahoma"/>
            <charset val="1"/>
          </rPr>
          <t xml:space="preserve">Wirtgen supplied data at 650 tph converted from euros to US$ and then to a per wmt rate
</t>
        </r>
      </text>
    </comment>
    <comment ref="R554" authorId="0">
      <text>
        <r>
          <rPr>
            <sz val="10"/>
            <color rgb="FF000000"/>
            <rFont val="Tahoma"/>
            <charset val="1"/>
          </rPr>
          <t xml:space="preserve">Wirtgen supplied data at 650 tph converted from euros to US$ and then to a per wmt rate
</t>
        </r>
      </text>
    </comment>
    <comment ref="S554" authorId="0">
      <text>
        <r>
          <rPr>
            <sz val="10"/>
            <color rgb="FF000000"/>
            <rFont val="Tahoma"/>
            <charset val="1"/>
          </rPr>
          <t xml:space="preserve">Wirtgen supplied data at 650 tph converted from euros to US$ and then to a per wmt rate
</t>
        </r>
      </text>
    </comment>
    <comment ref="T554" authorId="0">
      <text>
        <r>
          <rPr>
            <sz val="10"/>
            <color rgb="FF000000"/>
            <rFont val="Tahoma"/>
            <charset val="1"/>
          </rPr>
          <t xml:space="preserve">Wirtgen supplied data at 650 tph converted from euros to US$ and then to a per wmt rate
</t>
        </r>
      </text>
    </comment>
    <comment ref="U554" authorId="0">
      <text>
        <r>
          <rPr>
            <sz val="10"/>
            <color rgb="FF000000"/>
            <rFont val="Tahoma"/>
            <charset val="1"/>
          </rPr>
          <t xml:space="preserve">Wirtgen supplied data at 650 tph converted from euros to US$ and then to a per wmt rate
</t>
        </r>
      </text>
    </comment>
    <comment ref="V554" authorId="0">
      <text>
        <r>
          <rPr>
            <sz val="10"/>
            <color rgb="FF000000"/>
            <rFont val="Tahoma"/>
            <charset val="1"/>
          </rPr>
          <t xml:space="preserve">Wirtgen supplied data at 650 tph converted from euros to US$ and then to a per wmt rate
</t>
        </r>
      </text>
    </comment>
    <comment ref="W554" authorId="0">
      <text>
        <r>
          <rPr>
            <sz val="10"/>
            <color rgb="FF000000"/>
            <rFont val="Tahoma"/>
            <charset val="1"/>
          </rPr>
          <t xml:space="preserve">Wirtgen supplied data at 650 tph converted from euros to US$ and then to a per wmt rate
</t>
        </r>
      </text>
    </comment>
    <comment ref="I569" authorId="0">
      <text>
        <r>
          <rPr>
            <sz val="10"/>
            <color rgb="FF000000"/>
            <rFont val="Tahoma"/>
            <charset val="1"/>
          </rPr>
          <t>changed 2018_11_28</t>
        </r>
      </text>
    </comment>
    <comment ref="D570" authorId="0">
      <text>
        <r>
          <rPr>
            <sz val="10"/>
            <color rgb="FF000000"/>
            <rFont val="Tahoma"/>
            <charset val="1"/>
          </rPr>
          <t xml:space="preserve">15-30 km ... longer distances later
</t>
        </r>
      </text>
    </comment>
    <comment ref="E570" authorId="0">
      <text>
        <r>
          <rPr>
            <sz val="10"/>
            <color rgb="FF000000"/>
            <rFont val="Tahoma"/>
            <charset val="1"/>
          </rPr>
          <t xml:space="preserve">3 or so km ... longer distances later
</t>
        </r>
      </text>
    </comment>
    <comment ref="F570" authorId="0">
      <text>
        <r>
          <rPr>
            <sz val="10"/>
            <color rgb="FF000000"/>
            <rFont val="Tahoma"/>
            <charset val="1"/>
          </rPr>
          <t xml:space="preserve">20km assumption for Kindia
</t>
        </r>
      </text>
    </comment>
    <comment ref="G570" authorId="0">
      <text>
        <r>
          <rPr>
            <sz val="10"/>
            <color rgb="FF000000"/>
            <rFont val="Tahoma"/>
            <charset val="1"/>
          </rPr>
          <t xml:space="preserve">20km assumption for Kindia
</t>
        </r>
      </text>
    </comment>
    <comment ref="R570" authorId="0">
      <text>
        <r>
          <rPr>
            <sz val="12"/>
            <color rgb="FF000000"/>
            <rFont val="Calibri"/>
            <charset val="1"/>
          </rPr>
          <t>[Threaded comment]
Your version of Excel allows you to read this threaded comment; however, any edits to it will get removed if the file is opened in a newer version of Excel. Learn more: https://go.microsoft.com/fwlink/?linkid=870924
Comment:
    per Dynamic comms Feb 2019</t>
        </r>
      </text>
    </comment>
    <comment ref="S570" authorId="0">
      <text>
        <r>
          <rPr>
            <sz val="10"/>
            <color rgb="FF000000"/>
            <rFont val="Tahoma"/>
            <charset val="1"/>
          </rPr>
          <t xml:space="preserve">Bill Dalton:
100km less 20 km assumed for in mine transport
</t>
        </r>
      </text>
    </comment>
    <comment ref="C572" authorId="0">
      <text>
        <r>
          <rPr>
            <sz val="10"/>
            <color rgb="FF000000"/>
            <rFont val="Tahoma"/>
            <charset val="1"/>
          </rPr>
          <t>tuned roughly to Henan Chine trip data</t>
        </r>
      </text>
    </comment>
    <comment ref="D572" authorId="0">
      <text>
        <r>
          <rPr>
            <sz val="10"/>
            <color rgb="FF000000"/>
            <rFont val="Tahoma"/>
            <charset val="1"/>
          </rPr>
          <t>tuned roughly to Henan Chine trip data</t>
        </r>
      </text>
    </comment>
    <comment ref="E572" authorId="0">
      <text>
        <r>
          <rPr>
            <sz val="10"/>
            <color rgb="FF000000"/>
            <rFont val="Tahoma"/>
            <charset val="1"/>
          </rPr>
          <t>tuned roughly to Henan Chine trip data</t>
        </r>
      </text>
    </comment>
    <comment ref="F572" authorId="0">
      <text>
        <r>
          <rPr>
            <sz val="10"/>
            <color rgb="FF000000"/>
            <rFont val="Tahoma"/>
            <charset val="1"/>
          </rPr>
          <t>tuned roughly to Henan Chine trip data</t>
        </r>
      </text>
    </comment>
    <comment ref="G572" authorId="0">
      <text>
        <r>
          <rPr>
            <sz val="10"/>
            <color rgb="FF000000"/>
            <rFont val="Tahoma"/>
            <charset val="1"/>
          </rPr>
          <t>tuned roughly to Henan Chine trip data</t>
        </r>
      </text>
    </comment>
    <comment ref="H572" authorId="0">
      <text>
        <r>
          <rPr>
            <sz val="10"/>
            <color rgb="FF000000"/>
            <rFont val="Tahoma"/>
            <charset val="1"/>
          </rPr>
          <t>tuned roughly to Henan Chine trip data</t>
        </r>
      </text>
    </comment>
    <comment ref="I572" authorId="0">
      <text>
        <r>
          <rPr>
            <sz val="10"/>
            <color rgb="FF000000"/>
            <rFont val="Tahoma"/>
            <charset val="1"/>
          </rPr>
          <t>tuned roughly to Henan Chine trip data</t>
        </r>
      </text>
    </comment>
    <comment ref="J572" authorId="0">
      <text>
        <r>
          <rPr>
            <sz val="10"/>
            <color rgb="FF000000"/>
            <rFont val="Tahoma"/>
            <charset val="1"/>
          </rPr>
          <t>tuned roughly to Henan Chine trip data</t>
        </r>
      </text>
    </comment>
    <comment ref="K572" authorId="0">
      <text>
        <r>
          <rPr>
            <sz val="10"/>
            <color rgb="FF000000"/>
            <rFont val="Tahoma"/>
            <charset val="1"/>
          </rPr>
          <t>tuned roughly to Henan Chine trip data</t>
        </r>
      </text>
    </comment>
    <comment ref="L572" authorId="0">
      <text>
        <r>
          <rPr>
            <sz val="10"/>
            <color rgb="FF000000"/>
            <rFont val="Tahoma"/>
            <charset val="1"/>
          </rPr>
          <t>tuned roughly to Henan Chine trip data</t>
        </r>
      </text>
    </comment>
    <comment ref="M572" authorId="0">
      <text>
        <r>
          <rPr>
            <sz val="10"/>
            <color rgb="FF000000"/>
            <rFont val="Tahoma"/>
            <charset val="1"/>
          </rPr>
          <t>tuned roughly to Henan Chine trip data</t>
        </r>
      </text>
    </comment>
    <comment ref="N572" authorId="0">
      <text>
        <r>
          <rPr>
            <sz val="10"/>
            <color rgb="FF000000"/>
            <rFont val="Tahoma"/>
            <charset val="1"/>
          </rPr>
          <t>tuned roughly to Henan Chine trip data</t>
        </r>
      </text>
    </comment>
    <comment ref="O572" authorId="0">
      <text>
        <r>
          <rPr>
            <sz val="10"/>
            <color rgb="FF000000"/>
            <rFont val="Tahoma"/>
            <charset val="1"/>
          </rPr>
          <t>tuned roughly to Henan Chine trip data</t>
        </r>
      </text>
    </comment>
    <comment ref="P572" authorId="0">
      <text>
        <r>
          <rPr>
            <sz val="10"/>
            <color rgb="FF000000"/>
            <rFont val="Tahoma"/>
            <charset val="1"/>
          </rPr>
          <t>tuned roughly to Henan Chine trip data</t>
        </r>
      </text>
    </comment>
    <comment ref="Q572" authorId="0">
      <text>
        <r>
          <rPr>
            <sz val="10"/>
            <color rgb="FF000000"/>
            <rFont val="Tahoma"/>
            <charset val="1"/>
          </rPr>
          <t>tuned roughly to Henan Chine trip data</t>
        </r>
      </text>
    </comment>
    <comment ref="R572" authorId="0">
      <text>
        <r>
          <rPr>
            <sz val="10"/>
            <color rgb="FF000000"/>
            <rFont val="Tahoma"/>
            <charset val="1"/>
          </rPr>
          <t>tuned roughly to Henan Chine trip data</t>
        </r>
      </text>
    </comment>
    <comment ref="S572" authorId="0">
      <text>
        <r>
          <rPr>
            <sz val="10"/>
            <color rgb="FF000000"/>
            <rFont val="Tahoma"/>
            <charset val="1"/>
          </rPr>
          <t>tuned roughly to Henan Chine trip data</t>
        </r>
      </text>
    </comment>
    <comment ref="T572" authorId="0">
      <text>
        <r>
          <rPr>
            <sz val="10"/>
            <color rgb="FF000000"/>
            <rFont val="Tahoma"/>
            <charset val="1"/>
          </rPr>
          <t>tuned roughly to Henan Chine trip data</t>
        </r>
      </text>
    </comment>
    <comment ref="U572" authorId="0">
      <text>
        <r>
          <rPr>
            <sz val="10"/>
            <color rgb="FF000000"/>
            <rFont val="Tahoma"/>
            <charset val="1"/>
          </rPr>
          <t>tuned roughly to Henan Chine trip data</t>
        </r>
      </text>
    </comment>
    <comment ref="V572" authorId="0">
      <text>
        <r>
          <rPr>
            <sz val="10"/>
            <color rgb="FF000000"/>
            <rFont val="Tahoma"/>
            <charset val="1"/>
          </rPr>
          <t>tuned roughly to Henan Chine trip data</t>
        </r>
      </text>
    </comment>
    <comment ref="W572" authorId="0">
      <text>
        <r>
          <rPr>
            <sz val="10"/>
            <color rgb="FF000000"/>
            <rFont val="Tahoma"/>
            <charset val="1"/>
          </rPr>
          <t>tuned roughly to Henan Chine trip data</t>
        </r>
      </text>
    </comment>
    <comment ref="C573" authorId="0">
      <text>
        <r>
          <rPr>
            <sz val="10"/>
            <color rgb="FF000000"/>
            <rFont val="Calibri"/>
            <charset val="1"/>
          </rPr>
          <t xml:space="preserve">Baes off India bx truck data &amp; Guidelines for Measuring and Managing CO2 Emission from Freight Transport Operations </t>
        </r>
      </text>
    </comment>
    <comment ref="D573" authorId="0">
      <text>
        <r>
          <rPr>
            <sz val="10"/>
            <color rgb="FF000000"/>
            <rFont val="Calibri"/>
            <charset val="1"/>
          </rPr>
          <t xml:space="preserve">Baes off India bx truck data &amp; Guidelines for Measuring and Managing CO2 Emission from Freight Transport Operations </t>
        </r>
      </text>
    </comment>
    <comment ref="E573" authorId="0">
      <text>
        <r>
          <rPr>
            <sz val="10"/>
            <color rgb="FF000000"/>
            <rFont val="Calibri"/>
            <charset val="1"/>
          </rPr>
          <t xml:space="preserve">Baes off India bx truck data &amp; Guidelines for Measuring and Managing CO2 Emission from Freight Transport Operations </t>
        </r>
      </text>
    </comment>
    <comment ref="F573" authorId="0">
      <text>
        <r>
          <rPr>
            <sz val="10"/>
            <color rgb="FF000000"/>
            <rFont val="Calibri"/>
            <charset val="1"/>
          </rPr>
          <t xml:space="preserve">Baes off India bx truck data &amp; Guidelines for Measuring and Managing CO2 Emission from Freight Transport Operations </t>
        </r>
      </text>
    </comment>
    <comment ref="G573" authorId="0">
      <text>
        <r>
          <rPr>
            <sz val="10"/>
            <color rgb="FF000000"/>
            <rFont val="Calibri"/>
            <charset val="1"/>
          </rPr>
          <t xml:space="preserve">Baes off India bx truck data &amp; Guidelines for Measuring and Managing CO2 Emission from Freight Transport Operations </t>
        </r>
      </text>
    </comment>
    <comment ref="H573" authorId="0">
      <text>
        <r>
          <rPr>
            <sz val="10"/>
            <color rgb="FF000000"/>
            <rFont val="Calibri"/>
            <charset val="1"/>
          </rPr>
          <t xml:space="preserve">Baes off India bx truck data &amp; Guidelines for Measuring and Managing CO2 Emission from Freight Transport Operations </t>
        </r>
      </text>
    </comment>
    <comment ref="I573" authorId="0">
      <text>
        <r>
          <rPr>
            <sz val="10"/>
            <color rgb="FF000000"/>
            <rFont val="Calibri"/>
            <charset val="1"/>
          </rPr>
          <t xml:space="preserve">Baes off India bx truck data &amp; Guidelines for Measuring and Managing CO2 Emission from Freight Transport Operations </t>
        </r>
      </text>
    </comment>
    <comment ref="J573" authorId="0">
      <text>
        <r>
          <rPr>
            <sz val="10"/>
            <color rgb="FF000000"/>
            <rFont val="Calibri"/>
            <charset val="1"/>
          </rPr>
          <t xml:space="preserve">Baes off India bx truck data &amp; Guidelines for Measuring and Managing CO2 Emission from Freight Transport Operations </t>
        </r>
      </text>
    </comment>
    <comment ref="K573" authorId="0">
      <text>
        <r>
          <rPr>
            <sz val="10"/>
            <color rgb="FF000000"/>
            <rFont val="Calibri"/>
            <charset val="1"/>
          </rPr>
          <t xml:space="preserve">Baes off India bx truck data &amp; Guidelines for Measuring and Managing CO2 Emission from Freight Transport Operations </t>
        </r>
      </text>
    </comment>
    <comment ref="L573" authorId="0">
      <text>
        <r>
          <rPr>
            <sz val="10"/>
            <color rgb="FF000000"/>
            <rFont val="Calibri"/>
            <charset val="1"/>
          </rPr>
          <t xml:space="preserve">Baes off India bx truck data &amp; Guidelines for Measuring and Managing CO2 Emission from Freight Transport Operations </t>
        </r>
      </text>
    </comment>
    <comment ref="M573" authorId="0">
      <text>
        <r>
          <rPr>
            <sz val="10"/>
            <color rgb="FF000000"/>
            <rFont val="Calibri"/>
            <charset val="1"/>
          </rPr>
          <t xml:space="preserve">Baes off India bx truck data &amp; Guidelines for Measuring and Managing CO2 Emission from Freight Transport Operations </t>
        </r>
      </text>
    </comment>
    <comment ref="N573" authorId="0">
      <text>
        <r>
          <rPr>
            <sz val="10"/>
            <color rgb="FF000000"/>
            <rFont val="Calibri"/>
            <charset val="1"/>
          </rPr>
          <t xml:space="preserve">Baes off India bx truck data &amp; Guidelines for Measuring and Managing CO2 Emission from Freight Transport Operations </t>
        </r>
      </text>
    </comment>
    <comment ref="O573" authorId="0">
      <text>
        <r>
          <rPr>
            <sz val="10"/>
            <color rgb="FF000000"/>
            <rFont val="Calibri"/>
            <charset val="1"/>
          </rPr>
          <t xml:space="preserve">Baes off India bx truck data &amp; Guidelines for Measuring and Managing CO2 Emission from Freight Transport Operations </t>
        </r>
      </text>
    </comment>
    <comment ref="P573" authorId="0">
      <text>
        <r>
          <rPr>
            <sz val="10"/>
            <color rgb="FF000000"/>
            <rFont val="Calibri"/>
            <charset val="1"/>
          </rPr>
          <t xml:space="preserve">Baes off India bx truck data &amp; Guidelines for Measuring and Managing CO2 Emission from Freight Transport Operations </t>
        </r>
      </text>
    </comment>
    <comment ref="Q573" authorId="0">
      <text>
        <r>
          <rPr>
            <sz val="10"/>
            <color rgb="FF000000"/>
            <rFont val="Calibri"/>
            <charset val="1"/>
          </rPr>
          <t xml:space="preserve">Baes off India bx truck data &amp; Guidelines for Measuring and Managing CO2 Emission from Freight Transport Operations </t>
        </r>
      </text>
    </comment>
    <comment ref="R573" authorId="0">
      <text>
        <r>
          <rPr>
            <sz val="10"/>
            <color rgb="FF000000"/>
            <rFont val="Calibri"/>
            <charset val="1"/>
          </rPr>
          <t xml:space="preserve">Baes off India bx truck data &amp; Guidelines for Measuring and Managing CO2 Emission from Freight Transport Operations </t>
        </r>
      </text>
    </comment>
    <comment ref="S573" authorId="0">
      <text>
        <r>
          <rPr>
            <sz val="10"/>
            <color rgb="FF000000"/>
            <rFont val="Calibri"/>
            <charset val="1"/>
          </rPr>
          <t xml:space="preserve">Baes off India bx truck data &amp; Guidelines for Measuring and Managing CO2 Emission from Freight Transport Operations </t>
        </r>
      </text>
    </comment>
    <comment ref="T573" authorId="0">
      <text>
        <r>
          <rPr>
            <sz val="10"/>
            <color rgb="FF000000"/>
            <rFont val="Calibri"/>
            <charset val="1"/>
          </rPr>
          <t xml:space="preserve">Baes off India bx truck data &amp; Guidelines for Measuring and Managing CO2 Emission from Freight Transport Operations </t>
        </r>
      </text>
    </comment>
    <comment ref="U573" authorId="0">
      <text>
        <r>
          <rPr>
            <sz val="10"/>
            <color rgb="FF000000"/>
            <rFont val="Calibri"/>
            <charset val="1"/>
          </rPr>
          <t xml:space="preserve">Baes off India bx truck data &amp; Guidelines for Measuring and Managing CO2 Emission from Freight Transport Operations </t>
        </r>
      </text>
    </comment>
    <comment ref="V573" authorId="0">
      <text>
        <r>
          <rPr>
            <sz val="10"/>
            <color rgb="FF000000"/>
            <rFont val="Calibri"/>
            <charset val="1"/>
          </rPr>
          <t xml:space="preserve">Baes off India bx truck data &amp; Guidelines for Measuring and Managing CO2 Emission from Freight Transport Operations </t>
        </r>
      </text>
    </comment>
    <comment ref="W573" authorId="0">
      <text>
        <r>
          <rPr>
            <sz val="10"/>
            <color rgb="FF000000"/>
            <rFont val="Calibri"/>
            <charset val="1"/>
          </rPr>
          <t xml:space="preserve">Baes off India bx truck data &amp; Guidelines for Measuring and Managing CO2 Emission from Freight Transport Operations </t>
        </r>
      </text>
    </comment>
    <comment ref="C574" authorId="0">
      <text>
        <r>
          <rPr>
            <sz val="10"/>
            <color rgb="FF000000"/>
            <rFont val="Tahoma"/>
            <charset val="1"/>
          </rPr>
          <t>tuned roughly to Henan Chine trip data</t>
        </r>
      </text>
    </comment>
    <comment ref="D574" authorId="0">
      <text>
        <r>
          <rPr>
            <sz val="10"/>
            <color rgb="FF000000"/>
            <rFont val="Tahoma"/>
            <charset val="1"/>
          </rPr>
          <t>tuned roughly to Henan Chine trip data</t>
        </r>
      </text>
    </comment>
    <comment ref="E574" authorId="0">
      <text>
        <r>
          <rPr>
            <sz val="10"/>
            <color rgb="FF000000"/>
            <rFont val="Tahoma"/>
            <charset val="1"/>
          </rPr>
          <t>tuned roughly to Henan Chine trip data</t>
        </r>
      </text>
    </comment>
    <comment ref="F574" authorId="0">
      <text>
        <r>
          <rPr>
            <sz val="10"/>
            <color rgb="FF000000"/>
            <rFont val="Tahoma"/>
            <charset val="1"/>
          </rPr>
          <t>tuned roughly to Henan Chine trip data</t>
        </r>
      </text>
    </comment>
    <comment ref="G574" authorId="0">
      <text>
        <r>
          <rPr>
            <sz val="10"/>
            <color rgb="FF000000"/>
            <rFont val="Tahoma"/>
            <charset val="1"/>
          </rPr>
          <t>tuned roughly to Henan Chine trip data</t>
        </r>
      </text>
    </comment>
    <comment ref="H574" authorId="0">
      <text>
        <r>
          <rPr>
            <sz val="10"/>
            <color rgb="FF000000"/>
            <rFont val="Tahoma"/>
            <charset val="1"/>
          </rPr>
          <t>tuned roughly to Henan Chine trip data</t>
        </r>
      </text>
    </comment>
    <comment ref="I574" authorId="0">
      <text>
        <r>
          <rPr>
            <sz val="10"/>
            <color rgb="FF000000"/>
            <rFont val="Tahoma"/>
            <charset val="1"/>
          </rPr>
          <t>tuned roughly to Henan Chine trip data</t>
        </r>
      </text>
    </comment>
    <comment ref="J574" authorId="0">
      <text>
        <r>
          <rPr>
            <sz val="10"/>
            <color rgb="FF000000"/>
            <rFont val="Tahoma"/>
            <charset val="1"/>
          </rPr>
          <t>tuned roughly to Henan Chine trip data</t>
        </r>
      </text>
    </comment>
    <comment ref="K574" authorId="0">
      <text>
        <r>
          <rPr>
            <sz val="10"/>
            <color rgb="FF000000"/>
            <rFont val="Tahoma"/>
            <charset val="1"/>
          </rPr>
          <t>tuned roughly to Henan Chine trip data</t>
        </r>
      </text>
    </comment>
    <comment ref="L574" authorId="0">
      <text>
        <r>
          <rPr>
            <sz val="10"/>
            <color rgb="FF000000"/>
            <rFont val="Tahoma"/>
            <charset val="1"/>
          </rPr>
          <t>tuned roughly to Henan Chine trip data</t>
        </r>
      </text>
    </comment>
    <comment ref="M574" authorId="0">
      <text>
        <r>
          <rPr>
            <sz val="10"/>
            <color rgb="FF000000"/>
            <rFont val="Tahoma"/>
            <charset val="1"/>
          </rPr>
          <t>tuned roughly to Henan Chine trip data</t>
        </r>
      </text>
    </comment>
    <comment ref="N574" authorId="0">
      <text>
        <r>
          <rPr>
            <sz val="10"/>
            <color rgb="FF000000"/>
            <rFont val="Tahoma"/>
            <charset val="1"/>
          </rPr>
          <t>tuned roughly to Henan Chine trip data</t>
        </r>
      </text>
    </comment>
    <comment ref="O574" authorId="0">
      <text>
        <r>
          <rPr>
            <sz val="10"/>
            <color rgb="FF000000"/>
            <rFont val="Tahoma"/>
            <charset val="1"/>
          </rPr>
          <t>tuned roughly to Henan Chine trip data</t>
        </r>
      </text>
    </comment>
    <comment ref="P574" authorId="0">
      <text>
        <r>
          <rPr>
            <sz val="10"/>
            <color rgb="FF000000"/>
            <rFont val="Tahoma"/>
            <charset val="1"/>
          </rPr>
          <t>tuned roughly to Henan Chine trip data</t>
        </r>
      </text>
    </comment>
    <comment ref="Q574" authorId="0">
      <text>
        <r>
          <rPr>
            <sz val="10"/>
            <color rgb="FF000000"/>
            <rFont val="Tahoma"/>
            <charset val="1"/>
          </rPr>
          <t>tuned roughly to Henan Chine trip data</t>
        </r>
      </text>
    </comment>
    <comment ref="R574" authorId="0">
      <text>
        <r>
          <rPr>
            <sz val="10"/>
            <color rgb="FF000000"/>
            <rFont val="Tahoma"/>
            <charset val="1"/>
          </rPr>
          <t>tuned roughly to Henan Chine trip data</t>
        </r>
      </text>
    </comment>
    <comment ref="S574" authorId="0">
      <text>
        <r>
          <rPr>
            <sz val="10"/>
            <color rgb="FF000000"/>
            <rFont val="Tahoma"/>
            <charset val="1"/>
          </rPr>
          <t>tuned roughly to Henan Chine trip data</t>
        </r>
      </text>
    </comment>
    <comment ref="T574" authorId="0">
      <text>
        <r>
          <rPr>
            <sz val="10"/>
            <color rgb="FF000000"/>
            <rFont val="Tahoma"/>
            <charset val="1"/>
          </rPr>
          <t>tuned roughly to Henan Chine trip data</t>
        </r>
      </text>
    </comment>
    <comment ref="U574" authorId="0">
      <text>
        <r>
          <rPr>
            <sz val="10"/>
            <color rgb="FF000000"/>
            <rFont val="Tahoma"/>
            <charset val="1"/>
          </rPr>
          <t>tuned roughly to Henan Chine trip data</t>
        </r>
      </text>
    </comment>
    <comment ref="V574" authorId="0">
      <text>
        <r>
          <rPr>
            <sz val="10"/>
            <color rgb="FF000000"/>
            <rFont val="Tahoma"/>
            <charset val="1"/>
          </rPr>
          <t>tuned roughly to Henan Chine trip data</t>
        </r>
      </text>
    </comment>
    <comment ref="W574" authorId="0">
      <text>
        <r>
          <rPr>
            <sz val="10"/>
            <color rgb="FF000000"/>
            <rFont val="Tahoma"/>
            <charset val="1"/>
          </rPr>
          <t>tuned roughly to Henan Chine trip data</t>
        </r>
      </text>
    </comment>
    <comment ref="C602" authorId="0">
      <text>
        <r>
          <rPr>
            <sz val="10"/>
            <color rgb="FF000000"/>
            <rFont val="Tahoma"/>
            <charset val="1"/>
          </rPr>
          <t xml:space="preserve">built on machine doing relatively free digging = 200 tph, halve or quarter this for more difficult or insitu material
</t>
        </r>
      </text>
    </comment>
    <comment ref="D602" authorId="0">
      <text>
        <r>
          <rPr>
            <sz val="10"/>
            <color rgb="FF000000"/>
            <rFont val="Tahoma"/>
            <charset val="1"/>
          </rPr>
          <t xml:space="preserve">built on machine doing relatively free digging = 200 tph, halve or quarter this for more difficult or insitu material
</t>
        </r>
      </text>
    </comment>
    <comment ref="E602" authorId="0">
      <text>
        <r>
          <rPr>
            <sz val="10"/>
            <color rgb="FF000000"/>
            <rFont val="Tahoma"/>
            <charset val="1"/>
          </rPr>
          <t xml:space="preserve">built on machine doing relatively free digging = 200 tph, halve or quarter this for more difficult or insitu material
</t>
        </r>
      </text>
    </comment>
    <comment ref="F602" authorId="0">
      <text>
        <r>
          <rPr>
            <sz val="10"/>
            <color rgb="FF000000"/>
            <rFont val="Tahoma"/>
            <charset val="1"/>
          </rPr>
          <t xml:space="preserve">built on machine doing relatively free digging = 200 tph, halve or quarter this for more difficult or insitu material
</t>
        </r>
      </text>
    </comment>
    <comment ref="G602" authorId="0">
      <text>
        <r>
          <rPr>
            <sz val="10"/>
            <color rgb="FF000000"/>
            <rFont val="Tahoma"/>
            <charset val="1"/>
          </rPr>
          <t xml:space="preserve">built on machine doing relatively free digging = 200 tph, halve or quarter this for more difficult or insitu material
</t>
        </r>
      </text>
    </comment>
    <comment ref="H602" authorId="0">
      <text>
        <r>
          <rPr>
            <sz val="10"/>
            <color rgb="FF000000"/>
            <rFont val="Tahoma"/>
            <charset val="1"/>
          </rPr>
          <t xml:space="preserve">built on machine doing relatively free digging = 200 tph, halve or quarter this for more difficult or insitu material
</t>
        </r>
      </text>
    </comment>
    <comment ref="I602" authorId="0">
      <text>
        <r>
          <rPr>
            <sz val="10"/>
            <color rgb="FF000000"/>
            <rFont val="Tahoma"/>
            <charset val="1"/>
          </rPr>
          <t xml:space="preserve">built on machine doing relatively free digging = 200 tph, halve or quarter this for more difficult or insitu material
</t>
        </r>
      </text>
    </comment>
    <comment ref="J602" authorId="0">
      <text>
        <r>
          <rPr>
            <sz val="10"/>
            <color rgb="FF000000"/>
            <rFont val="Tahoma"/>
            <charset val="1"/>
          </rPr>
          <t xml:space="preserve">built on machine doing relatively free digging = 200 tph, halve or quarter this for more difficult or insitu material
</t>
        </r>
      </text>
    </comment>
    <comment ref="K602" authorId="0">
      <text>
        <r>
          <rPr>
            <sz val="10"/>
            <color rgb="FF000000"/>
            <rFont val="Tahoma"/>
            <charset val="1"/>
          </rPr>
          <t xml:space="preserve">built on machine doing relatively free digging = 200 tph, halve or quarter this for more difficult or insitu material
</t>
        </r>
      </text>
    </comment>
    <comment ref="L602" authorId="0">
      <text>
        <r>
          <rPr>
            <sz val="10"/>
            <color rgb="FF000000"/>
            <rFont val="Tahoma"/>
            <charset val="1"/>
          </rPr>
          <t xml:space="preserve">built on machine doing relatively free digging = 200 tph, halve or quarter this for more difficult or insitu material
</t>
        </r>
      </text>
    </comment>
    <comment ref="M602" authorId="0">
      <text>
        <r>
          <rPr>
            <sz val="10"/>
            <color rgb="FF000000"/>
            <rFont val="Tahoma"/>
            <charset val="1"/>
          </rPr>
          <t xml:space="preserve">built on machine doing relatively free digging = 200 tph, halve or quarter this for more difficult or insitu material
</t>
        </r>
      </text>
    </comment>
    <comment ref="N602" authorId="0">
      <text>
        <r>
          <rPr>
            <sz val="10"/>
            <color rgb="FF000000"/>
            <rFont val="Tahoma"/>
            <charset val="1"/>
          </rPr>
          <t xml:space="preserve">built on machine doing relatively free digging = 200 tph, halve or quarter this for more difficult or insitu material
</t>
        </r>
      </text>
    </comment>
    <comment ref="O602" authorId="0">
      <text>
        <r>
          <rPr>
            <sz val="10"/>
            <color rgb="FF000000"/>
            <rFont val="Tahoma"/>
            <charset val="1"/>
          </rPr>
          <t xml:space="preserve">built on machine doing relatively free digging = 200 tph, halve or quarter this for more difficult or insitu material
</t>
        </r>
      </text>
    </comment>
    <comment ref="P602" authorId="0">
      <text>
        <r>
          <rPr>
            <sz val="10"/>
            <color rgb="FF000000"/>
            <rFont val="Tahoma"/>
            <charset val="1"/>
          </rPr>
          <t xml:space="preserve">built on machine doing relatively free digging = 200 tph, halve or quarter this for more difficult or insitu material
</t>
        </r>
      </text>
    </comment>
    <comment ref="Q602" authorId="0">
      <text>
        <r>
          <rPr>
            <sz val="10"/>
            <color rgb="FF000000"/>
            <rFont val="Tahoma"/>
            <charset val="1"/>
          </rPr>
          <t xml:space="preserve">built on machine doing relatively free digging = 200 tph, halve or quarter this for more difficult or insitu material
</t>
        </r>
      </text>
    </comment>
    <comment ref="R602" authorId="0">
      <text>
        <r>
          <rPr>
            <sz val="10"/>
            <color rgb="FF000000"/>
            <rFont val="Tahoma"/>
            <charset val="1"/>
          </rPr>
          <t xml:space="preserve">built on machine doing relatively free digging = 200 tph, halve or quarter this for more difficult or insitu material
</t>
        </r>
      </text>
    </comment>
    <comment ref="S602" authorId="0">
      <text>
        <r>
          <rPr>
            <sz val="10"/>
            <color rgb="FF000000"/>
            <rFont val="Tahoma"/>
            <charset val="1"/>
          </rPr>
          <t xml:space="preserve">built on machine doing relatively free digging = 200 tph, halve or quarter this for more difficult or insitu material
</t>
        </r>
      </text>
    </comment>
    <comment ref="T602" authorId="0">
      <text>
        <r>
          <rPr>
            <sz val="10"/>
            <color rgb="FF000000"/>
            <rFont val="Tahoma"/>
            <charset val="1"/>
          </rPr>
          <t xml:space="preserve">built on machine doing relatively free digging = 200 tph, halve or quarter this for more difficult or insitu material
</t>
        </r>
      </text>
    </comment>
    <comment ref="U602" authorId="0">
      <text>
        <r>
          <rPr>
            <sz val="10"/>
            <color rgb="FF000000"/>
            <rFont val="Tahoma"/>
            <charset val="1"/>
          </rPr>
          <t xml:space="preserve">built on machine doing relatively free digging = 200 tph, halve or quarter this for more difficult or insitu material
</t>
        </r>
      </text>
    </comment>
    <comment ref="V602" authorId="0">
      <text>
        <r>
          <rPr>
            <sz val="10"/>
            <color rgb="FF000000"/>
            <rFont val="Tahoma"/>
            <charset val="1"/>
          </rPr>
          <t xml:space="preserve">built on machine doing relatively free digging = 200 tph, halve or quarter this for more difficult or insitu material
</t>
        </r>
      </text>
    </comment>
    <comment ref="W602" authorId="0">
      <text>
        <r>
          <rPr>
            <sz val="10"/>
            <color rgb="FF000000"/>
            <rFont val="Tahoma"/>
            <charset val="1"/>
          </rPr>
          <t xml:space="preserve">built on machine doing relatively free digging = 200 tph, halve or quarter this for more difficult or insitu material
</t>
        </r>
      </text>
    </comment>
    <comment ref="C604" authorId="0">
      <text>
        <r>
          <rPr>
            <sz val="10"/>
            <color rgb="FF000000"/>
            <rFont val="Tahoma"/>
            <charset val="1"/>
          </rPr>
          <t xml:space="preserve">data from Wirtgen
</t>
        </r>
      </text>
    </comment>
    <comment ref="D604" authorId="0">
      <text>
        <r>
          <rPr>
            <sz val="10"/>
            <color rgb="FF000000"/>
            <rFont val="Tahoma"/>
            <charset val="1"/>
          </rPr>
          <t xml:space="preserve">data from Wirtgen
</t>
        </r>
      </text>
    </comment>
    <comment ref="E604" authorId="0">
      <text>
        <r>
          <rPr>
            <sz val="10"/>
            <color rgb="FF000000"/>
            <rFont val="Tahoma"/>
            <charset val="1"/>
          </rPr>
          <t xml:space="preserve">data from Wirtgen
</t>
        </r>
      </text>
    </comment>
    <comment ref="F604" authorId="0">
      <text>
        <r>
          <rPr>
            <sz val="10"/>
            <color rgb="FF000000"/>
            <rFont val="Tahoma"/>
            <charset val="1"/>
          </rPr>
          <t xml:space="preserve">data from Wirtgen
</t>
        </r>
      </text>
    </comment>
    <comment ref="G604" authorId="0">
      <text>
        <r>
          <rPr>
            <sz val="10"/>
            <color rgb="FF000000"/>
            <rFont val="Tahoma"/>
            <charset val="1"/>
          </rPr>
          <t xml:space="preserve">data from Wirtgen
</t>
        </r>
      </text>
    </comment>
    <comment ref="H604" authorId="0">
      <text>
        <r>
          <rPr>
            <sz val="10"/>
            <color rgb="FF000000"/>
            <rFont val="Tahoma"/>
            <charset val="1"/>
          </rPr>
          <t xml:space="preserve">data from Wirtgen
</t>
        </r>
      </text>
    </comment>
    <comment ref="I604" authorId="0">
      <text>
        <r>
          <rPr>
            <sz val="10"/>
            <color rgb="FF000000"/>
            <rFont val="Tahoma"/>
            <charset val="1"/>
          </rPr>
          <t xml:space="preserve">data from Wirtgen
</t>
        </r>
      </text>
    </comment>
    <comment ref="J604" authorId="0">
      <text>
        <r>
          <rPr>
            <sz val="10"/>
            <color rgb="FF000000"/>
            <rFont val="Tahoma"/>
            <charset val="1"/>
          </rPr>
          <t xml:space="preserve">data from Wirtgen
</t>
        </r>
      </text>
    </comment>
    <comment ref="K604" authorId="0">
      <text>
        <r>
          <rPr>
            <sz val="10"/>
            <color rgb="FF000000"/>
            <rFont val="Tahoma"/>
            <charset val="1"/>
          </rPr>
          <t xml:space="preserve">data from Wirtgen
</t>
        </r>
      </text>
    </comment>
    <comment ref="L604" authorId="0">
      <text>
        <r>
          <rPr>
            <sz val="10"/>
            <color rgb="FF000000"/>
            <rFont val="Tahoma"/>
            <charset val="1"/>
          </rPr>
          <t xml:space="preserve">data from Wirtgen
</t>
        </r>
      </text>
    </comment>
    <comment ref="M604" authorId="0">
      <text>
        <r>
          <rPr>
            <sz val="10"/>
            <color rgb="FF000000"/>
            <rFont val="Tahoma"/>
            <charset val="1"/>
          </rPr>
          <t xml:space="preserve">data from Wirtgen
</t>
        </r>
      </text>
    </comment>
    <comment ref="N604" authorId="0">
      <text>
        <r>
          <rPr>
            <sz val="10"/>
            <color rgb="FF000000"/>
            <rFont val="Tahoma"/>
            <charset val="1"/>
          </rPr>
          <t xml:space="preserve">data from Wirtgen
</t>
        </r>
      </text>
    </comment>
    <comment ref="O604" authorId="0">
      <text>
        <r>
          <rPr>
            <sz val="10"/>
            <color rgb="FF000000"/>
            <rFont val="Tahoma"/>
            <charset val="1"/>
          </rPr>
          <t xml:space="preserve">data from Wirtgen
</t>
        </r>
      </text>
    </comment>
    <comment ref="P604" authorId="0">
      <text>
        <r>
          <rPr>
            <sz val="10"/>
            <color rgb="FF000000"/>
            <rFont val="Tahoma"/>
            <charset val="1"/>
          </rPr>
          <t xml:space="preserve">data from Wirtgen
</t>
        </r>
      </text>
    </comment>
    <comment ref="Q604" authorId="0">
      <text>
        <r>
          <rPr>
            <sz val="10"/>
            <color rgb="FF000000"/>
            <rFont val="Tahoma"/>
            <charset val="1"/>
          </rPr>
          <t xml:space="preserve">data from Wirtgen
</t>
        </r>
      </text>
    </comment>
    <comment ref="R604" authorId="0">
      <text>
        <r>
          <rPr>
            <sz val="10"/>
            <color rgb="FF000000"/>
            <rFont val="Tahoma"/>
            <charset val="1"/>
          </rPr>
          <t xml:space="preserve">data from Wirtgen
</t>
        </r>
      </text>
    </comment>
    <comment ref="S604" authorId="0">
      <text>
        <r>
          <rPr>
            <sz val="10"/>
            <color rgb="FF000000"/>
            <rFont val="Tahoma"/>
            <charset val="1"/>
          </rPr>
          <t xml:space="preserve">data from Wirtgen
</t>
        </r>
      </text>
    </comment>
    <comment ref="T604" authorId="0">
      <text>
        <r>
          <rPr>
            <sz val="10"/>
            <color rgb="FF000000"/>
            <rFont val="Tahoma"/>
            <charset val="1"/>
          </rPr>
          <t xml:space="preserve">data from Wirtgen
</t>
        </r>
      </text>
    </comment>
    <comment ref="U604" authorId="0">
      <text>
        <r>
          <rPr>
            <sz val="10"/>
            <color rgb="FF000000"/>
            <rFont val="Tahoma"/>
            <charset val="1"/>
          </rPr>
          <t xml:space="preserve">data from Wirtgen
</t>
        </r>
      </text>
    </comment>
    <comment ref="V604" authorId="0">
      <text>
        <r>
          <rPr>
            <sz val="10"/>
            <color rgb="FF000000"/>
            <rFont val="Tahoma"/>
            <charset val="1"/>
          </rPr>
          <t xml:space="preserve">data from Wirtgen
</t>
        </r>
      </text>
    </comment>
    <comment ref="W604" authorId="0">
      <text>
        <r>
          <rPr>
            <sz val="10"/>
            <color rgb="FF000000"/>
            <rFont val="Tahoma"/>
            <charset val="1"/>
          </rPr>
          <t xml:space="preserve">data from Wirtgen
</t>
        </r>
      </text>
    </comment>
    <comment ref="C605" authorId="0">
      <text>
        <r>
          <rPr>
            <sz val="10"/>
            <color rgb="FF000000"/>
            <rFont val="Tahoma"/>
            <charset val="1"/>
          </rPr>
          <t>2 on ground plus tending crew (2) and mtce crew allowance (2)</t>
        </r>
      </text>
    </comment>
    <comment ref="D605" authorId="0">
      <text>
        <r>
          <rPr>
            <sz val="10"/>
            <color rgb="FF000000"/>
            <rFont val="Tahoma"/>
            <charset val="1"/>
          </rPr>
          <t>2 on ground plus tending crew (2) and mtce crew allowance (2)</t>
        </r>
      </text>
    </comment>
    <comment ref="E605" authorId="0">
      <text>
        <r>
          <rPr>
            <sz val="10"/>
            <color rgb="FF000000"/>
            <rFont val="Tahoma"/>
            <charset val="1"/>
          </rPr>
          <t>2 on ground plus tending crew (2) and mtce crew allowance (2)</t>
        </r>
      </text>
    </comment>
    <comment ref="F605" authorId="0">
      <text>
        <r>
          <rPr>
            <sz val="10"/>
            <color rgb="FF000000"/>
            <rFont val="Tahoma"/>
            <charset val="1"/>
          </rPr>
          <t>2 on ground plus tending crew (2) and mtce crew allowance (2)</t>
        </r>
      </text>
    </comment>
    <comment ref="G605" authorId="0">
      <text>
        <r>
          <rPr>
            <sz val="10"/>
            <color rgb="FF000000"/>
            <rFont val="Tahoma"/>
            <charset val="1"/>
          </rPr>
          <t>2 on ground plus tending crew (2) and mtce crew allowance (2)</t>
        </r>
      </text>
    </comment>
    <comment ref="H605" authorId="0">
      <text>
        <r>
          <rPr>
            <sz val="10"/>
            <color rgb="FF000000"/>
            <rFont val="Tahoma"/>
            <charset val="1"/>
          </rPr>
          <t>2 on ground plus tending crew (2) and mtce crew allowance (2)</t>
        </r>
      </text>
    </comment>
    <comment ref="I605" authorId="0">
      <text>
        <r>
          <rPr>
            <sz val="10"/>
            <color rgb="FF000000"/>
            <rFont val="Tahoma"/>
            <charset val="1"/>
          </rPr>
          <t>2 on ground plus tending crew (2) and mtce crew allowance (2)</t>
        </r>
      </text>
    </comment>
    <comment ref="J605" authorId="0">
      <text>
        <r>
          <rPr>
            <sz val="10"/>
            <color rgb="FF000000"/>
            <rFont val="Tahoma"/>
            <charset val="1"/>
          </rPr>
          <t>2 on ground plus tending crew (2) and mtce crew allowance (2)</t>
        </r>
      </text>
    </comment>
    <comment ref="K605" authorId="0">
      <text>
        <r>
          <rPr>
            <sz val="10"/>
            <color rgb="FF000000"/>
            <rFont val="Tahoma"/>
            <charset val="1"/>
          </rPr>
          <t>2 on ground plus tending crew (2) and mtce crew allowance (2)</t>
        </r>
      </text>
    </comment>
    <comment ref="L605" authorId="0">
      <text>
        <r>
          <rPr>
            <sz val="10"/>
            <color rgb="FF000000"/>
            <rFont val="Tahoma"/>
            <charset val="1"/>
          </rPr>
          <t>2 on ground plus tending crew (2) and mtce crew allowance (2)</t>
        </r>
      </text>
    </comment>
    <comment ref="M605" authorId="0">
      <text>
        <r>
          <rPr>
            <sz val="10"/>
            <color rgb="FF000000"/>
            <rFont val="Tahoma"/>
            <charset val="1"/>
          </rPr>
          <t>2 on ground plus tending crew (2) and mtce crew allowance (2)</t>
        </r>
      </text>
    </comment>
    <comment ref="N605" authorId="0">
      <text>
        <r>
          <rPr>
            <sz val="10"/>
            <color rgb="FF000000"/>
            <rFont val="Tahoma"/>
            <charset val="1"/>
          </rPr>
          <t>2 on ground plus tending crew (2) and mtce crew allowance (2)</t>
        </r>
      </text>
    </comment>
    <comment ref="O605" authorId="0">
      <text>
        <r>
          <rPr>
            <sz val="10"/>
            <color rgb="FF000000"/>
            <rFont val="Tahoma"/>
            <charset val="1"/>
          </rPr>
          <t>2 on ground plus tending crew (2) and mtce crew allowance (2)</t>
        </r>
      </text>
    </comment>
    <comment ref="P605" authorId="0">
      <text>
        <r>
          <rPr>
            <sz val="10"/>
            <color rgb="FF000000"/>
            <rFont val="Tahoma"/>
            <charset val="1"/>
          </rPr>
          <t>2 on ground plus tending crew (2) and mtce crew allowance (2)</t>
        </r>
      </text>
    </comment>
    <comment ref="Q605" authorId="0">
      <text>
        <r>
          <rPr>
            <sz val="10"/>
            <color rgb="FF000000"/>
            <rFont val="Tahoma"/>
            <charset val="1"/>
          </rPr>
          <t>2 on ground plus tending crew (2) and mtce crew allowance (2)</t>
        </r>
      </text>
    </comment>
    <comment ref="R605" authorId="0">
      <text>
        <r>
          <rPr>
            <sz val="10"/>
            <color rgb="FF000000"/>
            <rFont val="Tahoma"/>
            <charset val="1"/>
          </rPr>
          <t>2 on ground plus tending crew (2) and mtce crew allowance (2)</t>
        </r>
      </text>
    </comment>
    <comment ref="S605" authorId="0">
      <text>
        <r>
          <rPr>
            <sz val="10"/>
            <color rgb="FF000000"/>
            <rFont val="Tahoma"/>
            <charset val="1"/>
          </rPr>
          <t>2 on ground plus tending crew (2) and mtce crew allowance (2)</t>
        </r>
      </text>
    </comment>
    <comment ref="T605" authorId="0">
      <text>
        <r>
          <rPr>
            <sz val="10"/>
            <color rgb="FF000000"/>
            <rFont val="Tahoma"/>
            <charset val="1"/>
          </rPr>
          <t>2 on ground plus tending crew (2) and mtce crew allowance (2)</t>
        </r>
      </text>
    </comment>
    <comment ref="U605" authorId="0">
      <text>
        <r>
          <rPr>
            <sz val="10"/>
            <color rgb="FF000000"/>
            <rFont val="Tahoma"/>
            <charset val="1"/>
          </rPr>
          <t>2 on ground plus tending crew (2) and mtce crew allowance (2)</t>
        </r>
      </text>
    </comment>
    <comment ref="V605" authorId="0">
      <text>
        <r>
          <rPr>
            <sz val="10"/>
            <color rgb="FF000000"/>
            <rFont val="Tahoma"/>
            <charset val="1"/>
          </rPr>
          <t>2 on ground plus tending crew (2) and mtce crew allowance (2)</t>
        </r>
      </text>
    </comment>
    <comment ref="W605" authorId="0">
      <text>
        <r>
          <rPr>
            <sz val="10"/>
            <color rgb="FF000000"/>
            <rFont val="Tahoma"/>
            <charset val="1"/>
          </rPr>
          <t>2 on ground plus tending crew (2) and mtce crew allowance (2)</t>
        </r>
      </text>
    </comment>
    <comment ref="C606" authorId="0">
      <text>
        <r>
          <rPr>
            <sz val="10"/>
            <color rgb="FF000000"/>
            <rFont val="Tahoma"/>
            <charset val="1"/>
          </rPr>
          <t xml:space="preserve">Wirtgen supplied data at 650 tph converted from euros to US$ and then to a per wmt rate
</t>
        </r>
      </text>
    </comment>
    <comment ref="D606" authorId="0">
      <text>
        <r>
          <rPr>
            <sz val="10"/>
            <color rgb="FF000000"/>
            <rFont val="Tahoma"/>
            <charset val="1"/>
          </rPr>
          <t xml:space="preserve">Wirtgen supplied data at 650 tph converted from euros to US$ and then to a per wmt rate
</t>
        </r>
      </text>
    </comment>
    <comment ref="E606" authorId="0">
      <text>
        <r>
          <rPr>
            <sz val="10"/>
            <color rgb="FF000000"/>
            <rFont val="Tahoma"/>
            <charset val="1"/>
          </rPr>
          <t xml:space="preserve">Wirtgen supplied data at 650 tph converted from euros to US$ and then to a per wmt rate
</t>
        </r>
      </text>
    </comment>
    <comment ref="F606" authorId="0">
      <text>
        <r>
          <rPr>
            <sz val="10"/>
            <color rgb="FF000000"/>
            <rFont val="Tahoma"/>
            <charset val="1"/>
          </rPr>
          <t xml:space="preserve">Wirtgen supplied data at 650 tph converted from euros to US$ and then to a per wmt rate
</t>
        </r>
      </text>
    </comment>
    <comment ref="G606" authorId="0">
      <text>
        <r>
          <rPr>
            <sz val="10"/>
            <color rgb="FF000000"/>
            <rFont val="Tahoma"/>
            <charset val="1"/>
          </rPr>
          <t xml:space="preserve">Wirtgen supplied data at 650 tph converted from euros to US$ and then to a per wmt rate
</t>
        </r>
      </text>
    </comment>
    <comment ref="H606" authorId="0">
      <text>
        <r>
          <rPr>
            <sz val="10"/>
            <color rgb="FF000000"/>
            <rFont val="Tahoma"/>
            <charset val="1"/>
          </rPr>
          <t xml:space="preserve">Wirtgen supplied data at 650 tph converted from euros to US$ and then to a per wmt rate
</t>
        </r>
      </text>
    </comment>
    <comment ref="I606" authorId="0">
      <text>
        <r>
          <rPr>
            <sz val="10"/>
            <color rgb="FF000000"/>
            <rFont val="Tahoma"/>
            <charset val="1"/>
          </rPr>
          <t xml:space="preserve">Wirtgen supplied data at 650 tph converted from euros to US$ and then to a per wmt rate
</t>
        </r>
      </text>
    </comment>
    <comment ref="J606" authorId="0">
      <text>
        <r>
          <rPr>
            <sz val="10"/>
            <color rgb="FF000000"/>
            <rFont val="Tahoma"/>
            <charset val="1"/>
          </rPr>
          <t xml:space="preserve">Wirtgen supplied data at 650 tph converted from euros to US$ and then to a per wmt rate
</t>
        </r>
      </text>
    </comment>
    <comment ref="K606" authorId="0">
      <text>
        <r>
          <rPr>
            <sz val="10"/>
            <color rgb="FF000000"/>
            <rFont val="Tahoma"/>
            <charset val="1"/>
          </rPr>
          <t xml:space="preserve">Wirtgen supplied data at 650 tph converted from euros to US$ and then to a per wmt rate
</t>
        </r>
      </text>
    </comment>
    <comment ref="L606" authorId="0">
      <text>
        <r>
          <rPr>
            <sz val="10"/>
            <color rgb="FF000000"/>
            <rFont val="Tahoma"/>
            <charset val="1"/>
          </rPr>
          <t xml:space="preserve">Wirtgen supplied data at 650 tph converted from euros to US$ and then to a per wmt rate
</t>
        </r>
      </text>
    </comment>
    <comment ref="M606" authorId="0">
      <text>
        <r>
          <rPr>
            <sz val="10"/>
            <color rgb="FF000000"/>
            <rFont val="Tahoma"/>
            <charset val="1"/>
          </rPr>
          <t xml:space="preserve">Wirtgen supplied data at 650 tph converted from euros to US$ and then to a per wmt rate
</t>
        </r>
      </text>
    </comment>
    <comment ref="N606" authorId="0">
      <text>
        <r>
          <rPr>
            <sz val="10"/>
            <color rgb="FF000000"/>
            <rFont val="Tahoma"/>
            <charset val="1"/>
          </rPr>
          <t xml:space="preserve">Wirtgen supplied data at 650 tph converted from euros to US$ and then to a per wmt rate
</t>
        </r>
      </text>
    </comment>
    <comment ref="O606" authorId="0">
      <text>
        <r>
          <rPr>
            <sz val="10"/>
            <color rgb="FF000000"/>
            <rFont val="Tahoma"/>
            <charset val="1"/>
          </rPr>
          <t xml:space="preserve">Wirtgen supplied data at 650 tph converted from euros to US$ and then to a per wmt rate
</t>
        </r>
      </text>
    </comment>
    <comment ref="P606" authorId="0">
      <text>
        <r>
          <rPr>
            <sz val="10"/>
            <color rgb="FF000000"/>
            <rFont val="Tahoma"/>
            <charset val="1"/>
          </rPr>
          <t xml:space="preserve">Wirtgen supplied data at 650 tph converted from euros to US$ and then to a per wmt rate
</t>
        </r>
      </text>
    </comment>
    <comment ref="Q606" authorId="0">
      <text>
        <r>
          <rPr>
            <sz val="10"/>
            <color rgb="FF000000"/>
            <rFont val="Tahoma"/>
            <charset val="1"/>
          </rPr>
          <t xml:space="preserve">Wirtgen supplied data at 650 tph converted from euros to US$ and then to a per wmt rate
</t>
        </r>
      </text>
    </comment>
    <comment ref="R606" authorId="0">
      <text>
        <r>
          <rPr>
            <sz val="10"/>
            <color rgb="FF000000"/>
            <rFont val="Tahoma"/>
            <charset val="1"/>
          </rPr>
          <t xml:space="preserve">Wirtgen supplied data at 650 tph converted from euros to US$ and then to a per wmt rate
</t>
        </r>
      </text>
    </comment>
    <comment ref="S606" authorId="0">
      <text>
        <r>
          <rPr>
            <sz val="10"/>
            <color rgb="FF000000"/>
            <rFont val="Tahoma"/>
            <charset val="1"/>
          </rPr>
          <t xml:space="preserve">Wirtgen supplied data at 650 tph converted from euros to US$ and then to a per wmt rate
</t>
        </r>
      </text>
    </comment>
    <comment ref="T606" authorId="0">
      <text>
        <r>
          <rPr>
            <sz val="10"/>
            <color rgb="FF000000"/>
            <rFont val="Tahoma"/>
            <charset val="1"/>
          </rPr>
          <t xml:space="preserve">Wirtgen supplied data at 650 tph converted from euros to US$ and then to a per wmt rate
</t>
        </r>
      </text>
    </comment>
    <comment ref="U606" authorId="0">
      <text>
        <r>
          <rPr>
            <sz val="10"/>
            <color rgb="FF000000"/>
            <rFont val="Tahoma"/>
            <charset val="1"/>
          </rPr>
          <t xml:space="preserve">Wirtgen supplied data at 650 tph converted from euros to US$ and then to a per wmt rate
</t>
        </r>
      </text>
    </comment>
    <comment ref="V606" authorId="0">
      <text>
        <r>
          <rPr>
            <sz val="10"/>
            <color rgb="FF000000"/>
            <rFont val="Tahoma"/>
            <charset val="1"/>
          </rPr>
          <t xml:space="preserve">Wirtgen supplied data at 650 tph converted from euros to US$ and then to a per wmt rate
</t>
        </r>
      </text>
    </comment>
    <comment ref="W606" authorId="0">
      <text>
        <r>
          <rPr>
            <sz val="10"/>
            <color rgb="FF000000"/>
            <rFont val="Tahoma"/>
            <charset val="1"/>
          </rPr>
          <t xml:space="preserve">Wirtgen supplied data at 650 tph converted from euros to US$ and then to a per wmt rate
</t>
        </r>
      </text>
    </comment>
    <comment ref="C624" authorId="0">
      <text>
        <r>
          <rPr>
            <sz val="10"/>
            <color rgb="FF000000"/>
            <rFont val="Tahoma"/>
            <charset val="1"/>
          </rPr>
          <t>tuned roughly to Henan Chine trip data</t>
        </r>
      </text>
    </comment>
    <comment ref="D624" authorId="0">
      <text>
        <r>
          <rPr>
            <sz val="10"/>
            <color rgb="FF000000"/>
            <rFont val="Tahoma"/>
            <charset val="1"/>
          </rPr>
          <t>tuned roughly to Henan Chine trip data</t>
        </r>
      </text>
    </comment>
    <comment ref="E624" authorId="0">
      <text>
        <r>
          <rPr>
            <sz val="10"/>
            <color rgb="FF000000"/>
            <rFont val="Tahoma"/>
            <charset val="1"/>
          </rPr>
          <t>tuned roughly to Henan Chine trip data</t>
        </r>
      </text>
    </comment>
    <comment ref="F624" authorId="0">
      <text>
        <r>
          <rPr>
            <sz val="10"/>
            <color rgb="FF000000"/>
            <rFont val="Tahoma"/>
            <charset val="1"/>
          </rPr>
          <t>tuned roughly to Henan Chine trip data</t>
        </r>
      </text>
    </comment>
    <comment ref="G624" authorId="0">
      <text>
        <r>
          <rPr>
            <sz val="10"/>
            <color rgb="FF000000"/>
            <rFont val="Tahoma"/>
            <charset val="1"/>
          </rPr>
          <t>tuned roughly to Henan Chine trip data</t>
        </r>
      </text>
    </comment>
    <comment ref="H624" authorId="0">
      <text>
        <r>
          <rPr>
            <sz val="10"/>
            <color rgb="FF000000"/>
            <rFont val="Tahoma"/>
            <charset val="1"/>
          </rPr>
          <t>tuned roughly to Henan Chine trip data</t>
        </r>
      </text>
    </comment>
    <comment ref="I624" authorId="0">
      <text>
        <r>
          <rPr>
            <sz val="10"/>
            <color rgb="FF000000"/>
            <rFont val="Tahoma"/>
            <charset val="1"/>
          </rPr>
          <t>tuned roughly to Henan Chine trip data</t>
        </r>
      </text>
    </comment>
    <comment ref="J624" authorId="0">
      <text>
        <r>
          <rPr>
            <sz val="10"/>
            <color rgb="FF000000"/>
            <rFont val="Tahoma"/>
            <charset val="1"/>
          </rPr>
          <t>tuned roughly to Henan Chine trip data</t>
        </r>
      </text>
    </comment>
    <comment ref="K624" authorId="0">
      <text>
        <r>
          <rPr>
            <sz val="10"/>
            <color rgb="FF000000"/>
            <rFont val="Tahoma"/>
            <charset val="1"/>
          </rPr>
          <t>tuned roughly to Henan Chine trip data</t>
        </r>
      </text>
    </comment>
    <comment ref="L624" authorId="0">
      <text>
        <r>
          <rPr>
            <sz val="10"/>
            <color rgb="FF000000"/>
            <rFont val="Tahoma"/>
            <charset val="1"/>
          </rPr>
          <t>tuned roughly to Henan Chine trip data</t>
        </r>
      </text>
    </comment>
    <comment ref="M624" authorId="0">
      <text>
        <r>
          <rPr>
            <sz val="10"/>
            <color rgb="FF000000"/>
            <rFont val="Tahoma"/>
            <charset val="1"/>
          </rPr>
          <t>tuned roughly to Henan Chine trip data</t>
        </r>
      </text>
    </comment>
    <comment ref="N624" authorId="0">
      <text>
        <r>
          <rPr>
            <sz val="10"/>
            <color rgb="FF000000"/>
            <rFont val="Tahoma"/>
            <charset val="1"/>
          </rPr>
          <t>tuned roughly to Henan Chine trip data</t>
        </r>
      </text>
    </comment>
    <comment ref="O624" authorId="0">
      <text>
        <r>
          <rPr>
            <sz val="10"/>
            <color rgb="FF000000"/>
            <rFont val="Tahoma"/>
            <charset val="1"/>
          </rPr>
          <t>tuned roughly to Henan Chine trip data</t>
        </r>
      </text>
    </comment>
    <comment ref="P624" authorId="0">
      <text>
        <r>
          <rPr>
            <sz val="10"/>
            <color rgb="FF000000"/>
            <rFont val="Tahoma"/>
            <charset val="1"/>
          </rPr>
          <t>tuned roughly to Henan Chine trip data</t>
        </r>
      </text>
    </comment>
    <comment ref="Q624" authorId="0">
      <text>
        <r>
          <rPr>
            <sz val="10"/>
            <color rgb="FF000000"/>
            <rFont val="Tahoma"/>
            <charset val="1"/>
          </rPr>
          <t>tuned roughly to Henan Chine trip data</t>
        </r>
      </text>
    </comment>
    <comment ref="R624" authorId="0">
      <text>
        <r>
          <rPr>
            <sz val="10"/>
            <color rgb="FF000000"/>
            <rFont val="Tahoma"/>
            <charset val="1"/>
          </rPr>
          <t>tuned roughly to Henan Chine trip data</t>
        </r>
      </text>
    </comment>
    <comment ref="S624" authorId="0">
      <text>
        <r>
          <rPr>
            <sz val="10"/>
            <color rgb="FF000000"/>
            <rFont val="Tahoma"/>
            <charset val="1"/>
          </rPr>
          <t>tuned roughly to Henan Chine trip data</t>
        </r>
      </text>
    </comment>
    <comment ref="T624" authorId="0">
      <text>
        <r>
          <rPr>
            <sz val="10"/>
            <color rgb="FF000000"/>
            <rFont val="Tahoma"/>
            <charset val="1"/>
          </rPr>
          <t>tuned roughly to Henan Chine trip data</t>
        </r>
      </text>
    </comment>
    <comment ref="U624" authorId="0">
      <text>
        <r>
          <rPr>
            <sz val="10"/>
            <color rgb="FF000000"/>
            <rFont val="Tahoma"/>
            <charset val="1"/>
          </rPr>
          <t>tuned roughly to Henan Chine trip data</t>
        </r>
      </text>
    </comment>
    <comment ref="V624" authorId="0">
      <text>
        <r>
          <rPr>
            <sz val="10"/>
            <color rgb="FF000000"/>
            <rFont val="Tahoma"/>
            <charset val="1"/>
          </rPr>
          <t>tuned roughly to Henan Chine trip data</t>
        </r>
      </text>
    </comment>
    <comment ref="W624" authorId="0">
      <text>
        <r>
          <rPr>
            <sz val="10"/>
            <color rgb="FF000000"/>
            <rFont val="Tahoma"/>
            <charset val="1"/>
          </rPr>
          <t>tuned roughly to Henan Chine trip data</t>
        </r>
      </text>
    </comment>
    <comment ref="C625" authorId="0">
      <text>
        <r>
          <rPr>
            <sz val="10"/>
            <color rgb="FF000000"/>
            <rFont val="Calibri"/>
            <charset val="1"/>
          </rPr>
          <t xml:space="preserve">Baes off India bx truck data &amp; Guidelines for Measuring and Managing CO2 Emission from Freight Transport Operations </t>
        </r>
      </text>
    </comment>
    <comment ref="D625" authorId="0">
      <text>
        <r>
          <rPr>
            <sz val="10"/>
            <color rgb="FF000000"/>
            <rFont val="Calibri"/>
            <charset val="1"/>
          </rPr>
          <t xml:space="preserve">Baes off India bx truck data &amp; Guidelines for Measuring and Managing CO2 Emission from Freight Transport Operations </t>
        </r>
      </text>
    </comment>
    <comment ref="E625" authorId="0">
      <text>
        <r>
          <rPr>
            <sz val="10"/>
            <color rgb="FF000000"/>
            <rFont val="Calibri"/>
            <charset val="1"/>
          </rPr>
          <t xml:space="preserve">Baes off India bx truck data &amp; Guidelines for Measuring and Managing CO2 Emission from Freight Transport Operations </t>
        </r>
      </text>
    </comment>
    <comment ref="F625" authorId="0">
      <text>
        <r>
          <rPr>
            <sz val="10"/>
            <color rgb="FF000000"/>
            <rFont val="Calibri"/>
            <charset val="1"/>
          </rPr>
          <t xml:space="preserve">Baes off India bx truck data &amp; Guidelines for Measuring and Managing CO2 Emission from Freight Transport Operations </t>
        </r>
      </text>
    </comment>
    <comment ref="G625" authorId="0">
      <text>
        <r>
          <rPr>
            <sz val="10"/>
            <color rgb="FF000000"/>
            <rFont val="Calibri"/>
            <charset val="1"/>
          </rPr>
          <t xml:space="preserve">Baes off India bx truck data &amp; Guidelines for Measuring and Managing CO2 Emission from Freight Transport Operations </t>
        </r>
      </text>
    </comment>
    <comment ref="H625" authorId="0">
      <text>
        <r>
          <rPr>
            <sz val="10"/>
            <color rgb="FF000000"/>
            <rFont val="Calibri"/>
            <charset val="1"/>
          </rPr>
          <t xml:space="preserve">Baes off India bx truck data &amp; Guidelines for Measuring and Managing CO2 Emission from Freight Transport Operations </t>
        </r>
      </text>
    </comment>
    <comment ref="I625" authorId="0">
      <text>
        <r>
          <rPr>
            <sz val="10"/>
            <color rgb="FF000000"/>
            <rFont val="Calibri"/>
            <charset val="1"/>
          </rPr>
          <t xml:space="preserve">Baes off India bx truck data &amp; Guidelines for Measuring and Managing CO2 Emission from Freight Transport Operations </t>
        </r>
      </text>
    </comment>
    <comment ref="J625" authorId="0">
      <text>
        <r>
          <rPr>
            <sz val="10"/>
            <color rgb="FF000000"/>
            <rFont val="Calibri"/>
            <charset val="1"/>
          </rPr>
          <t xml:space="preserve">Baes off India bx truck data &amp; Guidelines for Measuring and Managing CO2 Emission from Freight Transport Operations </t>
        </r>
      </text>
    </comment>
    <comment ref="K625" authorId="0">
      <text>
        <r>
          <rPr>
            <sz val="10"/>
            <color rgb="FF000000"/>
            <rFont val="Calibri"/>
            <charset val="1"/>
          </rPr>
          <t xml:space="preserve">Baes off India bx truck data &amp; Guidelines for Measuring and Managing CO2 Emission from Freight Transport Operations </t>
        </r>
      </text>
    </comment>
    <comment ref="L625" authorId="0">
      <text>
        <r>
          <rPr>
            <sz val="10"/>
            <color rgb="FF000000"/>
            <rFont val="Calibri"/>
            <charset val="1"/>
          </rPr>
          <t xml:space="preserve">Baes off India bx truck data &amp; Guidelines for Measuring and Managing CO2 Emission from Freight Transport Operations </t>
        </r>
      </text>
    </comment>
    <comment ref="M625" authorId="0">
      <text>
        <r>
          <rPr>
            <sz val="10"/>
            <color rgb="FF000000"/>
            <rFont val="Calibri"/>
            <charset val="1"/>
          </rPr>
          <t xml:space="preserve">Baes off India bx truck data &amp; Guidelines for Measuring and Managing CO2 Emission from Freight Transport Operations </t>
        </r>
      </text>
    </comment>
    <comment ref="N625" authorId="0">
      <text>
        <r>
          <rPr>
            <sz val="10"/>
            <color rgb="FF000000"/>
            <rFont val="Calibri"/>
            <charset val="1"/>
          </rPr>
          <t xml:space="preserve">Baes off India bx truck data &amp; Guidelines for Measuring and Managing CO2 Emission from Freight Transport Operations </t>
        </r>
      </text>
    </comment>
    <comment ref="O625" authorId="0">
      <text>
        <r>
          <rPr>
            <sz val="10"/>
            <color rgb="FF000000"/>
            <rFont val="Calibri"/>
            <charset val="1"/>
          </rPr>
          <t xml:space="preserve">Baes off India bx truck data &amp; Guidelines for Measuring and Managing CO2 Emission from Freight Transport Operations </t>
        </r>
      </text>
    </comment>
    <comment ref="P625" authorId="0">
      <text>
        <r>
          <rPr>
            <sz val="10"/>
            <color rgb="FF000000"/>
            <rFont val="Calibri"/>
            <charset val="1"/>
          </rPr>
          <t xml:space="preserve">Baes off India bx truck data &amp; Guidelines for Measuring and Managing CO2 Emission from Freight Transport Operations </t>
        </r>
      </text>
    </comment>
    <comment ref="Q625" authorId="0">
      <text>
        <r>
          <rPr>
            <sz val="10"/>
            <color rgb="FF000000"/>
            <rFont val="Calibri"/>
            <charset val="1"/>
          </rPr>
          <t xml:space="preserve">Baes off India bx truck data &amp; Guidelines for Measuring and Managing CO2 Emission from Freight Transport Operations </t>
        </r>
      </text>
    </comment>
    <comment ref="R625" authorId="0">
      <text>
        <r>
          <rPr>
            <sz val="10"/>
            <color rgb="FF000000"/>
            <rFont val="Calibri"/>
            <charset val="1"/>
          </rPr>
          <t xml:space="preserve">Baes off India bx truck data &amp; Guidelines for Measuring and Managing CO2 Emission from Freight Transport Operations </t>
        </r>
      </text>
    </comment>
    <comment ref="S625" authorId="0">
      <text>
        <r>
          <rPr>
            <sz val="10"/>
            <color rgb="FF000000"/>
            <rFont val="Calibri"/>
            <charset val="1"/>
          </rPr>
          <t xml:space="preserve">Baes off India bx truck data &amp; Guidelines for Measuring and Managing CO2 Emission from Freight Transport Operations </t>
        </r>
      </text>
    </comment>
    <comment ref="T625" authorId="0">
      <text>
        <r>
          <rPr>
            <sz val="10"/>
            <color rgb="FF000000"/>
            <rFont val="Calibri"/>
            <charset val="1"/>
          </rPr>
          <t xml:space="preserve">Baes off India bx truck data &amp; Guidelines for Measuring and Managing CO2 Emission from Freight Transport Operations </t>
        </r>
      </text>
    </comment>
    <comment ref="U625" authorId="0">
      <text>
        <r>
          <rPr>
            <sz val="10"/>
            <color rgb="FF000000"/>
            <rFont val="Calibri"/>
            <charset val="1"/>
          </rPr>
          <t xml:space="preserve">Baes off India bx truck data &amp; Guidelines for Measuring and Managing CO2 Emission from Freight Transport Operations </t>
        </r>
      </text>
    </comment>
    <comment ref="V625" authorId="0">
      <text>
        <r>
          <rPr>
            <sz val="10"/>
            <color rgb="FF000000"/>
            <rFont val="Calibri"/>
            <charset val="1"/>
          </rPr>
          <t xml:space="preserve">Baes off India bx truck data &amp; Guidelines for Measuring and Managing CO2 Emission from Freight Transport Operations </t>
        </r>
      </text>
    </comment>
    <comment ref="W625" authorId="0">
      <text>
        <r>
          <rPr>
            <sz val="10"/>
            <color rgb="FF000000"/>
            <rFont val="Calibri"/>
            <charset val="1"/>
          </rPr>
          <t xml:space="preserve">Baes off India bx truck data &amp; Guidelines for Measuring and Managing CO2 Emission from Freight Transport Operations </t>
        </r>
      </text>
    </comment>
    <comment ref="C626" authorId="0">
      <text>
        <r>
          <rPr>
            <sz val="10"/>
            <color rgb="FF000000"/>
            <rFont val="Tahoma"/>
            <charset val="1"/>
          </rPr>
          <t>tuned roughly to Henan Chine trip data</t>
        </r>
      </text>
    </comment>
    <comment ref="D626" authorId="0">
      <text>
        <r>
          <rPr>
            <sz val="10"/>
            <color rgb="FF000000"/>
            <rFont val="Tahoma"/>
            <charset val="1"/>
          </rPr>
          <t>tuned roughly to Henan Chine trip data</t>
        </r>
      </text>
    </comment>
    <comment ref="E626" authorId="0">
      <text>
        <r>
          <rPr>
            <sz val="10"/>
            <color rgb="FF000000"/>
            <rFont val="Tahoma"/>
            <charset val="1"/>
          </rPr>
          <t>tuned roughly to Henan Chine trip data</t>
        </r>
      </text>
    </comment>
    <comment ref="F626" authorId="0">
      <text>
        <r>
          <rPr>
            <sz val="10"/>
            <color rgb="FF000000"/>
            <rFont val="Tahoma"/>
            <charset val="1"/>
          </rPr>
          <t>tuned roughly to Henan Chine trip data</t>
        </r>
      </text>
    </comment>
    <comment ref="G626" authorId="0">
      <text>
        <r>
          <rPr>
            <sz val="10"/>
            <color rgb="FF000000"/>
            <rFont val="Tahoma"/>
            <charset val="1"/>
          </rPr>
          <t>tuned roughly to Henan Chine trip data</t>
        </r>
      </text>
    </comment>
    <comment ref="H626" authorId="0">
      <text>
        <r>
          <rPr>
            <sz val="10"/>
            <color rgb="FF000000"/>
            <rFont val="Tahoma"/>
            <charset val="1"/>
          </rPr>
          <t>tuned roughly to Henan Chine trip data</t>
        </r>
      </text>
    </comment>
    <comment ref="I626" authorId="0">
      <text>
        <r>
          <rPr>
            <sz val="10"/>
            <color rgb="FF000000"/>
            <rFont val="Tahoma"/>
            <charset val="1"/>
          </rPr>
          <t>tuned roughly to Henan Chine trip data</t>
        </r>
      </text>
    </comment>
    <comment ref="J626" authorId="0">
      <text>
        <r>
          <rPr>
            <sz val="10"/>
            <color rgb="FF000000"/>
            <rFont val="Tahoma"/>
            <charset val="1"/>
          </rPr>
          <t>tuned roughly to Henan Chine trip data</t>
        </r>
      </text>
    </comment>
    <comment ref="K626" authorId="0">
      <text>
        <r>
          <rPr>
            <sz val="10"/>
            <color rgb="FF000000"/>
            <rFont val="Tahoma"/>
            <charset val="1"/>
          </rPr>
          <t>tuned roughly to Henan Chine trip data</t>
        </r>
      </text>
    </comment>
    <comment ref="L626" authorId="0">
      <text>
        <r>
          <rPr>
            <sz val="10"/>
            <color rgb="FF000000"/>
            <rFont val="Tahoma"/>
            <charset val="1"/>
          </rPr>
          <t>tuned roughly to Henan Chine trip data</t>
        </r>
      </text>
    </comment>
    <comment ref="M626" authorId="0">
      <text>
        <r>
          <rPr>
            <sz val="10"/>
            <color rgb="FF000000"/>
            <rFont val="Tahoma"/>
            <charset val="1"/>
          </rPr>
          <t>tuned roughly to Henan Chine trip data</t>
        </r>
      </text>
    </comment>
    <comment ref="N626" authorId="0">
      <text>
        <r>
          <rPr>
            <sz val="10"/>
            <color rgb="FF000000"/>
            <rFont val="Tahoma"/>
            <charset val="1"/>
          </rPr>
          <t>tuned roughly to Henan Chine trip data</t>
        </r>
      </text>
    </comment>
    <comment ref="O626" authorId="0">
      <text>
        <r>
          <rPr>
            <sz val="10"/>
            <color rgb="FF000000"/>
            <rFont val="Tahoma"/>
            <charset val="1"/>
          </rPr>
          <t>tuned roughly to Henan Chine trip data</t>
        </r>
      </text>
    </comment>
    <comment ref="P626" authorId="0">
      <text>
        <r>
          <rPr>
            <sz val="10"/>
            <color rgb="FF000000"/>
            <rFont val="Tahoma"/>
            <charset val="1"/>
          </rPr>
          <t>tuned roughly to Henan Chine trip data</t>
        </r>
      </text>
    </comment>
    <comment ref="Q626" authorId="0">
      <text>
        <r>
          <rPr>
            <sz val="10"/>
            <color rgb="FF000000"/>
            <rFont val="Tahoma"/>
            <charset val="1"/>
          </rPr>
          <t>tuned roughly to Henan Chine trip data</t>
        </r>
      </text>
    </comment>
    <comment ref="R626" authorId="0">
      <text>
        <r>
          <rPr>
            <sz val="10"/>
            <color rgb="FF000000"/>
            <rFont val="Tahoma"/>
            <charset val="1"/>
          </rPr>
          <t>tuned roughly to Henan Chine trip data</t>
        </r>
      </text>
    </comment>
    <comment ref="S626" authorId="0">
      <text>
        <r>
          <rPr>
            <sz val="10"/>
            <color rgb="FF000000"/>
            <rFont val="Tahoma"/>
            <charset val="1"/>
          </rPr>
          <t>tuned roughly to Henan Chine trip data</t>
        </r>
      </text>
    </comment>
    <comment ref="T626" authorId="0">
      <text>
        <r>
          <rPr>
            <sz val="10"/>
            <color rgb="FF000000"/>
            <rFont val="Tahoma"/>
            <charset val="1"/>
          </rPr>
          <t>tuned roughly to Henan Chine trip data</t>
        </r>
      </text>
    </comment>
    <comment ref="U626" authorId="0">
      <text>
        <r>
          <rPr>
            <sz val="10"/>
            <color rgb="FF000000"/>
            <rFont val="Tahoma"/>
            <charset val="1"/>
          </rPr>
          <t>tuned roughly to Henan Chine trip data</t>
        </r>
      </text>
    </comment>
    <comment ref="V626" authorId="0">
      <text>
        <r>
          <rPr>
            <sz val="10"/>
            <color rgb="FF000000"/>
            <rFont val="Tahoma"/>
            <charset val="1"/>
          </rPr>
          <t>tuned roughly to Henan Chine trip data</t>
        </r>
      </text>
    </comment>
    <comment ref="W626" authorId="0">
      <text>
        <r>
          <rPr>
            <sz val="10"/>
            <color rgb="FF000000"/>
            <rFont val="Tahoma"/>
            <charset val="1"/>
          </rPr>
          <t>tuned roughly to Henan Chine trip data</t>
        </r>
      </text>
    </comment>
    <comment ref="C654" authorId="0">
      <text>
        <r>
          <rPr>
            <sz val="10"/>
            <color rgb="FF000000"/>
            <rFont val="Tahoma"/>
            <charset val="1"/>
          </rPr>
          <t xml:space="preserve">built on machine doing relatively free digging = 200 tph, halve or quarter this for more difficult or insitu material
</t>
        </r>
      </text>
    </comment>
    <comment ref="D654" authorId="0">
      <text>
        <r>
          <rPr>
            <sz val="10"/>
            <color rgb="FF000000"/>
            <rFont val="Tahoma"/>
            <charset val="1"/>
          </rPr>
          <t xml:space="preserve">built on machine doing relatively free digging = 200 tph, halve or quarter this for more difficult or insitu material
</t>
        </r>
      </text>
    </comment>
    <comment ref="E654" authorId="0">
      <text>
        <r>
          <rPr>
            <sz val="10"/>
            <color rgb="FF000000"/>
            <rFont val="Tahoma"/>
            <charset val="1"/>
          </rPr>
          <t xml:space="preserve">built on machine doing relatively free digging = 200 tph, halve or quarter this for more difficult or insitu material
</t>
        </r>
      </text>
    </comment>
    <comment ref="F654" authorId="0">
      <text>
        <r>
          <rPr>
            <sz val="10"/>
            <color rgb="FF000000"/>
            <rFont val="Tahoma"/>
            <charset val="1"/>
          </rPr>
          <t xml:space="preserve">built on machine doing relatively free digging = 200 tph, halve or quarter this for more difficult or insitu material
</t>
        </r>
      </text>
    </comment>
    <comment ref="G654" authorId="0">
      <text>
        <r>
          <rPr>
            <sz val="10"/>
            <color rgb="FF000000"/>
            <rFont val="Tahoma"/>
            <charset val="1"/>
          </rPr>
          <t xml:space="preserve">built on machine doing relatively free digging = 200 tph, halve or quarter this for more difficult or insitu material
</t>
        </r>
      </text>
    </comment>
    <comment ref="H654" authorId="0">
      <text>
        <r>
          <rPr>
            <sz val="10"/>
            <color rgb="FF000000"/>
            <rFont val="Tahoma"/>
            <charset val="1"/>
          </rPr>
          <t xml:space="preserve">built on machine doing relatively free digging = 200 tph, halve or quarter this for more difficult or insitu material
</t>
        </r>
      </text>
    </comment>
    <comment ref="I654" authorId="0">
      <text>
        <r>
          <rPr>
            <sz val="10"/>
            <color rgb="FF000000"/>
            <rFont val="Tahoma"/>
            <charset val="1"/>
          </rPr>
          <t xml:space="preserve">built on machine doing relatively free digging = 200 tph, halve or quarter this for more difficult or insitu material
</t>
        </r>
      </text>
    </comment>
    <comment ref="J654" authorId="0">
      <text>
        <r>
          <rPr>
            <sz val="10"/>
            <color rgb="FF000000"/>
            <rFont val="Tahoma"/>
            <charset val="1"/>
          </rPr>
          <t xml:space="preserve">built on machine doing relatively free digging = 200 tph, halve or quarter this for more difficult or insitu material
</t>
        </r>
      </text>
    </comment>
    <comment ref="K654" authorId="0">
      <text>
        <r>
          <rPr>
            <sz val="10"/>
            <color rgb="FF000000"/>
            <rFont val="Tahoma"/>
            <charset val="1"/>
          </rPr>
          <t xml:space="preserve">built on machine doing relatively free digging = 200 tph, halve or quarter this for more difficult or insitu material
</t>
        </r>
      </text>
    </comment>
    <comment ref="L654" authorId="0">
      <text>
        <r>
          <rPr>
            <sz val="10"/>
            <color rgb="FF000000"/>
            <rFont val="Tahoma"/>
            <charset val="1"/>
          </rPr>
          <t xml:space="preserve">built on machine doing relatively free digging = 200 tph, halve or quarter this for more difficult or insitu material
</t>
        </r>
      </text>
    </comment>
    <comment ref="M654" authorId="0">
      <text>
        <r>
          <rPr>
            <sz val="10"/>
            <color rgb="FF000000"/>
            <rFont val="Tahoma"/>
            <charset val="1"/>
          </rPr>
          <t xml:space="preserve">built on machine doing relatively free digging = 200 tph, halve or quarter this for more difficult or insitu material
</t>
        </r>
      </text>
    </comment>
    <comment ref="N654" authorId="0">
      <text>
        <r>
          <rPr>
            <sz val="10"/>
            <color rgb="FF000000"/>
            <rFont val="Tahoma"/>
            <charset val="1"/>
          </rPr>
          <t xml:space="preserve">built on machine doing relatively free digging = 200 tph, halve or quarter this for more difficult or insitu material
</t>
        </r>
      </text>
    </comment>
    <comment ref="O654" authorId="0">
      <text>
        <r>
          <rPr>
            <sz val="10"/>
            <color rgb="FF000000"/>
            <rFont val="Tahoma"/>
            <charset val="1"/>
          </rPr>
          <t xml:space="preserve">built on machine doing relatively free digging = 200 tph, halve or quarter this for more difficult or insitu material
</t>
        </r>
      </text>
    </comment>
    <comment ref="P654" authorId="0">
      <text>
        <r>
          <rPr>
            <sz val="10"/>
            <color rgb="FF000000"/>
            <rFont val="Tahoma"/>
            <charset val="1"/>
          </rPr>
          <t xml:space="preserve">built on machine doing relatively free digging = 200 tph, halve or quarter this for more difficult or insitu material
</t>
        </r>
      </text>
    </comment>
    <comment ref="Q654" authorId="0">
      <text>
        <r>
          <rPr>
            <sz val="10"/>
            <color rgb="FF000000"/>
            <rFont val="Tahoma"/>
            <charset val="1"/>
          </rPr>
          <t xml:space="preserve">built on machine doing relatively free digging = 200 tph, halve or quarter this for more difficult or insitu material
</t>
        </r>
      </text>
    </comment>
    <comment ref="R654" authorId="0">
      <text>
        <r>
          <rPr>
            <sz val="10"/>
            <color rgb="FF000000"/>
            <rFont val="Tahoma"/>
            <charset val="1"/>
          </rPr>
          <t xml:space="preserve">built on machine doing relatively free digging = 200 tph, halve or quarter this for more difficult or insitu material
</t>
        </r>
      </text>
    </comment>
    <comment ref="S654" authorId="0">
      <text>
        <r>
          <rPr>
            <sz val="10"/>
            <color rgb="FF000000"/>
            <rFont val="Tahoma"/>
            <charset val="1"/>
          </rPr>
          <t xml:space="preserve">built on machine doing relatively free digging = 200 tph, halve or quarter this for more difficult or insitu material
</t>
        </r>
      </text>
    </comment>
    <comment ref="T654" authorId="0">
      <text>
        <r>
          <rPr>
            <sz val="10"/>
            <color rgb="FF000000"/>
            <rFont val="Tahoma"/>
            <charset val="1"/>
          </rPr>
          <t xml:space="preserve">built on machine doing relatively free digging = 200 tph, halve or quarter this for more difficult or insitu material
</t>
        </r>
      </text>
    </comment>
    <comment ref="U654" authorId="0">
      <text>
        <r>
          <rPr>
            <sz val="10"/>
            <color rgb="FF000000"/>
            <rFont val="Tahoma"/>
            <charset val="1"/>
          </rPr>
          <t xml:space="preserve">built on machine doing relatively free digging = 200 tph, halve or quarter this for more difficult or insitu material
</t>
        </r>
      </text>
    </comment>
    <comment ref="V654" authorId="0">
      <text>
        <r>
          <rPr>
            <sz val="10"/>
            <color rgb="FF000000"/>
            <rFont val="Tahoma"/>
            <charset val="1"/>
          </rPr>
          <t xml:space="preserve">built on machine doing relatively free digging = 200 tph, halve or quarter this for more difficult or insitu material
</t>
        </r>
      </text>
    </comment>
    <comment ref="W654" authorId="0">
      <text>
        <r>
          <rPr>
            <sz val="10"/>
            <color rgb="FF000000"/>
            <rFont val="Tahoma"/>
            <charset val="1"/>
          </rPr>
          <t xml:space="preserve">built on machine doing relatively free digging = 200 tph, halve or quarter this for more difficult or insitu material
</t>
        </r>
      </text>
    </comment>
    <comment ref="C656" authorId="0">
      <text>
        <r>
          <rPr>
            <sz val="10"/>
            <color rgb="FF000000"/>
            <rFont val="Tahoma"/>
            <charset val="1"/>
          </rPr>
          <t xml:space="preserve">data from Wirtgen
</t>
        </r>
      </text>
    </comment>
    <comment ref="D656" authorId="0">
      <text>
        <r>
          <rPr>
            <sz val="10"/>
            <color rgb="FF000000"/>
            <rFont val="Tahoma"/>
            <charset val="1"/>
          </rPr>
          <t xml:space="preserve">data from Wirtgen
</t>
        </r>
      </text>
    </comment>
    <comment ref="E656" authorId="0">
      <text>
        <r>
          <rPr>
            <sz val="10"/>
            <color rgb="FF000000"/>
            <rFont val="Tahoma"/>
            <charset val="1"/>
          </rPr>
          <t xml:space="preserve">data from Wirtgen
</t>
        </r>
      </text>
    </comment>
    <comment ref="F656" authorId="0">
      <text>
        <r>
          <rPr>
            <sz val="10"/>
            <color rgb="FF000000"/>
            <rFont val="Tahoma"/>
            <charset val="1"/>
          </rPr>
          <t xml:space="preserve">data from Wirtgen
</t>
        </r>
      </text>
    </comment>
    <comment ref="G656" authorId="0">
      <text>
        <r>
          <rPr>
            <sz val="10"/>
            <color rgb="FF000000"/>
            <rFont val="Tahoma"/>
            <charset val="1"/>
          </rPr>
          <t xml:space="preserve">data from Wirtgen
</t>
        </r>
      </text>
    </comment>
    <comment ref="H656" authorId="0">
      <text>
        <r>
          <rPr>
            <sz val="10"/>
            <color rgb="FF000000"/>
            <rFont val="Tahoma"/>
            <charset val="1"/>
          </rPr>
          <t xml:space="preserve">data from Wirtgen
</t>
        </r>
      </text>
    </comment>
    <comment ref="I656" authorId="0">
      <text>
        <r>
          <rPr>
            <sz val="10"/>
            <color rgb="FF000000"/>
            <rFont val="Tahoma"/>
            <charset val="1"/>
          </rPr>
          <t xml:space="preserve">data from Wirtgen
</t>
        </r>
      </text>
    </comment>
    <comment ref="J656" authorId="0">
      <text>
        <r>
          <rPr>
            <sz val="10"/>
            <color rgb="FF000000"/>
            <rFont val="Tahoma"/>
            <charset val="1"/>
          </rPr>
          <t xml:space="preserve">data from Wirtgen
</t>
        </r>
      </text>
    </comment>
    <comment ref="K656" authorId="0">
      <text>
        <r>
          <rPr>
            <sz val="10"/>
            <color rgb="FF000000"/>
            <rFont val="Tahoma"/>
            <charset val="1"/>
          </rPr>
          <t xml:space="preserve">data from Wirtgen
</t>
        </r>
      </text>
    </comment>
    <comment ref="L656" authorId="0">
      <text>
        <r>
          <rPr>
            <sz val="10"/>
            <color rgb="FF000000"/>
            <rFont val="Tahoma"/>
            <charset val="1"/>
          </rPr>
          <t xml:space="preserve">data from Wirtgen
</t>
        </r>
      </text>
    </comment>
    <comment ref="M656" authorId="0">
      <text>
        <r>
          <rPr>
            <sz val="10"/>
            <color rgb="FF000000"/>
            <rFont val="Tahoma"/>
            <charset val="1"/>
          </rPr>
          <t xml:space="preserve">data from Wirtgen
</t>
        </r>
      </text>
    </comment>
    <comment ref="N656" authorId="0">
      <text>
        <r>
          <rPr>
            <sz val="10"/>
            <color rgb="FF000000"/>
            <rFont val="Tahoma"/>
            <charset val="1"/>
          </rPr>
          <t xml:space="preserve">data from Wirtgen
</t>
        </r>
      </text>
    </comment>
    <comment ref="O656" authorId="0">
      <text>
        <r>
          <rPr>
            <sz val="10"/>
            <color rgb="FF000000"/>
            <rFont val="Tahoma"/>
            <charset val="1"/>
          </rPr>
          <t xml:space="preserve">data from Wirtgen
</t>
        </r>
      </text>
    </comment>
    <comment ref="P656" authorId="0">
      <text>
        <r>
          <rPr>
            <sz val="10"/>
            <color rgb="FF000000"/>
            <rFont val="Tahoma"/>
            <charset val="1"/>
          </rPr>
          <t xml:space="preserve">data from Wirtgen
</t>
        </r>
      </text>
    </comment>
    <comment ref="Q656" authorId="0">
      <text>
        <r>
          <rPr>
            <sz val="10"/>
            <color rgb="FF000000"/>
            <rFont val="Tahoma"/>
            <charset val="1"/>
          </rPr>
          <t xml:space="preserve">data from Wirtgen
</t>
        </r>
      </text>
    </comment>
    <comment ref="R656" authorId="0">
      <text>
        <r>
          <rPr>
            <sz val="10"/>
            <color rgb="FF000000"/>
            <rFont val="Tahoma"/>
            <charset val="1"/>
          </rPr>
          <t xml:space="preserve">data from Wirtgen
</t>
        </r>
      </text>
    </comment>
    <comment ref="S656" authorId="0">
      <text>
        <r>
          <rPr>
            <sz val="10"/>
            <color rgb="FF000000"/>
            <rFont val="Tahoma"/>
            <charset val="1"/>
          </rPr>
          <t xml:space="preserve">data from Wirtgen
</t>
        </r>
      </text>
    </comment>
    <comment ref="T656" authorId="0">
      <text>
        <r>
          <rPr>
            <sz val="10"/>
            <color rgb="FF000000"/>
            <rFont val="Tahoma"/>
            <charset val="1"/>
          </rPr>
          <t xml:space="preserve">data from Wirtgen
</t>
        </r>
      </text>
    </comment>
    <comment ref="U656" authorId="0">
      <text>
        <r>
          <rPr>
            <sz val="10"/>
            <color rgb="FF000000"/>
            <rFont val="Tahoma"/>
            <charset val="1"/>
          </rPr>
          <t xml:space="preserve">data from Wirtgen
</t>
        </r>
      </text>
    </comment>
    <comment ref="V656" authorId="0">
      <text>
        <r>
          <rPr>
            <sz val="10"/>
            <color rgb="FF000000"/>
            <rFont val="Tahoma"/>
            <charset val="1"/>
          </rPr>
          <t xml:space="preserve">data from Wirtgen
</t>
        </r>
      </text>
    </comment>
    <comment ref="W656" authorId="0">
      <text>
        <r>
          <rPr>
            <sz val="10"/>
            <color rgb="FF000000"/>
            <rFont val="Tahoma"/>
            <charset val="1"/>
          </rPr>
          <t xml:space="preserve">data from Wirtgen
</t>
        </r>
      </text>
    </comment>
    <comment ref="C657" authorId="0">
      <text>
        <r>
          <rPr>
            <sz val="10"/>
            <color rgb="FF000000"/>
            <rFont val="Tahoma"/>
            <charset val="1"/>
          </rPr>
          <t>2 on ground plus tending crew (2) and mtce crew allowance (2)</t>
        </r>
      </text>
    </comment>
    <comment ref="D657" authorId="0">
      <text>
        <r>
          <rPr>
            <sz val="10"/>
            <color rgb="FF000000"/>
            <rFont val="Tahoma"/>
            <charset val="1"/>
          </rPr>
          <t>2 on ground plus tending crew (2) and mtce crew allowance (2)</t>
        </r>
      </text>
    </comment>
    <comment ref="E657" authorId="0">
      <text>
        <r>
          <rPr>
            <sz val="10"/>
            <color rgb="FF000000"/>
            <rFont val="Tahoma"/>
            <charset val="1"/>
          </rPr>
          <t>2 on ground plus tending crew (2) and mtce crew allowance (2)</t>
        </r>
      </text>
    </comment>
    <comment ref="F657" authorId="0">
      <text>
        <r>
          <rPr>
            <sz val="10"/>
            <color rgb="FF000000"/>
            <rFont val="Tahoma"/>
            <charset val="1"/>
          </rPr>
          <t>2 on ground plus tending crew (2) and mtce crew allowance (2)</t>
        </r>
      </text>
    </comment>
    <comment ref="G657" authorId="0">
      <text>
        <r>
          <rPr>
            <sz val="10"/>
            <color rgb="FF000000"/>
            <rFont val="Tahoma"/>
            <charset val="1"/>
          </rPr>
          <t>2 on ground plus tending crew (2) and mtce crew allowance (2)</t>
        </r>
      </text>
    </comment>
    <comment ref="H657" authorId="0">
      <text>
        <r>
          <rPr>
            <sz val="10"/>
            <color rgb="FF000000"/>
            <rFont val="Tahoma"/>
            <charset val="1"/>
          </rPr>
          <t>2 on ground plus tending crew (2) and mtce crew allowance (2)</t>
        </r>
      </text>
    </comment>
    <comment ref="I657" authorId="0">
      <text>
        <r>
          <rPr>
            <sz val="10"/>
            <color rgb="FF000000"/>
            <rFont val="Tahoma"/>
            <charset val="1"/>
          </rPr>
          <t>2 on ground plus tending crew (2) and mtce crew allowance (2)</t>
        </r>
      </text>
    </comment>
    <comment ref="J657" authorId="0">
      <text>
        <r>
          <rPr>
            <sz val="10"/>
            <color rgb="FF000000"/>
            <rFont val="Tahoma"/>
            <charset val="1"/>
          </rPr>
          <t>2 on ground plus tending crew (2) and mtce crew allowance (2)</t>
        </r>
      </text>
    </comment>
    <comment ref="K657" authorId="0">
      <text>
        <r>
          <rPr>
            <sz val="10"/>
            <color rgb="FF000000"/>
            <rFont val="Tahoma"/>
            <charset val="1"/>
          </rPr>
          <t>2 on ground plus tending crew (2) and mtce crew allowance (2)</t>
        </r>
      </text>
    </comment>
    <comment ref="L657" authorId="0">
      <text>
        <r>
          <rPr>
            <sz val="10"/>
            <color rgb="FF000000"/>
            <rFont val="Tahoma"/>
            <charset val="1"/>
          </rPr>
          <t>2 on ground plus tending crew (2) and mtce crew allowance (2)</t>
        </r>
      </text>
    </comment>
    <comment ref="M657" authorId="0">
      <text>
        <r>
          <rPr>
            <sz val="10"/>
            <color rgb="FF000000"/>
            <rFont val="Tahoma"/>
            <charset val="1"/>
          </rPr>
          <t>2 on ground plus tending crew (2) and mtce crew allowance (2)</t>
        </r>
      </text>
    </comment>
    <comment ref="N657" authorId="0">
      <text>
        <r>
          <rPr>
            <sz val="10"/>
            <color rgb="FF000000"/>
            <rFont val="Tahoma"/>
            <charset val="1"/>
          </rPr>
          <t>2 on ground plus tending crew (2) and mtce crew allowance (2)</t>
        </r>
      </text>
    </comment>
    <comment ref="O657" authorId="0">
      <text>
        <r>
          <rPr>
            <sz val="10"/>
            <color rgb="FF000000"/>
            <rFont val="Tahoma"/>
            <charset val="1"/>
          </rPr>
          <t>2 on ground plus tending crew (2) and mtce crew allowance (2)</t>
        </r>
      </text>
    </comment>
    <comment ref="P657" authorId="0">
      <text>
        <r>
          <rPr>
            <sz val="10"/>
            <color rgb="FF000000"/>
            <rFont val="Tahoma"/>
            <charset val="1"/>
          </rPr>
          <t>2 on ground plus tending crew (2) and mtce crew allowance (2)</t>
        </r>
      </text>
    </comment>
    <comment ref="Q657" authorId="0">
      <text>
        <r>
          <rPr>
            <sz val="10"/>
            <color rgb="FF000000"/>
            <rFont val="Tahoma"/>
            <charset val="1"/>
          </rPr>
          <t>2 on ground plus tending crew (2) and mtce crew allowance (2)</t>
        </r>
      </text>
    </comment>
    <comment ref="R657" authorId="0">
      <text>
        <r>
          <rPr>
            <sz val="10"/>
            <color rgb="FF000000"/>
            <rFont val="Tahoma"/>
            <charset val="1"/>
          </rPr>
          <t>2 on ground plus tending crew (2) and mtce crew allowance (2)</t>
        </r>
      </text>
    </comment>
    <comment ref="S657" authorId="0">
      <text>
        <r>
          <rPr>
            <sz val="10"/>
            <color rgb="FF000000"/>
            <rFont val="Tahoma"/>
            <charset val="1"/>
          </rPr>
          <t>2 on ground plus tending crew (2) and mtce crew allowance (2)</t>
        </r>
      </text>
    </comment>
    <comment ref="T657" authorId="0">
      <text>
        <r>
          <rPr>
            <sz val="10"/>
            <color rgb="FF000000"/>
            <rFont val="Tahoma"/>
            <charset val="1"/>
          </rPr>
          <t>2 on ground plus tending crew (2) and mtce crew allowance (2)</t>
        </r>
      </text>
    </comment>
    <comment ref="U657" authorId="0">
      <text>
        <r>
          <rPr>
            <sz val="10"/>
            <color rgb="FF000000"/>
            <rFont val="Tahoma"/>
            <charset val="1"/>
          </rPr>
          <t>2 on ground plus tending crew (2) and mtce crew allowance (2)</t>
        </r>
      </text>
    </comment>
    <comment ref="V657" authorId="0">
      <text>
        <r>
          <rPr>
            <sz val="10"/>
            <color rgb="FF000000"/>
            <rFont val="Tahoma"/>
            <charset val="1"/>
          </rPr>
          <t>2 on ground plus tending crew (2) and mtce crew allowance (2)</t>
        </r>
      </text>
    </comment>
    <comment ref="W657" authorId="0">
      <text>
        <r>
          <rPr>
            <sz val="10"/>
            <color rgb="FF000000"/>
            <rFont val="Tahoma"/>
            <charset val="1"/>
          </rPr>
          <t>2 on ground plus tending crew (2) and mtce crew allowance (2)</t>
        </r>
      </text>
    </comment>
    <comment ref="C658" authorId="0">
      <text>
        <r>
          <rPr>
            <sz val="10"/>
            <color rgb="FF000000"/>
            <rFont val="Tahoma"/>
            <charset val="1"/>
          </rPr>
          <t xml:space="preserve">Wirtgen supplied data at 650 tph converted from euros to US$ and then to a per wmt rate
</t>
        </r>
      </text>
    </comment>
    <comment ref="D658" authorId="0">
      <text>
        <r>
          <rPr>
            <sz val="10"/>
            <color rgb="FF000000"/>
            <rFont val="Tahoma"/>
            <charset val="1"/>
          </rPr>
          <t xml:space="preserve">Wirtgen supplied data at 650 tph converted from euros to US$ and then to a per wmt rate
</t>
        </r>
      </text>
    </comment>
    <comment ref="E658" authorId="0">
      <text>
        <r>
          <rPr>
            <sz val="10"/>
            <color rgb="FF000000"/>
            <rFont val="Tahoma"/>
            <charset val="1"/>
          </rPr>
          <t xml:space="preserve">Wirtgen supplied data at 650 tph converted from euros to US$ and then to a per wmt rate
</t>
        </r>
      </text>
    </comment>
    <comment ref="F658" authorId="0">
      <text>
        <r>
          <rPr>
            <sz val="10"/>
            <color rgb="FF000000"/>
            <rFont val="Tahoma"/>
            <charset val="1"/>
          </rPr>
          <t xml:space="preserve">Wirtgen supplied data at 650 tph converted from euros to US$ and then to a per wmt rate
</t>
        </r>
      </text>
    </comment>
    <comment ref="G658" authorId="0">
      <text>
        <r>
          <rPr>
            <sz val="10"/>
            <color rgb="FF000000"/>
            <rFont val="Tahoma"/>
            <charset val="1"/>
          </rPr>
          <t xml:space="preserve">Wirtgen supplied data at 650 tph converted from euros to US$ and then to a per wmt rate
</t>
        </r>
      </text>
    </comment>
    <comment ref="H658" authorId="0">
      <text>
        <r>
          <rPr>
            <sz val="10"/>
            <color rgb="FF000000"/>
            <rFont val="Tahoma"/>
            <charset val="1"/>
          </rPr>
          <t xml:space="preserve">Wirtgen supplied data at 650 tph converted from euros to US$ and then to a per wmt rate
</t>
        </r>
      </text>
    </comment>
    <comment ref="I658" authorId="0">
      <text>
        <r>
          <rPr>
            <sz val="10"/>
            <color rgb="FF000000"/>
            <rFont val="Tahoma"/>
            <charset val="1"/>
          </rPr>
          <t xml:space="preserve">Wirtgen supplied data at 650 tph converted from euros to US$ and then to a per wmt rate
</t>
        </r>
      </text>
    </comment>
    <comment ref="J658" authorId="0">
      <text>
        <r>
          <rPr>
            <sz val="10"/>
            <color rgb="FF000000"/>
            <rFont val="Tahoma"/>
            <charset val="1"/>
          </rPr>
          <t xml:space="preserve">Wirtgen supplied data at 650 tph converted from euros to US$ and then to a per wmt rate
</t>
        </r>
      </text>
    </comment>
    <comment ref="K658" authorId="0">
      <text>
        <r>
          <rPr>
            <sz val="10"/>
            <color rgb="FF000000"/>
            <rFont val="Tahoma"/>
            <charset val="1"/>
          </rPr>
          <t xml:space="preserve">Wirtgen supplied data at 650 tph converted from euros to US$ and then to a per wmt rate
</t>
        </r>
      </text>
    </comment>
    <comment ref="L658" authorId="0">
      <text>
        <r>
          <rPr>
            <sz val="10"/>
            <color rgb="FF000000"/>
            <rFont val="Tahoma"/>
            <charset val="1"/>
          </rPr>
          <t xml:space="preserve">Wirtgen supplied data at 650 tph converted from euros to US$ and then to a per wmt rate
</t>
        </r>
      </text>
    </comment>
    <comment ref="M658" authorId="0">
      <text>
        <r>
          <rPr>
            <sz val="10"/>
            <color rgb="FF000000"/>
            <rFont val="Tahoma"/>
            <charset val="1"/>
          </rPr>
          <t xml:space="preserve">Wirtgen supplied data at 650 tph converted from euros to US$ and then to a per wmt rate
</t>
        </r>
      </text>
    </comment>
    <comment ref="N658" authorId="0">
      <text>
        <r>
          <rPr>
            <sz val="10"/>
            <color rgb="FF000000"/>
            <rFont val="Tahoma"/>
            <charset val="1"/>
          </rPr>
          <t xml:space="preserve">Wirtgen supplied data at 650 tph converted from euros to US$ and then to a per wmt rate
</t>
        </r>
      </text>
    </comment>
    <comment ref="O658" authorId="0">
      <text>
        <r>
          <rPr>
            <sz val="10"/>
            <color rgb="FF000000"/>
            <rFont val="Tahoma"/>
            <charset val="1"/>
          </rPr>
          <t xml:space="preserve">Wirtgen supplied data at 650 tph converted from euros to US$ and then to a per wmt rate
</t>
        </r>
      </text>
    </comment>
    <comment ref="P658" authorId="0">
      <text>
        <r>
          <rPr>
            <sz val="10"/>
            <color rgb="FF000000"/>
            <rFont val="Tahoma"/>
            <charset val="1"/>
          </rPr>
          <t xml:space="preserve">Wirtgen supplied data at 650 tph converted from euros to US$ and then to a per wmt rate
</t>
        </r>
      </text>
    </comment>
    <comment ref="Q658" authorId="0">
      <text>
        <r>
          <rPr>
            <sz val="10"/>
            <color rgb="FF000000"/>
            <rFont val="Tahoma"/>
            <charset val="1"/>
          </rPr>
          <t xml:space="preserve">Wirtgen supplied data at 650 tph converted from euros to US$ and then to a per wmt rate
</t>
        </r>
      </text>
    </comment>
    <comment ref="R658" authorId="0">
      <text>
        <r>
          <rPr>
            <sz val="10"/>
            <color rgb="FF000000"/>
            <rFont val="Tahoma"/>
            <charset val="1"/>
          </rPr>
          <t xml:space="preserve">Wirtgen supplied data at 650 tph converted from euros to US$ and then to a per wmt rate
</t>
        </r>
      </text>
    </comment>
    <comment ref="S658" authorId="0">
      <text>
        <r>
          <rPr>
            <sz val="10"/>
            <color rgb="FF000000"/>
            <rFont val="Tahoma"/>
            <charset val="1"/>
          </rPr>
          <t xml:space="preserve">Wirtgen supplied data at 650 tph converted from euros to US$ and then to a per wmt rate
</t>
        </r>
      </text>
    </comment>
    <comment ref="T658" authorId="0">
      <text>
        <r>
          <rPr>
            <sz val="10"/>
            <color rgb="FF000000"/>
            <rFont val="Tahoma"/>
            <charset val="1"/>
          </rPr>
          <t xml:space="preserve">Wirtgen supplied data at 650 tph converted from euros to US$ and then to a per wmt rate
</t>
        </r>
      </text>
    </comment>
    <comment ref="U658" authorId="0">
      <text>
        <r>
          <rPr>
            <sz val="10"/>
            <color rgb="FF000000"/>
            <rFont val="Tahoma"/>
            <charset val="1"/>
          </rPr>
          <t xml:space="preserve">Wirtgen supplied data at 650 tph converted from euros to US$ and then to a per wmt rate
</t>
        </r>
      </text>
    </comment>
    <comment ref="V658" authorId="0">
      <text>
        <r>
          <rPr>
            <sz val="10"/>
            <color rgb="FF000000"/>
            <rFont val="Tahoma"/>
            <charset val="1"/>
          </rPr>
          <t xml:space="preserve">Wirtgen supplied data at 650 tph converted from euros to US$ and then to a per wmt rate
</t>
        </r>
      </text>
    </comment>
    <comment ref="W658" authorId="0">
      <text>
        <r>
          <rPr>
            <sz val="10"/>
            <color rgb="FF000000"/>
            <rFont val="Tahoma"/>
            <charset val="1"/>
          </rPr>
          <t xml:space="preserve">Wirtgen supplied data at 650 tph converted from euros to US$ and then to a per wmt rate
</t>
        </r>
      </text>
    </comment>
    <comment ref="C676" authorId="0">
      <text>
        <r>
          <rPr>
            <sz val="10"/>
            <color rgb="FF000000"/>
            <rFont val="Tahoma"/>
            <charset val="1"/>
          </rPr>
          <t>tuned roughly to Henan Chine trip data</t>
        </r>
      </text>
    </comment>
    <comment ref="D676" authorId="0">
      <text>
        <r>
          <rPr>
            <sz val="10"/>
            <color rgb="FF000000"/>
            <rFont val="Tahoma"/>
            <charset val="1"/>
          </rPr>
          <t>tuned roughly to Henan Chine trip data</t>
        </r>
      </text>
    </comment>
    <comment ref="E676" authorId="0">
      <text>
        <r>
          <rPr>
            <sz val="10"/>
            <color rgb="FF000000"/>
            <rFont val="Tahoma"/>
            <charset val="1"/>
          </rPr>
          <t>tuned roughly to Henan Chine trip data</t>
        </r>
      </text>
    </comment>
    <comment ref="F676" authorId="0">
      <text>
        <r>
          <rPr>
            <sz val="10"/>
            <color rgb="FF000000"/>
            <rFont val="Tahoma"/>
            <charset val="1"/>
          </rPr>
          <t>tuned roughly to Henan Chine trip data</t>
        </r>
      </text>
    </comment>
    <comment ref="G676" authorId="0">
      <text>
        <r>
          <rPr>
            <sz val="10"/>
            <color rgb="FF000000"/>
            <rFont val="Tahoma"/>
            <charset val="1"/>
          </rPr>
          <t>tuned roughly to Henan Chine trip data</t>
        </r>
      </text>
    </comment>
    <comment ref="H676" authorId="0">
      <text>
        <r>
          <rPr>
            <sz val="10"/>
            <color rgb="FF000000"/>
            <rFont val="Tahoma"/>
            <charset val="1"/>
          </rPr>
          <t>tuned roughly to Henan Chine trip data</t>
        </r>
      </text>
    </comment>
    <comment ref="I676" authorId="0">
      <text>
        <r>
          <rPr>
            <sz val="10"/>
            <color rgb="FF000000"/>
            <rFont val="Tahoma"/>
            <charset val="1"/>
          </rPr>
          <t>tuned roughly to Henan Chine trip data</t>
        </r>
      </text>
    </comment>
    <comment ref="J676" authorId="0">
      <text>
        <r>
          <rPr>
            <sz val="10"/>
            <color rgb="FF000000"/>
            <rFont val="Tahoma"/>
            <charset val="1"/>
          </rPr>
          <t>tuned roughly to Henan Chine trip data</t>
        </r>
      </text>
    </comment>
    <comment ref="K676" authorId="0">
      <text>
        <r>
          <rPr>
            <sz val="10"/>
            <color rgb="FF000000"/>
            <rFont val="Tahoma"/>
            <charset val="1"/>
          </rPr>
          <t>tuned roughly to Henan Chine trip data</t>
        </r>
      </text>
    </comment>
    <comment ref="L676" authorId="0">
      <text>
        <r>
          <rPr>
            <sz val="10"/>
            <color rgb="FF000000"/>
            <rFont val="Tahoma"/>
            <charset val="1"/>
          </rPr>
          <t>tuned roughly to Henan Chine trip data</t>
        </r>
      </text>
    </comment>
    <comment ref="M676" authorId="0">
      <text>
        <r>
          <rPr>
            <sz val="10"/>
            <color rgb="FF000000"/>
            <rFont val="Tahoma"/>
            <charset val="1"/>
          </rPr>
          <t>tuned roughly to Henan Chine trip data</t>
        </r>
      </text>
    </comment>
    <comment ref="N676" authorId="0">
      <text>
        <r>
          <rPr>
            <sz val="10"/>
            <color rgb="FF000000"/>
            <rFont val="Tahoma"/>
            <charset val="1"/>
          </rPr>
          <t>tuned roughly to Henan Chine trip data</t>
        </r>
      </text>
    </comment>
    <comment ref="O676" authorId="0">
      <text>
        <r>
          <rPr>
            <sz val="10"/>
            <color rgb="FF000000"/>
            <rFont val="Tahoma"/>
            <charset val="1"/>
          </rPr>
          <t>tuned roughly to Henan Chine trip data</t>
        </r>
      </text>
    </comment>
    <comment ref="P676" authorId="0">
      <text>
        <r>
          <rPr>
            <sz val="10"/>
            <color rgb="FF000000"/>
            <rFont val="Tahoma"/>
            <charset val="1"/>
          </rPr>
          <t>tuned roughly to Henan Chine trip data</t>
        </r>
      </text>
    </comment>
    <comment ref="Q676" authorId="0">
      <text>
        <r>
          <rPr>
            <sz val="10"/>
            <color rgb="FF000000"/>
            <rFont val="Tahoma"/>
            <charset val="1"/>
          </rPr>
          <t>tuned roughly to Henan Chine trip data</t>
        </r>
      </text>
    </comment>
    <comment ref="R676" authorId="0">
      <text>
        <r>
          <rPr>
            <sz val="10"/>
            <color rgb="FF000000"/>
            <rFont val="Tahoma"/>
            <charset val="1"/>
          </rPr>
          <t>tuned roughly to Henan Chine trip data</t>
        </r>
      </text>
    </comment>
    <comment ref="S676" authorId="0">
      <text>
        <r>
          <rPr>
            <sz val="10"/>
            <color rgb="FF000000"/>
            <rFont val="Tahoma"/>
            <charset val="1"/>
          </rPr>
          <t>tuned roughly to Henan Chine trip data</t>
        </r>
      </text>
    </comment>
    <comment ref="T676" authorId="0">
      <text>
        <r>
          <rPr>
            <sz val="10"/>
            <color rgb="FF000000"/>
            <rFont val="Tahoma"/>
            <charset val="1"/>
          </rPr>
          <t>tuned roughly to Henan Chine trip data</t>
        </r>
      </text>
    </comment>
    <comment ref="U676" authorId="0">
      <text>
        <r>
          <rPr>
            <sz val="10"/>
            <color rgb="FF000000"/>
            <rFont val="Tahoma"/>
            <charset val="1"/>
          </rPr>
          <t>tuned roughly to Henan Chine trip data</t>
        </r>
      </text>
    </comment>
    <comment ref="V676" authorId="0">
      <text>
        <r>
          <rPr>
            <sz val="10"/>
            <color rgb="FF000000"/>
            <rFont val="Tahoma"/>
            <charset val="1"/>
          </rPr>
          <t>tuned roughly to Henan Chine trip data</t>
        </r>
      </text>
    </comment>
    <comment ref="W676" authorId="0">
      <text>
        <r>
          <rPr>
            <sz val="10"/>
            <color rgb="FF000000"/>
            <rFont val="Tahoma"/>
            <charset val="1"/>
          </rPr>
          <t>tuned roughly to Henan Chine trip data</t>
        </r>
      </text>
    </comment>
    <comment ref="C677" authorId="0">
      <text>
        <r>
          <rPr>
            <sz val="10"/>
            <color rgb="FF000000"/>
            <rFont val="Calibri"/>
            <charset val="1"/>
          </rPr>
          <t xml:space="preserve">Baes off India bx truck data &amp; Guidelines for Measuring and Managing CO2 Emission from Freight Transport Operations </t>
        </r>
      </text>
    </comment>
    <comment ref="D677" authorId="0">
      <text>
        <r>
          <rPr>
            <sz val="10"/>
            <color rgb="FF000000"/>
            <rFont val="Calibri"/>
            <charset val="1"/>
          </rPr>
          <t xml:space="preserve">Baes off India bx truck data &amp; Guidelines for Measuring and Managing CO2 Emission from Freight Transport Operations </t>
        </r>
      </text>
    </comment>
    <comment ref="E677" authorId="0">
      <text>
        <r>
          <rPr>
            <sz val="10"/>
            <color rgb="FF000000"/>
            <rFont val="Calibri"/>
            <charset val="1"/>
          </rPr>
          <t xml:space="preserve">Baes off India bx truck data &amp; Guidelines for Measuring and Managing CO2 Emission from Freight Transport Operations </t>
        </r>
      </text>
    </comment>
    <comment ref="F677" authorId="0">
      <text>
        <r>
          <rPr>
            <sz val="10"/>
            <color rgb="FF000000"/>
            <rFont val="Calibri"/>
            <charset val="1"/>
          </rPr>
          <t xml:space="preserve">Baes off India bx truck data &amp; Guidelines for Measuring and Managing CO2 Emission from Freight Transport Operations </t>
        </r>
      </text>
    </comment>
    <comment ref="G677" authorId="0">
      <text>
        <r>
          <rPr>
            <sz val="10"/>
            <color rgb="FF000000"/>
            <rFont val="Calibri"/>
            <charset val="1"/>
          </rPr>
          <t xml:space="preserve">Baes off India bx truck data &amp; Guidelines for Measuring and Managing CO2 Emission from Freight Transport Operations </t>
        </r>
      </text>
    </comment>
    <comment ref="H677" authorId="0">
      <text>
        <r>
          <rPr>
            <sz val="10"/>
            <color rgb="FF000000"/>
            <rFont val="Calibri"/>
            <charset val="1"/>
          </rPr>
          <t xml:space="preserve">Baes off India bx truck data &amp; Guidelines for Measuring and Managing CO2 Emission from Freight Transport Operations </t>
        </r>
      </text>
    </comment>
    <comment ref="I677" authorId="0">
      <text>
        <r>
          <rPr>
            <sz val="10"/>
            <color rgb="FF000000"/>
            <rFont val="Calibri"/>
            <charset val="1"/>
          </rPr>
          <t xml:space="preserve">Baes off India bx truck data &amp; Guidelines for Measuring and Managing CO2 Emission from Freight Transport Operations </t>
        </r>
      </text>
    </comment>
    <comment ref="J677" authorId="0">
      <text>
        <r>
          <rPr>
            <sz val="10"/>
            <color rgb="FF000000"/>
            <rFont val="Calibri"/>
            <charset val="1"/>
          </rPr>
          <t xml:space="preserve">Baes off India bx truck data &amp; Guidelines for Measuring and Managing CO2 Emission from Freight Transport Operations </t>
        </r>
      </text>
    </comment>
    <comment ref="K677" authorId="0">
      <text>
        <r>
          <rPr>
            <sz val="10"/>
            <color rgb="FF000000"/>
            <rFont val="Calibri"/>
            <charset val="1"/>
          </rPr>
          <t xml:space="preserve">Baes off India bx truck data &amp; Guidelines for Measuring and Managing CO2 Emission from Freight Transport Operations </t>
        </r>
      </text>
    </comment>
    <comment ref="L677" authorId="0">
      <text>
        <r>
          <rPr>
            <sz val="10"/>
            <color rgb="FF000000"/>
            <rFont val="Calibri"/>
            <charset val="1"/>
          </rPr>
          <t xml:space="preserve">Baes off India bx truck data &amp; Guidelines for Measuring and Managing CO2 Emission from Freight Transport Operations </t>
        </r>
      </text>
    </comment>
    <comment ref="M677" authorId="0">
      <text>
        <r>
          <rPr>
            <sz val="10"/>
            <color rgb="FF000000"/>
            <rFont val="Calibri"/>
            <charset val="1"/>
          </rPr>
          <t xml:space="preserve">Baes off India bx truck data &amp; Guidelines for Measuring and Managing CO2 Emission from Freight Transport Operations </t>
        </r>
      </text>
    </comment>
    <comment ref="N677" authorId="0">
      <text>
        <r>
          <rPr>
            <sz val="10"/>
            <color rgb="FF000000"/>
            <rFont val="Calibri"/>
            <charset val="1"/>
          </rPr>
          <t xml:space="preserve">Baes off India bx truck data &amp; Guidelines for Measuring and Managing CO2 Emission from Freight Transport Operations </t>
        </r>
      </text>
    </comment>
    <comment ref="O677" authorId="0">
      <text>
        <r>
          <rPr>
            <sz val="10"/>
            <color rgb="FF000000"/>
            <rFont val="Calibri"/>
            <charset val="1"/>
          </rPr>
          <t xml:space="preserve">Baes off India bx truck data &amp; Guidelines for Measuring and Managing CO2 Emission from Freight Transport Operations </t>
        </r>
      </text>
    </comment>
    <comment ref="P677" authorId="0">
      <text>
        <r>
          <rPr>
            <sz val="10"/>
            <color rgb="FF000000"/>
            <rFont val="Calibri"/>
            <charset val="1"/>
          </rPr>
          <t xml:space="preserve">Baes off India bx truck data &amp; Guidelines for Measuring and Managing CO2 Emission from Freight Transport Operations </t>
        </r>
      </text>
    </comment>
    <comment ref="Q677" authorId="0">
      <text>
        <r>
          <rPr>
            <sz val="10"/>
            <color rgb="FF000000"/>
            <rFont val="Calibri"/>
            <charset val="1"/>
          </rPr>
          <t xml:space="preserve">Baes off India bx truck data &amp; Guidelines for Measuring and Managing CO2 Emission from Freight Transport Operations </t>
        </r>
      </text>
    </comment>
    <comment ref="R677" authorId="0">
      <text>
        <r>
          <rPr>
            <sz val="10"/>
            <color rgb="FF000000"/>
            <rFont val="Calibri"/>
            <charset val="1"/>
          </rPr>
          <t xml:space="preserve">Baes off India bx truck data &amp; Guidelines for Measuring and Managing CO2 Emission from Freight Transport Operations </t>
        </r>
      </text>
    </comment>
    <comment ref="S677" authorId="0">
      <text>
        <r>
          <rPr>
            <sz val="10"/>
            <color rgb="FF000000"/>
            <rFont val="Calibri"/>
            <charset val="1"/>
          </rPr>
          <t xml:space="preserve">Baes off India bx truck data &amp; Guidelines for Measuring and Managing CO2 Emission from Freight Transport Operations </t>
        </r>
      </text>
    </comment>
    <comment ref="T677" authorId="0">
      <text>
        <r>
          <rPr>
            <sz val="10"/>
            <color rgb="FF000000"/>
            <rFont val="Calibri"/>
            <charset val="1"/>
          </rPr>
          <t xml:space="preserve">Baes off India bx truck data &amp; Guidelines for Measuring and Managing CO2 Emission from Freight Transport Operations </t>
        </r>
      </text>
    </comment>
    <comment ref="U677" authorId="0">
      <text>
        <r>
          <rPr>
            <sz val="10"/>
            <color rgb="FF000000"/>
            <rFont val="Calibri"/>
            <charset val="1"/>
          </rPr>
          <t xml:space="preserve">Baes off India bx truck data &amp; Guidelines for Measuring and Managing CO2 Emission from Freight Transport Operations </t>
        </r>
      </text>
    </comment>
    <comment ref="V677" authorId="0">
      <text>
        <r>
          <rPr>
            <sz val="10"/>
            <color rgb="FF000000"/>
            <rFont val="Calibri"/>
            <charset val="1"/>
          </rPr>
          <t xml:space="preserve">Baes off India bx truck data &amp; Guidelines for Measuring and Managing CO2 Emission from Freight Transport Operations </t>
        </r>
      </text>
    </comment>
    <comment ref="W677" authorId="0">
      <text>
        <r>
          <rPr>
            <sz val="10"/>
            <color rgb="FF000000"/>
            <rFont val="Calibri"/>
            <charset val="1"/>
          </rPr>
          <t xml:space="preserve">Baes off India bx truck data &amp; Guidelines for Measuring and Managing CO2 Emission from Freight Transport Operations </t>
        </r>
      </text>
    </comment>
    <comment ref="C678" authorId="0">
      <text>
        <r>
          <rPr>
            <sz val="10"/>
            <color rgb="FF000000"/>
            <rFont val="Tahoma"/>
            <charset val="1"/>
          </rPr>
          <t>tuned roughly to Henan Chine trip data</t>
        </r>
      </text>
    </comment>
    <comment ref="D678" authorId="0">
      <text>
        <r>
          <rPr>
            <sz val="10"/>
            <color rgb="FF000000"/>
            <rFont val="Tahoma"/>
            <charset val="1"/>
          </rPr>
          <t>tuned roughly to Henan Chine trip data</t>
        </r>
      </text>
    </comment>
    <comment ref="E678" authorId="0">
      <text>
        <r>
          <rPr>
            <sz val="10"/>
            <color rgb="FF000000"/>
            <rFont val="Tahoma"/>
            <charset val="1"/>
          </rPr>
          <t>tuned roughly to Henan Chine trip data</t>
        </r>
      </text>
    </comment>
    <comment ref="F678" authorId="0">
      <text>
        <r>
          <rPr>
            <sz val="10"/>
            <color rgb="FF000000"/>
            <rFont val="Tahoma"/>
            <charset val="1"/>
          </rPr>
          <t>tuned roughly to Henan Chine trip data</t>
        </r>
      </text>
    </comment>
    <comment ref="G678" authorId="0">
      <text>
        <r>
          <rPr>
            <sz val="10"/>
            <color rgb="FF000000"/>
            <rFont val="Tahoma"/>
            <charset val="1"/>
          </rPr>
          <t>tuned roughly to Henan Chine trip data</t>
        </r>
      </text>
    </comment>
    <comment ref="H678" authorId="0">
      <text>
        <r>
          <rPr>
            <sz val="10"/>
            <color rgb="FF000000"/>
            <rFont val="Tahoma"/>
            <charset val="1"/>
          </rPr>
          <t>tuned roughly to Henan Chine trip data</t>
        </r>
      </text>
    </comment>
    <comment ref="I678" authorId="0">
      <text>
        <r>
          <rPr>
            <sz val="10"/>
            <color rgb="FF000000"/>
            <rFont val="Tahoma"/>
            <charset val="1"/>
          </rPr>
          <t>tuned roughly to Henan Chine trip data</t>
        </r>
      </text>
    </comment>
    <comment ref="J678" authorId="0">
      <text>
        <r>
          <rPr>
            <sz val="10"/>
            <color rgb="FF000000"/>
            <rFont val="Tahoma"/>
            <charset val="1"/>
          </rPr>
          <t>tuned roughly to Henan Chine trip data</t>
        </r>
      </text>
    </comment>
    <comment ref="K678" authorId="0">
      <text>
        <r>
          <rPr>
            <sz val="10"/>
            <color rgb="FF000000"/>
            <rFont val="Tahoma"/>
            <charset val="1"/>
          </rPr>
          <t>tuned roughly to Henan Chine trip data</t>
        </r>
      </text>
    </comment>
    <comment ref="L678" authorId="0">
      <text>
        <r>
          <rPr>
            <sz val="10"/>
            <color rgb="FF000000"/>
            <rFont val="Tahoma"/>
            <charset val="1"/>
          </rPr>
          <t>tuned roughly to Henan Chine trip data</t>
        </r>
      </text>
    </comment>
    <comment ref="M678" authorId="0">
      <text>
        <r>
          <rPr>
            <sz val="10"/>
            <color rgb="FF000000"/>
            <rFont val="Tahoma"/>
            <charset val="1"/>
          </rPr>
          <t>tuned roughly to Henan Chine trip data</t>
        </r>
      </text>
    </comment>
    <comment ref="N678" authorId="0">
      <text>
        <r>
          <rPr>
            <sz val="10"/>
            <color rgb="FF000000"/>
            <rFont val="Tahoma"/>
            <charset val="1"/>
          </rPr>
          <t>tuned roughly to Henan Chine trip data</t>
        </r>
      </text>
    </comment>
    <comment ref="O678" authorId="0">
      <text>
        <r>
          <rPr>
            <sz val="10"/>
            <color rgb="FF000000"/>
            <rFont val="Tahoma"/>
            <charset val="1"/>
          </rPr>
          <t>tuned roughly to Henan Chine trip data</t>
        </r>
      </text>
    </comment>
    <comment ref="P678" authorId="0">
      <text>
        <r>
          <rPr>
            <sz val="10"/>
            <color rgb="FF000000"/>
            <rFont val="Tahoma"/>
            <charset val="1"/>
          </rPr>
          <t>tuned roughly to Henan Chine trip data</t>
        </r>
      </text>
    </comment>
    <comment ref="Q678" authorId="0">
      <text>
        <r>
          <rPr>
            <sz val="10"/>
            <color rgb="FF000000"/>
            <rFont val="Tahoma"/>
            <charset val="1"/>
          </rPr>
          <t>tuned roughly to Henan Chine trip data</t>
        </r>
      </text>
    </comment>
    <comment ref="R678" authorId="0">
      <text>
        <r>
          <rPr>
            <sz val="10"/>
            <color rgb="FF000000"/>
            <rFont val="Tahoma"/>
            <charset val="1"/>
          </rPr>
          <t>tuned roughly to Henan Chine trip data</t>
        </r>
      </text>
    </comment>
    <comment ref="S678" authorId="0">
      <text>
        <r>
          <rPr>
            <sz val="10"/>
            <color rgb="FF000000"/>
            <rFont val="Tahoma"/>
            <charset val="1"/>
          </rPr>
          <t>tuned roughly to Henan Chine trip data</t>
        </r>
      </text>
    </comment>
    <comment ref="T678" authorId="0">
      <text>
        <r>
          <rPr>
            <sz val="10"/>
            <color rgb="FF000000"/>
            <rFont val="Tahoma"/>
            <charset val="1"/>
          </rPr>
          <t>tuned roughly to Henan Chine trip data</t>
        </r>
      </text>
    </comment>
    <comment ref="U678" authorId="0">
      <text>
        <r>
          <rPr>
            <sz val="10"/>
            <color rgb="FF000000"/>
            <rFont val="Tahoma"/>
            <charset val="1"/>
          </rPr>
          <t>tuned roughly to Henan Chine trip data</t>
        </r>
      </text>
    </comment>
    <comment ref="V678" authorId="0">
      <text>
        <r>
          <rPr>
            <sz val="10"/>
            <color rgb="FF000000"/>
            <rFont val="Tahoma"/>
            <charset val="1"/>
          </rPr>
          <t>tuned roughly to Henan Chine trip data</t>
        </r>
      </text>
    </comment>
    <comment ref="W678" authorId="0">
      <text>
        <r>
          <rPr>
            <sz val="10"/>
            <color rgb="FF000000"/>
            <rFont val="Tahoma"/>
            <charset val="1"/>
          </rPr>
          <t>tuned roughly to Henan Chine trip data</t>
        </r>
      </text>
    </comment>
    <comment ref="D732" authorId="0">
      <text>
        <r>
          <rPr>
            <sz val="10"/>
            <color rgb="FF000000"/>
            <rFont val="Tahoma"/>
            <charset val="1"/>
          </rPr>
          <t xml:space="preserve">95-100 km
</t>
        </r>
      </text>
    </comment>
    <comment ref="E732" authorId="0">
      <text>
        <r>
          <rPr>
            <sz val="10"/>
            <color rgb="FF000000"/>
            <rFont val="Tahoma"/>
            <charset val="1"/>
          </rPr>
          <t xml:space="preserve">GAC 90 km
</t>
        </r>
      </text>
    </comment>
    <comment ref="F732" authorId="0">
      <text>
        <r>
          <rPr>
            <sz val="10"/>
            <color rgb="FF000000"/>
            <rFont val="Tahoma"/>
            <charset val="1"/>
          </rPr>
          <t xml:space="preserve">estimate 125 for Kindia
</t>
        </r>
      </text>
    </comment>
    <comment ref="G732" authorId="0">
      <text>
        <r>
          <rPr>
            <sz val="10"/>
            <color rgb="FF000000"/>
            <rFont val="Tahoma"/>
            <charset val="1"/>
          </rPr>
          <t xml:space="preserve">estimate 125 for Kindia
</t>
        </r>
      </text>
    </comment>
    <comment ref="C734" authorId="0">
      <text>
        <r>
          <rPr>
            <sz val="10"/>
            <color rgb="FF000000"/>
            <rFont val="Calibri"/>
            <charset val="1"/>
          </rPr>
          <t>Tuned to CBG</t>
        </r>
      </text>
    </comment>
    <comment ref="D734" authorId="0">
      <text>
        <r>
          <rPr>
            <sz val="10"/>
            <color rgb="FF000000"/>
            <rFont val="Calibri"/>
            <charset val="1"/>
          </rPr>
          <t>Tuned to CBG</t>
        </r>
      </text>
    </comment>
    <comment ref="E734" authorId="0">
      <text>
        <r>
          <rPr>
            <sz val="10"/>
            <color rgb="FF000000"/>
            <rFont val="Calibri"/>
            <charset val="1"/>
          </rPr>
          <t>Tuned to CBG</t>
        </r>
      </text>
    </comment>
    <comment ref="F734" authorId="0">
      <text>
        <r>
          <rPr>
            <sz val="10"/>
            <color rgb="FF000000"/>
            <rFont val="Calibri"/>
            <charset val="1"/>
          </rPr>
          <t>Tuned to CBG</t>
        </r>
      </text>
    </comment>
    <comment ref="G734" authorId="0">
      <text>
        <r>
          <rPr>
            <sz val="10"/>
            <color rgb="FF000000"/>
            <rFont val="Calibri"/>
            <charset val="1"/>
          </rPr>
          <t>Tuned to CBG</t>
        </r>
      </text>
    </comment>
    <comment ref="H734" authorId="0">
      <text>
        <r>
          <rPr>
            <sz val="10"/>
            <color rgb="FF000000"/>
            <rFont val="Calibri"/>
            <charset val="1"/>
          </rPr>
          <t>Tuned to CBG</t>
        </r>
      </text>
    </comment>
    <comment ref="I734" authorId="0">
      <text>
        <r>
          <rPr>
            <sz val="10"/>
            <color rgb="FF000000"/>
            <rFont val="Calibri"/>
            <charset val="1"/>
          </rPr>
          <t>Tuned to CBG</t>
        </r>
      </text>
    </comment>
    <comment ref="J734" authorId="0">
      <text>
        <r>
          <rPr>
            <sz val="10"/>
            <color rgb="FF000000"/>
            <rFont val="Calibri"/>
            <charset val="1"/>
          </rPr>
          <t>Tuned to CBG</t>
        </r>
      </text>
    </comment>
    <comment ref="K734" authorId="0">
      <text>
        <r>
          <rPr>
            <sz val="10"/>
            <color rgb="FF000000"/>
            <rFont val="Calibri"/>
            <charset val="1"/>
          </rPr>
          <t>Tuned to CBG</t>
        </r>
      </text>
    </comment>
    <comment ref="L734" authorId="0">
      <text>
        <r>
          <rPr>
            <sz val="10"/>
            <color rgb="FF000000"/>
            <rFont val="Calibri"/>
            <charset val="1"/>
          </rPr>
          <t>Tuned to CBG</t>
        </r>
      </text>
    </comment>
    <comment ref="M734" authorId="0">
      <text>
        <r>
          <rPr>
            <sz val="10"/>
            <color rgb="FF000000"/>
            <rFont val="Calibri"/>
            <charset val="1"/>
          </rPr>
          <t>Tuned to CBG</t>
        </r>
      </text>
    </comment>
    <comment ref="N734" authorId="0">
      <text>
        <r>
          <rPr>
            <sz val="10"/>
            <color rgb="FF000000"/>
            <rFont val="Calibri"/>
            <charset val="1"/>
          </rPr>
          <t>Tuned to CBG</t>
        </r>
      </text>
    </comment>
    <comment ref="O734" authorId="0">
      <text>
        <r>
          <rPr>
            <sz val="10"/>
            <color rgb="FF000000"/>
            <rFont val="Calibri"/>
            <charset val="1"/>
          </rPr>
          <t>Tuned to CBG</t>
        </r>
      </text>
    </comment>
    <comment ref="P734" authorId="0">
      <text>
        <r>
          <rPr>
            <sz val="10"/>
            <color rgb="FF000000"/>
            <rFont val="Calibri"/>
            <charset val="1"/>
          </rPr>
          <t>Tuned to CBG</t>
        </r>
      </text>
    </comment>
    <comment ref="Q734" authorId="0">
      <text>
        <r>
          <rPr>
            <sz val="10"/>
            <color rgb="FF000000"/>
            <rFont val="Calibri"/>
            <charset val="1"/>
          </rPr>
          <t>Tuned to CBG</t>
        </r>
      </text>
    </comment>
    <comment ref="R734" authorId="0">
      <text>
        <r>
          <rPr>
            <sz val="10"/>
            <color rgb="FF000000"/>
            <rFont val="Calibri"/>
            <charset val="1"/>
          </rPr>
          <t>Tuned to CBG</t>
        </r>
      </text>
    </comment>
    <comment ref="S734" authorId="0">
      <text>
        <r>
          <rPr>
            <sz val="10"/>
            <color rgb="FF000000"/>
            <rFont val="Calibri"/>
            <charset val="1"/>
          </rPr>
          <t>Tuned to CBG</t>
        </r>
      </text>
    </comment>
    <comment ref="T734" authorId="0">
      <text>
        <r>
          <rPr>
            <sz val="10"/>
            <color rgb="FF000000"/>
            <rFont val="Calibri"/>
            <charset val="1"/>
          </rPr>
          <t>Tuned to CBG</t>
        </r>
      </text>
    </comment>
    <comment ref="U734" authorId="0">
      <text>
        <r>
          <rPr>
            <sz val="10"/>
            <color rgb="FF000000"/>
            <rFont val="Calibri"/>
            <charset val="1"/>
          </rPr>
          <t>Tuned to CBG</t>
        </r>
      </text>
    </comment>
    <comment ref="V734" authorId="0">
      <text>
        <r>
          <rPr>
            <sz val="10"/>
            <color rgb="FF000000"/>
            <rFont val="Calibri"/>
            <charset val="1"/>
          </rPr>
          <t>Tuned to CBG</t>
        </r>
      </text>
    </comment>
    <comment ref="W734" authorId="0">
      <text>
        <r>
          <rPr>
            <sz val="10"/>
            <color rgb="FF000000"/>
            <rFont val="Calibri"/>
            <charset val="1"/>
          </rPr>
          <t>Tuned to CBG</t>
        </r>
      </text>
    </comment>
    <comment ref="C735" authorId="0">
      <text>
        <r>
          <rPr>
            <sz val="10"/>
            <color rgb="FF000000"/>
            <rFont val="Calibri"/>
            <charset val="1"/>
          </rPr>
          <t>Tuned to CBG</t>
        </r>
      </text>
    </comment>
    <comment ref="D735" authorId="0">
      <text>
        <r>
          <rPr>
            <sz val="10"/>
            <color rgb="FF000000"/>
            <rFont val="Calibri"/>
            <charset val="1"/>
          </rPr>
          <t>Tuned to CBG</t>
        </r>
      </text>
    </comment>
    <comment ref="E735" authorId="0">
      <text>
        <r>
          <rPr>
            <sz val="10"/>
            <color rgb="FF000000"/>
            <rFont val="Calibri"/>
            <charset val="1"/>
          </rPr>
          <t>Tuned to CBG</t>
        </r>
      </text>
    </comment>
    <comment ref="F735" authorId="0">
      <text>
        <r>
          <rPr>
            <sz val="10"/>
            <color rgb="FF000000"/>
            <rFont val="Calibri"/>
            <charset val="1"/>
          </rPr>
          <t>Tuned to CBG</t>
        </r>
      </text>
    </comment>
    <comment ref="G735" authorId="0">
      <text>
        <r>
          <rPr>
            <sz val="10"/>
            <color rgb="FF000000"/>
            <rFont val="Calibri"/>
            <charset val="1"/>
          </rPr>
          <t>Tuned to CBG</t>
        </r>
      </text>
    </comment>
    <comment ref="H735" authorId="0">
      <text>
        <r>
          <rPr>
            <sz val="10"/>
            <color rgb="FF000000"/>
            <rFont val="Calibri"/>
            <charset val="1"/>
          </rPr>
          <t>Tuned to CBG</t>
        </r>
      </text>
    </comment>
    <comment ref="I735" authorId="0">
      <text>
        <r>
          <rPr>
            <sz val="10"/>
            <color rgb="FF000000"/>
            <rFont val="Calibri"/>
            <charset val="1"/>
          </rPr>
          <t>Tuned to CBG</t>
        </r>
      </text>
    </comment>
    <comment ref="J735" authorId="0">
      <text>
        <r>
          <rPr>
            <sz val="10"/>
            <color rgb="FF000000"/>
            <rFont val="Calibri"/>
            <charset val="1"/>
          </rPr>
          <t>Tuned to CBG</t>
        </r>
      </text>
    </comment>
    <comment ref="K735" authorId="0">
      <text>
        <r>
          <rPr>
            <sz val="10"/>
            <color rgb="FF000000"/>
            <rFont val="Calibri"/>
            <charset val="1"/>
          </rPr>
          <t>Tuned to CBG</t>
        </r>
      </text>
    </comment>
    <comment ref="L735" authorId="0">
      <text>
        <r>
          <rPr>
            <sz val="10"/>
            <color rgb="FF000000"/>
            <rFont val="Calibri"/>
            <charset val="1"/>
          </rPr>
          <t>Tuned to CBG</t>
        </r>
      </text>
    </comment>
    <comment ref="M735" authorId="0">
      <text>
        <r>
          <rPr>
            <sz val="10"/>
            <color rgb="FF000000"/>
            <rFont val="Calibri"/>
            <charset val="1"/>
          </rPr>
          <t>Tuned to CBG</t>
        </r>
      </text>
    </comment>
    <comment ref="N735" authorId="0">
      <text>
        <r>
          <rPr>
            <sz val="10"/>
            <color rgb="FF000000"/>
            <rFont val="Calibri"/>
            <charset val="1"/>
          </rPr>
          <t>Tuned to CBG</t>
        </r>
      </text>
    </comment>
    <comment ref="O735" authorId="0">
      <text>
        <r>
          <rPr>
            <sz val="10"/>
            <color rgb="FF000000"/>
            <rFont val="Calibri"/>
            <charset val="1"/>
          </rPr>
          <t>Tuned to CBG</t>
        </r>
      </text>
    </comment>
    <comment ref="P735" authorId="0">
      <text>
        <r>
          <rPr>
            <sz val="10"/>
            <color rgb="FF000000"/>
            <rFont val="Calibri"/>
            <charset val="1"/>
          </rPr>
          <t>Tuned to CBG</t>
        </r>
      </text>
    </comment>
    <comment ref="Q735" authorId="0">
      <text>
        <r>
          <rPr>
            <sz val="10"/>
            <color rgb="FF000000"/>
            <rFont val="Calibri"/>
            <charset val="1"/>
          </rPr>
          <t>Tuned to CBG</t>
        </r>
      </text>
    </comment>
    <comment ref="R735" authorId="0">
      <text>
        <r>
          <rPr>
            <sz val="10"/>
            <color rgb="FF000000"/>
            <rFont val="Calibri"/>
            <charset val="1"/>
          </rPr>
          <t>Tuned to CBG</t>
        </r>
      </text>
    </comment>
    <comment ref="S735" authorId="0">
      <text>
        <r>
          <rPr>
            <sz val="10"/>
            <color rgb="FF000000"/>
            <rFont val="Calibri"/>
            <charset val="1"/>
          </rPr>
          <t>Tuned to CBG</t>
        </r>
      </text>
    </comment>
    <comment ref="T735" authorId="0">
      <text>
        <r>
          <rPr>
            <sz val="10"/>
            <color rgb="FF000000"/>
            <rFont val="Calibri"/>
            <charset val="1"/>
          </rPr>
          <t>Tuned to CBG</t>
        </r>
      </text>
    </comment>
    <comment ref="U735" authorId="0">
      <text>
        <r>
          <rPr>
            <sz val="10"/>
            <color rgb="FF000000"/>
            <rFont val="Calibri"/>
            <charset val="1"/>
          </rPr>
          <t>Tuned to CBG</t>
        </r>
      </text>
    </comment>
    <comment ref="V735" authorId="0">
      <text>
        <r>
          <rPr>
            <sz val="10"/>
            <color rgb="FF000000"/>
            <rFont val="Calibri"/>
            <charset val="1"/>
          </rPr>
          <t>Tuned to CBG</t>
        </r>
      </text>
    </comment>
    <comment ref="W735" authorId="0">
      <text>
        <r>
          <rPr>
            <sz val="10"/>
            <color rgb="FF000000"/>
            <rFont val="Calibri"/>
            <charset val="1"/>
          </rPr>
          <t>Tuned to CBG</t>
        </r>
      </text>
    </comment>
    <comment ref="C736" authorId="0">
      <text>
        <r>
          <rPr>
            <sz val="10"/>
            <color rgb="FF000000"/>
            <rFont val="Calibri"/>
            <charset val="1"/>
          </rPr>
          <t>Tuned to CBG</t>
        </r>
      </text>
    </comment>
    <comment ref="D736" authorId="0">
      <text>
        <r>
          <rPr>
            <sz val="10"/>
            <color rgb="FF000000"/>
            <rFont val="Calibri"/>
            <charset val="1"/>
          </rPr>
          <t>Tuned to CBG</t>
        </r>
      </text>
    </comment>
    <comment ref="E736" authorId="0">
      <text>
        <r>
          <rPr>
            <sz val="10"/>
            <color rgb="FF000000"/>
            <rFont val="Calibri"/>
            <charset val="1"/>
          </rPr>
          <t>Tuned to CBG</t>
        </r>
      </text>
    </comment>
    <comment ref="F736" authorId="0">
      <text>
        <r>
          <rPr>
            <sz val="10"/>
            <color rgb="FF000000"/>
            <rFont val="Calibri"/>
            <charset val="1"/>
          </rPr>
          <t>Tuned to CBG</t>
        </r>
      </text>
    </comment>
    <comment ref="G736" authorId="0">
      <text>
        <r>
          <rPr>
            <sz val="10"/>
            <color rgb="FF000000"/>
            <rFont val="Calibri"/>
            <charset val="1"/>
          </rPr>
          <t>Tuned to CBG</t>
        </r>
      </text>
    </comment>
    <comment ref="H736" authorId="0">
      <text>
        <r>
          <rPr>
            <sz val="10"/>
            <color rgb="FF000000"/>
            <rFont val="Calibri"/>
            <charset val="1"/>
          </rPr>
          <t>Tuned to CBG</t>
        </r>
      </text>
    </comment>
    <comment ref="I736" authorId="0">
      <text>
        <r>
          <rPr>
            <sz val="10"/>
            <color rgb="FF000000"/>
            <rFont val="Calibri"/>
            <charset val="1"/>
          </rPr>
          <t>Tuned to CBG</t>
        </r>
      </text>
    </comment>
    <comment ref="J736" authorId="0">
      <text>
        <r>
          <rPr>
            <sz val="10"/>
            <color rgb="FF000000"/>
            <rFont val="Calibri"/>
            <charset val="1"/>
          </rPr>
          <t>Tuned to CBG</t>
        </r>
      </text>
    </comment>
    <comment ref="K736" authorId="0">
      <text>
        <r>
          <rPr>
            <sz val="10"/>
            <color rgb="FF000000"/>
            <rFont val="Calibri"/>
            <charset val="1"/>
          </rPr>
          <t>Tuned to CBG</t>
        </r>
      </text>
    </comment>
    <comment ref="L736" authorId="0">
      <text>
        <r>
          <rPr>
            <sz val="10"/>
            <color rgb="FF000000"/>
            <rFont val="Calibri"/>
            <charset val="1"/>
          </rPr>
          <t>Tuned to CBG</t>
        </r>
      </text>
    </comment>
    <comment ref="M736" authorId="0">
      <text>
        <r>
          <rPr>
            <sz val="10"/>
            <color rgb="FF000000"/>
            <rFont val="Calibri"/>
            <charset val="1"/>
          </rPr>
          <t>Tuned to CBG</t>
        </r>
      </text>
    </comment>
    <comment ref="N736" authorId="0">
      <text>
        <r>
          <rPr>
            <sz val="10"/>
            <color rgb="FF000000"/>
            <rFont val="Calibri"/>
            <charset val="1"/>
          </rPr>
          <t>Tuned to CBG</t>
        </r>
      </text>
    </comment>
    <comment ref="O736" authorId="0">
      <text>
        <r>
          <rPr>
            <sz val="10"/>
            <color rgb="FF000000"/>
            <rFont val="Calibri"/>
            <charset val="1"/>
          </rPr>
          <t>Tuned to CBG</t>
        </r>
      </text>
    </comment>
    <comment ref="P736" authorId="0">
      <text>
        <r>
          <rPr>
            <sz val="10"/>
            <color rgb="FF000000"/>
            <rFont val="Calibri"/>
            <charset val="1"/>
          </rPr>
          <t>Tuned to CBG</t>
        </r>
      </text>
    </comment>
    <comment ref="Q736" authorId="0">
      <text>
        <r>
          <rPr>
            <sz val="10"/>
            <color rgb="FF000000"/>
            <rFont val="Calibri"/>
            <charset val="1"/>
          </rPr>
          <t>Tuned to CBG</t>
        </r>
      </text>
    </comment>
    <comment ref="R736" authorId="0">
      <text>
        <r>
          <rPr>
            <sz val="10"/>
            <color rgb="FF000000"/>
            <rFont val="Calibri"/>
            <charset val="1"/>
          </rPr>
          <t>Tuned to CBG</t>
        </r>
      </text>
    </comment>
    <comment ref="S736" authorId="0">
      <text>
        <r>
          <rPr>
            <sz val="10"/>
            <color rgb="FF000000"/>
            <rFont val="Calibri"/>
            <charset val="1"/>
          </rPr>
          <t>Tuned to CBG</t>
        </r>
      </text>
    </comment>
    <comment ref="T736" authorId="0">
      <text>
        <r>
          <rPr>
            <sz val="10"/>
            <color rgb="FF000000"/>
            <rFont val="Calibri"/>
            <charset val="1"/>
          </rPr>
          <t>Tuned to CBG</t>
        </r>
      </text>
    </comment>
    <comment ref="U736" authorId="0">
      <text>
        <r>
          <rPr>
            <sz val="10"/>
            <color rgb="FF000000"/>
            <rFont val="Calibri"/>
            <charset val="1"/>
          </rPr>
          <t>Tuned to CBG</t>
        </r>
      </text>
    </comment>
    <comment ref="V736" authorId="0">
      <text>
        <r>
          <rPr>
            <sz val="10"/>
            <color rgb="FF000000"/>
            <rFont val="Calibri"/>
            <charset val="1"/>
          </rPr>
          <t>Tuned to CBG</t>
        </r>
      </text>
    </comment>
    <comment ref="W736" authorId="0">
      <text>
        <r>
          <rPr>
            <sz val="10"/>
            <color rgb="FF000000"/>
            <rFont val="Calibri"/>
            <charset val="1"/>
          </rPr>
          <t>Tuned to CBG</t>
        </r>
      </text>
    </comment>
    <comment ref="C773" authorId="0">
      <text>
        <r>
          <rPr>
            <sz val="10"/>
            <color rgb="FF000000"/>
            <rFont val="Tahoma"/>
            <charset val="1"/>
          </rPr>
          <t xml:space="preserve">built on machine doing relatively free digging = 200 tph, halve or quarter this for more difficult or insitu material
</t>
        </r>
      </text>
    </comment>
    <comment ref="D773" authorId="0">
      <text>
        <r>
          <rPr>
            <sz val="10"/>
            <color rgb="FF000000"/>
            <rFont val="Tahoma"/>
            <charset val="1"/>
          </rPr>
          <t xml:space="preserve">built on machine doing relatively free digging = 200 tph, halve or quarter this for more difficult or insitu material
</t>
        </r>
      </text>
    </comment>
    <comment ref="E773" authorId="0">
      <text>
        <r>
          <rPr>
            <sz val="10"/>
            <color rgb="FF000000"/>
            <rFont val="Tahoma"/>
            <charset val="1"/>
          </rPr>
          <t xml:space="preserve">built on machine doing relatively free digging = 200 tph, halve or quarter this for more difficult or insitu material
</t>
        </r>
      </text>
    </comment>
    <comment ref="F773" authorId="0">
      <text>
        <r>
          <rPr>
            <sz val="10"/>
            <color rgb="FF000000"/>
            <rFont val="Tahoma"/>
            <charset val="1"/>
          </rPr>
          <t xml:space="preserve">built on machine doing relatively free digging = 200 tph, halve or quarter this for more difficult or insitu material
</t>
        </r>
      </text>
    </comment>
    <comment ref="G773" authorId="0">
      <text>
        <r>
          <rPr>
            <sz val="10"/>
            <color rgb="FF000000"/>
            <rFont val="Tahoma"/>
            <charset val="1"/>
          </rPr>
          <t xml:space="preserve">built on machine doing relatively free digging = 200 tph, halve or quarter this for more difficult or insitu material
</t>
        </r>
      </text>
    </comment>
    <comment ref="H773" authorId="0">
      <text>
        <r>
          <rPr>
            <sz val="10"/>
            <color rgb="FF000000"/>
            <rFont val="Tahoma"/>
            <charset val="1"/>
          </rPr>
          <t xml:space="preserve">built on machine doing relatively free digging = 200 tph, halve or quarter this for more difficult or insitu material
</t>
        </r>
      </text>
    </comment>
    <comment ref="I773" authorId="0">
      <text>
        <r>
          <rPr>
            <sz val="10"/>
            <color rgb="FF000000"/>
            <rFont val="Tahoma"/>
            <charset val="1"/>
          </rPr>
          <t xml:space="preserve">built on machine doing relatively free digging = 200 tph, halve or quarter this for more difficult or insitu material
</t>
        </r>
      </text>
    </comment>
    <comment ref="J773" authorId="0">
      <text>
        <r>
          <rPr>
            <sz val="10"/>
            <color rgb="FF000000"/>
            <rFont val="Tahoma"/>
            <charset val="1"/>
          </rPr>
          <t xml:space="preserve">built on machine doing relatively free digging = 200 tph, halve or quarter this for more difficult or insitu material
</t>
        </r>
      </text>
    </comment>
    <comment ref="K773" authorId="0">
      <text>
        <r>
          <rPr>
            <sz val="10"/>
            <color rgb="FF000000"/>
            <rFont val="Tahoma"/>
            <charset val="1"/>
          </rPr>
          <t xml:space="preserve">built on machine doing relatively free digging = 200 tph, halve or quarter this for more difficult or insitu material
</t>
        </r>
      </text>
    </comment>
    <comment ref="L773" authorId="0">
      <text>
        <r>
          <rPr>
            <sz val="10"/>
            <color rgb="FF000000"/>
            <rFont val="Tahoma"/>
            <charset val="1"/>
          </rPr>
          <t xml:space="preserve">built on machine doing relatively free digging = 200 tph, halve or quarter this for more difficult or insitu material
</t>
        </r>
      </text>
    </comment>
    <comment ref="M773" authorId="0">
      <text>
        <r>
          <rPr>
            <sz val="10"/>
            <color rgb="FF000000"/>
            <rFont val="Tahoma"/>
            <charset val="1"/>
          </rPr>
          <t xml:space="preserve">built on machine doing relatively free digging = 200 tph, halve or quarter this for more difficult or insitu material
</t>
        </r>
      </text>
    </comment>
    <comment ref="N773" authorId="0">
      <text>
        <r>
          <rPr>
            <sz val="10"/>
            <color rgb="FF000000"/>
            <rFont val="Tahoma"/>
            <charset val="1"/>
          </rPr>
          <t xml:space="preserve">built on machine doing relatively free digging = 200 tph, halve or quarter this for more difficult or insitu material
</t>
        </r>
      </text>
    </comment>
    <comment ref="O773" authorId="0">
      <text>
        <r>
          <rPr>
            <sz val="10"/>
            <color rgb="FF000000"/>
            <rFont val="Tahoma"/>
            <charset val="1"/>
          </rPr>
          <t xml:space="preserve">built on machine doing relatively free digging = 200 tph, halve or quarter this for more difficult or insitu material
</t>
        </r>
      </text>
    </comment>
    <comment ref="P773" authorId="0">
      <text>
        <r>
          <rPr>
            <sz val="10"/>
            <color rgb="FF000000"/>
            <rFont val="Tahoma"/>
            <charset val="1"/>
          </rPr>
          <t xml:space="preserve">built on machine doing relatively free digging = 200 tph, halve or quarter this for more difficult or insitu material
</t>
        </r>
      </text>
    </comment>
    <comment ref="Q773" authorId="0">
      <text>
        <r>
          <rPr>
            <sz val="10"/>
            <color rgb="FF000000"/>
            <rFont val="Tahoma"/>
            <charset val="1"/>
          </rPr>
          <t xml:space="preserve">built on machine doing relatively free digging = 200 tph, halve or quarter this for more difficult or insitu material
</t>
        </r>
      </text>
    </comment>
    <comment ref="R773" authorId="0">
      <text>
        <r>
          <rPr>
            <sz val="10"/>
            <color rgb="FF000000"/>
            <rFont val="Tahoma"/>
            <charset val="1"/>
          </rPr>
          <t xml:space="preserve">built on machine doing relatively free digging = 200 tph, halve or quarter this for more difficult or insitu material
</t>
        </r>
      </text>
    </comment>
    <comment ref="S773" authorId="0">
      <text>
        <r>
          <rPr>
            <sz val="10"/>
            <color rgb="FF000000"/>
            <rFont val="Tahoma"/>
            <charset val="1"/>
          </rPr>
          <t xml:space="preserve">built on machine doing relatively free digging = 200 tph, halve or quarter this for more difficult or insitu material
</t>
        </r>
      </text>
    </comment>
    <comment ref="T773" authorId="0">
      <text>
        <r>
          <rPr>
            <sz val="10"/>
            <color rgb="FF000000"/>
            <rFont val="Tahoma"/>
            <charset val="1"/>
          </rPr>
          <t xml:space="preserve">built on machine doing relatively free digging = 200 tph, halve or quarter this for more difficult or insitu material
</t>
        </r>
      </text>
    </comment>
    <comment ref="U773" authorId="0">
      <text>
        <r>
          <rPr>
            <sz val="10"/>
            <color rgb="FF000000"/>
            <rFont val="Tahoma"/>
            <charset val="1"/>
          </rPr>
          <t xml:space="preserve">built on machine doing relatively free digging = 200 tph, halve or quarter this for more difficult or insitu material
</t>
        </r>
      </text>
    </comment>
    <comment ref="V773" authorId="0">
      <text>
        <r>
          <rPr>
            <sz val="10"/>
            <color rgb="FF000000"/>
            <rFont val="Tahoma"/>
            <charset val="1"/>
          </rPr>
          <t xml:space="preserve">built on machine doing relatively free digging = 200 tph, halve or quarter this for more difficult or insitu material
</t>
        </r>
      </text>
    </comment>
    <comment ref="W773" authorId="0">
      <text>
        <r>
          <rPr>
            <sz val="10"/>
            <color rgb="FF000000"/>
            <rFont val="Tahoma"/>
            <charset val="1"/>
          </rPr>
          <t xml:space="preserve">built on machine doing relatively free digging = 200 tph, halve or quarter this for more difficult or insitu material
</t>
        </r>
      </text>
    </comment>
    <comment ref="C775" authorId="0">
      <text>
        <r>
          <rPr>
            <sz val="10"/>
            <color rgb="FF000000"/>
            <rFont val="Tahoma"/>
            <charset val="1"/>
          </rPr>
          <t xml:space="preserve">data from Wirtgen
</t>
        </r>
      </text>
    </comment>
    <comment ref="D775" authorId="0">
      <text>
        <r>
          <rPr>
            <sz val="10"/>
            <color rgb="FF000000"/>
            <rFont val="Tahoma"/>
            <charset val="1"/>
          </rPr>
          <t xml:space="preserve">data from Wirtgen
</t>
        </r>
      </text>
    </comment>
    <comment ref="E775" authorId="0">
      <text>
        <r>
          <rPr>
            <sz val="10"/>
            <color rgb="FF000000"/>
            <rFont val="Tahoma"/>
            <charset val="1"/>
          </rPr>
          <t xml:space="preserve">data from Wirtgen
</t>
        </r>
      </text>
    </comment>
    <comment ref="F775" authorId="0">
      <text>
        <r>
          <rPr>
            <sz val="10"/>
            <color rgb="FF000000"/>
            <rFont val="Tahoma"/>
            <charset val="1"/>
          </rPr>
          <t xml:space="preserve">data from Wirtgen
</t>
        </r>
      </text>
    </comment>
    <comment ref="G775" authorId="0">
      <text>
        <r>
          <rPr>
            <sz val="10"/>
            <color rgb="FF000000"/>
            <rFont val="Tahoma"/>
            <charset val="1"/>
          </rPr>
          <t xml:space="preserve">data from Wirtgen
</t>
        </r>
      </text>
    </comment>
    <comment ref="H775" authorId="0">
      <text>
        <r>
          <rPr>
            <sz val="10"/>
            <color rgb="FF000000"/>
            <rFont val="Tahoma"/>
            <charset val="1"/>
          </rPr>
          <t xml:space="preserve">data from Wirtgen
</t>
        </r>
      </text>
    </comment>
    <comment ref="I775" authorId="0">
      <text>
        <r>
          <rPr>
            <sz val="10"/>
            <color rgb="FF000000"/>
            <rFont val="Tahoma"/>
            <charset val="1"/>
          </rPr>
          <t xml:space="preserve">data from Wirtgen
</t>
        </r>
      </text>
    </comment>
    <comment ref="J775" authorId="0">
      <text>
        <r>
          <rPr>
            <sz val="10"/>
            <color rgb="FF000000"/>
            <rFont val="Tahoma"/>
            <charset val="1"/>
          </rPr>
          <t xml:space="preserve">data from Wirtgen
</t>
        </r>
      </text>
    </comment>
    <comment ref="K775" authorId="0">
      <text>
        <r>
          <rPr>
            <sz val="10"/>
            <color rgb="FF000000"/>
            <rFont val="Tahoma"/>
            <charset val="1"/>
          </rPr>
          <t xml:space="preserve">data from Wirtgen
</t>
        </r>
      </text>
    </comment>
    <comment ref="L775" authorId="0">
      <text>
        <r>
          <rPr>
            <sz val="10"/>
            <color rgb="FF000000"/>
            <rFont val="Tahoma"/>
            <charset val="1"/>
          </rPr>
          <t xml:space="preserve">data from Wirtgen
</t>
        </r>
      </text>
    </comment>
    <comment ref="M775" authorId="0">
      <text>
        <r>
          <rPr>
            <sz val="10"/>
            <color rgb="FF000000"/>
            <rFont val="Tahoma"/>
            <charset val="1"/>
          </rPr>
          <t xml:space="preserve">data from Wirtgen
</t>
        </r>
      </text>
    </comment>
    <comment ref="N775" authorId="0">
      <text>
        <r>
          <rPr>
            <sz val="10"/>
            <color rgb="FF000000"/>
            <rFont val="Tahoma"/>
            <charset val="1"/>
          </rPr>
          <t xml:space="preserve">data from Wirtgen
</t>
        </r>
      </text>
    </comment>
    <comment ref="O775" authorId="0">
      <text>
        <r>
          <rPr>
            <sz val="10"/>
            <color rgb="FF000000"/>
            <rFont val="Tahoma"/>
            <charset val="1"/>
          </rPr>
          <t xml:space="preserve">data from Wirtgen
</t>
        </r>
      </text>
    </comment>
    <comment ref="P775" authorId="0">
      <text>
        <r>
          <rPr>
            <sz val="10"/>
            <color rgb="FF000000"/>
            <rFont val="Tahoma"/>
            <charset val="1"/>
          </rPr>
          <t xml:space="preserve">data from Wirtgen
</t>
        </r>
      </text>
    </comment>
    <comment ref="Q775" authorId="0">
      <text>
        <r>
          <rPr>
            <sz val="10"/>
            <color rgb="FF000000"/>
            <rFont val="Tahoma"/>
            <charset val="1"/>
          </rPr>
          <t xml:space="preserve">data from Wirtgen
</t>
        </r>
      </text>
    </comment>
    <comment ref="R775" authorId="0">
      <text>
        <r>
          <rPr>
            <sz val="10"/>
            <color rgb="FF000000"/>
            <rFont val="Tahoma"/>
            <charset val="1"/>
          </rPr>
          <t xml:space="preserve">data from Wirtgen
</t>
        </r>
      </text>
    </comment>
    <comment ref="S775" authorId="0">
      <text>
        <r>
          <rPr>
            <sz val="10"/>
            <color rgb="FF000000"/>
            <rFont val="Tahoma"/>
            <charset val="1"/>
          </rPr>
          <t xml:space="preserve">data from Wirtgen
</t>
        </r>
      </text>
    </comment>
    <comment ref="T775" authorId="0">
      <text>
        <r>
          <rPr>
            <sz val="10"/>
            <color rgb="FF000000"/>
            <rFont val="Tahoma"/>
            <charset val="1"/>
          </rPr>
          <t xml:space="preserve">data from Wirtgen
</t>
        </r>
      </text>
    </comment>
    <comment ref="U775" authorId="0">
      <text>
        <r>
          <rPr>
            <sz val="10"/>
            <color rgb="FF000000"/>
            <rFont val="Tahoma"/>
            <charset val="1"/>
          </rPr>
          <t xml:space="preserve">data from Wirtgen
</t>
        </r>
      </text>
    </comment>
    <comment ref="V775" authorId="0">
      <text>
        <r>
          <rPr>
            <sz val="10"/>
            <color rgb="FF000000"/>
            <rFont val="Tahoma"/>
            <charset val="1"/>
          </rPr>
          <t xml:space="preserve">data from Wirtgen
</t>
        </r>
      </text>
    </comment>
    <comment ref="W775" authorId="0">
      <text>
        <r>
          <rPr>
            <sz val="10"/>
            <color rgb="FF000000"/>
            <rFont val="Tahoma"/>
            <charset val="1"/>
          </rPr>
          <t xml:space="preserve">data from Wirtgen
</t>
        </r>
      </text>
    </comment>
    <comment ref="C776" authorId="0">
      <text>
        <r>
          <rPr>
            <sz val="10"/>
            <color rgb="FF000000"/>
            <rFont val="Tahoma"/>
            <charset val="1"/>
          </rPr>
          <t>2 on ground plus tending crew (2) and mtce crew allowance (2)</t>
        </r>
      </text>
    </comment>
    <comment ref="D776" authorId="0">
      <text>
        <r>
          <rPr>
            <sz val="10"/>
            <color rgb="FF000000"/>
            <rFont val="Tahoma"/>
            <charset val="1"/>
          </rPr>
          <t>2 on ground plus tending crew (2) and mtce crew allowance (2)</t>
        </r>
      </text>
    </comment>
    <comment ref="E776" authorId="0">
      <text>
        <r>
          <rPr>
            <sz val="10"/>
            <color rgb="FF000000"/>
            <rFont val="Tahoma"/>
            <charset val="1"/>
          </rPr>
          <t>2 on ground plus tending crew (2) and mtce crew allowance (2)</t>
        </r>
      </text>
    </comment>
    <comment ref="F776" authorId="0">
      <text>
        <r>
          <rPr>
            <sz val="10"/>
            <color rgb="FF000000"/>
            <rFont val="Tahoma"/>
            <charset val="1"/>
          </rPr>
          <t>2 on ground plus tending crew (2) and mtce crew allowance (2)</t>
        </r>
      </text>
    </comment>
    <comment ref="G776" authorId="0">
      <text>
        <r>
          <rPr>
            <sz val="10"/>
            <color rgb="FF000000"/>
            <rFont val="Tahoma"/>
            <charset val="1"/>
          </rPr>
          <t>2 on ground plus tending crew (2) and mtce crew allowance (2)</t>
        </r>
      </text>
    </comment>
    <comment ref="H776" authorId="0">
      <text>
        <r>
          <rPr>
            <sz val="10"/>
            <color rgb="FF000000"/>
            <rFont val="Tahoma"/>
            <charset val="1"/>
          </rPr>
          <t>2 on ground plus tending crew (2) and mtce crew allowance (2)</t>
        </r>
      </text>
    </comment>
    <comment ref="I776" authorId="0">
      <text>
        <r>
          <rPr>
            <sz val="10"/>
            <color rgb="FF000000"/>
            <rFont val="Tahoma"/>
            <charset val="1"/>
          </rPr>
          <t>2 on ground plus tending crew (2) and mtce crew allowance (2)</t>
        </r>
      </text>
    </comment>
    <comment ref="J776" authorId="0">
      <text>
        <r>
          <rPr>
            <sz val="10"/>
            <color rgb="FF000000"/>
            <rFont val="Tahoma"/>
            <charset val="1"/>
          </rPr>
          <t>2 on ground plus tending crew (2) and mtce crew allowance (2)</t>
        </r>
      </text>
    </comment>
    <comment ref="K776" authorId="0">
      <text>
        <r>
          <rPr>
            <sz val="10"/>
            <color rgb="FF000000"/>
            <rFont val="Tahoma"/>
            <charset val="1"/>
          </rPr>
          <t>2 on ground plus tending crew (2) and mtce crew allowance (2)</t>
        </r>
      </text>
    </comment>
    <comment ref="L776" authorId="0">
      <text>
        <r>
          <rPr>
            <sz val="10"/>
            <color rgb="FF000000"/>
            <rFont val="Tahoma"/>
            <charset val="1"/>
          </rPr>
          <t>2 on ground plus tending crew (2) and mtce crew allowance (2)</t>
        </r>
      </text>
    </comment>
    <comment ref="M776" authorId="0">
      <text>
        <r>
          <rPr>
            <sz val="10"/>
            <color rgb="FF000000"/>
            <rFont val="Tahoma"/>
            <charset val="1"/>
          </rPr>
          <t>2 on ground plus tending crew (2) and mtce crew allowance (2)</t>
        </r>
      </text>
    </comment>
    <comment ref="N776" authorId="0">
      <text>
        <r>
          <rPr>
            <sz val="10"/>
            <color rgb="FF000000"/>
            <rFont val="Tahoma"/>
            <charset val="1"/>
          </rPr>
          <t>2 on ground plus tending crew (2) and mtce crew allowance (2)</t>
        </r>
      </text>
    </comment>
    <comment ref="O776" authorId="0">
      <text>
        <r>
          <rPr>
            <sz val="10"/>
            <color rgb="FF000000"/>
            <rFont val="Tahoma"/>
            <charset val="1"/>
          </rPr>
          <t>2 on ground plus tending crew (2) and mtce crew allowance (2)</t>
        </r>
      </text>
    </comment>
    <comment ref="P776" authorId="0">
      <text>
        <r>
          <rPr>
            <sz val="10"/>
            <color rgb="FF000000"/>
            <rFont val="Tahoma"/>
            <charset val="1"/>
          </rPr>
          <t>2 on ground plus tending crew (2) and mtce crew allowance (2)</t>
        </r>
      </text>
    </comment>
    <comment ref="Q776" authorId="0">
      <text>
        <r>
          <rPr>
            <sz val="10"/>
            <color rgb="FF000000"/>
            <rFont val="Tahoma"/>
            <charset val="1"/>
          </rPr>
          <t>2 on ground plus tending crew (2) and mtce crew allowance (2)</t>
        </r>
      </text>
    </comment>
    <comment ref="R776" authorId="0">
      <text>
        <r>
          <rPr>
            <sz val="10"/>
            <color rgb="FF000000"/>
            <rFont val="Tahoma"/>
            <charset val="1"/>
          </rPr>
          <t>2 on ground plus tending crew (2) and mtce crew allowance (2)</t>
        </r>
      </text>
    </comment>
    <comment ref="S776" authorId="0">
      <text>
        <r>
          <rPr>
            <sz val="10"/>
            <color rgb="FF000000"/>
            <rFont val="Tahoma"/>
            <charset val="1"/>
          </rPr>
          <t>2 on ground plus tending crew (2) and mtce crew allowance (2)</t>
        </r>
      </text>
    </comment>
    <comment ref="T776" authorId="0">
      <text>
        <r>
          <rPr>
            <sz val="10"/>
            <color rgb="FF000000"/>
            <rFont val="Tahoma"/>
            <charset val="1"/>
          </rPr>
          <t>2 on ground plus tending crew (2) and mtce crew allowance (2)</t>
        </r>
      </text>
    </comment>
    <comment ref="U776" authorId="0">
      <text>
        <r>
          <rPr>
            <sz val="10"/>
            <color rgb="FF000000"/>
            <rFont val="Tahoma"/>
            <charset val="1"/>
          </rPr>
          <t>2 on ground plus tending crew (2) and mtce crew allowance (2)</t>
        </r>
      </text>
    </comment>
    <comment ref="V776" authorId="0">
      <text>
        <r>
          <rPr>
            <sz val="10"/>
            <color rgb="FF000000"/>
            <rFont val="Tahoma"/>
            <charset val="1"/>
          </rPr>
          <t>2 on ground plus tending crew (2) and mtce crew allowance (2)</t>
        </r>
      </text>
    </comment>
    <comment ref="W776" authorId="0">
      <text>
        <r>
          <rPr>
            <sz val="10"/>
            <color rgb="FF000000"/>
            <rFont val="Tahoma"/>
            <charset val="1"/>
          </rPr>
          <t>2 on ground plus tending crew (2) and mtce crew allowance (2)</t>
        </r>
      </text>
    </comment>
    <comment ref="C777" authorId="0">
      <text>
        <r>
          <rPr>
            <sz val="10"/>
            <color rgb="FF000000"/>
            <rFont val="Tahoma"/>
            <charset val="1"/>
          </rPr>
          <t xml:space="preserve">Wirtgen supplied data at 650 tph converted from euros to US$ and then to a per wmt rate
</t>
        </r>
      </text>
    </comment>
    <comment ref="D777" authorId="0">
      <text>
        <r>
          <rPr>
            <sz val="10"/>
            <color rgb="FF000000"/>
            <rFont val="Tahoma"/>
            <charset val="1"/>
          </rPr>
          <t xml:space="preserve">Wirtgen supplied data at 650 tph converted from euros to US$ and then to a per wmt rate
</t>
        </r>
      </text>
    </comment>
    <comment ref="E777" authorId="0">
      <text>
        <r>
          <rPr>
            <sz val="10"/>
            <color rgb="FF000000"/>
            <rFont val="Tahoma"/>
            <charset val="1"/>
          </rPr>
          <t xml:space="preserve">Wirtgen supplied data at 650 tph converted from euros to US$ and then to a per wmt rate
</t>
        </r>
      </text>
    </comment>
    <comment ref="F777" authorId="0">
      <text>
        <r>
          <rPr>
            <sz val="10"/>
            <color rgb="FF000000"/>
            <rFont val="Tahoma"/>
            <charset val="1"/>
          </rPr>
          <t xml:space="preserve">Wirtgen supplied data at 650 tph converted from euros to US$ and then to a per wmt rate
</t>
        </r>
      </text>
    </comment>
    <comment ref="G777" authorId="0">
      <text>
        <r>
          <rPr>
            <sz val="10"/>
            <color rgb="FF000000"/>
            <rFont val="Tahoma"/>
            <charset val="1"/>
          </rPr>
          <t xml:space="preserve">Wirtgen supplied data at 650 tph converted from euros to US$ and then to a per wmt rate
</t>
        </r>
      </text>
    </comment>
    <comment ref="H777" authorId="0">
      <text>
        <r>
          <rPr>
            <sz val="10"/>
            <color rgb="FF000000"/>
            <rFont val="Tahoma"/>
            <charset val="1"/>
          </rPr>
          <t xml:space="preserve">Wirtgen supplied data at 650 tph converted from euros to US$ and then to a per wmt rate
</t>
        </r>
      </text>
    </comment>
    <comment ref="I777" authorId="0">
      <text>
        <r>
          <rPr>
            <sz val="10"/>
            <color rgb="FF000000"/>
            <rFont val="Tahoma"/>
            <charset val="1"/>
          </rPr>
          <t xml:space="preserve">Wirtgen supplied data at 650 tph converted from euros to US$ and then to a per wmt rate
</t>
        </r>
      </text>
    </comment>
    <comment ref="J777" authorId="0">
      <text>
        <r>
          <rPr>
            <sz val="10"/>
            <color rgb="FF000000"/>
            <rFont val="Tahoma"/>
            <charset val="1"/>
          </rPr>
          <t xml:space="preserve">Wirtgen supplied data at 650 tph converted from euros to US$ and then to a per wmt rate
</t>
        </r>
      </text>
    </comment>
    <comment ref="K777" authorId="0">
      <text>
        <r>
          <rPr>
            <sz val="10"/>
            <color rgb="FF000000"/>
            <rFont val="Tahoma"/>
            <charset val="1"/>
          </rPr>
          <t xml:space="preserve">Wirtgen supplied data at 650 tph converted from euros to US$ and then to a per wmt rate
</t>
        </r>
      </text>
    </comment>
    <comment ref="L777" authorId="0">
      <text>
        <r>
          <rPr>
            <sz val="10"/>
            <color rgb="FF000000"/>
            <rFont val="Tahoma"/>
            <charset val="1"/>
          </rPr>
          <t xml:space="preserve">Wirtgen supplied data at 650 tph converted from euros to US$ and then to a per wmt rate
</t>
        </r>
      </text>
    </comment>
    <comment ref="M777" authorId="0">
      <text>
        <r>
          <rPr>
            <sz val="10"/>
            <color rgb="FF000000"/>
            <rFont val="Tahoma"/>
            <charset val="1"/>
          </rPr>
          <t xml:space="preserve">Wirtgen supplied data at 650 tph converted from euros to US$ and then to a per wmt rate
</t>
        </r>
      </text>
    </comment>
    <comment ref="N777" authorId="0">
      <text>
        <r>
          <rPr>
            <sz val="10"/>
            <color rgb="FF000000"/>
            <rFont val="Tahoma"/>
            <charset val="1"/>
          </rPr>
          <t xml:space="preserve">Wirtgen supplied data at 650 tph converted from euros to US$ and then to a per wmt rate
</t>
        </r>
      </text>
    </comment>
    <comment ref="O777" authorId="0">
      <text>
        <r>
          <rPr>
            <sz val="10"/>
            <color rgb="FF000000"/>
            <rFont val="Tahoma"/>
            <charset val="1"/>
          </rPr>
          <t xml:space="preserve">Wirtgen supplied data at 650 tph converted from euros to US$ and then to a per wmt rate
</t>
        </r>
      </text>
    </comment>
    <comment ref="P777" authorId="0">
      <text>
        <r>
          <rPr>
            <sz val="10"/>
            <color rgb="FF000000"/>
            <rFont val="Tahoma"/>
            <charset val="1"/>
          </rPr>
          <t xml:space="preserve">Wirtgen supplied data at 650 tph converted from euros to US$ and then to a per wmt rate
</t>
        </r>
      </text>
    </comment>
    <comment ref="Q777" authorId="0">
      <text>
        <r>
          <rPr>
            <sz val="10"/>
            <color rgb="FF000000"/>
            <rFont val="Tahoma"/>
            <charset val="1"/>
          </rPr>
          <t xml:space="preserve">Wirtgen supplied data at 650 tph converted from euros to US$ and then to a per wmt rate
</t>
        </r>
      </text>
    </comment>
    <comment ref="R777" authorId="0">
      <text>
        <r>
          <rPr>
            <sz val="10"/>
            <color rgb="FF000000"/>
            <rFont val="Tahoma"/>
            <charset val="1"/>
          </rPr>
          <t xml:space="preserve">Wirtgen supplied data at 650 tph converted from euros to US$ and then to a per wmt rate
</t>
        </r>
      </text>
    </comment>
    <comment ref="S777" authorId="0">
      <text>
        <r>
          <rPr>
            <sz val="10"/>
            <color rgb="FF000000"/>
            <rFont val="Tahoma"/>
            <charset val="1"/>
          </rPr>
          <t xml:space="preserve">Wirtgen supplied data at 650 tph converted from euros to US$ and then to a per wmt rate
</t>
        </r>
      </text>
    </comment>
    <comment ref="T777" authorId="0">
      <text>
        <r>
          <rPr>
            <sz val="10"/>
            <color rgb="FF000000"/>
            <rFont val="Tahoma"/>
            <charset val="1"/>
          </rPr>
          <t xml:space="preserve">Wirtgen supplied data at 650 tph converted from euros to US$ and then to a per wmt rate
</t>
        </r>
      </text>
    </comment>
    <comment ref="U777" authorId="0">
      <text>
        <r>
          <rPr>
            <sz val="10"/>
            <color rgb="FF000000"/>
            <rFont val="Tahoma"/>
            <charset val="1"/>
          </rPr>
          <t xml:space="preserve">Wirtgen supplied data at 650 tph converted from euros to US$ and then to a per wmt rate
</t>
        </r>
      </text>
    </comment>
    <comment ref="V777" authorId="0">
      <text>
        <r>
          <rPr>
            <sz val="10"/>
            <color rgb="FF000000"/>
            <rFont val="Tahoma"/>
            <charset val="1"/>
          </rPr>
          <t xml:space="preserve">Wirtgen supplied data at 650 tph converted from euros to US$ and then to a per wmt rate
</t>
        </r>
      </text>
    </comment>
    <comment ref="W777" authorId="0">
      <text>
        <r>
          <rPr>
            <sz val="10"/>
            <color rgb="FF000000"/>
            <rFont val="Tahoma"/>
            <charset val="1"/>
          </rPr>
          <t xml:space="preserve">Wirtgen supplied data at 650 tph converted from euros to US$ and then to a per wmt rate
</t>
        </r>
      </text>
    </comment>
    <comment ref="C795" authorId="0">
      <text>
        <r>
          <rPr>
            <sz val="10"/>
            <color rgb="FF000000"/>
            <rFont val="Tahoma"/>
            <charset val="1"/>
          </rPr>
          <t>tuned roughly to Henan Chine trip data</t>
        </r>
      </text>
    </comment>
    <comment ref="D795" authorId="0">
      <text>
        <r>
          <rPr>
            <sz val="10"/>
            <color rgb="FF000000"/>
            <rFont val="Tahoma"/>
            <charset val="1"/>
          </rPr>
          <t>tuned roughly to Henan Chine trip data</t>
        </r>
      </text>
    </comment>
    <comment ref="E795" authorId="0">
      <text>
        <r>
          <rPr>
            <sz val="10"/>
            <color rgb="FF000000"/>
            <rFont val="Tahoma"/>
            <charset val="1"/>
          </rPr>
          <t>tuned roughly to Henan Chine trip data</t>
        </r>
      </text>
    </comment>
    <comment ref="F795" authorId="0">
      <text>
        <r>
          <rPr>
            <sz val="10"/>
            <color rgb="FF000000"/>
            <rFont val="Tahoma"/>
            <charset val="1"/>
          </rPr>
          <t>tuned roughly to Henan Chine trip data</t>
        </r>
      </text>
    </comment>
    <comment ref="G795" authorId="0">
      <text>
        <r>
          <rPr>
            <sz val="10"/>
            <color rgb="FF000000"/>
            <rFont val="Tahoma"/>
            <charset val="1"/>
          </rPr>
          <t>tuned roughly to Henan Chine trip data</t>
        </r>
      </text>
    </comment>
    <comment ref="H795" authorId="0">
      <text>
        <r>
          <rPr>
            <sz val="10"/>
            <color rgb="FF000000"/>
            <rFont val="Tahoma"/>
            <charset val="1"/>
          </rPr>
          <t>tuned roughly to Henan Chine trip data</t>
        </r>
      </text>
    </comment>
    <comment ref="I795" authorId="0">
      <text>
        <r>
          <rPr>
            <sz val="10"/>
            <color rgb="FF000000"/>
            <rFont val="Tahoma"/>
            <charset val="1"/>
          </rPr>
          <t>tuned roughly to Henan Chine trip data</t>
        </r>
      </text>
    </comment>
    <comment ref="J795" authorId="0">
      <text>
        <r>
          <rPr>
            <sz val="10"/>
            <color rgb="FF000000"/>
            <rFont val="Tahoma"/>
            <charset val="1"/>
          </rPr>
          <t>tuned roughly to Henan Chine trip data</t>
        </r>
      </text>
    </comment>
    <comment ref="K795" authorId="0">
      <text>
        <r>
          <rPr>
            <sz val="10"/>
            <color rgb="FF000000"/>
            <rFont val="Tahoma"/>
            <charset val="1"/>
          </rPr>
          <t>tuned roughly to Henan Chine trip data</t>
        </r>
      </text>
    </comment>
    <comment ref="L795" authorId="0">
      <text>
        <r>
          <rPr>
            <sz val="10"/>
            <color rgb="FF000000"/>
            <rFont val="Tahoma"/>
            <charset val="1"/>
          </rPr>
          <t>tuned roughly to Henan Chine trip data</t>
        </r>
      </text>
    </comment>
    <comment ref="M795" authorId="0">
      <text>
        <r>
          <rPr>
            <sz val="10"/>
            <color rgb="FF000000"/>
            <rFont val="Tahoma"/>
            <charset val="1"/>
          </rPr>
          <t>tuned roughly to Henan Chine trip data</t>
        </r>
      </text>
    </comment>
    <comment ref="N795" authorId="0">
      <text>
        <r>
          <rPr>
            <sz val="10"/>
            <color rgb="FF000000"/>
            <rFont val="Tahoma"/>
            <charset val="1"/>
          </rPr>
          <t>tuned roughly to Henan Chine trip data</t>
        </r>
      </text>
    </comment>
    <comment ref="O795" authorId="0">
      <text>
        <r>
          <rPr>
            <sz val="10"/>
            <color rgb="FF000000"/>
            <rFont val="Tahoma"/>
            <charset val="1"/>
          </rPr>
          <t>tuned roughly to Henan Chine trip data</t>
        </r>
      </text>
    </comment>
    <comment ref="P795" authorId="0">
      <text>
        <r>
          <rPr>
            <sz val="10"/>
            <color rgb="FF000000"/>
            <rFont val="Tahoma"/>
            <charset val="1"/>
          </rPr>
          <t>tuned roughly to Henan Chine trip data</t>
        </r>
      </text>
    </comment>
    <comment ref="Q795" authorId="0">
      <text>
        <r>
          <rPr>
            <sz val="10"/>
            <color rgb="FF000000"/>
            <rFont val="Tahoma"/>
            <charset val="1"/>
          </rPr>
          <t>tuned roughly to Henan Chine trip data</t>
        </r>
      </text>
    </comment>
    <comment ref="R795" authorId="0">
      <text>
        <r>
          <rPr>
            <sz val="10"/>
            <color rgb="FF000000"/>
            <rFont val="Tahoma"/>
            <charset val="1"/>
          </rPr>
          <t>tuned roughly to Henan Chine trip data</t>
        </r>
      </text>
    </comment>
    <comment ref="S795" authorId="0">
      <text>
        <r>
          <rPr>
            <sz val="10"/>
            <color rgb="FF000000"/>
            <rFont val="Tahoma"/>
            <charset val="1"/>
          </rPr>
          <t>tuned roughly to Henan Chine trip data</t>
        </r>
      </text>
    </comment>
    <comment ref="T795" authorId="0">
      <text>
        <r>
          <rPr>
            <sz val="10"/>
            <color rgb="FF000000"/>
            <rFont val="Tahoma"/>
            <charset val="1"/>
          </rPr>
          <t>tuned roughly to Henan Chine trip data</t>
        </r>
      </text>
    </comment>
    <comment ref="U795" authorId="0">
      <text>
        <r>
          <rPr>
            <sz val="10"/>
            <color rgb="FF000000"/>
            <rFont val="Tahoma"/>
            <charset val="1"/>
          </rPr>
          <t>tuned roughly to Henan Chine trip data</t>
        </r>
      </text>
    </comment>
    <comment ref="V795" authorId="0">
      <text>
        <r>
          <rPr>
            <sz val="10"/>
            <color rgb="FF000000"/>
            <rFont val="Tahoma"/>
            <charset val="1"/>
          </rPr>
          <t>tuned roughly to Henan Chine trip data</t>
        </r>
      </text>
    </comment>
    <comment ref="W795" authorId="0">
      <text>
        <r>
          <rPr>
            <sz val="10"/>
            <color rgb="FF000000"/>
            <rFont val="Tahoma"/>
            <charset val="1"/>
          </rPr>
          <t>tuned roughly to Henan Chine trip data</t>
        </r>
      </text>
    </comment>
    <comment ref="C796" authorId="0">
      <text>
        <r>
          <rPr>
            <sz val="10"/>
            <color rgb="FF000000"/>
            <rFont val="Calibri"/>
            <charset val="1"/>
          </rPr>
          <t xml:space="preserve">Baes off India bx truck data &amp; Guidelines for Measuring and Managing CO2 Emission from Freight Transport Operations </t>
        </r>
      </text>
    </comment>
    <comment ref="D796" authorId="0">
      <text>
        <r>
          <rPr>
            <sz val="10"/>
            <color rgb="FF000000"/>
            <rFont val="Calibri"/>
            <charset val="1"/>
          </rPr>
          <t xml:space="preserve">Baes off India bx truck data &amp; Guidelines for Measuring and Managing CO2 Emission from Freight Transport Operations </t>
        </r>
      </text>
    </comment>
    <comment ref="E796" authorId="0">
      <text>
        <r>
          <rPr>
            <sz val="10"/>
            <color rgb="FF000000"/>
            <rFont val="Calibri"/>
            <charset val="1"/>
          </rPr>
          <t xml:space="preserve">Baes off India bx truck data &amp; Guidelines for Measuring and Managing CO2 Emission from Freight Transport Operations </t>
        </r>
      </text>
    </comment>
    <comment ref="F796" authorId="0">
      <text>
        <r>
          <rPr>
            <sz val="10"/>
            <color rgb="FF000000"/>
            <rFont val="Calibri"/>
            <charset val="1"/>
          </rPr>
          <t xml:space="preserve">Baes off India bx truck data &amp; Guidelines for Measuring and Managing CO2 Emission from Freight Transport Operations </t>
        </r>
      </text>
    </comment>
    <comment ref="G796" authorId="0">
      <text>
        <r>
          <rPr>
            <sz val="10"/>
            <color rgb="FF000000"/>
            <rFont val="Calibri"/>
            <charset val="1"/>
          </rPr>
          <t xml:space="preserve">Baes off India bx truck data &amp; Guidelines for Measuring and Managing CO2 Emission from Freight Transport Operations </t>
        </r>
      </text>
    </comment>
    <comment ref="H796" authorId="0">
      <text>
        <r>
          <rPr>
            <sz val="10"/>
            <color rgb="FF000000"/>
            <rFont val="Calibri"/>
            <charset val="1"/>
          </rPr>
          <t xml:space="preserve">Baes off India bx truck data &amp; Guidelines for Measuring and Managing CO2 Emission from Freight Transport Operations </t>
        </r>
      </text>
    </comment>
    <comment ref="I796" authorId="0">
      <text>
        <r>
          <rPr>
            <sz val="10"/>
            <color rgb="FF000000"/>
            <rFont val="Calibri"/>
            <charset val="1"/>
          </rPr>
          <t xml:space="preserve">Baes off India bx truck data &amp; Guidelines for Measuring and Managing CO2 Emission from Freight Transport Operations </t>
        </r>
      </text>
    </comment>
    <comment ref="J796" authorId="0">
      <text>
        <r>
          <rPr>
            <sz val="10"/>
            <color rgb="FF000000"/>
            <rFont val="Calibri"/>
            <charset val="1"/>
          </rPr>
          <t xml:space="preserve">Baes off India bx truck data &amp; Guidelines for Measuring and Managing CO2 Emission from Freight Transport Operations </t>
        </r>
      </text>
    </comment>
    <comment ref="K796" authorId="0">
      <text>
        <r>
          <rPr>
            <sz val="10"/>
            <color rgb="FF000000"/>
            <rFont val="Calibri"/>
            <charset val="1"/>
          </rPr>
          <t xml:space="preserve">Baes off India bx truck data &amp; Guidelines for Measuring and Managing CO2 Emission from Freight Transport Operations </t>
        </r>
      </text>
    </comment>
    <comment ref="L796" authorId="0">
      <text>
        <r>
          <rPr>
            <sz val="10"/>
            <color rgb="FF000000"/>
            <rFont val="Calibri"/>
            <charset val="1"/>
          </rPr>
          <t xml:space="preserve">Baes off India bx truck data &amp; Guidelines for Measuring and Managing CO2 Emission from Freight Transport Operations </t>
        </r>
      </text>
    </comment>
    <comment ref="M796" authorId="0">
      <text>
        <r>
          <rPr>
            <sz val="10"/>
            <color rgb="FF000000"/>
            <rFont val="Calibri"/>
            <charset val="1"/>
          </rPr>
          <t xml:space="preserve">Baes off India bx truck data &amp; Guidelines for Measuring and Managing CO2 Emission from Freight Transport Operations </t>
        </r>
      </text>
    </comment>
    <comment ref="N796" authorId="0">
      <text>
        <r>
          <rPr>
            <sz val="10"/>
            <color rgb="FF000000"/>
            <rFont val="Calibri"/>
            <charset val="1"/>
          </rPr>
          <t xml:space="preserve">Baes off India bx truck data &amp; Guidelines for Measuring and Managing CO2 Emission from Freight Transport Operations </t>
        </r>
      </text>
    </comment>
    <comment ref="O796" authorId="0">
      <text>
        <r>
          <rPr>
            <sz val="10"/>
            <color rgb="FF000000"/>
            <rFont val="Calibri"/>
            <charset val="1"/>
          </rPr>
          <t xml:space="preserve">Baes off India bx truck data &amp; Guidelines for Measuring and Managing CO2 Emission from Freight Transport Operations </t>
        </r>
      </text>
    </comment>
    <comment ref="P796" authorId="0">
      <text>
        <r>
          <rPr>
            <sz val="10"/>
            <color rgb="FF000000"/>
            <rFont val="Calibri"/>
            <charset val="1"/>
          </rPr>
          <t xml:space="preserve">Baes off India bx truck data &amp; Guidelines for Measuring and Managing CO2 Emission from Freight Transport Operations </t>
        </r>
      </text>
    </comment>
    <comment ref="Q796" authorId="0">
      <text>
        <r>
          <rPr>
            <sz val="10"/>
            <color rgb="FF000000"/>
            <rFont val="Calibri"/>
            <charset val="1"/>
          </rPr>
          <t xml:space="preserve">Baes off India bx truck data &amp; Guidelines for Measuring and Managing CO2 Emission from Freight Transport Operations </t>
        </r>
      </text>
    </comment>
    <comment ref="R796" authorId="0">
      <text>
        <r>
          <rPr>
            <sz val="10"/>
            <color rgb="FF000000"/>
            <rFont val="Calibri"/>
            <charset val="1"/>
          </rPr>
          <t xml:space="preserve">Baes off India bx truck data &amp; Guidelines for Measuring and Managing CO2 Emission from Freight Transport Operations </t>
        </r>
      </text>
    </comment>
    <comment ref="S796" authorId="0">
      <text>
        <r>
          <rPr>
            <sz val="10"/>
            <color rgb="FF000000"/>
            <rFont val="Calibri"/>
            <charset val="1"/>
          </rPr>
          <t xml:space="preserve">Baes off India bx truck data &amp; Guidelines for Measuring and Managing CO2 Emission from Freight Transport Operations </t>
        </r>
      </text>
    </comment>
    <comment ref="T796" authorId="0">
      <text>
        <r>
          <rPr>
            <sz val="10"/>
            <color rgb="FF000000"/>
            <rFont val="Calibri"/>
            <charset val="1"/>
          </rPr>
          <t xml:space="preserve">Baes off India bx truck data &amp; Guidelines for Measuring and Managing CO2 Emission from Freight Transport Operations </t>
        </r>
      </text>
    </comment>
    <comment ref="U796" authorId="0">
      <text>
        <r>
          <rPr>
            <sz val="10"/>
            <color rgb="FF000000"/>
            <rFont val="Calibri"/>
            <charset val="1"/>
          </rPr>
          <t xml:space="preserve">Baes off India bx truck data &amp; Guidelines for Measuring and Managing CO2 Emission from Freight Transport Operations </t>
        </r>
      </text>
    </comment>
    <comment ref="V796" authorId="0">
      <text>
        <r>
          <rPr>
            <sz val="10"/>
            <color rgb="FF000000"/>
            <rFont val="Calibri"/>
            <charset val="1"/>
          </rPr>
          <t xml:space="preserve">Baes off India bx truck data &amp; Guidelines for Measuring and Managing CO2 Emission from Freight Transport Operations </t>
        </r>
      </text>
    </comment>
    <comment ref="W796" authorId="0">
      <text>
        <r>
          <rPr>
            <sz val="10"/>
            <color rgb="FF000000"/>
            <rFont val="Calibri"/>
            <charset val="1"/>
          </rPr>
          <t xml:space="preserve">Baes off India bx truck data &amp; Guidelines for Measuring and Managing CO2 Emission from Freight Transport Operations </t>
        </r>
      </text>
    </comment>
    <comment ref="C797" authorId="0">
      <text>
        <r>
          <rPr>
            <sz val="10"/>
            <color rgb="FF000000"/>
            <rFont val="Tahoma"/>
            <charset val="1"/>
          </rPr>
          <t>tuned roughly to Henan Chine trip data</t>
        </r>
      </text>
    </comment>
    <comment ref="D797" authorId="0">
      <text>
        <r>
          <rPr>
            <sz val="10"/>
            <color rgb="FF000000"/>
            <rFont val="Tahoma"/>
            <charset val="1"/>
          </rPr>
          <t>tuned roughly to Henan Chine trip data</t>
        </r>
      </text>
    </comment>
    <comment ref="E797" authorId="0">
      <text>
        <r>
          <rPr>
            <sz val="10"/>
            <color rgb="FF000000"/>
            <rFont val="Tahoma"/>
            <charset val="1"/>
          </rPr>
          <t>tuned roughly to Henan Chine trip data</t>
        </r>
      </text>
    </comment>
    <comment ref="F797" authorId="0">
      <text>
        <r>
          <rPr>
            <sz val="10"/>
            <color rgb="FF000000"/>
            <rFont val="Tahoma"/>
            <charset val="1"/>
          </rPr>
          <t>tuned roughly to Henan Chine trip data</t>
        </r>
      </text>
    </comment>
    <comment ref="G797" authorId="0">
      <text>
        <r>
          <rPr>
            <sz val="10"/>
            <color rgb="FF000000"/>
            <rFont val="Tahoma"/>
            <charset val="1"/>
          </rPr>
          <t>tuned roughly to Henan Chine trip data</t>
        </r>
      </text>
    </comment>
    <comment ref="H797" authorId="0">
      <text>
        <r>
          <rPr>
            <sz val="10"/>
            <color rgb="FF000000"/>
            <rFont val="Tahoma"/>
            <charset val="1"/>
          </rPr>
          <t>tuned roughly to Henan Chine trip data</t>
        </r>
      </text>
    </comment>
    <comment ref="I797" authorId="0">
      <text>
        <r>
          <rPr>
            <sz val="10"/>
            <color rgb="FF000000"/>
            <rFont val="Tahoma"/>
            <charset val="1"/>
          </rPr>
          <t>tuned roughly to Henan Chine trip data</t>
        </r>
      </text>
    </comment>
    <comment ref="J797" authorId="0">
      <text>
        <r>
          <rPr>
            <sz val="10"/>
            <color rgb="FF000000"/>
            <rFont val="Tahoma"/>
            <charset val="1"/>
          </rPr>
          <t>tuned roughly to Henan Chine trip data</t>
        </r>
      </text>
    </comment>
    <comment ref="K797" authorId="0">
      <text>
        <r>
          <rPr>
            <sz val="10"/>
            <color rgb="FF000000"/>
            <rFont val="Tahoma"/>
            <charset val="1"/>
          </rPr>
          <t>tuned roughly to Henan Chine trip data</t>
        </r>
      </text>
    </comment>
    <comment ref="L797" authorId="0">
      <text>
        <r>
          <rPr>
            <sz val="10"/>
            <color rgb="FF000000"/>
            <rFont val="Tahoma"/>
            <charset val="1"/>
          </rPr>
          <t>tuned roughly to Henan Chine trip data</t>
        </r>
      </text>
    </comment>
    <comment ref="M797" authorId="0">
      <text>
        <r>
          <rPr>
            <sz val="10"/>
            <color rgb="FF000000"/>
            <rFont val="Tahoma"/>
            <charset val="1"/>
          </rPr>
          <t>tuned roughly to Henan Chine trip data</t>
        </r>
      </text>
    </comment>
    <comment ref="N797" authorId="0">
      <text>
        <r>
          <rPr>
            <sz val="10"/>
            <color rgb="FF000000"/>
            <rFont val="Tahoma"/>
            <charset val="1"/>
          </rPr>
          <t>tuned roughly to Henan Chine trip data</t>
        </r>
      </text>
    </comment>
    <comment ref="O797" authorId="0">
      <text>
        <r>
          <rPr>
            <sz val="10"/>
            <color rgb="FF000000"/>
            <rFont val="Tahoma"/>
            <charset val="1"/>
          </rPr>
          <t>tuned roughly to Henan Chine trip data</t>
        </r>
      </text>
    </comment>
    <comment ref="P797" authorId="0">
      <text>
        <r>
          <rPr>
            <sz val="10"/>
            <color rgb="FF000000"/>
            <rFont val="Tahoma"/>
            <charset val="1"/>
          </rPr>
          <t>tuned roughly to Henan Chine trip data</t>
        </r>
      </text>
    </comment>
    <comment ref="Q797" authorId="0">
      <text>
        <r>
          <rPr>
            <sz val="10"/>
            <color rgb="FF000000"/>
            <rFont val="Tahoma"/>
            <charset val="1"/>
          </rPr>
          <t>tuned roughly to Henan Chine trip data</t>
        </r>
      </text>
    </comment>
    <comment ref="R797" authorId="0">
      <text>
        <r>
          <rPr>
            <sz val="10"/>
            <color rgb="FF000000"/>
            <rFont val="Tahoma"/>
            <charset val="1"/>
          </rPr>
          <t>tuned roughly to Henan Chine trip data</t>
        </r>
      </text>
    </comment>
    <comment ref="S797" authorId="0">
      <text>
        <r>
          <rPr>
            <sz val="10"/>
            <color rgb="FF000000"/>
            <rFont val="Tahoma"/>
            <charset val="1"/>
          </rPr>
          <t>tuned roughly to Henan Chine trip data</t>
        </r>
      </text>
    </comment>
    <comment ref="T797" authorId="0">
      <text>
        <r>
          <rPr>
            <sz val="10"/>
            <color rgb="FF000000"/>
            <rFont val="Tahoma"/>
            <charset val="1"/>
          </rPr>
          <t>tuned roughly to Henan Chine trip data</t>
        </r>
      </text>
    </comment>
    <comment ref="U797" authorId="0">
      <text>
        <r>
          <rPr>
            <sz val="10"/>
            <color rgb="FF000000"/>
            <rFont val="Tahoma"/>
            <charset val="1"/>
          </rPr>
          <t>tuned roughly to Henan Chine trip data</t>
        </r>
      </text>
    </comment>
    <comment ref="V797" authorId="0">
      <text>
        <r>
          <rPr>
            <sz val="10"/>
            <color rgb="FF000000"/>
            <rFont val="Tahoma"/>
            <charset val="1"/>
          </rPr>
          <t>tuned roughly to Henan Chine trip data</t>
        </r>
      </text>
    </comment>
    <comment ref="W797" authorId="0">
      <text>
        <r>
          <rPr>
            <sz val="10"/>
            <color rgb="FF000000"/>
            <rFont val="Tahoma"/>
            <charset val="1"/>
          </rPr>
          <t>tuned roughly to Henan Chine trip data</t>
        </r>
      </text>
    </comment>
    <comment ref="C825" authorId="0">
      <text>
        <r>
          <rPr>
            <sz val="10"/>
            <color rgb="FF000000"/>
            <rFont val="Tahoma"/>
            <charset val="1"/>
          </rPr>
          <t xml:space="preserve">built on machine doing relatively free digging = 200 tph, halve or quarter this for more difficult or insitu material
</t>
        </r>
      </text>
    </comment>
    <comment ref="D825" authorId="0">
      <text>
        <r>
          <rPr>
            <sz val="10"/>
            <color rgb="FF000000"/>
            <rFont val="Tahoma"/>
            <charset val="1"/>
          </rPr>
          <t xml:space="preserve">built on machine doing relatively free digging = 200 tph, halve or quarter this for more difficult or insitu material
</t>
        </r>
      </text>
    </comment>
    <comment ref="E825" authorId="0">
      <text>
        <r>
          <rPr>
            <sz val="10"/>
            <color rgb="FF000000"/>
            <rFont val="Tahoma"/>
            <charset val="1"/>
          </rPr>
          <t xml:space="preserve">built on machine doing relatively free digging = 200 tph, halve or quarter this for more difficult or insitu material
</t>
        </r>
      </text>
    </comment>
    <comment ref="F825" authorId="0">
      <text>
        <r>
          <rPr>
            <sz val="10"/>
            <color rgb="FF000000"/>
            <rFont val="Tahoma"/>
            <charset val="1"/>
          </rPr>
          <t xml:space="preserve">built on machine doing relatively free digging = 200 tph, halve or quarter this for more difficult or insitu material
</t>
        </r>
      </text>
    </comment>
    <comment ref="G825" authorId="0">
      <text>
        <r>
          <rPr>
            <sz val="10"/>
            <color rgb="FF000000"/>
            <rFont val="Tahoma"/>
            <charset val="1"/>
          </rPr>
          <t xml:space="preserve">built on machine doing relatively free digging = 200 tph, halve or quarter this for more difficult or insitu material
</t>
        </r>
      </text>
    </comment>
    <comment ref="H825" authorId="0">
      <text>
        <r>
          <rPr>
            <sz val="10"/>
            <color rgb="FF000000"/>
            <rFont val="Tahoma"/>
            <charset val="1"/>
          </rPr>
          <t xml:space="preserve">built on machine doing relatively free digging = 200 tph, halve or quarter this for more difficult or insitu material
</t>
        </r>
      </text>
    </comment>
    <comment ref="I825" authorId="0">
      <text>
        <r>
          <rPr>
            <sz val="10"/>
            <color rgb="FF000000"/>
            <rFont val="Tahoma"/>
            <charset val="1"/>
          </rPr>
          <t xml:space="preserve">built on machine doing relatively free digging = 200 tph, halve or quarter this for more difficult or insitu material
</t>
        </r>
      </text>
    </comment>
    <comment ref="J825" authorId="0">
      <text>
        <r>
          <rPr>
            <sz val="10"/>
            <color rgb="FF000000"/>
            <rFont val="Tahoma"/>
            <charset val="1"/>
          </rPr>
          <t xml:space="preserve">built on machine doing relatively free digging = 200 tph, halve or quarter this for more difficult or insitu material
</t>
        </r>
      </text>
    </comment>
    <comment ref="K825" authorId="0">
      <text>
        <r>
          <rPr>
            <sz val="10"/>
            <color rgb="FF000000"/>
            <rFont val="Tahoma"/>
            <charset val="1"/>
          </rPr>
          <t xml:space="preserve">built on machine doing relatively free digging = 200 tph, halve or quarter this for more difficult or insitu material
</t>
        </r>
      </text>
    </comment>
    <comment ref="L825" authorId="0">
      <text>
        <r>
          <rPr>
            <sz val="10"/>
            <color rgb="FF000000"/>
            <rFont val="Tahoma"/>
            <charset val="1"/>
          </rPr>
          <t xml:space="preserve">built on machine doing relatively free digging = 200 tph, halve or quarter this for more difficult or insitu material
</t>
        </r>
      </text>
    </comment>
    <comment ref="M825" authorId="0">
      <text>
        <r>
          <rPr>
            <sz val="10"/>
            <color rgb="FF000000"/>
            <rFont val="Tahoma"/>
            <charset val="1"/>
          </rPr>
          <t xml:space="preserve">built on machine doing relatively free digging = 200 tph, halve or quarter this for more difficult or insitu material
</t>
        </r>
      </text>
    </comment>
    <comment ref="N825" authorId="0">
      <text>
        <r>
          <rPr>
            <sz val="10"/>
            <color rgb="FF000000"/>
            <rFont val="Tahoma"/>
            <charset val="1"/>
          </rPr>
          <t xml:space="preserve">built on machine doing relatively free digging = 200 tph, halve or quarter this for more difficult or insitu material
</t>
        </r>
      </text>
    </comment>
    <comment ref="O825" authorId="0">
      <text>
        <r>
          <rPr>
            <sz val="10"/>
            <color rgb="FF000000"/>
            <rFont val="Tahoma"/>
            <charset val="1"/>
          </rPr>
          <t xml:space="preserve">built on machine doing relatively free digging = 200 tph, halve or quarter this for more difficult or insitu material
</t>
        </r>
      </text>
    </comment>
    <comment ref="P825" authorId="0">
      <text>
        <r>
          <rPr>
            <sz val="10"/>
            <color rgb="FF000000"/>
            <rFont val="Tahoma"/>
            <charset val="1"/>
          </rPr>
          <t xml:space="preserve">built on machine doing relatively free digging = 200 tph, halve or quarter this for more difficult or insitu material
</t>
        </r>
      </text>
    </comment>
    <comment ref="Q825" authorId="0">
      <text>
        <r>
          <rPr>
            <sz val="10"/>
            <color rgb="FF000000"/>
            <rFont val="Tahoma"/>
            <charset val="1"/>
          </rPr>
          <t xml:space="preserve">built on machine doing relatively free digging = 200 tph, halve or quarter this for more difficult or insitu material
</t>
        </r>
      </text>
    </comment>
    <comment ref="R825" authorId="0">
      <text>
        <r>
          <rPr>
            <sz val="10"/>
            <color rgb="FF000000"/>
            <rFont val="Tahoma"/>
            <charset val="1"/>
          </rPr>
          <t xml:space="preserve">built on machine doing relatively free digging = 200 tph, halve or quarter this for more difficult or insitu material
</t>
        </r>
      </text>
    </comment>
    <comment ref="S825" authorId="0">
      <text>
        <r>
          <rPr>
            <sz val="10"/>
            <color rgb="FF000000"/>
            <rFont val="Tahoma"/>
            <charset val="1"/>
          </rPr>
          <t xml:space="preserve">built on machine doing relatively free digging = 200 tph, halve or quarter this for more difficult or insitu material
</t>
        </r>
      </text>
    </comment>
    <comment ref="T825" authorId="0">
      <text>
        <r>
          <rPr>
            <sz val="10"/>
            <color rgb="FF000000"/>
            <rFont val="Tahoma"/>
            <charset val="1"/>
          </rPr>
          <t xml:space="preserve">built on machine doing relatively free digging = 200 tph, halve or quarter this for more difficult or insitu material
</t>
        </r>
      </text>
    </comment>
    <comment ref="U825" authorId="0">
      <text>
        <r>
          <rPr>
            <sz val="10"/>
            <color rgb="FF000000"/>
            <rFont val="Tahoma"/>
            <charset val="1"/>
          </rPr>
          <t xml:space="preserve">built on machine doing relatively free digging = 200 tph, halve or quarter this for more difficult or insitu material
</t>
        </r>
      </text>
    </comment>
    <comment ref="V825" authorId="0">
      <text>
        <r>
          <rPr>
            <sz val="10"/>
            <color rgb="FF000000"/>
            <rFont val="Tahoma"/>
            <charset val="1"/>
          </rPr>
          <t xml:space="preserve">built on machine doing relatively free digging = 200 tph, halve or quarter this for more difficult or insitu material
</t>
        </r>
      </text>
    </comment>
    <comment ref="W825" authorId="0">
      <text>
        <r>
          <rPr>
            <sz val="10"/>
            <color rgb="FF000000"/>
            <rFont val="Tahoma"/>
            <charset val="1"/>
          </rPr>
          <t xml:space="preserve">built on machine doing relatively free digging = 200 tph, halve or quarter this for more difficult or insitu material
</t>
        </r>
      </text>
    </comment>
    <comment ref="C827" authorId="0">
      <text>
        <r>
          <rPr>
            <sz val="10"/>
            <color rgb="FF000000"/>
            <rFont val="Tahoma"/>
            <charset val="1"/>
          </rPr>
          <t xml:space="preserve">data from Wirtgen
</t>
        </r>
      </text>
    </comment>
    <comment ref="D827" authorId="0">
      <text>
        <r>
          <rPr>
            <sz val="10"/>
            <color rgb="FF000000"/>
            <rFont val="Tahoma"/>
            <charset val="1"/>
          </rPr>
          <t xml:space="preserve">data from Wirtgen
</t>
        </r>
      </text>
    </comment>
    <comment ref="E827" authorId="0">
      <text>
        <r>
          <rPr>
            <sz val="10"/>
            <color rgb="FF000000"/>
            <rFont val="Tahoma"/>
            <charset val="1"/>
          </rPr>
          <t xml:space="preserve">data from Wirtgen
</t>
        </r>
      </text>
    </comment>
    <comment ref="F827" authorId="0">
      <text>
        <r>
          <rPr>
            <sz val="10"/>
            <color rgb="FF000000"/>
            <rFont val="Tahoma"/>
            <charset val="1"/>
          </rPr>
          <t xml:space="preserve">data from Wirtgen
</t>
        </r>
      </text>
    </comment>
    <comment ref="G827" authorId="0">
      <text>
        <r>
          <rPr>
            <sz val="10"/>
            <color rgb="FF000000"/>
            <rFont val="Tahoma"/>
            <charset val="1"/>
          </rPr>
          <t xml:space="preserve">data from Wirtgen
</t>
        </r>
      </text>
    </comment>
    <comment ref="H827" authorId="0">
      <text>
        <r>
          <rPr>
            <sz val="10"/>
            <color rgb="FF000000"/>
            <rFont val="Tahoma"/>
            <charset val="1"/>
          </rPr>
          <t xml:space="preserve">data from Wirtgen
</t>
        </r>
      </text>
    </comment>
    <comment ref="I827" authorId="0">
      <text>
        <r>
          <rPr>
            <sz val="10"/>
            <color rgb="FF000000"/>
            <rFont val="Tahoma"/>
            <charset val="1"/>
          </rPr>
          <t xml:space="preserve">data from Wirtgen
</t>
        </r>
      </text>
    </comment>
    <comment ref="J827" authorId="0">
      <text>
        <r>
          <rPr>
            <sz val="10"/>
            <color rgb="FF000000"/>
            <rFont val="Tahoma"/>
            <charset val="1"/>
          </rPr>
          <t xml:space="preserve">data from Wirtgen
</t>
        </r>
      </text>
    </comment>
    <comment ref="K827" authorId="0">
      <text>
        <r>
          <rPr>
            <sz val="10"/>
            <color rgb="FF000000"/>
            <rFont val="Tahoma"/>
            <charset val="1"/>
          </rPr>
          <t xml:space="preserve">data from Wirtgen
</t>
        </r>
      </text>
    </comment>
    <comment ref="L827" authorId="0">
      <text>
        <r>
          <rPr>
            <sz val="10"/>
            <color rgb="FF000000"/>
            <rFont val="Tahoma"/>
            <charset val="1"/>
          </rPr>
          <t xml:space="preserve">data from Wirtgen
</t>
        </r>
      </text>
    </comment>
    <comment ref="M827" authorId="0">
      <text>
        <r>
          <rPr>
            <sz val="10"/>
            <color rgb="FF000000"/>
            <rFont val="Tahoma"/>
            <charset val="1"/>
          </rPr>
          <t xml:space="preserve">data from Wirtgen
</t>
        </r>
      </text>
    </comment>
    <comment ref="N827" authorId="0">
      <text>
        <r>
          <rPr>
            <sz val="10"/>
            <color rgb="FF000000"/>
            <rFont val="Tahoma"/>
            <charset val="1"/>
          </rPr>
          <t xml:space="preserve">data from Wirtgen
</t>
        </r>
      </text>
    </comment>
    <comment ref="O827" authorId="0">
      <text>
        <r>
          <rPr>
            <sz val="10"/>
            <color rgb="FF000000"/>
            <rFont val="Tahoma"/>
            <charset val="1"/>
          </rPr>
          <t xml:space="preserve">data from Wirtgen
</t>
        </r>
      </text>
    </comment>
    <comment ref="P827" authorId="0">
      <text>
        <r>
          <rPr>
            <sz val="10"/>
            <color rgb="FF000000"/>
            <rFont val="Tahoma"/>
            <charset val="1"/>
          </rPr>
          <t xml:space="preserve">data from Wirtgen
</t>
        </r>
      </text>
    </comment>
    <comment ref="Q827" authorId="0">
      <text>
        <r>
          <rPr>
            <sz val="10"/>
            <color rgb="FF000000"/>
            <rFont val="Tahoma"/>
            <charset val="1"/>
          </rPr>
          <t xml:space="preserve">data from Wirtgen
</t>
        </r>
      </text>
    </comment>
    <comment ref="R827" authorId="0">
      <text>
        <r>
          <rPr>
            <sz val="10"/>
            <color rgb="FF000000"/>
            <rFont val="Tahoma"/>
            <charset val="1"/>
          </rPr>
          <t xml:space="preserve">data from Wirtgen
</t>
        </r>
      </text>
    </comment>
    <comment ref="S827" authorId="0">
      <text>
        <r>
          <rPr>
            <sz val="10"/>
            <color rgb="FF000000"/>
            <rFont val="Tahoma"/>
            <charset val="1"/>
          </rPr>
          <t xml:space="preserve">data from Wirtgen
</t>
        </r>
      </text>
    </comment>
    <comment ref="T827" authorId="0">
      <text>
        <r>
          <rPr>
            <sz val="10"/>
            <color rgb="FF000000"/>
            <rFont val="Tahoma"/>
            <charset val="1"/>
          </rPr>
          <t xml:space="preserve">data from Wirtgen
</t>
        </r>
      </text>
    </comment>
    <comment ref="U827" authorId="0">
      <text>
        <r>
          <rPr>
            <sz val="10"/>
            <color rgb="FF000000"/>
            <rFont val="Tahoma"/>
            <charset val="1"/>
          </rPr>
          <t xml:space="preserve">data from Wirtgen
</t>
        </r>
      </text>
    </comment>
    <comment ref="V827" authorId="0">
      <text>
        <r>
          <rPr>
            <sz val="10"/>
            <color rgb="FF000000"/>
            <rFont val="Tahoma"/>
            <charset val="1"/>
          </rPr>
          <t xml:space="preserve">data from Wirtgen
</t>
        </r>
      </text>
    </comment>
    <comment ref="W827" authorId="0">
      <text>
        <r>
          <rPr>
            <sz val="10"/>
            <color rgb="FF000000"/>
            <rFont val="Tahoma"/>
            <charset val="1"/>
          </rPr>
          <t xml:space="preserve">data from Wirtgen
</t>
        </r>
      </text>
    </comment>
    <comment ref="C828" authorId="0">
      <text>
        <r>
          <rPr>
            <sz val="10"/>
            <color rgb="FF000000"/>
            <rFont val="Tahoma"/>
            <charset val="1"/>
          </rPr>
          <t>2 on ground plus tending crew (2) and mtce crew allowance (2)</t>
        </r>
      </text>
    </comment>
    <comment ref="D828" authorId="0">
      <text>
        <r>
          <rPr>
            <sz val="10"/>
            <color rgb="FF000000"/>
            <rFont val="Tahoma"/>
            <charset val="1"/>
          </rPr>
          <t>2 on ground plus tending crew (2) and mtce crew allowance (2)</t>
        </r>
      </text>
    </comment>
    <comment ref="E828" authorId="0">
      <text>
        <r>
          <rPr>
            <sz val="10"/>
            <color rgb="FF000000"/>
            <rFont val="Tahoma"/>
            <charset val="1"/>
          </rPr>
          <t>2 on ground plus tending crew (2) and mtce crew allowance (2)</t>
        </r>
      </text>
    </comment>
    <comment ref="F828" authorId="0">
      <text>
        <r>
          <rPr>
            <sz val="10"/>
            <color rgb="FF000000"/>
            <rFont val="Tahoma"/>
            <charset val="1"/>
          </rPr>
          <t>2 on ground plus tending crew (2) and mtce crew allowance (2)</t>
        </r>
      </text>
    </comment>
    <comment ref="G828" authorId="0">
      <text>
        <r>
          <rPr>
            <sz val="10"/>
            <color rgb="FF000000"/>
            <rFont val="Tahoma"/>
            <charset val="1"/>
          </rPr>
          <t>2 on ground plus tending crew (2) and mtce crew allowance (2)</t>
        </r>
      </text>
    </comment>
    <comment ref="H828" authorId="0">
      <text>
        <r>
          <rPr>
            <sz val="10"/>
            <color rgb="FF000000"/>
            <rFont val="Tahoma"/>
            <charset val="1"/>
          </rPr>
          <t>2 on ground plus tending crew (2) and mtce crew allowance (2)</t>
        </r>
      </text>
    </comment>
    <comment ref="I828" authorId="0">
      <text>
        <r>
          <rPr>
            <sz val="10"/>
            <color rgb="FF000000"/>
            <rFont val="Tahoma"/>
            <charset val="1"/>
          </rPr>
          <t>2 on ground plus tending crew (2) and mtce crew allowance (2)</t>
        </r>
      </text>
    </comment>
    <comment ref="J828" authorId="0">
      <text>
        <r>
          <rPr>
            <sz val="10"/>
            <color rgb="FF000000"/>
            <rFont val="Tahoma"/>
            <charset val="1"/>
          </rPr>
          <t>2 on ground plus tending crew (2) and mtce crew allowance (2)</t>
        </r>
      </text>
    </comment>
    <comment ref="K828" authorId="0">
      <text>
        <r>
          <rPr>
            <sz val="10"/>
            <color rgb="FF000000"/>
            <rFont val="Tahoma"/>
            <charset val="1"/>
          </rPr>
          <t>2 on ground plus tending crew (2) and mtce crew allowance (2)</t>
        </r>
      </text>
    </comment>
    <comment ref="L828" authorId="0">
      <text>
        <r>
          <rPr>
            <sz val="10"/>
            <color rgb="FF000000"/>
            <rFont val="Tahoma"/>
            <charset val="1"/>
          </rPr>
          <t>2 on ground plus tending crew (2) and mtce crew allowance (2)</t>
        </r>
      </text>
    </comment>
    <comment ref="M828" authorId="0">
      <text>
        <r>
          <rPr>
            <sz val="10"/>
            <color rgb="FF000000"/>
            <rFont val="Tahoma"/>
            <charset val="1"/>
          </rPr>
          <t>2 on ground plus tending crew (2) and mtce crew allowance (2)</t>
        </r>
      </text>
    </comment>
    <comment ref="N828" authorId="0">
      <text>
        <r>
          <rPr>
            <sz val="10"/>
            <color rgb="FF000000"/>
            <rFont val="Tahoma"/>
            <charset val="1"/>
          </rPr>
          <t>2 on ground plus tending crew (2) and mtce crew allowance (2)</t>
        </r>
      </text>
    </comment>
    <comment ref="O828" authorId="0">
      <text>
        <r>
          <rPr>
            <sz val="10"/>
            <color rgb="FF000000"/>
            <rFont val="Tahoma"/>
            <charset val="1"/>
          </rPr>
          <t>2 on ground plus tending crew (2) and mtce crew allowance (2)</t>
        </r>
      </text>
    </comment>
    <comment ref="P828" authorId="0">
      <text>
        <r>
          <rPr>
            <sz val="10"/>
            <color rgb="FF000000"/>
            <rFont val="Tahoma"/>
            <charset val="1"/>
          </rPr>
          <t>2 on ground plus tending crew (2) and mtce crew allowance (2)</t>
        </r>
      </text>
    </comment>
    <comment ref="Q828" authorId="0">
      <text>
        <r>
          <rPr>
            <sz val="10"/>
            <color rgb="FF000000"/>
            <rFont val="Tahoma"/>
            <charset val="1"/>
          </rPr>
          <t>2 on ground plus tending crew (2) and mtce crew allowance (2)</t>
        </r>
      </text>
    </comment>
    <comment ref="R828" authorId="0">
      <text>
        <r>
          <rPr>
            <sz val="10"/>
            <color rgb="FF000000"/>
            <rFont val="Tahoma"/>
            <charset val="1"/>
          </rPr>
          <t>2 on ground plus tending crew (2) and mtce crew allowance (2)</t>
        </r>
      </text>
    </comment>
    <comment ref="S828" authorId="0">
      <text>
        <r>
          <rPr>
            <sz val="10"/>
            <color rgb="FF000000"/>
            <rFont val="Tahoma"/>
            <charset val="1"/>
          </rPr>
          <t>2 on ground plus tending crew (2) and mtce crew allowance (2)</t>
        </r>
      </text>
    </comment>
    <comment ref="T828" authorId="0">
      <text>
        <r>
          <rPr>
            <sz val="10"/>
            <color rgb="FF000000"/>
            <rFont val="Tahoma"/>
            <charset val="1"/>
          </rPr>
          <t>2 on ground plus tending crew (2) and mtce crew allowance (2)</t>
        </r>
      </text>
    </comment>
    <comment ref="U828" authorId="0">
      <text>
        <r>
          <rPr>
            <sz val="10"/>
            <color rgb="FF000000"/>
            <rFont val="Tahoma"/>
            <charset val="1"/>
          </rPr>
          <t>2 on ground plus tending crew (2) and mtce crew allowance (2)</t>
        </r>
      </text>
    </comment>
    <comment ref="V828" authorId="0">
      <text>
        <r>
          <rPr>
            <sz val="10"/>
            <color rgb="FF000000"/>
            <rFont val="Tahoma"/>
            <charset val="1"/>
          </rPr>
          <t>2 on ground plus tending crew (2) and mtce crew allowance (2)</t>
        </r>
      </text>
    </comment>
    <comment ref="W828" authorId="0">
      <text>
        <r>
          <rPr>
            <sz val="10"/>
            <color rgb="FF000000"/>
            <rFont val="Tahoma"/>
            <charset val="1"/>
          </rPr>
          <t>2 on ground plus tending crew (2) and mtce crew allowance (2)</t>
        </r>
      </text>
    </comment>
    <comment ref="C829" authorId="0">
      <text>
        <r>
          <rPr>
            <sz val="10"/>
            <color rgb="FF000000"/>
            <rFont val="Tahoma"/>
            <charset val="1"/>
          </rPr>
          <t xml:space="preserve">Wirtgen supplied data at 650 tph converted from euros to US$ and then to a per wmt rate
</t>
        </r>
      </text>
    </comment>
    <comment ref="D829" authorId="0">
      <text>
        <r>
          <rPr>
            <sz val="10"/>
            <color rgb="FF000000"/>
            <rFont val="Tahoma"/>
            <charset val="1"/>
          </rPr>
          <t xml:space="preserve">Wirtgen supplied data at 650 tph converted from euros to US$ and then to a per wmt rate
</t>
        </r>
      </text>
    </comment>
    <comment ref="E829" authorId="0">
      <text>
        <r>
          <rPr>
            <sz val="10"/>
            <color rgb="FF000000"/>
            <rFont val="Tahoma"/>
            <charset val="1"/>
          </rPr>
          <t xml:space="preserve">Wirtgen supplied data at 650 tph converted from euros to US$ and then to a per wmt rate
</t>
        </r>
      </text>
    </comment>
    <comment ref="F829" authorId="0">
      <text>
        <r>
          <rPr>
            <sz val="10"/>
            <color rgb="FF000000"/>
            <rFont val="Tahoma"/>
            <charset val="1"/>
          </rPr>
          <t xml:space="preserve">Wirtgen supplied data at 650 tph converted from euros to US$ and then to a per wmt rate
</t>
        </r>
      </text>
    </comment>
    <comment ref="G829" authorId="0">
      <text>
        <r>
          <rPr>
            <sz val="10"/>
            <color rgb="FF000000"/>
            <rFont val="Tahoma"/>
            <charset val="1"/>
          </rPr>
          <t xml:space="preserve">Wirtgen supplied data at 650 tph converted from euros to US$ and then to a per wmt rate
</t>
        </r>
      </text>
    </comment>
    <comment ref="H829" authorId="0">
      <text>
        <r>
          <rPr>
            <sz val="10"/>
            <color rgb="FF000000"/>
            <rFont val="Tahoma"/>
            <charset val="1"/>
          </rPr>
          <t xml:space="preserve">Wirtgen supplied data at 650 tph converted from euros to US$ and then to a per wmt rate
</t>
        </r>
      </text>
    </comment>
    <comment ref="I829" authorId="0">
      <text>
        <r>
          <rPr>
            <sz val="10"/>
            <color rgb="FF000000"/>
            <rFont val="Tahoma"/>
            <charset val="1"/>
          </rPr>
          <t xml:space="preserve">Wirtgen supplied data at 650 tph converted from euros to US$ and then to a per wmt rate
</t>
        </r>
      </text>
    </comment>
    <comment ref="J829" authorId="0">
      <text>
        <r>
          <rPr>
            <sz val="10"/>
            <color rgb="FF000000"/>
            <rFont val="Tahoma"/>
            <charset val="1"/>
          </rPr>
          <t xml:space="preserve">Wirtgen supplied data at 650 tph converted from euros to US$ and then to a per wmt rate
</t>
        </r>
      </text>
    </comment>
    <comment ref="K829" authorId="0">
      <text>
        <r>
          <rPr>
            <sz val="10"/>
            <color rgb="FF000000"/>
            <rFont val="Tahoma"/>
            <charset val="1"/>
          </rPr>
          <t xml:space="preserve">Wirtgen supplied data at 650 tph converted from euros to US$ and then to a per wmt rate
</t>
        </r>
      </text>
    </comment>
    <comment ref="L829" authorId="0">
      <text>
        <r>
          <rPr>
            <sz val="10"/>
            <color rgb="FF000000"/>
            <rFont val="Tahoma"/>
            <charset val="1"/>
          </rPr>
          <t xml:space="preserve">Wirtgen supplied data at 650 tph converted from euros to US$ and then to a per wmt rate
</t>
        </r>
      </text>
    </comment>
    <comment ref="M829" authorId="0">
      <text>
        <r>
          <rPr>
            <sz val="10"/>
            <color rgb="FF000000"/>
            <rFont val="Tahoma"/>
            <charset val="1"/>
          </rPr>
          <t xml:space="preserve">Wirtgen supplied data at 650 tph converted from euros to US$ and then to a per wmt rate
</t>
        </r>
      </text>
    </comment>
    <comment ref="N829" authorId="0">
      <text>
        <r>
          <rPr>
            <sz val="10"/>
            <color rgb="FF000000"/>
            <rFont val="Tahoma"/>
            <charset val="1"/>
          </rPr>
          <t xml:space="preserve">Wirtgen supplied data at 650 tph converted from euros to US$ and then to a per wmt rate
</t>
        </r>
      </text>
    </comment>
    <comment ref="O829" authorId="0">
      <text>
        <r>
          <rPr>
            <sz val="10"/>
            <color rgb="FF000000"/>
            <rFont val="Tahoma"/>
            <charset val="1"/>
          </rPr>
          <t xml:space="preserve">Wirtgen supplied data at 650 tph converted from euros to US$ and then to a per wmt rate
</t>
        </r>
      </text>
    </comment>
    <comment ref="P829" authorId="0">
      <text>
        <r>
          <rPr>
            <sz val="10"/>
            <color rgb="FF000000"/>
            <rFont val="Tahoma"/>
            <charset val="1"/>
          </rPr>
          <t xml:space="preserve">Wirtgen supplied data at 650 tph converted from euros to US$ and then to a per wmt rate
</t>
        </r>
      </text>
    </comment>
    <comment ref="Q829" authorId="0">
      <text>
        <r>
          <rPr>
            <sz val="10"/>
            <color rgb="FF000000"/>
            <rFont val="Tahoma"/>
            <charset val="1"/>
          </rPr>
          <t xml:space="preserve">Wirtgen supplied data at 650 tph converted from euros to US$ and then to a per wmt rate
</t>
        </r>
      </text>
    </comment>
    <comment ref="R829" authorId="0">
      <text>
        <r>
          <rPr>
            <sz val="10"/>
            <color rgb="FF000000"/>
            <rFont val="Tahoma"/>
            <charset val="1"/>
          </rPr>
          <t xml:space="preserve">Wirtgen supplied data at 650 tph converted from euros to US$ and then to a per wmt rate
</t>
        </r>
      </text>
    </comment>
    <comment ref="S829" authorId="0">
      <text>
        <r>
          <rPr>
            <sz val="10"/>
            <color rgb="FF000000"/>
            <rFont val="Tahoma"/>
            <charset val="1"/>
          </rPr>
          <t xml:space="preserve">Wirtgen supplied data at 650 tph converted from euros to US$ and then to a per wmt rate
</t>
        </r>
      </text>
    </comment>
    <comment ref="T829" authorId="0">
      <text>
        <r>
          <rPr>
            <sz val="10"/>
            <color rgb="FF000000"/>
            <rFont val="Tahoma"/>
            <charset val="1"/>
          </rPr>
          <t xml:space="preserve">Wirtgen supplied data at 650 tph converted from euros to US$ and then to a per wmt rate
</t>
        </r>
      </text>
    </comment>
    <comment ref="U829" authorId="0">
      <text>
        <r>
          <rPr>
            <sz val="10"/>
            <color rgb="FF000000"/>
            <rFont val="Tahoma"/>
            <charset val="1"/>
          </rPr>
          <t xml:space="preserve">Wirtgen supplied data at 650 tph converted from euros to US$ and then to a per wmt rate
</t>
        </r>
      </text>
    </comment>
    <comment ref="V829" authorId="0">
      <text>
        <r>
          <rPr>
            <sz val="10"/>
            <color rgb="FF000000"/>
            <rFont val="Tahoma"/>
            <charset val="1"/>
          </rPr>
          <t xml:space="preserve">Wirtgen supplied data at 650 tph converted from euros to US$ and then to a per wmt rate
</t>
        </r>
      </text>
    </comment>
    <comment ref="W829" authorId="0">
      <text>
        <r>
          <rPr>
            <sz val="10"/>
            <color rgb="FF000000"/>
            <rFont val="Tahoma"/>
            <charset val="1"/>
          </rPr>
          <t xml:space="preserve">Wirtgen supplied data at 650 tph converted from euros to US$ and then to a per wmt rate
</t>
        </r>
      </text>
    </comment>
    <comment ref="C847" authorId="0">
      <text>
        <r>
          <rPr>
            <sz val="10"/>
            <color rgb="FF000000"/>
            <rFont val="Tahoma"/>
            <charset val="1"/>
          </rPr>
          <t>tuned roughly to Henan Chine trip data</t>
        </r>
      </text>
    </comment>
    <comment ref="D847" authorId="0">
      <text>
        <r>
          <rPr>
            <sz val="10"/>
            <color rgb="FF000000"/>
            <rFont val="Tahoma"/>
            <charset val="1"/>
          </rPr>
          <t>tuned roughly to Henan Chine trip data</t>
        </r>
      </text>
    </comment>
    <comment ref="E847" authorId="0">
      <text>
        <r>
          <rPr>
            <sz val="10"/>
            <color rgb="FF000000"/>
            <rFont val="Tahoma"/>
            <charset val="1"/>
          </rPr>
          <t>tuned roughly to Henan Chine trip data</t>
        </r>
      </text>
    </comment>
    <comment ref="F847" authorId="0">
      <text>
        <r>
          <rPr>
            <sz val="10"/>
            <color rgb="FF000000"/>
            <rFont val="Tahoma"/>
            <charset val="1"/>
          </rPr>
          <t>tuned roughly to Henan Chine trip data</t>
        </r>
      </text>
    </comment>
    <comment ref="G847" authorId="0">
      <text>
        <r>
          <rPr>
            <sz val="10"/>
            <color rgb="FF000000"/>
            <rFont val="Tahoma"/>
            <charset val="1"/>
          </rPr>
          <t>tuned roughly to Henan Chine trip data</t>
        </r>
      </text>
    </comment>
    <comment ref="H847" authorId="0">
      <text>
        <r>
          <rPr>
            <sz val="10"/>
            <color rgb="FF000000"/>
            <rFont val="Tahoma"/>
            <charset val="1"/>
          </rPr>
          <t>tuned roughly to Henan Chine trip data</t>
        </r>
      </text>
    </comment>
    <comment ref="I847" authorId="0">
      <text>
        <r>
          <rPr>
            <sz val="10"/>
            <color rgb="FF000000"/>
            <rFont val="Tahoma"/>
            <charset val="1"/>
          </rPr>
          <t>tuned roughly to Henan Chine trip data</t>
        </r>
      </text>
    </comment>
    <comment ref="J847" authorId="0">
      <text>
        <r>
          <rPr>
            <sz val="10"/>
            <color rgb="FF000000"/>
            <rFont val="Tahoma"/>
            <charset val="1"/>
          </rPr>
          <t>tuned roughly to Henan Chine trip data</t>
        </r>
      </text>
    </comment>
    <comment ref="K847" authorId="0">
      <text>
        <r>
          <rPr>
            <sz val="10"/>
            <color rgb="FF000000"/>
            <rFont val="Tahoma"/>
            <charset val="1"/>
          </rPr>
          <t>tuned roughly to Henan Chine trip data</t>
        </r>
      </text>
    </comment>
    <comment ref="L847" authorId="0">
      <text>
        <r>
          <rPr>
            <sz val="10"/>
            <color rgb="FF000000"/>
            <rFont val="Tahoma"/>
            <charset val="1"/>
          </rPr>
          <t>tuned roughly to Henan Chine trip data</t>
        </r>
      </text>
    </comment>
    <comment ref="M847" authorId="0">
      <text>
        <r>
          <rPr>
            <sz val="10"/>
            <color rgb="FF000000"/>
            <rFont val="Tahoma"/>
            <charset val="1"/>
          </rPr>
          <t>tuned roughly to Henan Chine trip data</t>
        </r>
      </text>
    </comment>
    <comment ref="N847" authorId="0">
      <text>
        <r>
          <rPr>
            <sz val="10"/>
            <color rgb="FF000000"/>
            <rFont val="Tahoma"/>
            <charset val="1"/>
          </rPr>
          <t>tuned roughly to Henan Chine trip data</t>
        </r>
      </text>
    </comment>
    <comment ref="O847" authorId="0">
      <text>
        <r>
          <rPr>
            <sz val="10"/>
            <color rgb="FF000000"/>
            <rFont val="Tahoma"/>
            <charset val="1"/>
          </rPr>
          <t>tuned roughly to Henan Chine trip data</t>
        </r>
      </text>
    </comment>
    <comment ref="P847" authorId="0">
      <text>
        <r>
          <rPr>
            <sz val="10"/>
            <color rgb="FF000000"/>
            <rFont val="Tahoma"/>
            <charset val="1"/>
          </rPr>
          <t>tuned roughly to Henan Chine trip data</t>
        </r>
      </text>
    </comment>
    <comment ref="Q847" authorId="0">
      <text>
        <r>
          <rPr>
            <sz val="10"/>
            <color rgb="FF000000"/>
            <rFont val="Tahoma"/>
            <charset val="1"/>
          </rPr>
          <t>tuned roughly to Henan Chine trip data</t>
        </r>
      </text>
    </comment>
    <comment ref="R847" authorId="0">
      <text>
        <r>
          <rPr>
            <sz val="10"/>
            <color rgb="FF000000"/>
            <rFont val="Tahoma"/>
            <charset val="1"/>
          </rPr>
          <t>tuned roughly to Henan Chine trip data</t>
        </r>
      </text>
    </comment>
    <comment ref="S847" authorId="0">
      <text>
        <r>
          <rPr>
            <sz val="10"/>
            <color rgb="FF000000"/>
            <rFont val="Tahoma"/>
            <charset val="1"/>
          </rPr>
          <t>tuned roughly to Henan Chine trip data</t>
        </r>
      </text>
    </comment>
    <comment ref="T847" authorId="0">
      <text>
        <r>
          <rPr>
            <sz val="10"/>
            <color rgb="FF000000"/>
            <rFont val="Tahoma"/>
            <charset val="1"/>
          </rPr>
          <t>tuned roughly to Henan Chine trip data</t>
        </r>
      </text>
    </comment>
    <comment ref="U847" authorId="0">
      <text>
        <r>
          <rPr>
            <sz val="10"/>
            <color rgb="FF000000"/>
            <rFont val="Tahoma"/>
            <charset val="1"/>
          </rPr>
          <t>tuned roughly to Henan Chine trip data</t>
        </r>
      </text>
    </comment>
    <comment ref="V847" authorId="0">
      <text>
        <r>
          <rPr>
            <sz val="10"/>
            <color rgb="FF000000"/>
            <rFont val="Tahoma"/>
            <charset val="1"/>
          </rPr>
          <t>tuned roughly to Henan Chine trip data</t>
        </r>
      </text>
    </comment>
    <comment ref="W847" authorId="0">
      <text>
        <r>
          <rPr>
            <sz val="10"/>
            <color rgb="FF000000"/>
            <rFont val="Tahoma"/>
            <charset val="1"/>
          </rPr>
          <t>tuned roughly to Henan Chine trip data</t>
        </r>
      </text>
    </comment>
    <comment ref="C848" authorId="0">
      <text>
        <r>
          <rPr>
            <sz val="10"/>
            <color rgb="FF000000"/>
            <rFont val="Calibri"/>
            <charset val="1"/>
          </rPr>
          <t xml:space="preserve">Baes off India bx truck data &amp; Guidelines for Measuring and Managing CO2 Emission from Freight Transport Operations </t>
        </r>
      </text>
    </comment>
    <comment ref="D848" authorId="0">
      <text>
        <r>
          <rPr>
            <sz val="10"/>
            <color rgb="FF000000"/>
            <rFont val="Calibri"/>
            <charset val="1"/>
          </rPr>
          <t xml:space="preserve">Baes off India bx truck data &amp; Guidelines for Measuring and Managing CO2 Emission from Freight Transport Operations </t>
        </r>
      </text>
    </comment>
    <comment ref="E848" authorId="0">
      <text>
        <r>
          <rPr>
            <sz val="10"/>
            <color rgb="FF000000"/>
            <rFont val="Calibri"/>
            <charset val="1"/>
          </rPr>
          <t xml:space="preserve">Baes off India bx truck data &amp; Guidelines for Measuring and Managing CO2 Emission from Freight Transport Operations </t>
        </r>
      </text>
    </comment>
    <comment ref="F848" authorId="0">
      <text>
        <r>
          <rPr>
            <sz val="10"/>
            <color rgb="FF000000"/>
            <rFont val="Calibri"/>
            <charset val="1"/>
          </rPr>
          <t xml:space="preserve">Baes off India bx truck data &amp; Guidelines for Measuring and Managing CO2 Emission from Freight Transport Operations </t>
        </r>
      </text>
    </comment>
    <comment ref="G848" authorId="0">
      <text>
        <r>
          <rPr>
            <sz val="10"/>
            <color rgb="FF000000"/>
            <rFont val="Calibri"/>
            <charset val="1"/>
          </rPr>
          <t xml:space="preserve">Baes off India bx truck data &amp; Guidelines for Measuring and Managing CO2 Emission from Freight Transport Operations </t>
        </r>
      </text>
    </comment>
    <comment ref="H848" authorId="0">
      <text>
        <r>
          <rPr>
            <sz val="10"/>
            <color rgb="FF000000"/>
            <rFont val="Calibri"/>
            <charset val="1"/>
          </rPr>
          <t xml:space="preserve">Baes off India bx truck data &amp; Guidelines for Measuring and Managing CO2 Emission from Freight Transport Operations </t>
        </r>
      </text>
    </comment>
    <comment ref="I848" authorId="0">
      <text>
        <r>
          <rPr>
            <sz val="10"/>
            <color rgb="FF000000"/>
            <rFont val="Calibri"/>
            <charset val="1"/>
          </rPr>
          <t xml:space="preserve">Baes off India bx truck data &amp; Guidelines for Measuring and Managing CO2 Emission from Freight Transport Operations </t>
        </r>
      </text>
    </comment>
    <comment ref="J848" authorId="0">
      <text>
        <r>
          <rPr>
            <sz val="10"/>
            <color rgb="FF000000"/>
            <rFont val="Calibri"/>
            <charset val="1"/>
          </rPr>
          <t xml:space="preserve">Baes off India bx truck data &amp; Guidelines for Measuring and Managing CO2 Emission from Freight Transport Operations </t>
        </r>
      </text>
    </comment>
    <comment ref="K848" authorId="0">
      <text>
        <r>
          <rPr>
            <sz val="10"/>
            <color rgb="FF000000"/>
            <rFont val="Calibri"/>
            <charset val="1"/>
          </rPr>
          <t xml:space="preserve">Baes off India bx truck data &amp; Guidelines for Measuring and Managing CO2 Emission from Freight Transport Operations </t>
        </r>
      </text>
    </comment>
    <comment ref="L848" authorId="0">
      <text>
        <r>
          <rPr>
            <sz val="10"/>
            <color rgb="FF000000"/>
            <rFont val="Calibri"/>
            <charset val="1"/>
          </rPr>
          <t xml:space="preserve">Baes off India bx truck data &amp; Guidelines for Measuring and Managing CO2 Emission from Freight Transport Operations </t>
        </r>
      </text>
    </comment>
    <comment ref="M848" authorId="0">
      <text>
        <r>
          <rPr>
            <sz val="10"/>
            <color rgb="FF000000"/>
            <rFont val="Calibri"/>
            <charset val="1"/>
          </rPr>
          <t xml:space="preserve">Baes off India bx truck data &amp; Guidelines for Measuring and Managing CO2 Emission from Freight Transport Operations </t>
        </r>
      </text>
    </comment>
    <comment ref="N848" authorId="0">
      <text>
        <r>
          <rPr>
            <sz val="10"/>
            <color rgb="FF000000"/>
            <rFont val="Calibri"/>
            <charset val="1"/>
          </rPr>
          <t xml:space="preserve">Baes off India bx truck data &amp; Guidelines for Measuring and Managing CO2 Emission from Freight Transport Operations </t>
        </r>
      </text>
    </comment>
    <comment ref="O848" authorId="0">
      <text>
        <r>
          <rPr>
            <sz val="10"/>
            <color rgb="FF000000"/>
            <rFont val="Calibri"/>
            <charset val="1"/>
          </rPr>
          <t xml:space="preserve">Baes off India bx truck data &amp; Guidelines for Measuring and Managing CO2 Emission from Freight Transport Operations </t>
        </r>
      </text>
    </comment>
    <comment ref="P848" authorId="0">
      <text>
        <r>
          <rPr>
            <sz val="10"/>
            <color rgb="FF000000"/>
            <rFont val="Calibri"/>
            <charset val="1"/>
          </rPr>
          <t xml:space="preserve">Baes off India bx truck data &amp; Guidelines for Measuring and Managing CO2 Emission from Freight Transport Operations </t>
        </r>
      </text>
    </comment>
    <comment ref="Q848" authorId="0">
      <text>
        <r>
          <rPr>
            <sz val="10"/>
            <color rgb="FF000000"/>
            <rFont val="Calibri"/>
            <charset val="1"/>
          </rPr>
          <t xml:space="preserve">Baes off India bx truck data &amp; Guidelines for Measuring and Managing CO2 Emission from Freight Transport Operations </t>
        </r>
      </text>
    </comment>
    <comment ref="R848" authorId="0">
      <text>
        <r>
          <rPr>
            <sz val="10"/>
            <color rgb="FF000000"/>
            <rFont val="Calibri"/>
            <charset val="1"/>
          </rPr>
          <t xml:space="preserve">Baes off India bx truck data &amp; Guidelines for Measuring and Managing CO2 Emission from Freight Transport Operations </t>
        </r>
      </text>
    </comment>
    <comment ref="S848" authorId="0">
      <text>
        <r>
          <rPr>
            <sz val="10"/>
            <color rgb="FF000000"/>
            <rFont val="Calibri"/>
            <charset val="1"/>
          </rPr>
          <t xml:space="preserve">Baes off India bx truck data &amp; Guidelines for Measuring and Managing CO2 Emission from Freight Transport Operations </t>
        </r>
      </text>
    </comment>
    <comment ref="T848" authorId="0">
      <text>
        <r>
          <rPr>
            <sz val="10"/>
            <color rgb="FF000000"/>
            <rFont val="Calibri"/>
            <charset val="1"/>
          </rPr>
          <t xml:space="preserve">Baes off India bx truck data &amp; Guidelines for Measuring and Managing CO2 Emission from Freight Transport Operations </t>
        </r>
      </text>
    </comment>
    <comment ref="U848" authorId="0">
      <text>
        <r>
          <rPr>
            <sz val="10"/>
            <color rgb="FF000000"/>
            <rFont val="Calibri"/>
            <charset val="1"/>
          </rPr>
          <t xml:space="preserve">Baes off India bx truck data &amp; Guidelines for Measuring and Managing CO2 Emission from Freight Transport Operations </t>
        </r>
      </text>
    </comment>
    <comment ref="V848" authorId="0">
      <text>
        <r>
          <rPr>
            <sz val="10"/>
            <color rgb="FF000000"/>
            <rFont val="Calibri"/>
            <charset val="1"/>
          </rPr>
          <t xml:space="preserve">Baes off India bx truck data &amp; Guidelines for Measuring and Managing CO2 Emission from Freight Transport Operations </t>
        </r>
      </text>
    </comment>
    <comment ref="W848" authorId="0">
      <text>
        <r>
          <rPr>
            <sz val="10"/>
            <color rgb="FF000000"/>
            <rFont val="Calibri"/>
            <charset val="1"/>
          </rPr>
          <t xml:space="preserve">Baes off India bx truck data &amp; Guidelines for Measuring and Managing CO2 Emission from Freight Transport Operations </t>
        </r>
      </text>
    </comment>
    <comment ref="C849" authorId="0">
      <text>
        <r>
          <rPr>
            <sz val="10"/>
            <color rgb="FF000000"/>
            <rFont val="Tahoma"/>
            <charset val="1"/>
          </rPr>
          <t>tuned roughly to Henan Chine trip data</t>
        </r>
      </text>
    </comment>
    <comment ref="D849" authorId="0">
      <text>
        <r>
          <rPr>
            <sz val="10"/>
            <color rgb="FF000000"/>
            <rFont val="Tahoma"/>
            <charset val="1"/>
          </rPr>
          <t>tuned roughly to Henan Chine trip data</t>
        </r>
      </text>
    </comment>
    <comment ref="E849" authorId="0">
      <text>
        <r>
          <rPr>
            <sz val="10"/>
            <color rgb="FF000000"/>
            <rFont val="Tahoma"/>
            <charset val="1"/>
          </rPr>
          <t>tuned roughly to Henan Chine trip data</t>
        </r>
      </text>
    </comment>
    <comment ref="F849" authorId="0">
      <text>
        <r>
          <rPr>
            <sz val="10"/>
            <color rgb="FF000000"/>
            <rFont val="Tahoma"/>
            <charset val="1"/>
          </rPr>
          <t>tuned roughly to Henan Chine trip data</t>
        </r>
      </text>
    </comment>
    <comment ref="G849" authorId="0">
      <text>
        <r>
          <rPr>
            <sz val="10"/>
            <color rgb="FF000000"/>
            <rFont val="Tahoma"/>
            <charset val="1"/>
          </rPr>
          <t>tuned roughly to Henan Chine trip data</t>
        </r>
      </text>
    </comment>
    <comment ref="H849" authorId="0">
      <text>
        <r>
          <rPr>
            <sz val="10"/>
            <color rgb="FF000000"/>
            <rFont val="Tahoma"/>
            <charset val="1"/>
          </rPr>
          <t>tuned roughly to Henan Chine trip data</t>
        </r>
      </text>
    </comment>
    <comment ref="I849" authorId="0">
      <text>
        <r>
          <rPr>
            <sz val="10"/>
            <color rgb="FF000000"/>
            <rFont val="Tahoma"/>
            <charset val="1"/>
          </rPr>
          <t>tuned roughly to Henan Chine trip data</t>
        </r>
      </text>
    </comment>
    <comment ref="J849" authorId="0">
      <text>
        <r>
          <rPr>
            <sz val="10"/>
            <color rgb="FF000000"/>
            <rFont val="Tahoma"/>
            <charset val="1"/>
          </rPr>
          <t>tuned roughly to Henan Chine trip data</t>
        </r>
      </text>
    </comment>
    <comment ref="K849" authorId="0">
      <text>
        <r>
          <rPr>
            <sz val="10"/>
            <color rgb="FF000000"/>
            <rFont val="Tahoma"/>
            <charset val="1"/>
          </rPr>
          <t>tuned roughly to Henan Chine trip data</t>
        </r>
      </text>
    </comment>
    <comment ref="L849" authorId="0">
      <text>
        <r>
          <rPr>
            <sz val="10"/>
            <color rgb="FF000000"/>
            <rFont val="Tahoma"/>
            <charset val="1"/>
          </rPr>
          <t>tuned roughly to Henan Chine trip data</t>
        </r>
      </text>
    </comment>
    <comment ref="M849" authorId="0">
      <text>
        <r>
          <rPr>
            <sz val="10"/>
            <color rgb="FF000000"/>
            <rFont val="Tahoma"/>
            <charset val="1"/>
          </rPr>
          <t>tuned roughly to Henan Chine trip data</t>
        </r>
      </text>
    </comment>
    <comment ref="N849" authorId="0">
      <text>
        <r>
          <rPr>
            <sz val="10"/>
            <color rgb="FF000000"/>
            <rFont val="Tahoma"/>
            <charset val="1"/>
          </rPr>
          <t>tuned roughly to Henan Chine trip data</t>
        </r>
      </text>
    </comment>
    <comment ref="O849" authorId="0">
      <text>
        <r>
          <rPr>
            <sz val="10"/>
            <color rgb="FF000000"/>
            <rFont val="Tahoma"/>
            <charset val="1"/>
          </rPr>
          <t>tuned roughly to Henan Chine trip data</t>
        </r>
      </text>
    </comment>
    <comment ref="P849" authorId="0">
      <text>
        <r>
          <rPr>
            <sz val="10"/>
            <color rgb="FF000000"/>
            <rFont val="Tahoma"/>
            <charset val="1"/>
          </rPr>
          <t>tuned roughly to Henan Chine trip data</t>
        </r>
      </text>
    </comment>
    <comment ref="Q849" authorId="0">
      <text>
        <r>
          <rPr>
            <sz val="10"/>
            <color rgb="FF000000"/>
            <rFont val="Tahoma"/>
            <charset val="1"/>
          </rPr>
          <t>tuned roughly to Henan Chine trip data</t>
        </r>
      </text>
    </comment>
    <comment ref="R849" authorId="0">
      <text>
        <r>
          <rPr>
            <sz val="10"/>
            <color rgb="FF000000"/>
            <rFont val="Tahoma"/>
            <charset val="1"/>
          </rPr>
          <t>tuned roughly to Henan Chine trip data</t>
        </r>
      </text>
    </comment>
    <comment ref="S849" authorId="0">
      <text>
        <r>
          <rPr>
            <sz val="10"/>
            <color rgb="FF000000"/>
            <rFont val="Tahoma"/>
            <charset val="1"/>
          </rPr>
          <t>tuned roughly to Henan Chine trip data</t>
        </r>
      </text>
    </comment>
    <comment ref="T849" authorId="0">
      <text>
        <r>
          <rPr>
            <sz val="10"/>
            <color rgb="FF000000"/>
            <rFont val="Tahoma"/>
            <charset val="1"/>
          </rPr>
          <t>tuned roughly to Henan Chine trip data</t>
        </r>
      </text>
    </comment>
    <comment ref="U849" authorId="0">
      <text>
        <r>
          <rPr>
            <sz val="10"/>
            <color rgb="FF000000"/>
            <rFont val="Tahoma"/>
            <charset val="1"/>
          </rPr>
          <t>tuned roughly to Henan Chine trip data</t>
        </r>
      </text>
    </comment>
    <comment ref="V849" authorId="0">
      <text>
        <r>
          <rPr>
            <sz val="10"/>
            <color rgb="FF000000"/>
            <rFont val="Tahoma"/>
            <charset val="1"/>
          </rPr>
          <t>tuned roughly to Henan Chine trip data</t>
        </r>
      </text>
    </comment>
    <comment ref="W849" authorId="0">
      <text>
        <r>
          <rPr>
            <sz val="10"/>
            <color rgb="FF000000"/>
            <rFont val="Tahoma"/>
            <charset val="1"/>
          </rPr>
          <t>tuned roughly to Henan Chine trip data</t>
        </r>
      </text>
    </comment>
    <comment ref="C877" authorId="0">
      <text>
        <r>
          <rPr>
            <sz val="10"/>
            <color rgb="FF000000"/>
            <rFont val="Tahoma"/>
            <charset val="1"/>
          </rPr>
          <t xml:space="preserve">built on machine doing relatively free digging = 200 tph, halve or quarter this for more difficult or insitu material
</t>
        </r>
      </text>
    </comment>
    <comment ref="D877" authorId="0">
      <text>
        <r>
          <rPr>
            <sz val="10"/>
            <color rgb="FF000000"/>
            <rFont val="Tahoma"/>
            <charset val="1"/>
          </rPr>
          <t xml:space="preserve">built on machine doing relatively free digging = 200 tph, halve or quarter this for more difficult or insitu material
</t>
        </r>
      </text>
    </comment>
    <comment ref="E877" authorId="0">
      <text>
        <r>
          <rPr>
            <sz val="10"/>
            <color rgb="FF000000"/>
            <rFont val="Tahoma"/>
            <charset val="1"/>
          </rPr>
          <t xml:space="preserve">built on machine doing relatively free digging = 200 tph, halve or quarter this for more difficult or insitu material
</t>
        </r>
      </text>
    </comment>
    <comment ref="F877" authorId="0">
      <text>
        <r>
          <rPr>
            <sz val="10"/>
            <color rgb="FF000000"/>
            <rFont val="Tahoma"/>
            <charset val="1"/>
          </rPr>
          <t xml:space="preserve">built on machine doing relatively free digging = 200 tph, halve or quarter this for more difficult or insitu material
</t>
        </r>
      </text>
    </comment>
    <comment ref="G877" authorId="0">
      <text>
        <r>
          <rPr>
            <sz val="10"/>
            <color rgb="FF000000"/>
            <rFont val="Tahoma"/>
            <charset val="1"/>
          </rPr>
          <t xml:space="preserve">built on machine doing relatively free digging = 200 tph, halve or quarter this for more difficult or insitu material
</t>
        </r>
      </text>
    </comment>
    <comment ref="H877" authorId="0">
      <text>
        <r>
          <rPr>
            <sz val="10"/>
            <color rgb="FF000000"/>
            <rFont val="Tahoma"/>
            <charset val="1"/>
          </rPr>
          <t xml:space="preserve">built on machine doing relatively free digging = 200 tph, halve or quarter this for more difficult or insitu material
</t>
        </r>
      </text>
    </comment>
    <comment ref="I877" authorId="0">
      <text>
        <r>
          <rPr>
            <sz val="10"/>
            <color rgb="FF000000"/>
            <rFont val="Tahoma"/>
            <charset val="1"/>
          </rPr>
          <t xml:space="preserve">built on machine doing relatively free digging = 200 tph, halve or quarter this for more difficult or insitu material
</t>
        </r>
      </text>
    </comment>
    <comment ref="J877" authorId="0">
      <text>
        <r>
          <rPr>
            <sz val="10"/>
            <color rgb="FF000000"/>
            <rFont val="Tahoma"/>
            <charset val="1"/>
          </rPr>
          <t xml:space="preserve">built on machine doing relatively free digging = 200 tph, halve or quarter this for more difficult or insitu material
</t>
        </r>
      </text>
    </comment>
    <comment ref="K877" authorId="0">
      <text>
        <r>
          <rPr>
            <sz val="10"/>
            <color rgb="FF000000"/>
            <rFont val="Tahoma"/>
            <charset val="1"/>
          </rPr>
          <t xml:space="preserve">built on machine doing relatively free digging = 200 tph, halve or quarter this for more difficult or insitu material
</t>
        </r>
      </text>
    </comment>
    <comment ref="L877" authorId="0">
      <text>
        <r>
          <rPr>
            <sz val="10"/>
            <color rgb="FF000000"/>
            <rFont val="Tahoma"/>
            <charset val="1"/>
          </rPr>
          <t xml:space="preserve">built on machine doing relatively free digging = 200 tph, halve or quarter this for more difficult or insitu material
</t>
        </r>
      </text>
    </comment>
    <comment ref="M877" authorId="0">
      <text>
        <r>
          <rPr>
            <sz val="10"/>
            <color rgb="FF000000"/>
            <rFont val="Tahoma"/>
            <charset val="1"/>
          </rPr>
          <t xml:space="preserve">built on machine doing relatively free digging = 200 tph, halve or quarter this for more difficult or insitu material
</t>
        </r>
      </text>
    </comment>
    <comment ref="N877" authorId="0">
      <text>
        <r>
          <rPr>
            <sz val="10"/>
            <color rgb="FF000000"/>
            <rFont val="Tahoma"/>
            <charset val="1"/>
          </rPr>
          <t xml:space="preserve">built on machine doing relatively free digging = 200 tph, halve or quarter this for more difficult or insitu material
</t>
        </r>
      </text>
    </comment>
    <comment ref="O877" authorId="0">
      <text>
        <r>
          <rPr>
            <sz val="10"/>
            <color rgb="FF000000"/>
            <rFont val="Tahoma"/>
            <charset val="1"/>
          </rPr>
          <t xml:space="preserve">built on machine doing relatively free digging = 200 tph, halve or quarter this for more difficult or insitu material
</t>
        </r>
      </text>
    </comment>
    <comment ref="P877" authorId="0">
      <text>
        <r>
          <rPr>
            <sz val="10"/>
            <color rgb="FF000000"/>
            <rFont val="Tahoma"/>
            <charset val="1"/>
          </rPr>
          <t xml:space="preserve">built on machine doing relatively free digging = 200 tph, halve or quarter this for more difficult or insitu material
</t>
        </r>
      </text>
    </comment>
    <comment ref="Q877" authorId="0">
      <text>
        <r>
          <rPr>
            <sz val="10"/>
            <color rgb="FF000000"/>
            <rFont val="Tahoma"/>
            <charset val="1"/>
          </rPr>
          <t xml:space="preserve">built on machine doing relatively free digging = 200 tph, halve or quarter this for more difficult or insitu material
</t>
        </r>
      </text>
    </comment>
    <comment ref="R877" authorId="0">
      <text>
        <r>
          <rPr>
            <sz val="10"/>
            <color rgb="FF000000"/>
            <rFont val="Tahoma"/>
            <charset val="1"/>
          </rPr>
          <t xml:space="preserve">built on machine doing relatively free digging = 200 tph, halve or quarter this for more difficult or insitu material
</t>
        </r>
      </text>
    </comment>
    <comment ref="S877" authorId="0">
      <text>
        <r>
          <rPr>
            <sz val="10"/>
            <color rgb="FF000000"/>
            <rFont val="Tahoma"/>
            <charset val="1"/>
          </rPr>
          <t xml:space="preserve">built on machine doing relatively free digging = 200 tph, halve or quarter this for more difficult or insitu material
</t>
        </r>
      </text>
    </comment>
    <comment ref="T877" authorId="0">
      <text>
        <r>
          <rPr>
            <sz val="10"/>
            <color rgb="FF000000"/>
            <rFont val="Tahoma"/>
            <charset val="1"/>
          </rPr>
          <t xml:space="preserve">built on machine doing relatively free digging = 200 tph, halve or quarter this for more difficult or insitu material
</t>
        </r>
      </text>
    </comment>
    <comment ref="U877" authorId="0">
      <text>
        <r>
          <rPr>
            <sz val="10"/>
            <color rgb="FF000000"/>
            <rFont val="Tahoma"/>
            <charset val="1"/>
          </rPr>
          <t xml:space="preserve">built on machine doing relatively free digging = 200 tph, halve or quarter this for more difficult or insitu material
</t>
        </r>
      </text>
    </comment>
    <comment ref="V877" authorId="0">
      <text>
        <r>
          <rPr>
            <sz val="10"/>
            <color rgb="FF000000"/>
            <rFont val="Tahoma"/>
            <charset val="1"/>
          </rPr>
          <t xml:space="preserve">built on machine doing relatively free digging = 200 tph, halve or quarter this for more difficult or insitu material
</t>
        </r>
      </text>
    </comment>
    <comment ref="W877" authorId="0">
      <text>
        <r>
          <rPr>
            <sz val="10"/>
            <color rgb="FF000000"/>
            <rFont val="Tahoma"/>
            <charset val="1"/>
          </rPr>
          <t xml:space="preserve">built on machine doing relatively free digging = 200 tph, halve or quarter this for more difficult or insitu material
</t>
        </r>
      </text>
    </comment>
    <comment ref="C879" authorId="0">
      <text>
        <r>
          <rPr>
            <sz val="10"/>
            <color rgb="FF000000"/>
            <rFont val="Tahoma"/>
            <charset val="1"/>
          </rPr>
          <t xml:space="preserve">data from Wirtgen
</t>
        </r>
      </text>
    </comment>
    <comment ref="D879" authorId="0">
      <text>
        <r>
          <rPr>
            <sz val="10"/>
            <color rgb="FF000000"/>
            <rFont val="Tahoma"/>
            <charset val="1"/>
          </rPr>
          <t xml:space="preserve">data from Wirtgen
</t>
        </r>
      </text>
    </comment>
    <comment ref="E879" authorId="0">
      <text>
        <r>
          <rPr>
            <sz val="10"/>
            <color rgb="FF000000"/>
            <rFont val="Tahoma"/>
            <charset val="1"/>
          </rPr>
          <t xml:space="preserve">data from Wirtgen
</t>
        </r>
      </text>
    </comment>
    <comment ref="F879" authorId="0">
      <text>
        <r>
          <rPr>
            <sz val="10"/>
            <color rgb="FF000000"/>
            <rFont val="Tahoma"/>
            <charset val="1"/>
          </rPr>
          <t xml:space="preserve">data from Wirtgen
</t>
        </r>
      </text>
    </comment>
    <comment ref="G879" authorId="0">
      <text>
        <r>
          <rPr>
            <sz val="10"/>
            <color rgb="FF000000"/>
            <rFont val="Tahoma"/>
            <charset val="1"/>
          </rPr>
          <t xml:space="preserve">data from Wirtgen
</t>
        </r>
      </text>
    </comment>
    <comment ref="H879" authorId="0">
      <text>
        <r>
          <rPr>
            <sz val="10"/>
            <color rgb="FF000000"/>
            <rFont val="Tahoma"/>
            <charset val="1"/>
          </rPr>
          <t xml:space="preserve">data from Wirtgen
</t>
        </r>
      </text>
    </comment>
    <comment ref="I879" authorId="0">
      <text>
        <r>
          <rPr>
            <sz val="10"/>
            <color rgb="FF000000"/>
            <rFont val="Tahoma"/>
            <charset val="1"/>
          </rPr>
          <t xml:space="preserve">data from Wirtgen
</t>
        </r>
      </text>
    </comment>
    <comment ref="J879" authorId="0">
      <text>
        <r>
          <rPr>
            <sz val="10"/>
            <color rgb="FF000000"/>
            <rFont val="Tahoma"/>
            <charset val="1"/>
          </rPr>
          <t xml:space="preserve">data from Wirtgen
</t>
        </r>
      </text>
    </comment>
    <comment ref="K879" authorId="0">
      <text>
        <r>
          <rPr>
            <sz val="10"/>
            <color rgb="FF000000"/>
            <rFont val="Tahoma"/>
            <charset val="1"/>
          </rPr>
          <t xml:space="preserve">data from Wirtgen
</t>
        </r>
      </text>
    </comment>
    <comment ref="L879" authorId="0">
      <text>
        <r>
          <rPr>
            <sz val="10"/>
            <color rgb="FF000000"/>
            <rFont val="Tahoma"/>
            <charset val="1"/>
          </rPr>
          <t xml:space="preserve">data from Wirtgen
</t>
        </r>
      </text>
    </comment>
    <comment ref="M879" authorId="0">
      <text>
        <r>
          <rPr>
            <sz val="10"/>
            <color rgb="FF000000"/>
            <rFont val="Tahoma"/>
            <charset val="1"/>
          </rPr>
          <t xml:space="preserve">data from Wirtgen
</t>
        </r>
      </text>
    </comment>
    <comment ref="N879" authorId="0">
      <text>
        <r>
          <rPr>
            <sz val="10"/>
            <color rgb="FF000000"/>
            <rFont val="Tahoma"/>
            <charset val="1"/>
          </rPr>
          <t xml:space="preserve">data from Wirtgen
</t>
        </r>
      </text>
    </comment>
    <comment ref="O879" authorId="0">
      <text>
        <r>
          <rPr>
            <sz val="10"/>
            <color rgb="FF000000"/>
            <rFont val="Tahoma"/>
            <charset val="1"/>
          </rPr>
          <t xml:space="preserve">data from Wirtgen
</t>
        </r>
      </text>
    </comment>
    <comment ref="P879" authorId="0">
      <text>
        <r>
          <rPr>
            <sz val="10"/>
            <color rgb="FF000000"/>
            <rFont val="Tahoma"/>
            <charset val="1"/>
          </rPr>
          <t xml:space="preserve">data from Wirtgen
</t>
        </r>
      </text>
    </comment>
    <comment ref="Q879" authorId="0">
      <text>
        <r>
          <rPr>
            <sz val="10"/>
            <color rgb="FF000000"/>
            <rFont val="Tahoma"/>
            <charset val="1"/>
          </rPr>
          <t xml:space="preserve">data from Wirtgen
</t>
        </r>
      </text>
    </comment>
    <comment ref="R879" authorId="0">
      <text>
        <r>
          <rPr>
            <sz val="10"/>
            <color rgb="FF000000"/>
            <rFont val="Tahoma"/>
            <charset val="1"/>
          </rPr>
          <t xml:space="preserve">data from Wirtgen
</t>
        </r>
      </text>
    </comment>
    <comment ref="S879" authorId="0">
      <text>
        <r>
          <rPr>
            <sz val="10"/>
            <color rgb="FF000000"/>
            <rFont val="Tahoma"/>
            <charset val="1"/>
          </rPr>
          <t xml:space="preserve">data from Wirtgen
</t>
        </r>
      </text>
    </comment>
    <comment ref="T879" authorId="0">
      <text>
        <r>
          <rPr>
            <sz val="10"/>
            <color rgb="FF000000"/>
            <rFont val="Tahoma"/>
            <charset val="1"/>
          </rPr>
          <t xml:space="preserve">data from Wirtgen
</t>
        </r>
      </text>
    </comment>
    <comment ref="U879" authorId="0">
      <text>
        <r>
          <rPr>
            <sz val="10"/>
            <color rgb="FF000000"/>
            <rFont val="Tahoma"/>
            <charset val="1"/>
          </rPr>
          <t xml:space="preserve">data from Wirtgen
</t>
        </r>
      </text>
    </comment>
    <comment ref="V879" authorId="0">
      <text>
        <r>
          <rPr>
            <sz val="10"/>
            <color rgb="FF000000"/>
            <rFont val="Tahoma"/>
            <charset val="1"/>
          </rPr>
          <t xml:space="preserve">data from Wirtgen
</t>
        </r>
      </text>
    </comment>
    <comment ref="W879" authorId="0">
      <text>
        <r>
          <rPr>
            <sz val="10"/>
            <color rgb="FF000000"/>
            <rFont val="Tahoma"/>
            <charset val="1"/>
          </rPr>
          <t xml:space="preserve">data from Wirtgen
</t>
        </r>
      </text>
    </comment>
    <comment ref="C880" authorId="0">
      <text>
        <r>
          <rPr>
            <sz val="10"/>
            <color rgb="FF000000"/>
            <rFont val="Tahoma"/>
            <charset val="1"/>
          </rPr>
          <t>2 on ground plus tending crew (2) and mtce crew allowance (2)</t>
        </r>
      </text>
    </comment>
    <comment ref="D880" authorId="0">
      <text>
        <r>
          <rPr>
            <sz val="10"/>
            <color rgb="FF000000"/>
            <rFont val="Tahoma"/>
            <charset val="1"/>
          </rPr>
          <t>2 on ground plus tending crew (2) and mtce crew allowance (2)</t>
        </r>
      </text>
    </comment>
    <comment ref="E880" authorId="0">
      <text>
        <r>
          <rPr>
            <sz val="10"/>
            <color rgb="FF000000"/>
            <rFont val="Tahoma"/>
            <charset val="1"/>
          </rPr>
          <t>2 on ground plus tending crew (2) and mtce crew allowance (2)</t>
        </r>
      </text>
    </comment>
    <comment ref="F880" authorId="0">
      <text>
        <r>
          <rPr>
            <sz val="10"/>
            <color rgb="FF000000"/>
            <rFont val="Tahoma"/>
            <charset val="1"/>
          </rPr>
          <t>2 on ground plus tending crew (2) and mtce crew allowance (2)</t>
        </r>
      </text>
    </comment>
    <comment ref="G880" authorId="0">
      <text>
        <r>
          <rPr>
            <sz val="10"/>
            <color rgb="FF000000"/>
            <rFont val="Tahoma"/>
            <charset val="1"/>
          </rPr>
          <t>2 on ground plus tending crew (2) and mtce crew allowance (2)</t>
        </r>
      </text>
    </comment>
    <comment ref="H880" authorId="0">
      <text>
        <r>
          <rPr>
            <sz val="10"/>
            <color rgb="FF000000"/>
            <rFont val="Tahoma"/>
            <charset val="1"/>
          </rPr>
          <t>2 on ground plus tending crew (2) and mtce crew allowance (2)</t>
        </r>
      </text>
    </comment>
    <comment ref="I880" authorId="0">
      <text>
        <r>
          <rPr>
            <sz val="10"/>
            <color rgb="FF000000"/>
            <rFont val="Tahoma"/>
            <charset val="1"/>
          </rPr>
          <t>2 on ground plus tending crew (2) and mtce crew allowance (2)</t>
        </r>
      </text>
    </comment>
    <comment ref="J880" authorId="0">
      <text>
        <r>
          <rPr>
            <sz val="10"/>
            <color rgb="FF000000"/>
            <rFont val="Tahoma"/>
            <charset val="1"/>
          </rPr>
          <t>2 on ground plus tending crew (2) and mtce crew allowance (2)</t>
        </r>
      </text>
    </comment>
    <comment ref="K880" authorId="0">
      <text>
        <r>
          <rPr>
            <sz val="10"/>
            <color rgb="FF000000"/>
            <rFont val="Tahoma"/>
            <charset val="1"/>
          </rPr>
          <t>2 on ground plus tending crew (2) and mtce crew allowance (2)</t>
        </r>
      </text>
    </comment>
    <comment ref="L880" authorId="0">
      <text>
        <r>
          <rPr>
            <sz val="10"/>
            <color rgb="FF000000"/>
            <rFont val="Tahoma"/>
            <charset val="1"/>
          </rPr>
          <t>2 on ground plus tending crew (2) and mtce crew allowance (2)</t>
        </r>
      </text>
    </comment>
    <comment ref="M880" authorId="0">
      <text>
        <r>
          <rPr>
            <sz val="10"/>
            <color rgb="FF000000"/>
            <rFont val="Tahoma"/>
            <charset val="1"/>
          </rPr>
          <t>2 on ground plus tending crew (2) and mtce crew allowance (2)</t>
        </r>
      </text>
    </comment>
    <comment ref="N880" authorId="0">
      <text>
        <r>
          <rPr>
            <sz val="10"/>
            <color rgb="FF000000"/>
            <rFont val="Tahoma"/>
            <charset val="1"/>
          </rPr>
          <t>2 on ground plus tending crew (2) and mtce crew allowance (2)</t>
        </r>
      </text>
    </comment>
    <comment ref="O880" authorId="0">
      <text>
        <r>
          <rPr>
            <sz val="10"/>
            <color rgb="FF000000"/>
            <rFont val="Tahoma"/>
            <charset val="1"/>
          </rPr>
          <t>2 on ground plus tending crew (2) and mtce crew allowance (2)</t>
        </r>
      </text>
    </comment>
    <comment ref="P880" authorId="0">
      <text>
        <r>
          <rPr>
            <sz val="10"/>
            <color rgb="FF000000"/>
            <rFont val="Tahoma"/>
            <charset val="1"/>
          </rPr>
          <t>2 on ground plus tending crew (2) and mtce crew allowance (2)</t>
        </r>
      </text>
    </comment>
    <comment ref="Q880" authorId="0">
      <text>
        <r>
          <rPr>
            <sz val="10"/>
            <color rgb="FF000000"/>
            <rFont val="Tahoma"/>
            <charset val="1"/>
          </rPr>
          <t>2 on ground plus tending crew (2) and mtce crew allowance (2)</t>
        </r>
      </text>
    </comment>
    <comment ref="R880" authorId="0">
      <text>
        <r>
          <rPr>
            <sz val="10"/>
            <color rgb="FF000000"/>
            <rFont val="Tahoma"/>
            <charset val="1"/>
          </rPr>
          <t>2 on ground plus tending crew (2) and mtce crew allowance (2)</t>
        </r>
      </text>
    </comment>
    <comment ref="S880" authorId="0">
      <text>
        <r>
          <rPr>
            <sz val="10"/>
            <color rgb="FF000000"/>
            <rFont val="Tahoma"/>
            <charset val="1"/>
          </rPr>
          <t>2 on ground plus tending crew (2) and mtce crew allowance (2)</t>
        </r>
      </text>
    </comment>
    <comment ref="T880" authorId="0">
      <text>
        <r>
          <rPr>
            <sz val="10"/>
            <color rgb="FF000000"/>
            <rFont val="Tahoma"/>
            <charset val="1"/>
          </rPr>
          <t>2 on ground plus tending crew (2) and mtce crew allowance (2)</t>
        </r>
      </text>
    </comment>
    <comment ref="U880" authorId="0">
      <text>
        <r>
          <rPr>
            <sz val="10"/>
            <color rgb="FF000000"/>
            <rFont val="Tahoma"/>
            <charset val="1"/>
          </rPr>
          <t>2 on ground plus tending crew (2) and mtce crew allowance (2)</t>
        </r>
      </text>
    </comment>
    <comment ref="V880" authorId="0">
      <text>
        <r>
          <rPr>
            <sz val="10"/>
            <color rgb="FF000000"/>
            <rFont val="Tahoma"/>
            <charset val="1"/>
          </rPr>
          <t>2 on ground plus tending crew (2) and mtce crew allowance (2)</t>
        </r>
      </text>
    </comment>
    <comment ref="W880" authorId="0">
      <text>
        <r>
          <rPr>
            <sz val="10"/>
            <color rgb="FF000000"/>
            <rFont val="Tahoma"/>
            <charset val="1"/>
          </rPr>
          <t>2 on ground plus tending crew (2) and mtce crew allowance (2)</t>
        </r>
      </text>
    </comment>
    <comment ref="C881" authorId="0">
      <text>
        <r>
          <rPr>
            <sz val="10"/>
            <color rgb="FF000000"/>
            <rFont val="Tahoma"/>
            <charset val="1"/>
          </rPr>
          <t xml:space="preserve">Wirtgen supplied data at 650 tph converted from euros to US$ and then to a per wmt rate
</t>
        </r>
      </text>
    </comment>
    <comment ref="D881" authorId="0">
      <text>
        <r>
          <rPr>
            <sz val="10"/>
            <color rgb="FF000000"/>
            <rFont val="Tahoma"/>
            <charset val="1"/>
          </rPr>
          <t xml:space="preserve">Wirtgen supplied data at 650 tph converted from euros to US$ and then to a per wmt rate
</t>
        </r>
      </text>
    </comment>
    <comment ref="E881" authorId="0">
      <text>
        <r>
          <rPr>
            <sz val="10"/>
            <color rgb="FF000000"/>
            <rFont val="Tahoma"/>
            <charset val="1"/>
          </rPr>
          <t xml:space="preserve">Wirtgen supplied data at 650 tph converted from euros to US$ and then to a per wmt rate
</t>
        </r>
      </text>
    </comment>
    <comment ref="F881" authorId="0">
      <text>
        <r>
          <rPr>
            <sz val="10"/>
            <color rgb="FF000000"/>
            <rFont val="Tahoma"/>
            <charset val="1"/>
          </rPr>
          <t xml:space="preserve">Wirtgen supplied data at 650 tph converted from euros to US$ and then to a per wmt rate
</t>
        </r>
      </text>
    </comment>
    <comment ref="G881" authorId="0">
      <text>
        <r>
          <rPr>
            <sz val="10"/>
            <color rgb="FF000000"/>
            <rFont val="Tahoma"/>
            <charset val="1"/>
          </rPr>
          <t xml:space="preserve">Wirtgen supplied data at 650 tph converted from euros to US$ and then to a per wmt rate
</t>
        </r>
      </text>
    </comment>
    <comment ref="H881" authorId="0">
      <text>
        <r>
          <rPr>
            <sz val="10"/>
            <color rgb="FF000000"/>
            <rFont val="Tahoma"/>
            <charset val="1"/>
          </rPr>
          <t xml:space="preserve">Wirtgen supplied data at 650 tph converted from euros to US$ and then to a per wmt rate
</t>
        </r>
      </text>
    </comment>
    <comment ref="I881" authorId="0">
      <text>
        <r>
          <rPr>
            <sz val="10"/>
            <color rgb="FF000000"/>
            <rFont val="Tahoma"/>
            <charset val="1"/>
          </rPr>
          <t xml:space="preserve">Wirtgen supplied data at 650 tph converted from euros to US$ and then to a per wmt rate
</t>
        </r>
      </text>
    </comment>
    <comment ref="J881" authorId="0">
      <text>
        <r>
          <rPr>
            <sz val="10"/>
            <color rgb="FF000000"/>
            <rFont val="Tahoma"/>
            <charset val="1"/>
          </rPr>
          <t xml:space="preserve">Wirtgen supplied data at 650 tph converted from euros to US$ and then to a per wmt rate
</t>
        </r>
      </text>
    </comment>
    <comment ref="K881" authorId="0">
      <text>
        <r>
          <rPr>
            <sz val="10"/>
            <color rgb="FF000000"/>
            <rFont val="Tahoma"/>
            <charset val="1"/>
          </rPr>
          <t xml:space="preserve">Wirtgen supplied data at 650 tph converted from euros to US$ and then to a per wmt rate
</t>
        </r>
      </text>
    </comment>
    <comment ref="L881" authorId="0">
      <text>
        <r>
          <rPr>
            <sz val="10"/>
            <color rgb="FF000000"/>
            <rFont val="Tahoma"/>
            <charset val="1"/>
          </rPr>
          <t xml:space="preserve">Wirtgen supplied data at 650 tph converted from euros to US$ and then to a per wmt rate
</t>
        </r>
      </text>
    </comment>
    <comment ref="M881" authorId="0">
      <text>
        <r>
          <rPr>
            <sz val="10"/>
            <color rgb="FF000000"/>
            <rFont val="Tahoma"/>
            <charset val="1"/>
          </rPr>
          <t xml:space="preserve">Wirtgen supplied data at 650 tph converted from euros to US$ and then to a per wmt rate
</t>
        </r>
      </text>
    </comment>
    <comment ref="N881" authorId="0">
      <text>
        <r>
          <rPr>
            <sz val="10"/>
            <color rgb="FF000000"/>
            <rFont val="Tahoma"/>
            <charset val="1"/>
          </rPr>
          <t xml:space="preserve">Wirtgen supplied data at 650 tph converted from euros to US$ and then to a per wmt rate
</t>
        </r>
      </text>
    </comment>
    <comment ref="O881" authorId="0">
      <text>
        <r>
          <rPr>
            <sz val="10"/>
            <color rgb="FF000000"/>
            <rFont val="Tahoma"/>
            <charset val="1"/>
          </rPr>
          <t xml:space="preserve">Wirtgen supplied data at 650 tph converted from euros to US$ and then to a per wmt rate
</t>
        </r>
      </text>
    </comment>
    <comment ref="P881" authorId="0">
      <text>
        <r>
          <rPr>
            <sz val="10"/>
            <color rgb="FF000000"/>
            <rFont val="Tahoma"/>
            <charset val="1"/>
          </rPr>
          <t xml:space="preserve">Wirtgen supplied data at 650 tph converted from euros to US$ and then to a per wmt rate
</t>
        </r>
      </text>
    </comment>
    <comment ref="Q881" authorId="0">
      <text>
        <r>
          <rPr>
            <sz val="10"/>
            <color rgb="FF000000"/>
            <rFont val="Tahoma"/>
            <charset val="1"/>
          </rPr>
          <t xml:space="preserve">Wirtgen supplied data at 650 tph converted from euros to US$ and then to a per wmt rate
</t>
        </r>
      </text>
    </comment>
    <comment ref="R881" authorId="0">
      <text>
        <r>
          <rPr>
            <sz val="10"/>
            <color rgb="FF000000"/>
            <rFont val="Tahoma"/>
            <charset val="1"/>
          </rPr>
          <t xml:space="preserve">Wirtgen supplied data at 650 tph converted from euros to US$ and then to a per wmt rate
</t>
        </r>
      </text>
    </comment>
    <comment ref="S881" authorId="0">
      <text>
        <r>
          <rPr>
            <sz val="10"/>
            <color rgb="FF000000"/>
            <rFont val="Tahoma"/>
            <charset val="1"/>
          </rPr>
          <t xml:space="preserve">Wirtgen supplied data at 650 tph converted from euros to US$ and then to a per wmt rate
</t>
        </r>
      </text>
    </comment>
    <comment ref="T881" authorId="0">
      <text>
        <r>
          <rPr>
            <sz val="10"/>
            <color rgb="FF000000"/>
            <rFont val="Tahoma"/>
            <charset val="1"/>
          </rPr>
          <t xml:space="preserve">Wirtgen supplied data at 650 tph converted from euros to US$ and then to a per wmt rate
</t>
        </r>
      </text>
    </comment>
    <comment ref="U881" authorId="0">
      <text>
        <r>
          <rPr>
            <sz val="10"/>
            <color rgb="FF000000"/>
            <rFont val="Tahoma"/>
            <charset val="1"/>
          </rPr>
          <t xml:space="preserve">Wirtgen supplied data at 650 tph converted from euros to US$ and then to a per wmt rate
</t>
        </r>
      </text>
    </comment>
    <comment ref="V881" authorId="0">
      <text>
        <r>
          <rPr>
            <sz val="10"/>
            <color rgb="FF000000"/>
            <rFont val="Tahoma"/>
            <charset val="1"/>
          </rPr>
          <t xml:space="preserve">Wirtgen supplied data at 650 tph converted from euros to US$ and then to a per wmt rate
</t>
        </r>
      </text>
    </comment>
    <comment ref="W881" authorId="0">
      <text>
        <r>
          <rPr>
            <sz val="10"/>
            <color rgb="FF000000"/>
            <rFont val="Tahoma"/>
            <charset val="1"/>
          </rPr>
          <t xml:space="preserve">Wirtgen supplied data at 650 tph converted from euros to US$ and then to a per wmt rate
</t>
        </r>
      </text>
    </comment>
    <comment ref="C899" authorId="0">
      <text>
        <r>
          <rPr>
            <sz val="10"/>
            <color rgb="FF000000"/>
            <rFont val="Tahoma"/>
            <charset val="1"/>
          </rPr>
          <t>tuned roughly to Henan Chine trip data</t>
        </r>
      </text>
    </comment>
    <comment ref="D899" authorId="0">
      <text>
        <r>
          <rPr>
            <sz val="10"/>
            <color rgb="FF000000"/>
            <rFont val="Tahoma"/>
            <charset val="1"/>
          </rPr>
          <t>tuned roughly to Henan Chine trip data</t>
        </r>
      </text>
    </comment>
    <comment ref="E899" authorId="0">
      <text>
        <r>
          <rPr>
            <sz val="10"/>
            <color rgb="FF000000"/>
            <rFont val="Tahoma"/>
            <charset val="1"/>
          </rPr>
          <t>tuned roughly to Henan Chine trip data</t>
        </r>
      </text>
    </comment>
    <comment ref="F899" authorId="0">
      <text>
        <r>
          <rPr>
            <sz val="10"/>
            <color rgb="FF000000"/>
            <rFont val="Tahoma"/>
            <charset val="1"/>
          </rPr>
          <t>tuned roughly to Henan Chine trip data</t>
        </r>
      </text>
    </comment>
    <comment ref="G899" authorId="0">
      <text>
        <r>
          <rPr>
            <sz val="10"/>
            <color rgb="FF000000"/>
            <rFont val="Tahoma"/>
            <charset val="1"/>
          </rPr>
          <t>tuned roughly to Henan Chine trip data</t>
        </r>
      </text>
    </comment>
    <comment ref="H899" authorId="0">
      <text>
        <r>
          <rPr>
            <sz val="10"/>
            <color rgb="FF000000"/>
            <rFont val="Tahoma"/>
            <charset val="1"/>
          </rPr>
          <t>tuned roughly to Henan Chine trip data</t>
        </r>
      </text>
    </comment>
    <comment ref="I899" authorId="0">
      <text>
        <r>
          <rPr>
            <sz val="10"/>
            <color rgb="FF000000"/>
            <rFont val="Tahoma"/>
            <charset val="1"/>
          </rPr>
          <t>tuned roughly to Henan Chine trip data</t>
        </r>
      </text>
    </comment>
    <comment ref="J899" authorId="0">
      <text>
        <r>
          <rPr>
            <sz val="10"/>
            <color rgb="FF000000"/>
            <rFont val="Tahoma"/>
            <charset val="1"/>
          </rPr>
          <t>tuned roughly to Henan Chine trip data</t>
        </r>
      </text>
    </comment>
    <comment ref="K899" authorId="0">
      <text>
        <r>
          <rPr>
            <sz val="10"/>
            <color rgb="FF000000"/>
            <rFont val="Tahoma"/>
            <charset val="1"/>
          </rPr>
          <t>tuned roughly to Henan Chine trip data</t>
        </r>
      </text>
    </comment>
    <comment ref="L899" authorId="0">
      <text>
        <r>
          <rPr>
            <sz val="10"/>
            <color rgb="FF000000"/>
            <rFont val="Tahoma"/>
            <charset val="1"/>
          </rPr>
          <t>tuned roughly to Henan Chine trip data</t>
        </r>
      </text>
    </comment>
    <comment ref="M899" authorId="0">
      <text>
        <r>
          <rPr>
            <sz val="10"/>
            <color rgb="FF000000"/>
            <rFont val="Tahoma"/>
            <charset val="1"/>
          </rPr>
          <t>tuned roughly to Henan Chine trip data</t>
        </r>
      </text>
    </comment>
    <comment ref="N899" authorId="0">
      <text>
        <r>
          <rPr>
            <sz val="10"/>
            <color rgb="FF000000"/>
            <rFont val="Tahoma"/>
            <charset val="1"/>
          </rPr>
          <t>tuned roughly to Henan Chine trip data</t>
        </r>
      </text>
    </comment>
    <comment ref="O899" authorId="0">
      <text>
        <r>
          <rPr>
            <sz val="10"/>
            <color rgb="FF000000"/>
            <rFont val="Tahoma"/>
            <charset val="1"/>
          </rPr>
          <t>tuned roughly to Henan Chine trip data</t>
        </r>
      </text>
    </comment>
    <comment ref="P899" authorId="0">
      <text>
        <r>
          <rPr>
            <sz val="10"/>
            <color rgb="FF000000"/>
            <rFont val="Tahoma"/>
            <charset val="1"/>
          </rPr>
          <t>tuned roughly to Henan Chine trip data</t>
        </r>
      </text>
    </comment>
    <comment ref="Q899" authorId="0">
      <text>
        <r>
          <rPr>
            <sz val="10"/>
            <color rgb="FF000000"/>
            <rFont val="Tahoma"/>
            <charset val="1"/>
          </rPr>
          <t>tuned roughly to Henan Chine trip data</t>
        </r>
      </text>
    </comment>
    <comment ref="R899" authorId="0">
      <text>
        <r>
          <rPr>
            <sz val="10"/>
            <color rgb="FF000000"/>
            <rFont val="Tahoma"/>
            <charset val="1"/>
          </rPr>
          <t>tuned roughly to Henan Chine trip data</t>
        </r>
      </text>
    </comment>
    <comment ref="S899" authorId="0">
      <text>
        <r>
          <rPr>
            <sz val="10"/>
            <color rgb="FF000000"/>
            <rFont val="Tahoma"/>
            <charset val="1"/>
          </rPr>
          <t>tuned roughly to Henan Chine trip data</t>
        </r>
      </text>
    </comment>
    <comment ref="T899" authorId="0">
      <text>
        <r>
          <rPr>
            <sz val="10"/>
            <color rgb="FF000000"/>
            <rFont val="Tahoma"/>
            <charset val="1"/>
          </rPr>
          <t>tuned roughly to Henan Chine trip data</t>
        </r>
      </text>
    </comment>
    <comment ref="U899" authorId="0">
      <text>
        <r>
          <rPr>
            <sz val="10"/>
            <color rgb="FF000000"/>
            <rFont val="Tahoma"/>
            <charset val="1"/>
          </rPr>
          <t>tuned roughly to Henan Chine trip data</t>
        </r>
      </text>
    </comment>
    <comment ref="V899" authorId="0">
      <text>
        <r>
          <rPr>
            <sz val="10"/>
            <color rgb="FF000000"/>
            <rFont val="Tahoma"/>
            <charset val="1"/>
          </rPr>
          <t>tuned roughly to Henan Chine trip data</t>
        </r>
      </text>
    </comment>
    <comment ref="W899" authorId="0">
      <text>
        <r>
          <rPr>
            <sz val="10"/>
            <color rgb="FF000000"/>
            <rFont val="Tahoma"/>
            <charset val="1"/>
          </rPr>
          <t>tuned roughly to Henan Chine trip data</t>
        </r>
      </text>
    </comment>
    <comment ref="C900" authorId="0">
      <text>
        <r>
          <rPr>
            <sz val="10"/>
            <color rgb="FF000000"/>
            <rFont val="Calibri"/>
            <charset val="1"/>
          </rPr>
          <t xml:space="preserve">Baes off India bx truck data &amp; Guidelines for Measuring and Managing CO2 Emission from Freight Transport Operations </t>
        </r>
      </text>
    </comment>
    <comment ref="D900" authorId="0">
      <text>
        <r>
          <rPr>
            <sz val="10"/>
            <color rgb="FF000000"/>
            <rFont val="Calibri"/>
            <charset val="1"/>
          </rPr>
          <t xml:space="preserve">Baes off India bx truck data &amp; Guidelines for Measuring and Managing CO2 Emission from Freight Transport Operations </t>
        </r>
      </text>
    </comment>
    <comment ref="E900" authorId="0">
      <text>
        <r>
          <rPr>
            <sz val="10"/>
            <color rgb="FF000000"/>
            <rFont val="Calibri"/>
            <charset val="1"/>
          </rPr>
          <t xml:space="preserve">Baes off India bx truck data &amp; Guidelines for Measuring and Managing CO2 Emission from Freight Transport Operations </t>
        </r>
      </text>
    </comment>
    <comment ref="F900" authorId="0">
      <text>
        <r>
          <rPr>
            <sz val="10"/>
            <color rgb="FF000000"/>
            <rFont val="Calibri"/>
            <charset val="1"/>
          </rPr>
          <t xml:space="preserve">Baes off India bx truck data &amp; Guidelines for Measuring and Managing CO2 Emission from Freight Transport Operations </t>
        </r>
      </text>
    </comment>
    <comment ref="G900" authorId="0">
      <text>
        <r>
          <rPr>
            <sz val="10"/>
            <color rgb="FF000000"/>
            <rFont val="Calibri"/>
            <charset val="1"/>
          </rPr>
          <t xml:space="preserve">Baes off India bx truck data &amp; Guidelines for Measuring and Managing CO2 Emission from Freight Transport Operations </t>
        </r>
      </text>
    </comment>
    <comment ref="H900" authorId="0">
      <text>
        <r>
          <rPr>
            <sz val="10"/>
            <color rgb="FF000000"/>
            <rFont val="Calibri"/>
            <charset val="1"/>
          </rPr>
          <t xml:space="preserve">Baes off India bx truck data &amp; Guidelines for Measuring and Managing CO2 Emission from Freight Transport Operations </t>
        </r>
      </text>
    </comment>
    <comment ref="I900" authorId="0">
      <text>
        <r>
          <rPr>
            <sz val="10"/>
            <color rgb="FF000000"/>
            <rFont val="Calibri"/>
            <charset val="1"/>
          </rPr>
          <t xml:space="preserve">Baes off India bx truck data &amp; Guidelines for Measuring and Managing CO2 Emission from Freight Transport Operations </t>
        </r>
      </text>
    </comment>
    <comment ref="J900" authorId="0">
      <text>
        <r>
          <rPr>
            <sz val="10"/>
            <color rgb="FF000000"/>
            <rFont val="Calibri"/>
            <charset val="1"/>
          </rPr>
          <t xml:space="preserve">Baes off India bx truck data &amp; Guidelines for Measuring and Managing CO2 Emission from Freight Transport Operations </t>
        </r>
      </text>
    </comment>
    <comment ref="K900" authorId="0">
      <text>
        <r>
          <rPr>
            <sz val="10"/>
            <color rgb="FF000000"/>
            <rFont val="Calibri"/>
            <charset val="1"/>
          </rPr>
          <t xml:space="preserve">Baes off India bx truck data &amp; Guidelines for Measuring and Managing CO2 Emission from Freight Transport Operations </t>
        </r>
      </text>
    </comment>
    <comment ref="L900" authorId="0">
      <text>
        <r>
          <rPr>
            <sz val="10"/>
            <color rgb="FF000000"/>
            <rFont val="Calibri"/>
            <charset val="1"/>
          </rPr>
          <t xml:space="preserve">Baes off India bx truck data &amp; Guidelines for Measuring and Managing CO2 Emission from Freight Transport Operations </t>
        </r>
      </text>
    </comment>
    <comment ref="M900" authorId="0">
      <text>
        <r>
          <rPr>
            <sz val="10"/>
            <color rgb="FF000000"/>
            <rFont val="Calibri"/>
            <charset val="1"/>
          </rPr>
          <t xml:space="preserve">Baes off India bx truck data &amp; Guidelines for Measuring and Managing CO2 Emission from Freight Transport Operations </t>
        </r>
      </text>
    </comment>
    <comment ref="N900" authorId="0">
      <text>
        <r>
          <rPr>
            <sz val="10"/>
            <color rgb="FF000000"/>
            <rFont val="Calibri"/>
            <charset val="1"/>
          </rPr>
          <t xml:space="preserve">Baes off India bx truck data &amp; Guidelines for Measuring and Managing CO2 Emission from Freight Transport Operations </t>
        </r>
      </text>
    </comment>
    <comment ref="O900" authorId="0">
      <text>
        <r>
          <rPr>
            <sz val="10"/>
            <color rgb="FF000000"/>
            <rFont val="Calibri"/>
            <charset val="1"/>
          </rPr>
          <t xml:space="preserve">Baes off India bx truck data &amp; Guidelines for Measuring and Managing CO2 Emission from Freight Transport Operations </t>
        </r>
      </text>
    </comment>
    <comment ref="P900" authorId="0">
      <text>
        <r>
          <rPr>
            <sz val="10"/>
            <color rgb="FF000000"/>
            <rFont val="Calibri"/>
            <charset val="1"/>
          </rPr>
          <t xml:space="preserve">Baes off India bx truck data &amp; Guidelines for Measuring and Managing CO2 Emission from Freight Transport Operations </t>
        </r>
      </text>
    </comment>
    <comment ref="Q900" authorId="0">
      <text>
        <r>
          <rPr>
            <sz val="10"/>
            <color rgb="FF000000"/>
            <rFont val="Calibri"/>
            <charset val="1"/>
          </rPr>
          <t xml:space="preserve">Baes off India bx truck data &amp; Guidelines for Measuring and Managing CO2 Emission from Freight Transport Operations </t>
        </r>
      </text>
    </comment>
    <comment ref="R900" authorId="0">
      <text>
        <r>
          <rPr>
            <sz val="10"/>
            <color rgb="FF000000"/>
            <rFont val="Calibri"/>
            <charset val="1"/>
          </rPr>
          <t xml:space="preserve">Baes off India bx truck data &amp; Guidelines for Measuring and Managing CO2 Emission from Freight Transport Operations </t>
        </r>
      </text>
    </comment>
    <comment ref="S900" authorId="0">
      <text>
        <r>
          <rPr>
            <sz val="10"/>
            <color rgb="FF000000"/>
            <rFont val="Calibri"/>
            <charset val="1"/>
          </rPr>
          <t xml:space="preserve">Baes off India bx truck data &amp; Guidelines for Measuring and Managing CO2 Emission from Freight Transport Operations </t>
        </r>
      </text>
    </comment>
    <comment ref="T900" authorId="0">
      <text>
        <r>
          <rPr>
            <sz val="10"/>
            <color rgb="FF000000"/>
            <rFont val="Calibri"/>
            <charset val="1"/>
          </rPr>
          <t xml:space="preserve">Baes off India bx truck data &amp; Guidelines for Measuring and Managing CO2 Emission from Freight Transport Operations </t>
        </r>
      </text>
    </comment>
    <comment ref="U900" authorId="0">
      <text>
        <r>
          <rPr>
            <sz val="10"/>
            <color rgb="FF000000"/>
            <rFont val="Calibri"/>
            <charset val="1"/>
          </rPr>
          <t xml:space="preserve">Baes off India bx truck data &amp; Guidelines for Measuring and Managing CO2 Emission from Freight Transport Operations </t>
        </r>
      </text>
    </comment>
    <comment ref="V900" authorId="0">
      <text>
        <r>
          <rPr>
            <sz val="10"/>
            <color rgb="FF000000"/>
            <rFont val="Calibri"/>
            <charset val="1"/>
          </rPr>
          <t xml:space="preserve">Baes off India bx truck data &amp; Guidelines for Measuring and Managing CO2 Emission from Freight Transport Operations </t>
        </r>
      </text>
    </comment>
    <comment ref="W900" authorId="0">
      <text>
        <r>
          <rPr>
            <sz val="10"/>
            <color rgb="FF000000"/>
            <rFont val="Calibri"/>
            <charset val="1"/>
          </rPr>
          <t xml:space="preserve">Baes off India bx truck data &amp; Guidelines for Measuring and Managing CO2 Emission from Freight Transport Operations </t>
        </r>
      </text>
    </comment>
    <comment ref="C901" authorId="0">
      <text>
        <r>
          <rPr>
            <sz val="10"/>
            <color rgb="FF000000"/>
            <rFont val="Tahoma"/>
            <charset val="1"/>
          </rPr>
          <t>tuned roughly to Henan Chine trip data</t>
        </r>
      </text>
    </comment>
    <comment ref="D901" authorId="0">
      <text>
        <r>
          <rPr>
            <sz val="10"/>
            <color rgb="FF000000"/>
            <rFont val="Tahoma"/>
            <charset val="1"/>
          </rPr>
          <t>tuned roughly to Henan Chine trip data</t>
        </r>
      </text>
    </comment>
    <comment ref="E901" authorId="0">
      <text>
        <r>
          <rPr>
            <sz val="10"/>
            <color rgb="FF000000"/>
            <rFont val="Tahoma"/>
            <charset val="1"/>
          </rPr>
          <t>tuned roughly to Henan Chine trip data</t>
        </r>
      </text>
    </comment>
    <comment ref="F901" authorId="0">
      <text>
        <r>
          <rPr>
            <sz val="10"/>
            <color rgb="FF000000"/>
            <rFont val="Tahoma"/>
            <charset val="1"/>
          </rPr>
          <t>tuned roughly to Henan Chine trip data</t>
        </r>
      </text>
    </comment>
    <comment ref="G901" authorId="0">
      <text>
        <r>
          <rPr>
            <sz val="10"/>
            <color rgb="FF000000"/>
            <rFont val="Tahoma"/>
            <charset val="1"/>
          </rPr>
          <t>tuned roughly to Henan Chine trip data</t>
        </r>
      </text>
    </comment>
    <comment ref="H901" authorId="0">
      <text>
        <r>
          <rPr>
            <sz val="10"/>
            <color rgb="FF000000"/>
            <rFont val="Tahoma"/>
            <charset val="1"/>
          </rPr>
          <t>tuned roughly to Henan Chine trip data</t>
        </r>
      </text>
    </comment>
    <comment ref="I901" authorId="0">
      <text>
        <r>
          <rPr>
            <sz val="10"/>
            <color rgb="FF000000"/>
            <rFont val="Tahoma"/>
            <charset val="1"/>
          </rPr>
          <t>tuned roughly to Henan Chine trip data</t>
        </r>
      </text>
    </comment>
    <comment ref="J901" authorId="0">
      <text>
        <r>
          <rPr>
            <sz val="10"/>
            <color rgb="FF000000"/>
            <rFont val="Tahoma"/>
            <charset val="1"/>
          </rPr>
          <t>tuned roughly to Henan Chine trip data</t>
        </r>
      </text>
    </comment>
    <comment ref="K901" authorId="0">
      <text>
        <r>
          <rPr>
            <sz val="10"/>
            <color rgb="FF000000"/>
            <rFont val="Tahoma"/>
            <charset val="1"/>
          </rPr>
          <t>tuned roughly to Henan Chine trip data</t>
        </r>
      </text>
    </comment>
    <comment ref="L901" authorId="0">
      <text>
        <r>
          <rPr>
            <sz val="10"/>
            <color rgb="FF000000"/>
            <rFont val="Tahoma"/>
            <charset val="1"/>
          </rPr>
          <t>tuned roughly to Henan Chine trip data</t>
        </r>
      </text>
    </comment>
    <comment ref="M901" authorId="0">
      <text>
        <r>
          <rPr>
            <sz val="10"/>
            <color rgb="FF000000"/>
            <rFont val="Tahoma"/>
            <charset val="1"/>
          </rPr>
          <t>tuned roughly to Henan Chine trip data</t>
        </r>
      </text>
    </comment>
    <comment ref="N901" authorId="0">
      <text>
        <r>
          <rPr>
            <sz val="10"/>
            <color rgb="FF000000"/>
            <rFont val="Tahoma"/>
            <charset val="1"/>
          </rPr>
          <t>tuned roughly to Henan Chine trip data</t>
        </r>
      </text>
    </comment>
    <comment ref="O901" authorId="0">
      <text>
        <r>
          <rPr>
            <sz val="10"/>
            <color rgb="FF000000"/>
            <rFont val="Tahoma"/>
            <charset val="1"/>
          </rPr>
          <t>tuned roughly to Henan Chine trip data</t>
        </r>
      </text>
    </comment>
    <comment ref="P901" authorId="0">
      <text>
        <r>
          <rPr>
            <sz val="10"/>
            <color rgb="FF000000"/>
            <rFont val="Tahoma"/>
            <charset val="1"/>
          </rPr>
          <t>tuned roughly to Henan Chine trip data</t>
        </r>
      </text>
    </comment>
    <comment ref="Q901" authorId="0">
      <text>
        <r>
          <rPr>
            <sz val="10"/>
            <color rgb="FF000000"/>
            <rFont val="Tahoma"/>
            <charset val="1"/>
          </rPr>
          <t>tuned roughly to Henan Chine trip data</t>
        </r>
      </text>
    </comment>
    <comment ref="R901" authorId="0">
      <text>
        <r>
          <rPr>
            <sz val="10"/>
            <color rgb="FF000000"/>
            <rFont val="Tahoma"/>
            <charset val="1"/>
          </rPr>
          <t>tuned roughly to Henan Chine trip data</t>
        </r>
      </text>
    </comment>
    <comment ref="S901" authorId="0">
      <text>
        <r>
          <rPr>
            <sz val="10"/>
            <color rgb="FF000000"/>
            <rFont val="Tahoma"/>
            <charset val="1"/>
          </rPr>
          <t>tuned roughly to Henan Chine trip data</t>
        </r>
      </text>
    </comment>
    <comment ref="T901" authorId="0">
      <text>
        <r>
          <rPr>
            <sz val="10"/>
            <color rgb="FF000000"/>
            <rFont val="Tahoma"/>
            <charset val="1"/>
          </rPr>
          <t>tuned roughly to Henan Chine trip data</t>
        </r>
      </text>
    </comment>
    <comment ref="U901" authorId="0">
      <text>
        <r>
          <rPr>
            <sz val="10"/>
            <color rgb="FF000000"/>
            <rFont val="Tahoma"/>
            <charset val="1"/>
          </rPr>
          <t>tuned roughly to Henan Chine trip data</t>
        </r>
      </text>
    </comment>
    <comment ref="V901" authorId="0">
      <text>
        <r>
          <rPr>
            <sz val="10"/>
            <color rgb="FF000000"/>
            <rFont val="Tahoma"/>
            <charset val="1"/>
          </rPr>
          <t>tuned roughly to Henan Chine trip data</t>
        </r>
      </text>
    </comment>
    <comment ref="W901" authorId="0">
      <text>
        <r>
          <rPr>
            <sz val="10"/>
            <color rgb="FF000000"/>
            <rFont val="Tahoma"/>
            <charset val="1"/>
          </rPr>
          <t>tuned roughly to Henan Chine trip data</t>
        </r>
      </text>
    </comment>
    <comment ref="C929" authorId="0">
      <text>
        <r>
          <rPr>
            <sz val="10"/>
            <color rgb="FF000000"/>
            <rFont val="Tahoma"/>
            <charset val="1"/>
          </rPr>
          <t xml:space="preserve">built on machine doing relatively free digging = 200 tph, halve or quarter this for more difficult or insitu material
</t>
        </r>
      </text>
    </comment>
    <comment ref="D929" authorId="0">
      <text>
        <r>
          <rPr>
            <sz val="10"/>
            <color rgb="FF000000"/>
            <rFont val="Tahoma"/>
            <charset val="1"/>
          </rPr>
          <t xml:space="preserve">built on machine doing relatively free digging = 200 tph, halve or quarter this for more difficult or insitu material
</t>
        </r>
      </text>
    </comment>
    <comment ref="E929" authorId="0">
      <text>
        <r>
          <rPr>
            <sz val="10"/>
            <color rgb="FF000000"/>
            <rFont val="Tahoma"/>
            <charset val="1"/>
          </rPr>
          <t xml:space="preserve">built on machine doing relatively free digging = 200 tph, halve or quarter this for more difficult or insitu material
</t>
        </r>
      </text>
    </comment>
    <comment ref="F929" authorId="0">
      <text>
        <r>
          <rPr>
            <sz val="10"/>
            <color rgb="FF000000"/>
            <rFont val="Tahoma"/>
            <charset val="1"/>
          </rPr>
          <t xml:space="preserve">built on machine doing relatively free digging = 200 tph, halve or quarter this for more difficult or insitu material
</t>
        </r>
      </text>
    </comment>
    <comment ref="G929" authorId="0">
      <text>
        <r>
          <rPr>
            <sz val="10"/>
            <color rgb="FF000000"/>
            <rFont val="Tahoma"/>
            <charset val="1"/>
          </rPr>
          <t xml:space="preserve">built on machine doing relatively free digging = 200 tph, halve or quarter this for more difficult or insitu material
</t>
        </r>
      </text>
    </comment>
    <comment ref="H929" authorId="0">
      <text>
        <r>
          <rPr>
            <sz val="10"/>
            <color rgb="FF000000"/>
            <rFont val="Tahoma"/>
            <charset val="1"/>
          </rPr>
          <t xml:space="preserve">built on machine doing relatively free digging = 200 tph, halve or quarter this for more difficult or insitu material
</t>
        </r>
      </text>
    </comment>
    <comment ref="I929" authorId="0">
      <text>
        <r>
          <rPr>
            <sz val="10"/>
            <color rgb="FF000000"/>
            <rFont val="Tahoma"/>
            <charset val="1"/>
          </rPr>
          <t xml:space="preserve">built on machine doing relatively free digging = 200 tph, halve or quarter this for more difficult or insitu material
</t>
        </r>
      </text>
    </comment>
    <comment ref="J929" authorId="0">
      <text>
        <r>
          <rPr>
            <sz val="10"/>
            <color rgb="FF000000"/>
            <rFont val="Tahoma"/>
            <charset val="1"/>
          </rPr>
          <t xml:space="preserve">built on machine doing relatively free digging = 200 tph, halve or quarter this for more difficult or insitu material
</t>
        </r>
      </text>
    </comment>
    <comment ref="K929" authorId="0">
      <text>
        <r>
          <rPr>
            <sz val="10"/>
            <color rgb="FF000000"/>
            <rFont val="Tahoma"/>
            <charset val="1"/>
          </rPr>
          <t xml:space="preserve">built on machine doing relatively free digging = 200 tph, halve or quarter this for more difficult or insitu material
</t>
        </r>
      </text>
    </comment>
    <comment ref="L929" authorId="0">
      <text>
        <r>
          <rPr>
            <sz val="10"/>
            <color rgb="FF000000"/>
            <rFont val="Tahoma"/>
            <charset val="1"/>
          </rPr>
          <t xml:space="preserve">built on machine doing relatively free digging = 200 tph, halve or quarter this for more difficult or insitu material
</t>
        </r>
      </text>
    </comment>
    <comment ref="M929" authorId="0">
      <text>
        <r>
          <rPr>
            <sz val="10"/>
            <color rgb="FF000000"/>
            <rFont val="Tahoma"/>
            <charset val="1"/>
          </rPr>
          <t xml:space="preserve">built on machine doing relatively free digging = 200 tph, halve or quarter this for more difficult or insitu material
</t>
        </r>
      </text>
    </comment>
    <comment ref="N929" authorId="0">
      <text>
        <r>
          <rPr>
            <sz val="10"/>
            <color rgb="FF000000"/>
            <rFont val="Tahoma"/>
            <charset val="1"/>
          </rPr>
          <t xml:space="preserve">built on machine doing relatively free digging = 200 tph, halve or quarter this for more difficult or insitu material
</t>
        </r>
      </text>
    </comment>
    <comment ref="O929" authorId="0">
      <text>
        <r>
          <rPr>
            <sz val="10"/>
            <color rgb="FF000000"/>
            <rFont val="Tahoma"/>
            <charset val="1"/>
          </rPr>
          <t xml:space="preserve">built on machine doing relatively free digging = 200 tph, halve or quarter this for more difficult or insitu material
</t>
        </r>
      </text>
    </comment>
    <comment ref="P929" authorId="0">
      <text>
        <r>
          <rPr>
            <sz val="10"/>
            <color rgb="FF000000"/>
            <rFont val="Tahoma"/>
            <charset val="1"/>
          </rPr>
          <t xml:space="preserve">built on machine doing relatively free digging = 200 tph, halve or quarter this for more difficult or insitu material
</t>
        </r>
      </text>
    </comment>
    <comment ref="Q929" authorId="0">
      <text>
        <r>
          <rPr>
            <sz val="10"/>
            <color rgb="FF000000"/>
            <rFont val="Tahoma"/>
            <charset val="1"/>
          </rPr>
          <t xml:space="preserve">built on machine doing relatively free digging = 200 tph, halve or quarter this for more difficult or insitu material
</t>
        </r>
      </text>
    </comment>
    <comment ref="R929" authorId="0">
      <text>
        <r>
          <rPr>
            <sz val="10"/>
            <color rgb="FF000000"/>
            <rFont val="Tahoma"/>
            <charset val="1"/>
          </rPr>
          <t xml:space="preserve">built on machine doing relatively free digging = 200 tph, halve or quarter this for more difficult or insitu material
</t>
        </r>
      </text>
    </comment>
    <comment ref="S929" authorId="0">
      <text>
        <r>
          <rPr>
            <sz val="10"/>
            <color rgb="FF000000"/>
            <rFont val="Tahoma"/>
            <charset val="1"/>
          </rPr>
          <t xml:space="preserve">built on machine doing relatively free digging = 200 tph, halve or quarter this for more difficult or insitu material
</t>
        </r>
      </text>
    </comment>
    <comment ref="T929" authorId="0">
      <text>
        <r>
          <rPr>
            <sz val="10"/>
            <color rgb="FF000000"/>
            <rFont val="Tahoma"/>
            <charset val="1"/>
          </rPr>
          <t xml:space="preserve">built on machine doing relatively free digging = 200 tph, halve or quarter this for more difficult or insitu material
</t>
        </r>
      </text>
    </comment>
    <comment ref="U929" authorId="0">
      <text>
        <r>
          <rPr>
            <sz val="10"/>
            <color rgb="FF000000"/>
            <rFont val="Tahoma"/>
            <charset val="1"/>
          </rPr>
          <t xml:space="preserve">built on machine doing relatively free digging = 200 tph, halve or quarter this for more difficult or insitu material
</t>
        </r>
      </text>
    </comment>
    <comment ref="V929" authorId="0">
      <text>
        <r>
          <rPr>
            <sz val="10"/>
            <color rgb="FF000000"/>
            <rFont val="Tahoma"/>
            <charset val="1"/>
          </rPr>
          <t xml:space="preserve">built on machine doing relatively free digging = 200 tph, halve or quarter this for more difficult or insitu material
</t>
        </r>
      </text>
    </comment>
    <comment ref="W929" authorId="0">
      <text>
        <r>
          <rPr>
            <sz val="10"/>
            <color rgb="FF000000"/>
            <rFont val="Tahoma"/>
            <charset val="1"/>
          </rPr>
          <t xml:space="preserve">built on machine doing relatively free digging = 200 tph, halve or quarter this for more difficult or insitu material
</t>
        </r>
      </text>
    </comment>
    <comment ref="C931" authorId="0">
      <text>
        <r>
          <rPr>
            <sz val="10"/>
            <color rgb="FF000000"/>
            <rFont val="Tahoma"/>
            <charset val="1"/>
          </rPr>
          <t xml:space="preserve">data from Wirtgen
</t>
        </r>
      </text>
    </comment>
    <comment ref="D931" authorId="0">
      <text>
        <r>
          <rPr>
            <sz val="10"/>
            <color rgb="FF000000"/>
            <rFont val="Tahoma"/>
            <charset val="1"/>
          </rPr>
          <t xml:space="preserve">data from Wirtgen
</t>
        </r>
      </text>
    </comment>
    <comment ref="E931" authorId="0">
      <text>
        <r>
          <rPr>
            <sz val="10"/>
            <color rgb="FF000000"/>
            <rFont val="Tahoma"/>
            <charset val="1"/>
          </rPr>
          <t xml:space="preserve">data from Wirtgen
</t>
        </r>
      </text>
    </comment>
    <comment ref="F931" authorId="0">
      <text>
        <r>
          <rPr>
            <sz val="10"/>
            <color rgb="FF000000"/>
            <rFont val="Tahoma"/>
            <charset val="1"/>
          </rPr>
          <t xml:space="preserve">data from Wirtgen
</t>
        </r>
      </text>
    </comment>
    <comment ref="G931" authorId="0">
      <text>
        <r>
          <rPr>
            <sz val="10"/>
            <color rgb="FF000000"/>
            <rFont val="Tahoma"/>
            <charset val="1"/>
          </rPr>
          <t xml:space="preserve">data from Wirtgen
</t>
        </r>
      </text>
    </comment>
    <comment ref="H931" authorId="0">
      <text>
        <r>
          <rPr>
            <sz val="10"/>
            <color rgb="FF000000"/>
            <rFont val="Tahoma"/>
            <charset val="1"/>
          </rPr>
          <t xml:space="preserve">data from Wirtgen
</t>
        </r>
      </text>
    </comment>
    <comment ref="I931" authorId="0">
      <text>
        <r>
          <rPr>
            <sz val="10"/>
            <color rgb="FF000000"/>
            <rFont val="Tahoma"/>
            <charset val="1"/>
          </rPr>
          <t xml:space="preserve">data from Wirtgen
</t>
        </r>
      </text>
    </comment>
    <comment ref="J931" authorId="0">
      <text>
        <r>
          <rPr>
            <sz val="10"/>
            <color rgb="FF000000"/>
            <rFont val="Tahoma"/>
            <charset val="1"/>
          </rPr>
          <t xml:space="preserve">data from Wirtgen
</t>
        </r>
      </text>
    </comment>
    <comment ref="K931" authorId="0">
      <text>
        <r>
          <rPr>
            <sz val="10"/>
            <color rgb="FF000000"/>
            <rFont val="Tahoma"/>
            <charset val="1"/>
          </rPr>
          <t xml:space="preserve">data from Wirtgen
</t>
        </r>
      </text>
    </comment>
    <comment ref="L931" authorId="0">
      <text>
        <r>
          <rPr>
            <sz val="10"/>
            <color rgb="FF000000"/>
            <rFont val="Tahoma"/>
            <charset val="1"/>
          </rPr>
          <t xml:space="preserve">data from Wirtgen
</t>
        </r>
      </text>
    </comment>
    <comment ref="M931" authorId="0">
      <text>
        <r>
          <rPr>
            <sz val="10"/>
            <color rgb="FF000000"/>
            <rFont val="Tahoma"/>
            <charset val="1"/>
          </rPr>
          <t xml:space="preserve">data from Wirtgen
</t>
        </r>
      </text>
    </comment>
    <comment ref="N931" authorId="0">
      <text>
        <r>
          <rPr>
            <sz val="10"/>
            <color rgb="FF000000"/>
            <rFont val="Tahoma"/>
            <charset val="1"/>
          </rPr>
          <t xml:space="preserve">data from Wirtgen
</t>
        </r>
      </text>
    </comment>
    <comment ref="O931" authorId="0">
      <text>
        <r>
          <rPr>
            <sz val="10"/>
            <color rgb="FF000000"/>
            <rFont val="Tahoma"/>
            <charset val="1"/>
          </rPr>
          <t xml:space="preserve">data from Wirtgen
</t>
        </r>
      </text>
    </comment>
    <comment ref="P931" authorId="0">
      <text>
        <r>
          <rPr>
            <sz val="10"/>
            <color rgb="FF000000"/>
            <rFont val="Tahoma"/>
            <charset val="1"/>
          </rPr>
          <t xml:space="preserve">data from Wirtgen
</t>
        </r>
      </text>
    </comment>
    <comment ref="Q931" authorId="0">
      <text>
        <r>
          <rPr>
            <sz val="10"/>
            <color rgb="FF000000"/>
            <rFont val="Tahoma"/>
            <charset val="1"/>
          </rPr>
          <t xml:space="preserve">data from Wirtgen
</t>
        </r>
      </text>
    </comment>
    <comment ref="R931" authorId="0">
      <text>
        <r>
          <rPr>
            <sz val="10"/>
            <color rgb="FF000000"/>
            <rFont val="Tahoma"/>
            <charset val="1"/>
          </rPr>
          <t xml:space="preserve">data from Wirtgen
</t>
        </r>
      </text>
    </comment>
    <comment ref="S931" authorId="0">
      <text>
        <r>
          <rPr>
            <sz val="10"/>
            <color rgb="FF000000"/>
            <rFont val="Tahoma"/>
            <charset val="1"/>
          </rPr>
          <t xml:space="preserve">data from Wirtgen
</t>
        </r>
      </text>
    </comment>
    <comment ref="T931" authorId="0">
      <text>
        <r>
          <rPr>
            <sz val="10"/>
            <color rgb="FF000000"/>
            <rFont val="Tahoma"/>
            <charset val="1"/>
          </rPr>
          <t xml:space="preserve">data from Wirtgen
</t>
        </r>
      </text>
    </comment>
    <comment ref="U931" authorId="0">
      <text>
        <r>
          <rPr>
            <sz val="10"/>
            <color rgb="FF000000"/>
            <rFont val="Tahoma"/>
            <charset val="1"/>
          </rPr>
          <t xml:space="preserve">data from Wirtgen
</t>
        </r>
      </text>
    </comment>
    <comment ref="V931" authorId="0">
      <text>
        <r>
          <rPr>
            <sz val="10"/>
            <color rgb="FF000000"/>
            <rFont val="Tahoma"/>
            <charset val="1"/>
          </rPr>
          <t xml:space="preserve">data from Wirtgen
</t>
        </r>
      </text>
    </comment>
    <comment ref="W931" authorId="0">
      <text>
        <r>
          <rPr>
            <sz val="10"/>
            <color rgb="FF000000"/>
            <rFont val="Tahoma"/>
            <charset val="1"/>
          </rPr>
          <t xml:space="preserve">data from Wirtgen
</t>
        </r>
      </text>
    </comment>
    <comment ref="C932" authorId="0">
      <text>
        <r>
          <rPr>
            <sz val="10"/>
            <color rgb="FF000000"/>
            <rFont val="Tahoma"/>
            <charset val="1"/>
          </rPr>
          <t>2 on ground plus tending crew (2) and mtce crew allowance (2)</t>
        </r>
      </text>
    </comment>
    <comment ref="D932" authorId="0">
      <text>
        <r>
          <rPr>
            <sz val="10"/>
            <color rgb="FF000000"/>
            <rFont val="Tahoma"/>
            <charset val="1"/>
          </rPr>
          <t>2 on ground plus tending crew (2) and mtce crew allowance (2)</t>
        </r>
      </text>
    </comment>
    <comment ref="E932" authorId="0">
      <text>
        <r>
          <rPr>
            <sz val="10"/>
            <color rgb="FF000000"/>
            <rFont val="Tahoma"/>
            <charset val="1"/>
          </rPr>
          <t>2 on ground plus tending crew (2) and mtce crew allowance (2)</t>
        </r>
      </text>
    </comment>
    <comment ref="F932" authorId="0">
      <text>
        <r>
          <rPr>
            <sz val="10"/>
            <color rgb="FF000000"/>
            <rFont val="Tahoma"/>
            <charset val="1"/>
          </rPr>
          <t>2 on ground plus tending crew (2) and mtce crew allowance (2)</t>
        </r>
      </text>
    </comment>
    <comment ref="G932" authorId="0">
      <text>
        <r>
          <rPr>
            <sz val="10"/>
            <color rgb="FF000000"/>
            <rFont val="Tahoma"/>
            <charset val="1"/>
          </rPr>
          <t>2 on ground plus tending crew (2) and mtce crew allowance (2)</t>
        </r>
      </text>
    </comment>
    <comment ref="H932" authorId="0">
      <text>
        <r>
          <rPr>
            <sz val="10"/>
            <color rgb="FF000000"/>
            <rFont val="Tahoma"/>
            <charset val="1"/>
          </rPr>
          <t>2 on ground plus tending crew (2) and mtce crew allowance (2)</t>
        </r>
      </text>
    </comment>
    <comment ref="I932" authorId="0">
      <text>
        <r>
          <rPr>
            <sz val="10"/>
            <color rgb="FF000000"/>
            <rFont val="Tahoma"/>
            <charset val="1"/>
          </rPr>
          <t>2 on ground plus tending crew (2) and mtce crew allowance (2)</t>
        </r>
      </text>
    </comment>
    <comment ref="J932" authorId="0">
      <text>
        <r>
          <rPr>
            <sz val="10"/>
            <color rgb="FF000000"/>
            <rFont val="Tahoma"/>
            <charset val="1"/>
          </rPr>
          <t>2 on ground plus tending crew (2) and mtce crew allowance (2)</t>
        </r>
      </text>
    </comment>
    <comment ref="K932" authorId="0">
      <text>
        <r>
          <rPr>
            <sz val="10"/>
            <color rgb="FF000000"/>
            <rFont val="Tahoma"/>
            <charset val="1"/>
          </rPr>
          <t>2 on ground plus tending crew (2) and mtce crew allowance (2)</t>
        </r>
      </text>
    </comment>
    <comment ref="L932" authorId="0">
      <text>
        <r>
          <rPr>
            <sz val="10"/>
            <color rgb="FF000000"/>
            <rFont val="Tahoma"/>
            <charset val="1"/>
          </rPr>
          <t>2 on ground plus tending crew (2) and mtce crew allowance (2)</t>
        </r>
      </text>
    </comment>
    <comment ref="M932" authorId="0">
      <text>
        <r>
          <rPr>
            <sz val="10"/>
            <color rgb="FF000000"/>
            <rFont val="Tahoma"/>
            <charset val="1"/>
          </rPr>
          <t>2 on ground plus tending crew (2) and mtce crew allowance (2)</t>
        </r>
      </text>
    </comment>
    <comment ref="N932" authorId="0">
      <text>
        <r>
          <rPr>
            <sz val="10"/>
            <color rgb="FF000000"/>
            <rFont val="Tahoma"/>
            <charset val="1"/>
          </rPr>
          <t>2 on ground plus tending crew (2) and mtce crew allowance (2)</t>
        </r>
      </text>
    </comment>
    <comment ref="O932" authorId="0">
      <text>
        <r>
          <rPr>
            <sz val="10"/>
            <color rgb="FF000000"/>
            <rFont val="Tahoma"/>
            <charset val="1"/>
          </rPr>
          <t>2 on ground plus tending crew (2) and mtce crew allowance (2)</t>
        </r>
      </text>
    </comment>
    <comment ref="P932" authorId="0">
      <text>
        <r>
          <rPr>
            <sz val="10"/>
            <color rgb="FF000000"/>
            <rFont val="Tahoma"/>
            <charset val="1"/>
          </rPr>
          <t>2 on ground plus tending crew (2) and mtce crew allowance (2)</t>
        </r>
      </text>
    </comment>
    <comment ref="Q932" authorId="0">
      <text>
        <r>
          <rPr>
            <sz val="10"/>
            <color rgb="FF000000"/>
            <rFont val="Tahoma"/>
            <charset val="1"/>
          </rPr>
          <t>2 on ground plus tending crew (2) and mtce crew allowance (2)</t>
        </r>
      </text>
    </comment>
    <comment ref="R932" authorId="0">
      <text>
        <r>
          <rPr>
            <sz val="10"/>
            <color rgb="FF000000"/>
            <rFont val="Tahoma"/>
            <charset val="1"/>
          </rPr>
          <t>2 on ground plus tending crew (2) and mtce crew allowance (2)</t>
        </r>
      </text>
    </comment>
    <comment ref="S932" authorId="0">
      <text>
        <r>
          <rPr>
            <sz val="10"/>
            <color rgb="FF000000"/>
            <rFont val="Tahoma"/>
            <charset val="1"/>
          </rPr>
          <t>2 on ground plus tending crew (2) and mtce crew allowance (2)</t>
        </r>
      </text>
    </comment>
    <comment ref="T932" authorId="0">
      <text>
        <r>
          <rPr>
            <sz val="10"/>
            <color rgb="FF000000"/>
            <rFont val="Tahoma"/>
            <charset val="1"/>
          </rPr>
          <t>2 on ground plus tending crew (2) and mtce crew allowance (2)</t>
        </r>
      </text>
    </comment>
    <comment ref="U932" authorId="0">
      <text>
        <r>
          <rPr>
            <sz val="10"/>
            <color rgb="FF000000"/>
            <rFont val="Tahoma"/>
            <charset val="1"/>
          </rPr>
          <t>2 on ground plus tending crew (2) and mtce crew allowance (2)</t>
        </r>
      </text>
    </comment>
    <comment ref="V932" authorId="0">
      <text>
        <r>
          <rPr>
            <sz val="10"/>
            <color rgb="FF000000"/>
            <rFont val="Tahoma"/>
            <charset val="1"/>
          </rPr>
          <t>2 on ground plus tending crew (2) and mtce crew allowance (2)</t>
        </r>
      </text>
    </comment>
    <comment ref="W932" authorId="0">
      <text>
        <r>
          <rPr>
            <sz val="10"/>
            <color rgb="FF000000"/>
            <rFont val="Tahoma"/>
            <charset val="1"/>
          </rPr>
          <t>2 on ground plus tending crew (2) and mtce crew allowance (2)</t>
        </r>
      </text>
    </comment>
    <comment ref="C933" authorId="0">
      <text>
        <r>
          <rPr>
            <sz val="10"/>
            <color rgb="FF000000"/>
            <rFont val="Tahoma"/>
            <charset val="1"/>
          </rPr>
          <t xml:space="preserve">Wirtgen supplied data at 650 tph converted from euros to US$ and then to a per wmt rate
</t>
        </r>
      </text>
    </comment>
    <comment ref="D933" authorId="0">
      <text>
        <r>
          <rPr>
            <sz val="10"/>
            <color rgb="FF000000"/>
            <rFont val="Tahoma"/>
            <charset val="1"/>
          </rPr>
          <t xml:space="preserve">Wirtgen supplied data at 650 tph converted from euros to US$ and then to a per wmt rate
</t>
        </r>
      </text>
    </comment>
    <comment ref="E933" authorId="0">
      <text>
        <r>
          <rPr>
            <sz val="10"/>
            <color rgb="FF000000"/>
            <rFont val="Tahoma"/>
            <charset val="1"/>
          </rPr>
          <t xml:space="preserve">Wirtgen supplied data at 650 tph converted from euros to US$ and then to a per wmt rate
</t>
        </r>
      </text>
    </comment>
    <comment ref="F933" authorId="0">
      <text>
        <r>
          <rPr>
            <sz val="10"/>
            <color rgb="FF000000"/>
            <rFont val="Tahoma"/>
            <charset val="1"/>
          </rPr>
          <t xml:space="preserve">Wirtgen supplied data at 650 tph converted from euros to US$ and then to a per wmt rate
</t>
        </r>
      </text>
    </comment>
    <comment ref="G933" authorId="0">
      <text>
        <r>
          <rPr>
            <sz val="10"/>
            <color rgb="FF000000"/>
            <rFont val="Tahoma"/>
            <charset val="1"/>
          </rPr>
          <t xml:space="preserve">Wirtgen supplied data at 650 tph converted from euros to US$ and then to a per wmt rate
</t>
        </r>
      </text>
    </comment>
    <comment ref="H933" authorId="0">
      <text>
        <r>
          <rPr>
            <sz val="10"/>
            <color rgb="FF000000"/>
            <rFont val="Tahoma"/>
            <charset val="1"/>
          </rPr>
          <t xml:space="preserve">Wirtgen supplied data at 650 tph converted from euros to US$ and then to a per wmt rate
</t>
        </r>
      </text>
    </comment>
    <comment ref="I933" authorId="0">
      <text>
        <r>
          <rPr>
            <sz val="10"/>
            <color rgb="FF000000"/>
            <rFont val="Tahoma"/>
            <charset val="1"/>
          </rPr>
          <t xml:space="preserve">Wirtgen supplied data at 650 tph converted from euros to US$ and then to a per wmt rate
</t>
        </r>
      </text>
    </comment>
    <comment ref="J933" authorId="0">
      <text>
        <r>
          <rPr>
            <sz val="10"/>
            <color rgb="FF000000"/>
            <rFont val="Tahoma"/>
            <charset val="1"/>
          </rPr>
          <t xml:space="preserve">Wirtgen supplied data at 650 tph converted from euros to US$ and then to a per wmt rate
</t>
        </r>
      </text>
    </comment>
    <comment ref="K933" authorId="0">
      <text>
        <r>
          <rPr>
            <sz val="10"/>
            <color rgb="FF000000"/>
            <rFont val="Tahoma"/>
            <charset val="1"/>
          </rPr>
          <t xml:space="preserve">Wirtgen supplied data at 650 tph converted from euros to US$ and then to a per wmt rate
</t>
        </r>
      </text>
    </comment>
    <comment ref="L933" authorId="0">
      <text>
        <r>
          <rPr>
            <sz val="10"/>
            <color rgb="FF000000"/>
            <rFont val="Tahoma"/>
            <charset val="1"/>
          </rPr>
          <t xml:space="preserve">Wirtgen supplied data at 650 tph converted from euros to US$ and then to a per wmt rate
</t>
        </r>
      </text>
    </comment>
    <comment ref="M933" authorId="0">
      <text>
        <r>
          <rPr>
            <sz val="10"/>
            <color rgb="FF000000"/>
            <rFont val="Tahoma"/>
            <charset val="1"/>
          </rPr>
          <t xml:space="preserve">Wirtgen supplied data at 650 tph converted from euros to US$ and then to a per wmt rate
</t>
        </r>
      </text>
    </comment>
    <comment ref="N933" authorId="0">
      <text>
        <r>
          <rPr>
            <sz val="10"/>
            <color rgb="FF000000"/>
            <rFont val="Tahoma"/>
            <charset val="1"/>
          </rPr>
          <t xml:space="preserve">Wirtgen supplied data at 650 tph converted from euros to US$ and then to a per wmt rate
</t>
        </r>
      </text>
    </comment>
    <comment ref="O933" authorId="0">
      <text>
        <r>
          <rPr>
            <sz val="10"/>
            <color rgb="FF000000"/>
            <rFont val="Tahoma"/>
            <charset val="1"/>
          </rPr>
          <t xml:space="preserve">Wirtgen supplied data at 650 tph converted from euros to US$ and then to a per wmt rate
</t>
        </r>
      </text>
    </comment>
    <comment ref="P933" authorId="0">
      <text>
        <r>
          <rPr>
            <sz val="10"/>
            <color rgb="FF000000"/>
            <rFont val="Tahoma"/>
            <charset val="1"/>
          </rPr>
          <t xml:space="preserve">Wirtgen supplied data at 650 tph converted from euros to US$ and then to a per wmt rate
</t>
        </r>
      </text>
    </comment>
    <comment ref="Q933" authorId="0">
      <text>
        <r>
          <rPr>
            <sz val="10"/>
            <color rgb="FF000000"/>
            <rFont val="Tahoma"/>
            <charset val="1"/>
          </rPr>
          <t xml:space="preserve">Wirtgen supplied data at 650 tph converted from euros to US$ and then to a per wmt rate
</t>
        </r>
      </text>
    </comment>
    <comment ref="R933" authorId="0">
      <text>
        <r>
          <rPr>
            <sz val="10"/>
            <color rgb="FF000000"/>
            <rFont val="Tahoma"/>
            <charset val="1"/>
          </rPr>
          <t xml:space="preserve">Wirtgen supplied data at 650 tph converted from euros to US$ and then to a per wmt rate
</t>
        </r>
      </text>
    </comment>
    <comment ref="S933" authorId="0">
      <text>
        <r>
          <rPr>
            <sz val="10"/>
            <color rgb="FF000000"/>
            <rFont val="Tahoma"/>
            <charset val="1"/>
          </rPr>
          <t xml:space="preserve">Wirtgen supplied data at 650 tph converted from euros to US$ and then to a per wmt rate
</t>
        </r>
      </text>
    </comment>
    <comment ref="T933" authorId="0">
      <text>
        <r>
          <rPr>
            <sz val="10"/>
            <color rgb="FF000000"/>
            <rFont val="Tahoma"/>
            <charset val="1"/>
          </rPr>
          <t xml:space="preserve">Wirtgen supplied data at 650 tph converted from euros to US$ and then to a per wmt rate
</t>
        </r>
      </text>
    </comment>
    <comment ref="U933" authorId="0">
      <text>
        <r>
          <rPr>
            <sz val="10"/>
            <color rgb="FF000000"/>
            <rFont val="Tahoma"/>
            <charset val="1"/>
          </rPr>
          <t xml:space="preserve">Wirtgen supplied data at 650 tph converted from euros to US$ and then to a per wmt rate
</t>
        </r>
      </text>
    </comment>
    <comment ref="V933" authorId="0">
      <text>
        <r>
          <rPr>
            <sz val="10"/>
            <color rgb="FF000000"/>
            <rFont val="Tahoma"/>
            <charset val="1"/>
          </rPr>
          <t xml:space="preserve">Wirtgen supplied data at 650 tph converted from euros to US$ and then to a per wmt rate
</t>
        </r>
      </text>
    </comment>
    <comment ref="W933" authorId="0">
      <text>
        <r>
          <rPr>
            <sz val="10"/>
            <color rgb="FF000000"/>
            <rFont val="Tahoma"/>
            <charset val="1"/>
          </rPr>
          <t xml:space="preserve">Wirtgen supplied data at 650 tph converted from euros to US$ and then to a per wmt rate
</t>
        </r>
      </text>
    </comment>
    <comment ref="C951" authorId="0">
      <text>
        <r>
          <rPr>
            <sz val="10"/>
            <color rgb="FF000000"/>
            <rFont val="Tahoma"/>
            <charset val="1"/>
          </rPr>
          <t>tuned roughly to Henan Chine trip data</t>
        </r>
      </text>
    </comment>
    <comment ref="D951" authorId="0">
      <text>
        <r>
          <rPr>
            <sz val="10"/>
            <color rgb="FF000000"/>
            <rFont val="Tahoma"/>
            <charset val="1"/>
          </rPr>
          <t>tuned roughly to Henan Chine trip data</t>
        </r>
      </text>
    </comment>
    <comment ref="E951" authorId="0">
      <text>
        <r>
          <rPr>
            <sz val="10"/>
            <color rgb="FF000000"/>
            <rFont val="Tahoma"/>
            <charset val="1"/>
          </rPr>
          <t>tuned roughly to Henan Chine trip data</t>
        </r>
      </text>
    </comment>
    <comment ref="F951" authorId="0">
      <text>
        <r>
          <rPr>
            <sz val="10"/>
            <color rgb="FF000000"/>
            <rFont val="Tahoma"/>
            <charset val="1"/>
          </rPr>
          <t>tuned roughly to Henan Chine trip data</t>
        </r>
      </text>
    </comment>
    <comment ref="G951" authorId="0">
      <text>
        <r>
          <rPr>
            <sz val="10"/>
            <color rgb="FF000000"/>
            <rFont val="Tahoma"/>
            <charset val="1"/>
          </rPr>
          <t>tuned roughly to Henan Chine trip data</t>
        </r>
      </text>
    </comment>
    <comment ref="H951" authorId="0">
      <text>
        <r>
          <rPr>
            <sz val="10"/>
            <color rgb="FF000000"/>
            <rFont val="Tahoma"/>
            <charset val="1"/>
          </rPr>
          <t>tuned roughly to Henan Chine trip data</t>
        </r>
      </text>
    </comment>
    <comment ref="I951" authorId="0">
      <text>
        <r>
          <rPr>
            <sz val="10"/>
            <color rgb="FF000000"/>
            <rFont val="Tahoma"/>
            <charset val="1"/>
          </rPr>
          <t>tuned roughly to Henan Chine trip data</t>
        </r>
      </text>
    </comment>
    <comment ref="J951" authorId="0">
      <text>
        <r>
          <rPr>
            <sz val="10"/>
            <color rgb="FF000000"/>
            <rFont val="Tahoma"/>
            <charset val="1"/>
          </rPr>
          <t>tuned roughly to Henan Chine trip data</t>
        </r>
      </text>
    </comment>
    <comment ref="K951" authorId="0">
      <text>
        <r>
          <rPr>
            <sz val="10"/>
            <color rgb="FF000000"/>
            <rFont val="Tahoma"/>
            <charset val="1"/>
          </rPr>
          <t>tuned roughly to Henan Chine trip data</t>
        </r>
      </text>
    </comment>
    <comment ref="L951" authorId="0">
      <text>
        <r>
          <rPr>
            <sz val="10"/>
            <color rgb="FF000000"/>
            <rFont val="Tahoma"/>
            <charset val="1"/>
          </rPr>
          <t>tuned roughly to Henan Chine trip data</t>
        </r>
      </text>
    </comment>
    <comment ref="M951" authorId="0">
      <text>
        <r>
          <rPr>
            <sz val="10"/>
            <color rgb="FF000000"/>
            <rFont val="Tahoma"/>
            <charset val="1"/>
          </rPr>
          <t>tuned roughly to Henan Chine trip data</t>
        </r>
      </text>
    </comment>
    <comment ref="N951" authorId="0">
      <text>
        <r>
          <rPr>
            <sz val="10"/>
            <color rgb="FF000000"/>
            <rFont val="Tahoma"/>
            <charset val="1"/>
          </rPr>
          <t>tuned roughly to Henan Chine trip data</t>
        </r>
      </text>
    </comment>
    <comment ref="O951" authorId="0">
      <text>
        <r>
          <rPr>
            <sz val="10"/>
            <color rgb="FF000000"/>
            <rFont val="Tahoma"/>
            <charset val="1"/>
          </rPr>
          <t>tuned roughly to Henan Chine trip data</t>
        </r>
      </text>
    </comment>
    <comment ref="P951" authorId="0">
      <text>
        <r>
          <rPr>
            <sz val="10"/>
            <color rgb="FF000000"/>
            <rFont val="Tahoma"/>
            <charset val="1"/>
          </rPr>
          <t>tuned roughly to Henan Chine trip data</t>
        </r>
      </text>
    </comment>
    <comment ref="Q951" authorId="0">
      <text>
        <r>
          <rPr>
            <sz val="10"/>
            <color rgb="FF000000"/>
            <rFont val="Tahoma"/>
            <charset val="1"/>
          </rPr>
          <t>tuned roughly to Henan Chine trip data</t>
        </r>
      </text>
    </comment>
    <comment ref="R951" authorId="0">
      <text>
        <r>
          <rPr>
            <sz val="10"/>
            <color rgb="FF000000"/>
            <rFont val="Tahoma"/>
            <charset val="1"/>
          </rPr>
          <t>tuned roughly to Henan Chine trip data</t>
        </r>
      </text>
    </comment>
    <comment ref="S951" authorId="0">
      <text>
        <r>
          <rPr>
            <sz val="10"/>
            <color rgb="FF000000"/>
            <rFont val="Tahoma"/>
            <charset val="1"/>
          </rPr>
          <t>tuned roughly to Henan Chine trip data</t>
        </r>
      </text>
    </comment>
    <comment ref="T951" authorId="0">
      <text>
        <r>
          <rPr>
            <sz val="10"/>
            <color rgb="FF000000"/>
            <rFont val="Tahoma"/>
            <charset val="1"/>
          </rPr>
          <t>tuned roughly to Henan Chine trip data</t>
        </r>
      </text>
    </comment>
    <comment ref="U951" authorId="0">
      <text>
        <r>
          <rPr>
            <sz val="10"/>
            <color rgb="FF000000"/>
            <rFont val="Tahoma"/>
            <charset val="1"/>
          </rPr>
          <t>tuned roughly to Henan Chine trip data</t>
        </r>
      </text>
    </comment>
    <comment ref="V951" authorId="0">
      <text>
        <r>
          <rPr>
            <sz val="10"/>
            <color rgb="FF000000"/>
            <rFont val="Tahoma"/>
            <charset val="1"/>
          </rPr>
          <t>tuned roughly to Henan Chine trip data</t>
        </r>
      </text>
    </comment>
    <comment ref="W951" authorId="0">
      <text>
        <r>
          <rPr>
            <sz val="10"/>
            <color rgb="FF000000"/>
            <rFont val="Tahoma"/>
            <charset val="1"/>
          </rPr>
          <t>tuned roughly to Henan Chine trip data</t>
        </r>
      </text>
    </comment>
    <comment ref="C952" authorId="0">
      <text>
        <r>
          <rPr>
            <sz val="10"/>
            <color rgb="FF000000"/>
            <rFont val="Calibri"/>
            <charset val="1"/>
          </rPr>
          <t xml:space="preserve">Baes off India bx truck data &amp; Guidelines for Measuring and Managing CO2 Emission from Freight Transport Operations </t>
        </r>
      </text>
    </comment>
    <comment ref="D952" authorId="0">
      <text>
        <r>
          <rPr>
            <sz val="10"/>
            <color rgb="FF000000"/>
            <rFont val="Calibri"/>
            <charset val="1"/>
          </rPr>
          <t xml:space="preserve">Baes off India bx truck data &amp; Guidelines for Measuring and Managing CO2 Emission from Freight Transport Operations </t>
        </r>
      </text>
    </comment>
    <comment ref="E952" authorId="0">
      <text>
        <r>
          <rPr>
            <sz val="10"/>
            <color rgb="FF000000"/>
            <rFont val="Calibri"/>
            <charset val="1"/>
          </rPr>
          <t xml:space="preserve">Baes off India bx truck data &amp; Guidelines for Measuring and Managing CO2 Emission from Freight Transport Operations </t>
        </r>
      </text>
    </comment>
    <comment ref="F952" authorId="0">
      <text>
        <r>
          <rPr>
            <sz val="10"/>
            <color rgb="FF000000"/>
            <rFont val="Calibri"/>
            <charset val="1"/>
          </rPr>
          <t xml:space="preserve">Baes off India bx truck data &amp; Guidelines for Measuring and Managing CO2 Emission from Freight Transport Operations </t>
        </r>
      </text>
    </comment>
    <comment ref="G952" authorId="0">
      <text>
        <r>
          <rPr>
            <sz val="10"/>
            <color rgb="FF000000"/>
            <rFont val="Calibri"/>
            <charset val="1"/>
          </rPr>
          <t xml:space="preserve">Baes off India bx truck data &amp; Guidelines for Measuring and Managing CO2 Emission from Freight Transport Operations </t>
        </r>
      </text>
    </comment>
    <comment ref="H952" authorId="0">
      <text>
        <r>
          <rPr>
            <sz val="10"/>
            <color rgb="FF000000"/>
            <rFont val="Calibri"/>
            <charset val="1"/>
          </rPr>
          <t xml:space="preserve">Baes off India bx truck data &amp; Guidelines for Measuring and Managing CO2 Emission from Freight Transport Operations </t>
        </r>
      </text>
    </comment>
    <comment ref="I952" authorId="0">
      <text>
        <r>
          <rPr>
            <sz val="10"/>
            <color rgb="FF000000"/>
            <rFont val="Calibri"/>
            <charset val="1"/>
          </rPr>
          <t xml:space="preserve">Baes off India bx truck data &amp; Guidelines for Measuring and Managing CO2 Emission from Freight Transport Operations </t>
        </r>
      </text>
    </comment>
    <comment ref="J952" authorId="0">
      <text>
        <r>
          <rPr>
            <sz val="10"/>
            <color rgb="FF000000"/>
            <rFont val="Calibri"/>
            <charset val="1"/>
          </rPr>
          <t xml:space="preserve">Baes off India bx truck data &amp; Guidelines for Measuring and Managing CO2 Emission from Freight Transport Operations </t>
        </r>
      </text>
    </comment>
    <comment ref="K952" authorId="0">
      <text>
        <r>
          <rPr>
            <sz val="10"/>
            <color rgb="FF000000"/>
            <rFont val="Calibri"/>
            <charset val="1"/>
          </rPr>
          <t xml:space="preserve">Baes off India bx truck data &amp; Guidelines for Measuring and Managing CO2 Emission from Freight Transport Operations </t>
        </r>
      </text>
    </comment>
    <comment ref="L952" authorId="0">
      <text>
        <r>
          <rPr>
            <sz val="10"/>
            <color rgb="FF000000"/>
            <rFont val="Calibri"/>
            <charset val="1"/>
          </rPr>
          <t xml:space="preserve">Baes off India bx truck data &amp; Guidelines for Measuring and Managing CO2 Emission from Freight Transport Operations </t>
        </r>
      </text>
    </comment>
    <comment ref="M952" authorId="0">
      <text>
        <r>
          <rPr>
            <sz val="10"/>
            <color rgb="FF000000"/>
            <rFont val="Calibri"/>
            <charset val="1"/>
          </rPr>
          <t xml:space="preserve">Baes off India bx truck data &amp; Guidelines for Measuring and Managing CO2 Emission from Freight Transport Operations </t>
        </r>
      </text>
    </comment>
    <comment ref="N952" authorId="0">
      <text>
        <r>
          <rPr>
            <sz val="10"/>
            <color rgb="FF000000"/>
            <rFont val="Calibri"/>
            <charset val="1"/>
          </rPr>
          <t xml:space="preserve">Baes off India bx truck data &amp; Guidelines for Measuring and Managing CO2 Emission from Freight Transport Operations </t>
        </r>
      </text>
    </comment>
    <comment ref="O952" authorId="0">
      <text>
        <r>
          <rPr>
            <sz val="10"/>
            <color rgb="FF000000"/>
            <rFont val="Calibri"/>
            <charset val="1"/>
          </rPr>
          <t xml:space="preserve">Baes off India bx truck data &amp; Guidelines for Measuring and Managing CO2 Emission from Freight Transport Operations </t>
        </r>
      </text>
    </comment>
    <comment ref="P952" authorId="0">
      <text>
        <r>
          <rPr>
            <sz val="10"/>
            <color rgb="FF000000"/>
            <rFont val="Calibri"/>
            <charset val="1"/>
          </rPr>
          <t xml:space="preserve">Baes off India bx truck data &amp; Guidelines for Measuring and Managing CO2 Emission from Freight Transport Operations </t>
        </r>
      </text>
    </comment>
    <comment ref="Q952" authorId="0">
      <text>
        <r>
          <rPr>
            <sz val="10"/>
            <color rgb="FF000000"/>
            <rFont val="Calibri"/>
            <charset val="1"/>
          </rPr>
          <t xml:space="preserve">Baes off India bx truck data &amp; Guidelines for Measuring and Managing CO2 Emission from Freight Transport Operations </t>
        </r>
      </text>
    </comment>
    <comment ref="R952" authorId="0">
      <text>
        <r>
          <rPr>
            <sz val="10"/>
            <color rgb="FF000000"/>
            <rFont val="Calibri"/>
            <charset val="1"/>
          </rPr>
          <t xml:space="preserve">Baes off India bx truck data &amp; Guidelines for Measuring and Managing CO2 Emission from Freight Transport Operations </t>
        </r>
      </text>
    </comment>
    <comment ref="S952" authorId="0">
      <text>
        <r>
          <rPr>
            <sz val="10"/>
            <color rgb="FF000000"/>
            <rFont val="Calibri"/>
            <charset val="1"/>
          </rPr>
          <t xml:space="preserve">Baes off India bx truck data &amp; Guidelines for Measuring and Managing CO2 Emission from Freight Transport Operations </t>
        </r>
      </text>
    </comment>
    <comment ref="T952" authorId="0">
      <text>
        <r>
          <rPr>
            <sz val="10"/>
            <color rgb="FF000000"/>
            <rFont val="Calibri"/>
            <charset val="1"/>
          </rPr>
          <t xml:space="preserve">Baes off India bx truck data &amp; Guidelines for Measuring and Managing CO2 Emission from Freight Transport Operations </t>
        </r>
      </text>
    </comment>
    <comment ref="U952" authorId="0">
      <text>
        <r>
          <rPr>
            <sz val="10"/>
            <color rgb="FF000000"/>
            <rFont val="Calibri"/>
            <charset val="1"/>
          </rPr>
          <t xml:space="preserve">Baes off India bx truck data &amp; Guidelines for Measuring and Managing CO2 Emission from Freight Transport Operations </t>
        </r>
      </text>
    </comment>
    <comment ref="V952" authorId="0">
      <text>
        <r>
          <rPr>
            <sz val="10"/>
            <color rgb="FF000000"/>
            <rFont val="Calibri"/>
            <charset val="1"/>
          </rPr>
          <t xml:space="preserve">Baes off India bx truck data &amp; Guidelines for Measuring and Managing CO2 Emission from Freight Transport Operations </t>
        </r>
      </text>
    </comment>
    <comment ref="W952" authorId="0">
      <text>
        <r>
          <rPr>
            <sz val="10"/>
            <color rgb="FF000000"/>
            <rFont val="Calibri"/>
            <charset val="1"/>
          </rPr>
          <t xml:space="preserve">Baes off India bx truck data &amp; Guidelines for Measuring and Managing CO2 Emission from Freight Transport Operations </t>
        </r>
      </text>
    </comment>
    <comment ref="C953" authorId="0">
      <text>
        <r>
          <rPr>
            <sz val="10"/>
            <color rgb="FF000000"/>
            <rFont val="Tahoma"/>
            <charset val="1"/>
          </rPr>
          <t>tuned roughly to Henan Chine trip data</t>
        </r>
      </text>
    </comment>
    <comment ref="D953" authorId="0">
      <text>
        <r>
          <rPr>
            <sz val="10"/>
            <color rgb="FF000000"/>
            <rFont val="Tahoma"/>
            <charset val="1"/>
          </rPr>
          <t>tuned roughly to Henan Chine trip data</t>
        </r>
      </text>
    </comment>
    <comment ref="E953" authorId="0">
      <text>
        <r>
          <rPr>
            <sz val="10"/>
            <color rgb="FF000000"/>
            <rFont val="Tahoma"/>
            <charset val="1"/>
          </rPr>
          <t>tuned roughly to Henan Chine trip data</t>
        </r>
      </text>
    </comment>
    <comment ref="F953" authorId="0">
      <text>
        <r>
          <rPr>
            <sz val="10"/>
            <color rgb="FF000000"/>
            <rFont val="Tahoma"/>
            <charset val="1"/>
          </rPr>
          <t>tuned roughly to Henan Chine trip data</t>
        </r>
      </text>
    </comment>
    <comment ref="G953" authorId="0">
      <text>
        <r>
          <rPr>
            <sz val="10"/>
            <color rgb="FF000000"/>
            <rFont val="Tahoma"/>
            <charset val="1"/>
          </rPr>
          <t>tuned roughly to Henan Chine trip data</t>
        </r>
      </text>
    </comment>
    <comment ref="H953" authorId="0">
      <text>
        <r>
          <rPr>
            <sz val="10"/>
            <color rgb="FF000000"/>
            <rFont val="Tahoma"/>
            <charset val="1"/>
          </rPr>
          <t>tuned roughly to Henan Chine trip data</t>
        </r>
      </text>
    </comment>
    <comment ref="I953" authorId="0">
      <text>
        <r>
          <rPr>
            <sz val="10"/>
            <color rgb="FF000000"/>
            <rFont val="Tahoma"/>
            <charset val="1"/>
          </rPr>
          <t>tuned roughly to Henan Chine trip data</t>
        </r>
      </text>
    </comment>
    <comment ref="J953" authorId="0">
      <text>
        <r>
          <rPr>
            <sz val="10"/>
            <color rgb="FF000000"/>
            <rFont val="Tahoma"/>
            <charset val="1"/>
          </rPr>
          <t>tuned roughly to Henan Chine trip data</t>
        </r>
      </text>
    </comment>
    <comment ref="K953" authorId="0">
      <text>
        <r>
          <rPr>
            <sz val="10"/>
            <color rgb="FF000000"/>
            <rFont val="Tahoma"/>
            <charset val="1"/>
          </rPr>
          <t>tuned roughly to Henan Chine trip data</t>
        </r>
      </text>
    </comment>
    <comment ref="L953" authorId="0">
      <text>
        <r>
          <rPr>
            <sz val="10"/>
            <color rgb="FF000000"/>
            <rFont val="Tahoma"/>
            <charset val="1"/>
          </rPr>
          <t>tuned roughly to Henan Chine trip data</t>
        </r>
      </text>
    </comment>
    <comment ref="M953" authorId="0">
      <text>
        <r>
          <rPr>
            <sz val="10"/>
            <color rgb="FF000000"/>
            <rFont val="Tahoma"/>
            <charset val="1"/>
          </rPr>
          <t>tuned roughly to Henan Chine trip data</t>
        </r>
      </text>
    </comment>
    <comment ref="N953" authorId="0">
      <text>
        <r>
          <rPr>
            <sz val="10"/>
            <color rgb="FF000000"/>
            <rFont val="Tahoma"/>
            <charset val="1"/>
          </rPr>
          <t>tuned roughly to Henan Chine trip data</t>
        </r>
      </text>
    </comment>
    <comment ref="O953" authorId="0">
      <text>
        <r>
          <rPr>
            <sz val="10"/>
            <color rgb="FF000000"/>
            <rFont val="Tahoma"/>
            <charset val="1"/>
          </rPr>
          <t>tuned roughly to Henan Chine trip data</t>
        </r>
      </text>
    </comment>
    <comment ref="P953" authorId="0">
      <text>
        <r>
          <rPr>
            <sz val="10"/>
            <color rgb="FF000000"/>
            <rFont val="Tahoma"/>
            <charset val="1"/>
          </rPr>
          <t>tuned roughly to Henan Chine trip data</t>
        </r>
      </text>
    </comment>
    <comment ref="Q953" authorId="0">
      <text>
        <r>
          <rPr>
            <sz val="10"/>
            <color rgb="FF000000"/>
            <rFont val="Tahoma"/>
            <charset val="1"/>
          </rPr>
          <t>tuned roughly to Henan Chine trip data</t>
        </r>
      </text>
    </comment>
    <comment ref="R953" authorId="0">
      <text>
        <r>
          <rPr>
            <sz val="10"/>
            <color rgb="FF000000"/>
            <rFont val="Tahoma"/>
            <charset val="1"/>
          </rPr>
          <t>tuned roughly to Henan Chine trip data</t>
        </r>
      </text>
    </comment>
    <comment ref="S953" authorId="0">
      <text>
        <r>
          <rPr>
            <sz val="10"/>
            <color rgb="FF000000"/>
            <rFont val="Tahoma"/>
            <charset val="1"/>
          </rPr>
          <t>tuned roughly to Henan Chine trip data</t>
        </r>
      </text>
    </comment>
    <comment ref="T953" authorId="0">
      <text>
        <r>
          <rPr>
            <sz val="10"/>
            <color rgb="FF000000"/>
            <rFont val="Tahoma"/>
            <charset val="1"/>
          </rPr>
          <t>tuned roughly to Henan Chine trip data</t>
        </r>
      </text>
    </comment>
    <comment ref="U953" authorId="0">
      <text>
        <r>
          <rPr>
            <sz val="10"/>
            <color rgb="FF000000"/>
            <rFont val="Tahoma"/>
            <charset val="1"/>
          </rPr>
          <t>tuned roughly to Henan Chine trip data</t>
        </r>
      </text>
    </comment>
    <comment ref="V953" authorId="0">
      <text>
        <r>
          <rPr>
            <sz val="10"/>
            <color rgb="FF000000"/>
            <rFont val="Tahoma"/>
            <charset val="1"/>
          </rPr>
          <t>tuned roughly to Henan Chine trip data</t>
        </r>
      </text>
    </comment>
    <comment ref="W953" authorId="0">
      <text>
        <r>
          <rPr>
            <sz val="10"/>
            <color rgb="FF000000"/>
            <rFont val="Tahoma"/>
            <charset val="1"/>
          </rPr>
          <t>tuned roughly to Henan Chine trip data</t>
        </r>
      </text>
    </comment>
    <comment ref="C981" authorId="0">
      <text>
        <r>
          <rPr>
            <sz val="10"/>
            <color rgb="FF000000"/>
            <rFont val="Tahoma"/>
            <charset val="1"/>
          </rPr>
          <t xml:space="preserve">built on machine doing relatively free digging = 200 tph, halve or quarter this for more difficult or insitu material
</t>
        </r>
      </text>
    </comment>
    <comment ref="D981" authorId="0">
      <text>
        <r>
          <rPr>
            <sz val="10"/>
            <color rgb="FF000000"/>
            <rFont val="Tahoma"/>
            <charset val="1"/>
          </rPr>
          <t xml:space="preserve">built on machine doing relatively free digging = 200 tph, halve or quarter this for more difficult or insitu material
</t>
        </r>
      </text>
    </comment>
    <comment ref="E981" authorId="0">
      <text>
        <r>
          <rPr>
            <sz val="10"/>
            <color rgb="FF000000"/>
            <rFont val="Tahoma"/>
            <charset val="1"/>
          </rPr>
          <t xml:space="preserve">built on machine doing relatively free digging = 200 tph, halve or quarter this for more difficult or insitu material
</t>
        </r>
      </text>
    </comment>
    <comment ref="F981" authorId="0">
      <text>
        <r>
          <rPr>
            <sz val="10"/>
            <color rgb="FF000000"/>
            <rFont val="Tahoma"/>
            <charset val="1"/>
          </rPr>
          <t xml:space="preserve">built on machine doing relatively free digging = 200 tph, halve or quarter this for more difficult or insitu material
</t>
        </r>
      </text>
    </comment>
    <comment ref="G981" authorId="0">
      <text>
        <r>
          <rPr>
            <sz val="10"/>
            <color rgb="FF000000"/>
            <rFont val="Tahoma"/>
            <charset val="1"/>
          </rPr>
          <t xml:space="preserve">built on machine doing relatively free digging = 200 tph, halve or quarter this for more difficult or insitu material
</t>
        </r>
      </text>
    </comment>
    <comment ref="H981" authorId="0">
      <text>
        <r>
          <rPr>
            <sz val="10"/>
            <color rgb="FF000000"/>
            <rFont val="Tahoma"/>
            <charset val="1"/>
          </rPr>
          <t xml:space="preserve">built on machine doing relatively free digging = 200 tph, halve or quarter this for more difficult or insitu material
</t>
        </r>
      </text>
    </comment>
    <comment ref="I981" authorId="0">
      <text>
        <r>
          <rPr>
            <sz val="10"/>
            <color rgb="FF000000"/>
            <rFont val="Tahoma"/>
            <charset val="1"/>
          </rPr>
          <t xml:space="preserve">built on machine doing relatively free digging = 200 tph, halve or quarter this for more difficult or insitu material
</t>
        </r>
      </text>
    </comment>
    <comment ref="J981" authorId="0">
      <text>
        <r>
          <rPr>
            <sz val="10"/>
            <color rgb="FF000000"/>
            <rFont val="Tahoma"/>
            <charset val="1"/>
          </rPr>
          <t xml:space="preserve">built on machine doing relatively free digging = 200 tph, halve or quarter this for more difficult or insitu material
</t>
        </r>
      </text>
    </comment>
    <comment ref="K981" authorId="0">
      <text>
        <r>
          <rPr>
            <sz val="10"/>
            <color rgb="FF000000"/>
            <rFont val="Tahoma"/>
            <charset val="1"/>
          </rPr>
          <t xml:space="preserve">built on machine doing relatively free digging = 200 tph, halve or quarter this for more difficult or insitu material
</t>
        </r>
      </text>
    </comment>
    <comment ref="L981" authorId="0">
      <text>
        <r>
          <rPr>
            <sz val="10"/>
            <color rgb="FF000000"/>
            <rFont val="Tahoma"/>
            <charset val="1"/>
          </rPr>
          <t xml:space="preserve">built on machine doing relatively free digging = 200 tph, halve or quarter this for more difficult or insitu material
</t>
        </r>
      </text>
    </comment>
    <comment ref="M981" authorId="0">
      <text>
        <r>
          <rPr>
            <sz val="10"/>
            <color rgb="FF000000"/>
            <rFont val="Tahoma"/>
            <charset val="1"/>
          </rPr>
          <t xml:space="preserve">built on machine doing relatively free digging = 200 tph, halve or quarter this for more difficult or insitu material
</t>
        </r>
      </text>
    </comment>
    <comment ref="N981" authorId="0">
      <text>
        <r>
          <rPr>
            <sz val="10"/>
            <color rgb="FF000000"/>
            <rFont val="Tahoma"/>
            <charset val="1"/>
          </rPr>
          <t xml:space="preserve">built on machine doing relatively free digging = 200 tph, halve or quarter this for more difficult or insitu material
</t>
        </r>
      </text>
    </comment>
    <comment ref="O981" authorId="0">
      <text>
        <r>
          <rPr>
            <sz val="10"/>
            <color rgb="FF000000"/>
            <rFont val="Tahoma"/>
            <charset val="1"/>
          </rPr>
          <t xml:space="preserve">built on machine doing relatively free digging = 200 tph, halve or quarter this for more difficult or insitu material
</t>
        </r>
      </text>
    </comment>
    <comment ref="P981" authorId="0">
      <text>
        <r>
          <rPr>
            <sz val="10"/>
            <color rgb="FF000000"/>
            <rFont val="Tahoma"/>
            <charset val="1"/>
          </rPr>
          <t xml:space="preserve">built on machine doing relatively free digging = 200 tph, halve or quarter this for more difficult or insitu material
</t>
        </r>
      </text>
    </comment>
    <comment ref="Q981" authorId="0">
      <text>
        <r>
          <rPr>
            <sz val="10"/>
            <color rgb="FF000000"/>
            <rFont val="Tahoma"/>
            <charset val="1"/>
          </rPr>
          <t xml:space="preserve">built on machine doing relatively free digging = 200 tph, halve or quarter this for more difficult or insitu material
</t>
        </r>
      </text>
    </comment>
    <comment ref="R981" authorId="0">
      <text>
        <r>
          <rPr>
            <sz val="10"/>
            <color rgb="FF000000"/>
            <rFont val="Tahoma"/>
            <charset val="1"/>
          </rPr>
          <t xml:space="preserve">built on machine doing relatively free digging = 200 tph, halve or quarter this for more difficult or insitu material
</t>
        </r>
      </text>
    </comment>
    <comment ref="S981" authorId="0">
      <text>
        <r>
          <rPr>
            <sz val="10"/>
            <color rgb="FF000000"/>
            <rFont val="Tahoma"/>
            <charset val="1"/>
          </rPr>
          <t xml:space="preserve">built on machine doing relatively free digging = 200 tph, halve or quarter this for more difficult or insitu material
</t>
        </r>
      </text>
    </comment>
    <comment ref="T981" authorId="0">
      <text>
        <r>
          <rPr>
            <sz val="10"/>
            <color rgb="FF000000"/>
            <rFont val="Tahoma"/>
            <charset val="1"/>
          </rPr>
          <t xml:space="preserve">built on machine doing relatively free digging = 200 tph, halve or quarter this for more difficult or insitu material
</t>
        </r>
      </text>
    </comment>
    <comment ref="U981" authorId="0">
      <text>
        <r>
          <rPr>
            <sz val="10"/>
            <color rgb="FF000000"/>
            <rFont val="Tahoma"/>
            <charset val="1"/>
          </rPr>
          <t xml:space="preserve">built on machine doing relatively free digging = 200 tph, halve or quarter this for more difficult or insitu material
</t>
        </r>
      </text>
    </comment>
    <comment ref="V981" authorId="0">
      <text>
        <r>
          <rPr>
            <sz val="10"/>
            <color rgb="FF000000"/>
            <rFont val="Tahoma"/>
            <charset val="1"/>
          </rPr>
          <t xml:space="preserve">built on machine doing relatively free digging = 200 tph, halve or quarter this for more difficult or insitu material
</t>
        </r>
      </text>
    </comment>
    <comment ref="W981" authorId="0">
      <text>
        <r>
          <rPr>
            <sz val="10"/>
            <color rgb="FF000000"/>
            <rFont val="Tahoma"/>
            <charset val="1"/>
          </rPr>
          <t xml:space="preserve">built on machine doing relatively free digging = 200 tph, halve or quarter this for more difficult or insitu material
</t>
        </r>
      </text>
    </comment>
    <comment ref="C983" authorId="0">
      <text>
        <r>
          <rPr>
            <sz val="10"/>
            <color rgb="FF000000"/>
            <rFont val="Tahoma"/>
            <charset val="1"/>
          </rPr>
          <t xml:space="preserve">data from Wirtgen
</t>
        </r>
      </text>
    </comment>
    <comment ref="D983" authorId="0">
      <text>
        <r>
          <rPr>
            <sz val="10"/>
            <color rgb="FF000000"/>
            <rFont val="Tahoma"/>
            <charset val="1"/>
          </rPr>
          <t xml:space="preserve">data from Wirtgen
</t>
        </r>
      </text>
    </comment>
    <comment ref="E983" authorId="0">
      <text>
        <r>
          <rPr>
            <sz val="10"/>
            <color rgb="FF000000"/>
            <rFont val="Tahoma"/>
            <charset val="1"/>
          </rPr>
          <t xml:space="preserve">data from Wirtgen
</t>
        </r>
      </text>
    </comment>
    <comment ref="F983" authorId="0">
      <text>
        <r>
          <rPr>
            <sz val="10"/>
            <color rgb="FF000000"/>
            <rFont val="Tahoma"/>
            <charset val="1"/>
          </rPr>
          <t xml:space="preserve">data from Wirtgen
</t>
        </r>
      </text>
    </comment>
    <comment ref="G983" authorId="0">
      <text>
        <r>
          <rPr>
            <sz val="10"/>
            <color rgb="FF000000"/>
            <rFont val="Tahoma"/>
            <charset val="1"/>
          </rPr>
          <t xml:space="preserve">data from Wirtgen
</t>
        </r>
      </text>
    </comment>
    <comment ref="H983" authorId="0">
      <text>
        <r>
          <rPr>
            <sz val="10"/>
            <color rgb="FF000000"/>
            <rFont val="Tahoma"/>
            <charset val="1"/>
          </rPr>
          <t xml:space="preserve">data from Wirtgen
</t>
        </r>
      </text>
    </comment>
    <comment ref="I983" authorId="0">
      <text>
        <r>
          <rPr>
            <sz val="10"/>
            <color rgb="FF000000"/>
            <rFont val="Tahoma"/>
            <charset val="1"/>
          </rPr>
          <t xml:space="preserve">data from Wirtgen
</t>
        </r>
      </text>
    </comment>
    <comment ref="J983" authorId="0">
      <text>
        <r>
          <rPr>
            <sz val="10"/>
            <color rgb="FF000000"/>
            <rFont val="Tahoma"/>
            <charset val="1"/>
          </rPr>
          <t xml:space="preserve">data from Wirtgen
</t>
        </r>
      </text>
    </comment>
    <comment ref="K983" authorId="0">
      <text>
        <r>
          <rPr>
            <sz val="10"/>
            <color rgb="FF000000"/>
            <rFont val="Tahoma"/>
            <charset val="1"/>
          </rPr>
          <t xml:space="preserve">data from Wirtgen
</t>
        </r>
      </text>
    </comment>
    <comment ref="L983" authorId="0">
      <text>
        <r>
          <rPr>
            <sz val="10"/>
            <color rgb="FF000000"/>
            <rFont val="Tahoma"/>
            <charset val="1"/>
          </rPr>
          <t xml:space="preserve">data from Wirtgen
</t>
        </r>
      </text>
    </comment>
    <comment ref="M983" authorId="0">
      <text>
        <r>
          <rPr>
            <sz val="10"/>
            <color rgb="FF000000"/>
            <rFont val="Tahoma"/>
            <charset val="1"/>
          </rPr>
          <t xml:space="preserve">data from Wirtgen
</t>
        </r>
      </text>
    </comment>
    <comment ref="N983" authorId="0">
      <text>
        <r>
          <rPr>
            <sz val="10"/>
            <color rgb="FF000000"/>
            <rFont val="Tahoma"/>
            <charset val="1"/>
          </rPr>
          <t xml:space="preserve">data from Wirtgen
</t>
        </r>
      </text>
    </comment>
    <comment ref="O983" authorId="0">
      <text>
        <r>
          <rPr>
            <sz val="10"/>
            <color rgb="FF000000"/>
            <rFont val="Tahoma"/>
            <charset val="1"/>
          </rPr>
          <t xml:space="preserve">data from Wirtgen
</t>
        </r>
      </text>
    </comment>
    <comment ref="P983" authorId="0">
      <text>
        <r>
          <rPr>
            <sz val="10"/>
            <color rgb="FF000000"/>
            <rFont val="Tahoma"/>
            <charset val="1"/>
          </rPr>
          <t xml:space="preserve">data from Wirtgen
</t>
        </r>
      </text>
    </comment>
    <comment ref="Q983" authorId="0">
      <text>
        <r>
          <rPr>
            <sz val="10"/>
            <color rgb="FF000000"/>
            <rFont val="Tahoma"/>
            <charset val="1"/>
          </rPr>
          <t xml:space="preserve">data from Wirtgen
</t>
        </r>
      </text>
    </comment>
    <comment ref="R983" authorId="0">
      <text>
        <r>
          <rPr>
            <sz val="10"/>
            <color rgb="FF000000"/>
            <rFont val="Tahoma"/>
            <charset val="1"/>
          </rPr>
          <t xml:space="preserve">data from Wirtgen
</t>
        </r>
      </text>
    </comment>
    <comment ref="S983" authorId="0">
      <text>
        <r>
          <rPr>
            <sz val="10"/>
            <color rgb="FF000000"/>
            <rFont val="Tahoma"/>
            <charset val="1"/>
          </rPr>
          <t xml:space="preserve">data from Wirtgen
</t>
        </r>
      </text>
    </comment>
    <comment ref="T983" authorId="0">
      <text>
        <r>
          <rPr>
            <sz val="10"/>
            <color rgb="FF000000"/>
            <rFont val="Tahoma"/>
            <charset val="1"/>
          </rPr>
          <t xml:space="preserve">data from Wirtgen
</t>
        </r>
      </text>
    </comment>
    <comment ref="U983" authorId="0">
      <text>
        <r>
          <rPr>
            <sz val="10"/>
            <color rgb="FF000000"/>
            <rFont val="Tahoma"/>
            <charset val="1"/>
          </rPr>
          <t xml:space="preserve">data from Wirtgen
</t>
        </r>
      </text>
    </comment>
    <comment ref="V983" authorId="0">
      <text>
        <r>
          <rPr>
            <sz val="10"/>
            <color rgb="FF000000"/>
            <rFont val="Tahoma"/>
            <charset val="1"/>
          </rPr>
          <t xml:space="preserve">data from Wirtgen
</t>
        </r>
      </text>
    </comment>
    <comment ref="W983" authorId="0">
      <text>
        <r>
          <rPr>
            <sz val="10"/>
            <color rgb="FF000000"/>
            <rFont val="Tahoma"/>
            <charset val="1"/>
          </rPr>
          <t xml:space="preserve">data from Wirtgen
</t>
        </r>
      </text>
    </comment>
    <comment ref="C984" authorId="0">
      <text>
        <r>
          <rPr>
            <sz val="10"/>
            <color rgb="FF000000"/>
            <rFont val="Tahoma"/>
            <charset val="1"/>
          </rPr>
          <t>2 on ground plus tending crew (2) and mtce crew allowance (2)</t>
        </r>
      </text>
    </comment>
    <comment ref="D984" authorId="0">
      <text>
        <r>
          <rPr>
            <sz val="10"/>
            <color rgb="FF000000"/>
            <rFont val="Tahoma"/>
            <charset val="1"/>
          </rPr>
          <t>2 on ground plus tending crew (2) and mtce crew allowance (2)</t>
        </r>
      </text>
    </comment>
    <comment ref="E984" authorId="0">
      <text>
        <r>
          <rPr>
            <sz val="10"/>
            <color rgb="FF000000"/>
            <rFont val="Tahoma"/>
            <charset val="1"/>
          </rPr>
          <t>2 on ground plus tending crew (2) and mtce crew allowance (2)</t>
        </r>
      </text>
    </comment>
    <comment ref="F984" authorId="0">
      <text>
        <r>
          <rPr>
            <sz val="10"/>
            <color rgb="FF000000"/>
            <rFont val="Tahoma"/>
            <charset val="1"/>
          </rPr>
          <t>2 on ground plus tending crew (2) and mtce crew allowance (2)</t>
        </r>
      </text>
    </comment>
    <comment ref="G984" authorId="0">
      <text>
        <r>
          <rPr>
            <sz val="10"/>
            <color rgb="FF000000"/>
            <rFont val="Tahoma"/>
            <charset val="1"/>
          </rPr>
          <t>2 on ground plus tending crew (2) and mtce crew allowance (2)</t>
        </r>
      </text>
    </comment>
    <comment ref="H984" authorId="0">
      <text>
        <r>
          <rPr>
            <sz val="10"/>
            <color rgb="FF000000"/>
            <rFont val="Tahoma"/>
            <charset val="1"/>
          </rPr>
          <t>2 on ground plus tending crew (2) and mtce crew allowance (2)</t>
        </r>
      </text>
    </comment>
    <comment ref="I984" authorId="0">
      <text>
        <r>
          <rPr>
            <sz val="10"/>
            <color rgb="FF000000"/>
            <rFont val="Tahoma"/>
            <charset val="1"/>
          </rPr>
          <t>2 on ground plus tending crew (2) and mtce crew allowance (2)</t>
        </r>
      </text>
    </comment>
    <comment ref="J984" authorId="0">
      <text>
        <r>
          <rPr>
            <sz val="10"/>
            <color rgb="FF000000"/>
            <rFont val="Tahoma"/>
            <charset val="1"/>
          </rPr>
          <t>2 on ground plus tending crew (2) and mtce crew allowance (2)</t>
        </r>
      </text>
    </comment>
    <comment ref="K984" authorId="0">
      <text>
        <r>
          <rPr>
            <sz val="10"/>
            <color rgb="FF000000"/>
            <rFont val="Tahoma"/>
            <charset val="1"/>
          </rPr>
          <t>2 on ground plus tending crew (2) and mtce crew allowance (2)</t>
        </r>
      </text>
    </comment>
    <comment ref="L984" authorId="0">
      <text>
        <r>
          <rPr>
            <sz val="10"/>
            <color rgb="FF000000"/>
            <rFont val="Tahoma"/>
            <charset val="1"/>
          </rPr>
          <t>2 on ground plus tending crew (2) and mtce crew allowance (2)</t>
        </r>
      </text>
    </comment>
    <comment ref="M984" authorId="0">
      <text>
        <r>
          <rPr>
            <sz val="10"/>
            <color rgb="FF000000"/>
            <rFont val="Tahoma"/>
            <charset val="1"/>
          </rPr>
          <t>2 on ground plus tending crew (2) and mtce crew allowance (2)</t>
        </r>
      </text>
    </comment>
    <comment ref="N984" authorId="0">
      <text>
        <r>
          <rPr>
            <sz val="10"/>
            <color rgb="FF000000"/>
            <rFont val="Tahoma"/>
            <charset val="1"/>
          </rPr>
          <t>2 on ground plus tending crew (2) and mtce crew allowance (2)</t>
        </r>
      </text>
    </comment>
    <comment ref="O984" authorId="0">
      <text>
        <r>
          <rPr>
            <sz val="10"/>
            <color rgb="FF000000"/>
            <rFont val="Tahoma"/>
            <charset val="1"/>
          </rPr>
          <t>2 on ground plus tending crew (2) and mtce crew allowance (2)</t>
        </r>
      </text>
    </comment>
    <comment ref="P984" authorId="0">
      <text>
        <r>
          <rPr>
            <sz val="10"/>
            <color rgb="FF000000"/>
            <rFont val="Tahoma"/>
            <charset val="1"/>
          </rPr>
          <t>2 on ground plus tending crew (2) and mtce crew allowance (2)</t>
        </r>
      </text>
    </comment>
    <comment ref="Q984" authorId="0">
      <text>
        <r>
          <rPr>
            <sz val="10"/>
            <color rgb="FF000000"/>
            <rFont val="Tahoma"/>
            <charset val="1"/>
          </rPr>
          <t>2 on ground plus tending crew (2) and mtce crew allowance (2)</t>
        </r>
      </text>
    </comment>
    <comment ref="R984" authorId="0">
      <text>
        <r>
          <rPr>
            <sz val="10"/>
            <color rgb="FF000000"/>
            <rFont val="Tahoma"/>
            <charset val="1"/>
          </rPr>
          <t>2 on ground plus tending crew (2) and mtce crew allowance (2)</t>
        </r>
      </text>
    </comment>
    <comment ref="S984" authorId="0">
      <text>
        <r>
          <rPr>
            <sz val="10"/>
            <color rgb="FF000000"/>
            <rFont val="Tahoma"/>
            <charset val="1"/>
          </rPr>
          <t>2 on ground plus tending crew (2) and mtce crew allowance (2)</t>
        </r>
      </text>
    </comment>
    <comment ref="T984" authorId="0">
      <text>
        <r>
          <rPr>
            <sz val="10"/>
            <color rgb="FF000000"/>
            <rFont val="Tahoma"/>
            <charset val="1"/>
          </rPr>
          <t>2 on ground plus tending crew (2) and mtce crew allowance (2)</t>
        </r>
      </text>
    </comment>
    <comment ref="U984" authorId="0">
      <text>
        <r>
          <rPr>
            <sz val="10"/>
            <color rgb="FF000000"/>
            <rFont val="Tahoma"/>
            <charset val="1"/>
          </rPr>
          <t>2 on ground plus tending crew (2) and mtce crew allowance (2)</t>
        </r>
      </text>
    </comment>
    <comment ref="V984" authorId="0">
      <text>
        <r>
          <rPr>
            <sz val="10"/>
            <color rgb="FF000000"/>
            <rFont val="Tahoma"/>
            <charset val="1"/>
          </rPr>
          <t>2 on ground plus tending crew (2) and mtce crew allowance (2)</t>
        </r>
      </text>
    </comment>
    <comment ref="W984" authorId="0">
      <text>
        <r>
          <rPr>
            <sz val="10"/>
            <color rgb="FF000000"/>
            <rFont val="Tahoma"/>
            <charset val="1"/>
          </rPr>
          <t>2 on ground plus tending crew (2) and mtce crew allowance (2)</t>
        </r>
      </text>
    </comment>
    <comment ref="C985" authorId="0">
      <text>
        <r>
          <rPr>
            <sz val="10"/>
            <color rgb="FF000000"/>
            <rFont val="Tahoma"/>
            <charset val="1"/>
          </rPr>
          <t xml:space="preserve">Wirtgen supplied data at 650 tph converted from euros to US$ and then to a per wmt rate
</t>
        </r>
      </text>
    </comment>
    <comment ref="D985" authorId="0">
      <text>
        <r>
          <rPr>
            <sz val="10"/>
            <color rgb="FF000000"/>
            <rFont val="Tahoma"/>
            <charset val="1"/>
          </rPr>
          <t xml:space="preserve">Wirtgen supplied data at 650 tph converted from euros to US$ and then to a per wmt rate
</t>
        </r>
      </text>
    </comment>
    <comment ref="E985" authorId="0">
      <text>
        <r>
          <rPr>
            <sz val="10"/>
            <color rgb="FF000000"/>
            <rFont val="Tahoma"/>
            <charset val="1"/>
          </rPr>
          <t xml:space="preserve">Wirtgen supplied data at 650 tph converted from euros to US$ and then to a per wmt rate
</t>
        </r>
      </text>
    </comment>
    <comment ref="F985" authorId="0">
      <text>
        <r>
          <rPr>
            <sz val="10"/>
            <color rgb="FF000000"/>
            <rFont val="Tahoma"/>
            <charset val="1"/>
          </rPr>
          <t xml:space="preserve">Wirtgen supplied data at 650 tph converted from euros to US$ and then to a per wmt rate
</t>
        </r>
      </text>
    </comment>
    <comment ref="G985" authorId="0">
      <text>
        <r>
          <rPr>
            <sz val="10"/>
            <color rgb="FF000000"/>
            <rFont val="Tahoma"/>
            <charset val="1"/>
          </rPr>
          <t xml:space="preserve">Wirtgen supplied data at 650 tph converted from euros to US$ and then to a per wmt rate
</t>
        </r>
      </text>
    </comment>
    <comment ref="H985" authorId="0">
      <text>
        <r>
          <rPr>
            <sz val="10"/>
            <color rgb="FF000000"/>
            <rFont val="Tahoma"/>
            <charset val="1"/>
          </rPr>
          <t xml:space="preserve">Wirtgen supplied data at 650 tph converted from euros to US$ and then to a per wmt rate
</t>
        </r>
      </text>
    </comment>
    <comment ref="I985" authorId="0">
      <text>
        <r>
          <rPr>
            <sz val="10"/>
            <color rgb="FF000000"/>
            <rFont val="Tahoma"/>
            <charset val="1"/>
          </rPr>
          <t xml:space="preserve">Wirtgen supplied data at 650 tph converted from euros to US$ and then to a per wmt rate
</t>
        </r>
      </text>
    </comment>
    <comment ref="J985" authorId="0">
      <text>
        <r>
          <rPr>
            <sz val="10"/>
            <color rgb="FF000000"/>
            <rFont val="Tahoma"/>
            <charset val="1"/>
          </rPr>
          <t xml:space="preserve">Wirtgen supplied data at 650 tph converted from euros to US$ and then to a per wmt rate
</t>
        </r>
      </text>
    </comment>
    <comment ref="K985" authorId="0">
      <text>
        <r>
          <rPr>
            <sz val="10"/>
            <color rgb="FF000000"/>
            <rFont val="Tahoma"/>
            <charset val="1"/>
          </rPr>
          <t xml:space="preserve">Wirtgen supplied data at 650 tph converted from euros to US$ and then to a per wmt rate
</t>
        </r>
      </text>
    </comment>
    <comment ref="L985" authorId="0">
      <text>
        <r>
          <rPr>
            <sz val="10"/>
            <color rgb="FF000000"/>
            <rFont val="Tahoma"/>
            <charset val="1"/>
          </rPr>
          <t xml:space="preserve">Wirtgen supplied data at 650 tph converted from euros to US$ and then to a per wmt rate
</t>
        </r>
      </text>
    </comment>
    <comment ref="M985" authorId="0">
      <text>
        <r>
          <rPr>
            <sz val="10"/>
            <color rgb="FF000000"/>
            <rFont val="Tahoma"/>
            <charset val="1"/>
          </rPr>
          <t xml:space="preserve">Wirtgen supplied data at 650 tph converted from euros to US$ and then to a per wmt rate
</t>
        </r>
      </text>
    </comment>
    <comment ref="N985" authorId="0">
      <text>
        <r>
          <rPr>
            <sz val="10"/>
            <color rgb="FF000000"/>
            <rFont val="Tahoma"/>
            <charset val="1"/>
          </rPr>
          <t xml:space="preserve">Wirtgen supplied data at 650 tph converted from euros to US$ and then to a per wmt rate
</t>
        </r>
      </text>
    </comment>
    <comment ref="O985" authorId="0">
      <text>
        <r>
          <rPr>
            <sz val="10"/>
            <color rgb="FF000000"/>
            <rFont val="Tahoma"/>
            <charset val="1"/>
          </rPr>
          <t xml:space="preserve">Wirtgen supplied data at 650 tph converted from euros to US$ and then to a per wmt rate
</t>
        </r>
      </text>
    </comment>
    <comment ref="P985" authorId="0">
      <text>
        <r>
          <rPr>
            <sz val="10"/>
            <color rgb="FF000000"/>
            <rFont val="Tahoma"/>
            <charset val="1"/>
          </rPr>
          <t xml:space="preserve">Wirtgen supplied data at 650 tph converted from euros to US$ and then to a per wmt rate
</t>
        </r>
      </text>
    </comment>
    <comment ref="Q985" authorId="0">
      <text>
        <r>
          <rPr>
            <sz val="10"/>
            <color rgb="FF000000"/>
            <rFont val="Tahoma"/>
            <charset val="1"/>
          </rPr>
          <t xml:space="preserve">Wirtgen supplied data at 650 tph converted from euros to US$ and then to a per wmt rate
</t>
        </r>
      </text>
    </comment>
    <comment ref="R985" authorId="0">
      <text>
        <r>
          <rPr>
            <sz val="10"/>
            <color rgb="FF000000"/>
            <rFont val="Tahoma"/>
            <charset val="1"/>
          </rPr>
          <t xml:space="preserve">Wirtgen supplied data at 650 tph converted from euros to US$ and then to a per wmt rate
</t>
        </r>
      </text>
    </comment>
    <comment ref="S985" authorId="0">
      <text>
        <r>
          <rPr>
            <sz val="10"/>
            <color rgb="FF000000"/>
            <rFont val="Tahoma"/>
            <charset val="1"/>
          </rPr>
          <t xml:space="preserve">Wirtgen supplied data at 650 tph converted from euros to US$ and then to a per wmt rate
</t>
        </r>
      </text>
    </comment>
    <comment ref="T985" authorId="0">
      <text>
        <r>
          <rPr>
            <sz val="10"/>
            <color rgb="FF000000"/>
            <rFont val="Tahoma"/>
            <charset val="1"/>
          </rPr>
          <t xml:space="preserve">Wirtgen supplied data at 650 tph converted from euros to US$ and then to a per wmt rate
</t>
        </r>
      </text>
    </comment>
    <comment ref="U985" authorId="0">
      <text>
        <r>
          <rPr>
            <sz val="10"/>
            <color rgb="FF000000"/>
            <rFont val="Tahoma"/>
            <charset val="1"/>
          </rPr>
          <t xml:space="preserve">Wirtgen supplied data at 650 tph converted from euros to US$ and then to a per wmt rate
</t>
        </r>
      </text>
    </comment>
    <comment ref="V985" authorId="0">
      <text>
        <r>
          <rPr>
            <sz val="10"/>
            <color rgb="FF000000"/>
            <rFont val="Tahoma"/>
            <charset val="1"/>
          </rPr>
          <t xml:space="preserve">Wirtgen supplied data at 650 tph converted from euros to US$ and then to a per wmt rate
</t>
        </r>
      </text>
    </comment>
    <comment ref="W985" authorId="0">
      <text>
        <r>
          <rPr>
            <sz val="10"/>
            <color rgb="FF000000"/>
            <rFont val="Tahoma"/>
            <charset val="1"/>
          </rPr>
          <t xml:space="preserve">Wirtgen supplied data at 650 tph converted from euros to US$ and then to a per wmt rate
</t>
        </r>
      </text>
    </comment>
    <comment ref="C1003" authorId="0">
      <text>
        <r>
          <rPr>
            <sz val="10"/>
            <color rgb="FF000000"/>
            <rFont val="Tahoma"/>
            <charset val="1"/>
          </rPr>
          <t>tuned roughly to Henan Chine trip data</t>
        </r>
      </text>
    </comment>
    <comment ref="D1003" authorId="0">
      <text>
        <r>
          <rPr>
            <sz val="10"/>
            <color rgb="FF000000"/>
            <rFont val="Tahoma"/>
            <charset val="1"/>
          </rPr>
          <t>tuned roughly to Henan Chine trip data</t>
        </r>
      </text>
    </comment>
    <comment ref="E1003" authorId="0">
      <text>
        <r>
          <rPr>
            <sz val="10"/>
            <color rgb="FF000000"/>
            <rFont val="Tahoma"/>
            <charset val="1"/>
          </rPr>
          <t>tuned roughly to Henan Chine trip data</t>
        </r>
      </text>
    </comment>
    <comment ref="F1003" authorId="0">
      <text>
        <r>
          <rPr>
            <sz val="10"/>
            <color rgb="FF000000"/>
            <rFont val="Tahoma"/>
            <charset val="1"/>
          </rPr>
          <t>tuned roughly to Henan Chine trip data</t>
        </r>
      </text>
    </comment>
    <comment ref="G1003" authorId="0">
      <text>
        <r>
          <rPr>
            <sz val="10"/>
            <color rgb="FF000000"/>
            <rFont val="Tahoma"/>
            <charset val="1"/>
          </rPr>
          <t>tuned roughly to Henan Chine trip data</t>
        </r>
      </text>
    </comment>
    <comment ref="H1003" authorId="0">
      <text>
        <r>
          <rPr>
            <sz val="10"/>
            <color rgb="FF000000"/>
            <rFont val="Tahoma"/>
            <charset val="1"/>
          </rPr>
          <t>tuned roughly to Henan Chine trip data</t>
        </r>
      </text>
    </comment>
    <comment ref="I1003" authorId="0">
      <text>
        <r>
          <rPr>
            <sz val="10"/>
            <color rgb="FF000000"/>
            <rFont val="Tahoma"/>
            <charset val="1"/>
          </rPr>
          <t>tuned roughly to Henan Chine trip data</t>
        </r>
      </text>
    </comment>
    <comment ref="J1003" authorId="0">
      <text>
        <r>
          <rPr>
            <sz val="10"/>
            <color rgb="FF000000"/>
            <rFont val="Tahoma"/>
            <charset val="1"/>
          </rPr>
          <t>tuned roughly to Henan Chine trip data</t>
        </r>
      </text>
    </comment>
    <comment ref="K1003" authorId="0">
      <text>
        <r>
          <rPr>
            <sz val="10"/>
            <color rgb="FF000000"/>
            <rFont val="Tahoma"/>
            <charset val="1"/>
          </rPr>
          <t>tuned roughly to Henan Chine trip data</t>
        </r>
      </text>
    </comment>
    <comment ref="L1003" authorId="0">
      <text>
        <r>
          <rPr>
            <sz val="10"/>
            <color rgb="FF000000"/>
            <rFont val="Tahoma"/>
            <charset val="1"/>
          </rPr>
          <t>tuned roughly to Henan Chine trip data</t>
        </r>
      </text>
    </comment>
    <comment ref="M1003" authorId="0">
      <text>
        <r>
          <rPr>
            <sz val="10"/>
            <color rgb="FF000000"/>
            <rFont val="Tahoma"/>
            <charset val="1"/>
          </rPr>
          <t>tuned roughly to Henan Chine trip data</t>
        </r>
      </text>
    </comment>
    <comment ref="N1003" authorId="0">
      <text>
        <r>
          <rPr>
            <sz val="10"/>
            <color rgb="FF000000"/>
            <rFont val="Tahoma"/>
            <charset val="1"/>
          </rPr>
          <t>tuned roughly to Henan Chine trip data</t>
        </r>
      </text>
    </comment>
    <comment ref="O1003" authorId="0">
      <text>
        <r>
          <rPr>
            <sz val="10"/>
            <color rgb="FF000000"/>
            <rFont val="Tahoma"/>
            <charset val="1"/>
          </rPr>
          <t>tuned roughly to Henan Chine trip data</t>
        </r>
      </text>
    </comment>
    <comment ref="P1003" authorId="0">
      <text>
        <r>
          <rPr>
            <sz val="10"/>
            <color rgb="FF000000"/>
            <rFont val="Tahoma"/>
            <charset val="1"/>
          </rPr>
          <t>tuned roughly to Henan Chine trip data</t>
        </r>
      </text>
    </comment>
    <comment ref="Q1003" authorId="0">
      <text>
        <r>
          <rPr>
            <sz val="10"/>
            <color rgb="FF000000"/>
            <rFont val="Tahoma"/>
            <charset val="1"/>
          </rPr>
          <t>tuned roughly to Henan Chine trip data</t>
        </r>
      </text>
    </comment>
    <comment ref="R1003" authorId="0">
      <text>
        <r>
          <rPr>
            <sz val="10"/>
            <color rgb="FF000000"/>
            <rFont val="Tahoma"/>
            <charset val="1"/>
          </rPr>
          <t>tuned roughly to Henan Chine trip data</t>
        </r>
      </text>
    </comment>
    <comment ref="S1003" authorId="0">
      <text>
        <r>
          <rPr>
            <sz val="10"/>
            <color rgb="FF000000"/>
            <rFont val="Tahoma"/>
            <charset val="1"/>
          </rPr>
          <t>tuned roughly to Henan Chine trip data</t>
        </r>
      </text>
    </comment>
    <comment ref="T1003" authorId="0">
      <text>
        <r>
          <rPr>
            <sz val="10"/>
            <color rgb="FF000000"/>
            <rFont val="Tahoma"/>
            <charset val="1"/>
          </rPr>
          <t>tuned roughly to Henan Chine trip data</t>
        </r>
      </text>
    </comment>
    <comment ref="U1003" authorId="0">
      <text>
        <r>
          <rPr>
            <sz val="10"/>
            <color rgb="FF000000"/>
            <rFont val="Tahoma"/>
            <charset val="1"/>
          </rPr>
          <t>tuned roughly to Henan Chine trip data</t>
        </r>
      </text>
    </comment>
    <comment ref="V1003" authorId="0">
      <text>
        <r>
          <rPr>
            <sz val="10"/>
            <color rgb="FF000000"/>
            <rFont val="Tahoma"/>
            <charset val="1"/>
          </rPr>
          <t>tuned roughly to Henan Chine trip data</t>
        </r>
      </text>
    </comment>
    <comment ref="W1003" authorId="0">
      <text>
        <r>
          <rPr>
            <sz val="10"/>
            <color rgb="FF000000"/>
            <rFont val="Tahoma"/>
            <charset val="1"/>
          </rPr>
          <t>tuned roughly to Henan Chine trip data</t>
        </r>
      </text>
    </comment>
    <comment ref="C1004" authorId="0">
      <text>
        <r>
          <rPr>
            <sz val="10"/>
            <color rgb="FF000000"/>
            <rFont val="Calibri"/>
            <charset val="1"/>
          </rPr>
          <t xml:space="preserve">Baes off India bx truck data &amp; Guidelines for Measuring and Managing CO2 Emission from Freight Transport Operations </t>
        </r>
      </text>
    </comment>
    <comment ref="D1004" authorId="0">
      <text>
        <r>
          <rPr>
            <sz val="10"/>
            <color rgb="FF000000"/>
            <rFont val="Calibri"/>
            <charset val="1"/>
          </rPr>
          <t xml:space="preserve">Baes off India bx truck data &amp; Guidelines for Measuring and Managing CO2 Emission from Freight Transport Operations </t>
        </r>
      </text>
    </comment>
    <comment ref="E1004" authorId="0">
      <text>
        <r>
          <rPr>
            <sz val="10"/>
            <color rgb="FF000000"/>
            <rFont val="Calibri"/>
            <charset val="1"/>
          </rPr>
          <t xml:space="preserve">Baes off India bx truck data &amp; Guidelines for Measuring and Managing CO2 Emission from Freight Transport Operations </t>
        </r>
      </text>
    </comment>
    <comment ref="F1004" authorId="0">
      <text>
        <r>
          <rPr>
            <sz val="10"/>
            <color rgb="FF000000"/>
            <rFont val="Calibri"/>
            <charset val="1"/>
          </rPr>
          <t xml:space="preserve">Baes off India bx truck data &amp; Guidelines for Measuring and Managing CO2 Emission from Freight Transport Operations </t>
        </r>
      </text>
    </comment>
    <comment ref="G1004" authorId="0">
      <text>
        <r>
          <rPr>
            <sz val="10"/>
            <color rgb="FF000000"/>
            <rFont val="Calibri"/>
            <charset val="1"/>
          </rPr>
          <t xml:space="preserve">Baes off India bx truck data &amp; Guidelines for Measuring and Managing CO2 Emission from Freight Transport Operations </t>
        </r>
      </text>
    </comment>
    <comment ref="H1004" authorId="0">
      <text>
        <r>
          <rPr>
            <sz val="10"/>
            <color rgb="FF000000"/>
            <rFont val="Calibri"/>
            <charset val="1"/>
          </rPr>
          <t xml:space="preserve">Baes off India bx truck data &amp; Guidelines for Measuring and Managing CO2 Emission from Freight Transport Operations </t>
        </r>
      </text>
    </comment>
    <comment ref="I1004" authorId="0">
      <text>
        <r>
          <rPr>
            <sz val="10"/>
            <color rgb="FF000000"/>
            <rFont val="Calibri"/>
            <charset val="1"/>
          </rPr>
          <t xml:space="preserve">Baes off India bx truck data &amp; Guidelines for Measuring and Managing CO2 Emission from Freight Transport Operations </t>
        </r>
      </text>
    </comment>
    <comment ref="J1004" authorId="0">
      <text>
        <r>
          <rPr>
            <sz val="10"/>
            <color rgb="FF000000"/>
            <rFont val="Calibri"/>
            <charset val="1"/>
          </rPr>
          <t xml:space="preserve">Baes off India bx truck data &amp; Guidelines for Measuring and Managing CO2 Emission from Freight Transport Operations </t>
        </r>
      </text>
    </comment>
    <comment ref="K1004" authorId="0">
      <text>
        <r>
          <rPr>
            <sz val="10"/>
            <color rgb="FF000000"/>
            <rFont val="Calibri"/>
            <charset val="1"/>
          </rPr>
          <t xml:space="preserve">Baes off India bx truck data &amp; Guidelines for Measuring and Managing CO2 Emission from Freight Transport Operations </t>
        </r>
      </text>
    </comment>
    <comment ref="L1004" authorId="0">
      <text>
        <r>
          <rPr>
            <sz val="10"/>
            <color rgb="FF000000"/>
            <rFont val="Calibri"/>
            <charset val="1"/>
          </rPr>
          <t xml:space="preserve">Baes off India bx truck data &amp; Guidelines for Measuring and Managing CO2 Emission from Freight Transport Operations </t>
        </r>
      </text>
    </comment>
    <comment ref="M1004" authorId="0">
      <text>
        <r>
          <rPr>
            <sz val="10"/>
            <color rgb="FF000000"/>
            <rFont val="Calibri"/>
            <charset val="1"/>
          </rPr>
          <t xml:space="preserve">Baes off India bx truck data &amp; Guidelines for Measuring and Managing CO2 Emission from Freight Transport Operations </t>
        </r>
      </text>
    </comment>
    <comment ref="N1004" authorId="0">
      <text>
        <r>
          <rPr>
            <sz val="10"/>
            <color rgb="FF000000"/>
            <rFont val="Calibri"/>
            <charset val="1"/>
          </rPr>
          <t xml:space="preserve">Baes off India bx truck data &amp; Guidelines for Measuring and Managing CO2 Emission from Freight Transport Operations </t>
        </r>
      </text>
    </comment>
    <comment ref="O1004" authorId="0">
      <text>
        <r>
          <rPr>
            <sz val="10"/>
            <color rgb="FF000000"/>
            <rFont val="Calibri"/>
            <charset val="1"/>
          </rPr>
          <t xml:space="preserve">Baes off India bx truck data &amp; Guidelines for Measuring and Managing CO2 Emission from Freight Transport Operations </t>
        </r>
      </text>
    </comment>
    <comment ref="P1004" authorId="0">
      <text>
        <r>
          <rPr>
            <sz val="10"/>
            <color rgb="FF000000"/>
            <rFont val="Calibri"/>
            <charset val="1"/>
          </rPr>
          <t xml:space="preserve">Baes off India bx truck data &amp; Guidelines for Measuring and Managing CO2 Emission from Freight Transport Operations </t>
        </r>
      </text>
    </comment>
    <comment ref="Q1004" authorId="0">
      <text>
        <r>
          <rPr>
            <sz val="10"/>
            <color rgb="FF000000"/>
            <rFont val="Calibri"/>
            <charset val="1"/>
          </rPr>
          <t xml:space="preserve">Baes off India bx truck data &amp; Guidelines for Measuring and Managing CO2 Emission from Freight Transport Operations </t>
        </r>
      </text>
    </comment>
    <comment ref="R1004" authorId="0">
      <text>
        <r>
          <rPr>
            <sz val="10"/>
            <color rgb="FF000000"/>
            <rFont val="Calibri"/>
            <charset val="1"/>
          </rPr>
          <t xml:space="preserve">Baes off India bx truck data &amp; Guidelines for Measuring and Managing CO2 Emission from Freight Transport Operations </t>
        </r>
      </text>
    </comment>
    <comment ref="S1004" authorId="0">
      <text>
        <r>
          <rPr>
            <sz val="10"/>
            <color rgb="FF000000"/>
            <rFont val="Calibri"/>
            <charset val="1"/>
          </rPr>
          <t xml:space="preserve">Baes off India bx truck data &amp; Guidelines for Measuring and Managing CO2 Emission from Freight Transport Operations </t>
        </r>
      </text>
    </comment>
    <comment ref="T1004" authorId="0">
      <text>
        <r>
          <rPr>
            <sz val="10"/>
            <color rgb="FF000000"/>
            <rFont val="Calibri"/>
            <charset val="1"/>
          </rPr>
          <t xml:space="preserve">Baes off India bx truck data &amp; Guidelines for Measuring and Managing CO2 Emission from Freight Transport Operations </t>
        </r>
      </text>
    </comment>
    <comment ref="U1004" authorId="0">
      <text>
        <r>
          <rPr>
            <sz val="10"/>
            <color rgb="FF000000"/>
            <rFont val="Calibri"/>
            <charset val="1"/>
          </rPr>
          <t xml:space="preserve">Baes off India bx truck data &amp; Guidelines for Measuring and Managing CO2 Emission from Freight Transport Operations </t>
        </r>
      </text>
    </comment>
    <comment ref="V1004" authorId="0">
      <text>
        <r>
          <rPr>
            <sz val="10"/>
            <color rgb="FF000000"/>
            <rFont val="Calibri"/>
            <charset val="1"/>
          </rPr>
          <t xml:space="preserve">Baes off India bx truck data &amp; Guidelines for Measuring and Managing CO2 Emission from Freight Transport Operations </t>
        </r>
      </text>
    </comment>
    <comment ref="W1004" authorId="0">
      <text>
        <r>
          <rPr>
            <sz val="10"/>
            <color rgb="FF000000"/>
            <rFont val="Calibri"/>
            <charset val="1"/>
          </rPr>
          <t xml:space="preserve">Baes off India bx truck data &amp; Guidelines for Measuring and Managing CO2 Emission from Freight Transport Operations </t>
        </r>
      </text>
    </comment>
    <comment ref="C1005" authorId="0">
      <text>
        <r>
          <rPr>
            <sz val="10"/>
            <color rgb="FF000000"/>
            <rFont val="Tahoma"/>
            <charset val="1"/>
          </rPr>
          <t>tuned roughly to Henan Chine trip data</t>
        </r>
      </text>
    </comment>
    <comment ref="D1005" authorId="0">
      <text>
        <r>
          <rPr>
            <sz val="10"/>
            <color rgb="FF000000"/>
            <rFont val="Tahoma"/>
            <charset val="1"/>
          </rPr>
          <t>tuned roughly to Henan Chine trip data</t>
        </r>
      </text>
    </comment>
    <comment ref="E1005" authorId="0">
      <text>
        <r>
          <rPr>
            <sz val="10"/>
            <color rgb="FF000000"/>
            <rFont val="Tahoma"/>
            <charset val="1"/>
          </rPr>
          <t>tuned roughly to Henan Chine trip data</t>
        </r>
      </text>
    </comment>
    <comment ref="F1005" authorId="0">
      <text>
        <r>
          <rPr>
            <sz val="10"/>
            <color rgb="FF000000"/>
            <rFont val="Tahoma"/>
            <charset val="1"/>
          </rPr>
          <t>tuned roughly to Henan Chine trip data</t>
        </r>
      </text>
    </comment>
    <comment ref="G1005" authorId="0">
      <text>
        <r>
          <rPr>
            <sz val="10"/>
            <color rgb="FF000000"/>
            <rFont val="Tahoma"/>
            <charset val="1"/>
          </rPr>
          <t>tuned roughly to Henan Chine trip data</t>
        </r>
      </text>
    </comment>
    <comment ref="H1005" authorId="0">
      <text>
        <r>
          <rPr>
            <sz val="10"/>
            <color rgb="FF000000"/>
            <rFont val="Tahoma"/>
            <charset val="1"/>
          </rPr>
          <t>tuned roughly to Henan Chine trip data</t>
        </r>
      </text>
    </comment>
    <comment ref="I1005" authorId="0">
      <text>
        <r>
          <rPr>
            <sz val="10"/>
            <color rgb="FF000000"/>
            <rFont val="Tahoma"/>
            <charset val="1"/>
          </rPr>
          <t>tuned roughly to Henan Chine trip data</t>
        </r>
      </text>
    </comment>
    <comment ref="J1005" authorId="0">
      <text>
        <r>
          <rPr>
            <sz val="10"/>
            <color rgb="FF000000"/>
            <rFont val="Tahoma"/>
            <charset val="1"/>
          </rPr>
          <t>tuned roughly to Henan Chine trip data</t>
        </r>
      </text>
    </comment>
    <comment ref="K1005" authorId="0">
      <text>
        <r>
          <rPr>
            <sz val="10"/>
            <color rgb="FF000000"/>
            <rFont val="Tahoma"/>
            <charset val="1"/>
          </rPr>
          <t>tuned roughly to Henan Chine trip data</t>
        </r>
      </text>
    </comment>
    <comment ref="L1005" authorId="0">
      <text>
        <r>
          <rPr>
            <sz val="10"/>
            <color rgb="FF000000"/>
            <rFont val="Tahoma"/>
            <charset val="1"/>
          </rPr>
          <t>tuned roughly to Henan Chine trip data</t>
        </r>
      </text>
    </comment>
    <comment ref="M1005" authorId="0">
      <text>
        <r>
          <rPr>
            <sz val="10"/>
            <color rgb="FF000000"/>
            <rFont val="Tahoma"/>
            <charset val="1"/>
          </rPr>
          <t>tuned roughly to Henan Chine trip data</t>
        </r>
      </text>
    </comment>
    <comment ref="N1005" authorId="0">
      <text>
        <r>
          <rPr>
            <sz val="10"/>
            <color rgb="FF000000"/>
            <rFont val="Tahoma"/>
            <charset val="1"/>
          </rPr>
          <t>tuned roughly to Henan Chine trip data</t>
        </r>
      </text>
    </comment>
    <comment ref="O1005" authorId="0">
      <text>
        <r>
          <rPr>
            <sz val="10"/>
            <color rgb="FF000000"/>
            <rFont val="Tahoma"/>
            <charset val="1"/>
          </rPr>
          <t>tuned roughly to Henan Chine trip data</t>
        </r>
      </text>
    </comment>
    <comment ref="P1005" authorId="0">
      <text>
        <r>
          <rPr>
            <sz val="10"/>
            <color rgb="FF000000"/>
            <rFont val="Tahoma"/>
            <charset val="1"/>
          </rPr>
          <t>tuned roughly to Henan Chine trip data</t>
        </r>
      </text>
    </comment>
    <comment ref="Q1005" authorId="0">
      <text>
        <r>
          <rPr>
            <sz val="10"/>
            <color rgb="FF000000"/>
            <rFont val="Tahoma"/>
            <charset val="1"/>
          </rPr>
          <t>tuned roughly to Henan Chine trip data</t>
        </r>
      </text>
    </comment>
    <comment ref="R1005" authorId="0">
      <text>
        <r>
          <rPr>
            <sz val="10"/>
            <color rgb="FF000000"/>
            <rFont val="Tahoma"/>
            <charset val="1"/>
          </rPr>
          <t>tuned roughly to Henan Chine trip data</t>
        </r>
      </text>
    </comment>
    <comment ref="S1005" authorId="0">
      <text>
        <r>
          <rPr>
            <sz val="10"/>
            <color rgb="FF000000"/>
            <rFont val="Tahoma"/>
            <charset val="1"/>
          </rPr>
          <t>tuned roughly to Henan Chine trip data</t>
        </r>
      </text>
    </comment>
    <comment ref="T1005" authorId="0">
      <text>
        <r>
          <rPr>
            <sz val="10"/>
            <color rgb="FF000000"/>
            <rFont val="Tahoma"/>
            <charset val="1"/>
          </rPr>
          <t>tuned roughly to Henan Chine trip data</t>
        </r>
      </text>
    </comment>
    <comment ref="U1005" authorId="0">
      <text>
        <r>
          <rPr>
            <sz val="10"/>
            <color rgb="FF000000"/>
            <rFont val="Tahoma"/>
            <charset val="1"/>
          </rPr>
          <t>tuned roughly to Henan Chine trip data</t>
        </r>
      </text>
    </comment>
    <comment ref="V1005" authorId="0">
      <text>
        <r>
          <rPr>
            <sz val="10"/>
            <color rgb="FF000000"/>
            <rFont val="Tahoma"/>
            <charset val="1"/>
          </rPr>
          <t>tuned roughly to Henan Chine trip data</t>
        </r>
      </text>
    </comment>
    <comment ref="W1005" authorId="0">
      <text>
        <r>
          <rPr>
            <sz val="10"/>
            <color rgb="FF000000"/>
            <rFont val="Tahoma"/>
            <charset val="1"/>
          </rPr>
          <t>tuned roughly to Henan Chine trip data</t>
        </r>
      </text>
    </comment>
    <comment ref="C1033" authorId="0">
      <text>
        <r>
          <rPr>
            <sz val="10"/>
            <color rgb="FF000000"/>
            <rFont val="Tahoma"/>
            <charset val="1"/>
          </rPr>
          <t xml:space="preserve">built on machine doing relatively free digging = 200 tph, halve or quarter this for more difficult or insitu material
</t>
        </r>
      </text>
    </comment>
    <comment ref="D1033" authorId="0">
      <text>
        <r>
          <rPr>
            <sz val="10"/>
            <color rgb="FF000000"/>
            <rFont val="Tahoma"/>
            <charset val="1"/>
          </rPr>
          <t xml:space="preserve">built on machine doing relatively free digging = 200 tph, halve or quarter this for more difficult or insitu material
</t>
        </r>
      </text>
    </comment>
    <comment ref="E1033" authorId="0">
      <text>
        <r>
          <rPr>
            <sz val="10"/>
            <color rgb="FF000000"/>
            <rFont val="Tahoma"/>
            <charset val="1"/>
          </rPr>
          <t xml:space="preserve">built on machine doing relatively free digging = 200 tph, halve or quarter this for more difficult or insitu material
</t>
        </r>
      </text>
    </comment>
    <comment ref="F1033" authorId="0">
      <text>
        <r>
          <rPr>
            <sz val="10"/>
            <color rgb="FF000000"/>
            <rFont val="Tahoma"/>
            <charset val="1"/>
          </rPr>
          <t xml:space="preserve">built on machine doing relatively free digging = 200 tph, halve or quarter this for more difficult or insitu material
</t>
        </r>
      </text>
    </comment>
    <comment ref="G1033" authorId="0">
      <text>
        <r>
          <rPr>
            <sz val="10"/>
            <color rgb="FF000000"/>
            <rFont val="Tahoma"/>
            <charset val="1"/>
          </rPr>
          <t xml:space="preserve">built on machine doing relatively free digging = 200 tph, halve or quarter this for more difficult or insitu material
</t>
        </r>
      </text>
    </comment>
    <comment ref="H1033" authorId="0">
      <text>
        <r>
          <rPr>
            <sz val="10"/>
            <color rgb="FF000000"/>
            <rFont val="Tahoma"/>
            <charset val="1"/>
          </rPr>
          <t xml:space="preserve">built on machine doing relatively free digging = 200 tph, halve or quarter this for more difficult or insitu material
</t>
        </r>
      </text>
    </comment>
    <comment ref="I1033" authorId="0">
      <text>
        <r>
          <rPr>
            <sz val="10"/>
            <color rgb="FF000000"/>
            <rFont val="Tahoma"/>
            <charset val="1"/>
          </rPr>
          <t xml:space="preserve">built on machine doing relatively free digging = 200 tph, halve or quarter this for more difficult or insitu material
</t>
        </r>
      </text>
    </comment>
    <comment ref="J1033" authorId="0">
      <text>
        <r>
          <rPr>
            <sz val="10"/>
            <color rgb="FF000000"/>
            <rFont val="Tahoma"/>
            <charset val="1"/>
          </rPr>
          <t xml:space="preserve">built on machine doing relatively free digging = 200 tph, halve or quarter this for more difficult or insitu material
</t>
        </r>
      </text>
    </comment>
    <comment ref="K1033" authorId="0">
      <text>
        <r>
          <rPr>
            <sz val="10"/>
            <color rgb="FF000000"/>
            <rFont val="Tahoma"/>
            <charset val="1"/>
          </rPr>
          <t xml:space="preserve">built on machine doing relatively free digging = 200 tph, halve or quarter this for more difficult or insitu material
</t>
        </r>
      </text>
    </comment>
    <comment ref="L1033" authorId="0">
      <text>
        <r>
          <rPr>
            <sz val="10"/>
            <color rgb="FF000000"/>
            <rFont val="Tahoma"/>
            <charset val="1"/>
          </rPr>
          <t xml:space="preserve">built on machine doing relatively free digging = 200 tph, halve or quarter this for more difficult or insitu material
</t>
        </r>
      </text>
    </comment>
    <comment ref="M1033" authorId="0">
      <text>
        <r>
          <rPr>
            <sz val="10"/>
            <color rgb="FF000000"/>
            <rFont val="Tahoma"/>
            <charset val="1"/>
          </rPr>
          <t xml:space="preserve">built on machine doing relatively free digging = 200 tph, halve or quarter this for more difficult or insitu material
</t>
        </r>
      </text>
    </comment>
    <comment ref="N1033" authorId="0">
      <text>
        <r>
          <rPr>
            <sz val="10"/>
            <color rgb="FF000000"/>
            <rFont val="Tahoma"/>
            <charset val="1"/>
          </rPr>
          <t xml:space="preserve">built on machine doing relatively free digging = 200 tph, halve or quarter this for more difficult or insitu material
</t>
        </r>
      </text>
    </comment>
    <comment ref="O1033" authorId="0">
      <text>
        <r>
          <rPr>
            <sz val="10"/>
            <color rgb="FF000000"/>
            <rFont val="Tahoma"/>
            <charset val="1"/>
          </rPr>
          <t xml:space="preserve">built on machine doing relatively free digging = 200 tph, halve or quarter this for more difficult or insitu material
</t>
        </r>
      </text>
    </comment>
    <comment ref="P1033" authorId="0">
      <text>
        <r>
          <rPr>
            <sz val="10"/>
            <color rgb="FF000000"/>
            <rFont val="Tahoma"/>
            <charset val="1"/>
          </rPr>
          <t xml:space="preserve">built on machine doing relatively free digging = 200 tph, halve or quarter this for more difficult or insitu material
</t>
        </r>
      </text>
    </comment>
    <comment ref="Q1033" authorId="0">
      <text>
        <r>
          <rPr>
            <sz val="10"/>
            <color rgb="FF000000"/>
            <rFont val="Tahoma"/>
            <charset val="1"/>
          </rPr>
          <t xml:space="preserve">built on machine doing relatively free digging = 200 tph, halve or quarter this for more difficult or insitu material
</t>
        </r>
      </text>
    </comment>
    <comment ref="R1033" authorId="0">
      <text>
        <r>
          <rPr>
            <sz val="10"/>
            <color rgb="FF000000"/>
            <rFont val="Tahoma"/>
            <charset val="1"/>
          </rPr>
          <t xml:space="preserve">built on machine doing relatively free digging = 200 tph, halve or quarter this for more difficult or insitu material
</t>
        </r>
      </text>
    </comment>
    <comment ref="S1033" authorId="0">
      <text>
        <r>
          <rPr>
            <sz val="10"/>
            <color rgb="FF000000"/>
            <rFont val="Tahoma"/>
            <charset val="1"/>
          </rPr>
          <t xml:space="preserve">built on machine doing relatively free digging = 200 tph, halve or quarter this for more difficult or insitu material
</t>
        </r>
      </text>
    </comment>
    <comment ref="T1033" authorId="0">
      <text>
        <r>
          <rPr>
            <sz val="10"/>
            <color rgb="FF000000"/>
            <rFont val="Tahoma"/>
            <charset val="1"/>
          </rPr>
          <t xml:space="preserve">built on machine doing relatively free digging = 200 tph, halve or quarter this for more difficult or insitu material
</t>
        </r>
      </text>
    </comment>
    <comment ref="U1033" authorId="0">
      <text>
        <r>
          <rPr>
            <sz val="10"/>
            <color rgb="FF000000"/>
            <rFont val="Tahoma"/>
            <charset val="1"/>
          </rPr>
          <t xml:space="preserve">built on machine doing relatively free digging = 200 tph, halve or quarter this for more difficult or insitu material
</t>
        </r>
      </text>
    </comment>
    <comment ref="V1033" authorId="0">
      <text>
        <r>
          <rPr>
            <sz val="10"/>
            <color rgb="FF000000"/>
            <rFont val="Tahoma"/>
            <charset val="1"/>
          </rPr>
          <t xml:space="preserve">built on machine doing relatively free digging = 200 tph, halve or quarter this for more difficult or insitu material
</t>
        </r>
      </text>
    </comment>
    <comment ref="W1033" authorId="0">
      <text>
        <r>
          <rPr>
            <sz val="10"/>
            <color rgb="FF000000"/>
            <rFont val="Tahoma"/>
            <charset val="1"/>
          </rPr>
          <t xml:space="preserve">built on machine doing relatively free digging = 200 tph, halve or quarter this for more difficult or insitu material
</t>
        </r>
      </text>
    </comment>
    <comment ref="C1035" authorId="0">
      <text>
        <r>
          <rPr>
            <sz val="10"/>
            <color rgb="FF000000"/>
            <rFont val="Tahoma"/>
            <charset val="1"/>
          </rPr>
          <t xml:space="preserve">data from Wirtgen
</t>
        </r>
      </text>
    </comment>
    <comment ref="D1035" authorId="0">
      <text>
        <r>
          <rPr>
            <sz val="10"/>
            <color rgb="FF000000"/>
            <rFont val="Tahoma"/>
            <charset val="1"/>
          </rPr>
          <t xml:space="preserve">data from Wirtgen
</t>
        </r>
      </text>
    </comment>
    <comment ref="E1035" authorId="0">
      <text>
        <r>
          <rPr>
            <sz val="10"/>
            <color rgb="FF000000"/>
            <rFont val="Tahoma"/>
            <charset val="1"/>
          </rPr>
          <t xml:space="preserve">data from Wirtgen
</t>
        </r>
      </text>
    </comment>
    <comment ref="F1035" authorId="0">
      <text>
        <r>
          <rPr>
            <sz val="10"/>
            <color rgb="FF000000"/>
            <rFont val="Tahoma"/>
            <charset val="1"/>
          </rPr>
          <t xml:space="preserve">data from Wirtgen
</t>
        </r>
      </text>
    </comment>
    <comment ref="G1035" authorId="0">
      <text>
        <r>
          <rPr>
            <sz val="10"/>
            <color rgb="FF000000"/>
            <rFont val="Tahoma"/>
            <charset val="1"/>
          </rPr>
          <t xml:space="preserve">data from Wirtgen
</t>
        </r>
      </text>
    </comment>
    <comment ref="H1035" authorId="0">
      <text>
        <r>
          <rPr>
            <sz val="10"/>
            <color rgb="FF000000"/>
            <rFont val="Tahoma"/>
            <charset val="1"/>
          </rPr>
          <t xml:space="preserve">data from Wirtgen
</t>
        </r>
      </text>
    </comment>
    <comment ref="I1035" authorId="0">
      <text>
        <r>
          <rPr>
            <sz val="10"/>
            <color rgb="FF000000"/>
            <rFont val="Tahoma"/>
            <charset val="1"/>
          </rPr>
          <t xml:space="preserve">data from Wirtgen
</t>
        </r>
      </text>
    </comment>
    <comment ref="J1035" authorId="0">
      <text>
        <r>
          <rPr>
            <sz val="10"/>
            <color rgb="FF000000"/>
            <rFont val="Tahoma"/>
            <charset val="1"/>
          </rPr>
          <t xml:space="preserve">data from Wirtgen
</t>
        </r>
      </text>
    </comment>
    <comment ref="K1035" authorId="0">
      <text>
        <r>
          <rPr>
            <sz val="10"/>
            <color rgb="FF000000"/>
            <rFont val="Tahoma"/>
            <charset val="1"/>
          </rPr>
          <t xml:space="preserve">data from Wirtgen
</t>
        </r>
      </text>
    </comment>
    <comment ref="L1035" authorId="0">
      <text>
        <r>
          <rPr>
            <sz val="10"/>
            <color rgb="FF000000"/>
            <rFont val="Tahoma"/>
            <charset val="1"/>
          </rPr>
          <t xml:space="preserve">data from Wirtgen
</t>
        </r>
      </text>
    </comment>
    <comment ref="M1035" authorId="0">
      <text>
        <r>
          <rPr>
            <sz val="10"/>
            <color rgb="FF000000"/>
            <rFont val="Tahoma"/>
            <charset val="1"/>
          </rPr>
          <t xml:space="preserve">data from Wirtgen
</t>
        </r>
      </text>
    </comment>
    <comment ref="N1035" authorId="0">
      <text>
        <r>
          <rPr>
            <sz val="10"/>
            <color rgb="FF000000"/>
            <rFont val="Tahoma"/>
            <charset val="1"/>
          </rPr>
          <t xml:space="preserve">data from Wirtgen
</t>
        </r>
      </text>
    </comment>
    <comment ref="O1035" authorId="0">
      <text>
        <r>
          <rPr>
            <sz val="10"/>
            <color rgb="FF000000"/>
            <rFont val="Tahoma"/>
            <charset val="1"/>
          </rPr>
          <t xml:space="preserve">data from Wirtgen
</t>
        </r>
      </text>
    </comment>
    <comment ref="P1035" authorId="0">
      <text>
        <r>
          <rPr>
            <sz val="10"/>
            <color rgb="FF000000"/>
            <rFont val="Tahoma"/>
            <charset val="1"/>
          </rPr>
          <t xml:space="preserve">data from Wirtgen
</t>
        </r>
      </text>
    </comment>
    <comment ref="Q1035" authorId="0">
      <text>
        <r>
          <rPr>
            <sz val="10"/>
            <color rgb="FF000000"/>
            <rFont val="Tahoma"/>
            <charset val="1"/>
          </rPr>
          <t xml:space="preserve">data from Wirtgen
</t>
        </r>
      </text>
    </comment>
    <comment ref="R1035" authorId="0">
      <text>
        <r>
          <rPr>
            <sz val="10"/>
            <color rgb="FF000000"/>
            <rFont val="Tahoma"/>
            <charset val="1"/>
          </rPr>
          <t xml:space="preserve">data from Wirtgen
</t>
        </r>
      </text>
    </comment>
    <comment ref="S1035" authorId="0">
      <text>
        <r>
          <rPr>
            <sz val="10"/>
            <color rgb="FF000000"/>
            <rFont val="Tahoma"/>
            <charset val="1"/>
          </rPr>
          <t xml:space="preserve">data from Wirtgen
</t>
        </r>
      </text>
    </comment>
    <comment ref="T1035" authorId="0">
      <text>
        <r>
          <rPr>
            <sz val="10"/>
            <color rgb="FF000000"/>
            <rFont val="Tahoma"/>
            <charset val="1"/>
          </rPr>
          <t xml:space="preserve">data from Wirtgen
</t>
        </r>
      </text>
    </comment>
    <comment ref="U1035" authorId="0">
      <text>
        <r>
          <rPr>
            <sz val="10"/>
            <color rgb="FF000000"/>
            <rFont val="Tahoma"/>
            <charset val="1"/>
          </rPr>
          <t xml:space="preserve">data from Wirtgen
</t>
        </r>
      </text>
    </comment>
    <comment ref="V1035" authorId="0">
      <text>
        <r>
          <rPr>
            <sz val="10"/>
            <color rgb="FF000000"/>
            <rFont val="Tahoma"/>
            <charset val="1"/>
          </rPr>
          <t xml:space="preserve">data from Wirtgen
</t>
        </r>
      </text>
    </comment>
    <comment ref="W1035" authorId="0">
      <text>
        <r>
          <rPr>
            <sz val="10"/>
            <color rgb="FF000000"/>
            <rFont val="Tahoma"/>
            <charset val="1"/>
          </rPr>
          <t xml:space="preserve">data from Wirtgen
</t>
        </r>
      </text>
    </comment>
    <comment ref="C1036" authorId="0">
      <text>
        <r>
          <rPr>
            <sz val="10"/>
            <color rgb="FF000000"/>
            <rFont val="Tahoma"/>
            <charset val="1"/>
          </rPr>
          <t>2 on ground plus tending crew (2) and mtce crew allowance (2)</t>
        </r>
      </text>
    </comment>
    <comment ref="D1036" authorId="0">
      <text>
        <r>
          <rPr>
            <sz val="10"/>
            <color rgb="FF000000"/>
            <rFont val="Tahoma"/>
            <charset val="1"/>
          </rPr>
          <t>2 on ground plus tending crew (2) and mtce crew allowance (2)</t>
        </r>
      </text>
    </comment>
    <comment ref="E1036" authorId="0">
      <text>
        <r>
          <rPr>
            <sz val="10"/>
            <color rgb="FF000000"/>
            <rFont val="Tahoma"/>
            <charset val="1"/>
          </rPr>
          <t>2 on ground plus tending crew (2) and mtce crew allowance (2)</t>
        </r>
      </text>
    </comment>
    <comment ref="F1036" authorId="0">
      <text>
        <r>
          <rPr>
            <sz val="10"/>
            <color rgb="FF000000"/>
            <rFont val="Tahoma"/>
            <charset val="1"/>
          </rPr>
          <t>2 on ground plus tending crew (2) and mtce crew allowance (2)</t>
        </r>
      </text>
    </comment>
    <comment ref="G1036" authorId="0">
      <text>
        <r>
          <rPr>
            <sz val="10"/>
            <color rgb="FF000000"/>
            <rFont val="Tahoma"/>
            <charset val="1"/>
          </rPr>
          <t>2 on ground plus tending crew (2) and mtce crew allowance (2)</t>
        </r>
      </text>
    </comment>
    <comment ref="H1036" authorId="0">
      <text>
        <r>
          <rPr>
            <sz val="10"/>
            <color rgb="FF000000"/>
            <rFont val="Tahoma"/>
            <charset val="1"/>
          </rPr>
          <t>2 on ground plus tending crew (2) and mtce crew allowance (2)</t>
        </r>
      </text>
    </comment>
    <comment ref="I1036" authorId="0">
      <text>
        <r>
          <rPr>
            <sz val="10"/>
            <color rgb="FF000000"/>
            <rFont val="Tahoma"/>
            <charset val="1"/>
          </rPr>
          <t>2 on ground plus tending crew (2) and mtce crew allowance (2)</t>
        </r>
      </text>
    </comment>
    <comment ref="J1036" authorId="0">
      <text>
        <r>
          <rPr>
            <sz val="10"/>
            <color rgb="FF000000"/>
            <rFont val="Tahoma"/>
            <charset val="1"/>
          </rPr>
          <t>2 on ground plus tending crew (2) and mtce crew allowance (2)</t>
        </r>
      </text>
    </comment>
    <comment ref="K1036" authorId="0">
      <text>
        <r>
          <rPr>
            <sz val="10"/>
            <color rgb="FF000000"/>
            <rFont val="Tahoma"/>
            <charset val="1"/>
          </rPr>
          <t>2 on ground plus tending crew (2) and mtce crew allowance (2)</t>
        </r>
      </text>
    </comment>
    <comment ref="L1036" authorId="0">
      <text>
        <r>
          <rPr>
            <sz val="10"/>
            <color rgb="FF000000"/>
            <rFont val="Tahoma"/>
            <charset val="1"/>
          </rPr>
          <t>2 on ground plus tending crew (2) and mtce crew allowance (2)</t>
        </r>
      </text>
    </comment>
    <comment ref="M1036" authorId="0">
      <text>
        <r>
          <rPr>
            <sz val="10"/>
            <color rgb="FF000000"/>
            <rFont val="Tahoma"/>
            <charset val="1"/>
          </rPr>
          <t>2 on ground plus tending crew (2) and mtce crew allowance (2)</t>
        </r>
      </text>
    </comment>
    <comment ref="N1036" authorId="0">
      <text>
        <r>
          <rPr>
            <sz val="10"/>
            <color rgb="FF000000"/>
            <rFont val="Tahoma"/>
            <charset val="1"/>
          </rPr>
          <t>2 on ground plus tending crew (2) and mtce crew allowance (2)</t>
        </r>
      </text>
    </comment>
    <comment ref="O1036" authorId="0">
      <text>
        <r>
          <rPr>
            <sz val="10"/>
            <color rgb="FF000000"/>
            <rFont val="Tahoma"/>
            <charset val="1"/>
          </rPr>
          <t>2 on ground plus tending crew (2) and mtce crew allowance (2)</t>
        </r>
      </text>
    </comment>
    <comment ref="P1036" authorId="0">
      <text>
        <r>
          <rPr>
            <sz val="10"/>
            <color rgb="FF000000"/>
            <rFont val="Tahoma"/>
            <charset val="1"/>
          </rPr>
          <t>2 on ground plus tending crew (2) and mtce crew allowance (2)</t>
        </r>
      </text>
    </comment>
    <comment ref="Q1036" authorId="0">
      <text>
        <r>
          <rPr>
            <sz val="10"/>
            <color rgb="FF000000"/>
            <rFont val="Tahoma"/>
            <charset val="1"/>
          </rPr>
          <t>2 on ground plus tending crew (2) and mtce crew allowance (2)</t>
        </r>
      </text>
    </comment>
    <comment ref="R1036" authorId="0">
      <text>
        <r>
          <rPr>
            <sz val="10"/>
            <color rgb="FF000000"/>
            <rFont val="Tahoma"/>
            <charset val="1"/>
          </rPr>
          <t>2 on ground plus tending crew (2) and mtce crew allowance (2)</t>
        </r>
      </text>
    </comment>
    <comment ref="S1036" authorId="0">
      <text>
        <r>
          <rPr>
            <sz val="10"/>
            <color rgb="FF000000"/>
            <rFont val="Tahoma"/>
            <charset val="1"/>
          </rPr>
          <t>2 on ground plus tending crew (2) and mtce crew allowance (2)</t>
        </r>
      </text>
    </comment>
    <comment ref="T1036" authorId="0">
      <text>
        <r>
          <rPr>
            <sz val="10"/>
            <color rgb="FF000000"/>
            <rFont val="Tahoma"/>
            <charset val="1"/>
          </rPr>
          <t>2 on ground plus tending crew (2) and mtce crew allowance (2)</t>
        </r>
      </text>
    </comment>
    <comment ref="U1036" authorId="0">
      <text>
        <r>
          <rPr>
            <sz val="10"/>
            <color rgb="FF000000"/>
            <rFont val="Tahoma"/>
            <charset val="1"/>
          </rPr>
          <t>2 on ground plus tending crew (2) and mtce crew allowance (2)</t>
        </r>
      </text>
    </comment>
    <comment ref="V1036" authorId="0">
      <text>
        <r>
          <rPr>
            <sz val="10"/>
            <color rgb="FF000000"/>
            <rFont val="Tahoma"/>
            <charset val="1"/>
          </rPr>
          <t>2 on ground plus tending crew (2) and mtce crew allowance (2)</t>
        </r>
      </text>
    </comment>
    <comment ref="W1036" authorId="0">
      <text>
        <r>
          <rPr>
            <sz val="10"/>
            <color rgb="FF000000"/>
            <rFont val="Tahoma"/>
            <charset val="1"/>
          </rPr>
          <t>2 on ground plus tending crew (2) and mtce crew allowance (2)</t>
        </r>
      </text>
    </comment>
    <comment ref="C1037" authorId="0">
      <text>
        <r>
          <rPr>
            <sz val="10"/>
            <color rgb="FF000000"/>
            <rFont val="Tahoma"/>
            <charset val="1"/>
          </rPr>
          <t xml:space="preserve">Wirtgen supplied data at 650 tph converted from euros to US$ and then to a per wmt rate
</t>
        </r>
      </text>
    </comment>
    <comment ref="D1037" authorId="0">
      <text>
        <r>
          <rPr>
            <sz val="10"/>
            <color rgb="FF000000"/>
            <rFont val="Tahoma"/>
            <charset val="1"/>
          </rPr>
          <t xml:space="preserve">Wirtgen supplied data at 650 tph converted from euros to US$ and then to a per wmt rate
</t>
        </r>
      </text>
    </comment>
    <comment ref="E1037" authorId="0">
      <text>
        <r>
          <rPr>
            <sz val="10"/>
            <color rgb="FF000000"/>
            <rFont val="Tahoma"/>
            <charset val="1"/>
          </rPr>
          <t xml:space="preserve">Wirtgen supplied data at 650 tph converted from euros to US$ and then to a per wmt rate
</t>
        </r>
      </text>
    </comment>
    <comment ref="F1037" authorId="0">
      <text>
        <r>
          <rPr>
            <sz val="10"/>
            <color rgb="FF000000"/>
            <rFont val="Tahoma"/>
            <charset val="1"/>
          </rPr>
          <t xml:space="preserve">Wirtgen supplied data at 650 tph converted from euros to US$ and then to a per wmt rate
</t>
        </r>
      </text>
    </comment>
    <comment ref="G1037" authorId="0">
      <text>
        <r>
          <rPr>
            <sz val="10"/>
            <color rgb="FF000000"/>
            <rFont val="Tahoma"/>
            <charset val="1"/>
          </rPr>
          <t xml:space="preserve">Wirtgen supplied data at 650 tph converted from euros to US$ and then to a per wmt rate
</t>
        </r>
      </text>
    </comment>
    <comment ref="H1037" authorId="0">
      <text>
        <r>
          <rPr>
            <sz val="10"/>
            <color rgb="FF000000"/>
            <rFont val="Tahoma"/>
            <charset val="1"/>
          </rPr>
          <t xml:space="preserve">Wirtgen supplied data at 650 tph converted from euros to US$ and then to a per wmt rate
</t>
        </r>
      </text>
    </comment>
    <comment ref="I1037" authorId="0">
      <text>
        <r>
          <rPr>
            <sz val="10"/>
            <color rgb="FF000000"/>
            <rFont val="Tahoma"/>
            <charset val="1"/>
          </rPr>
          <t xml:space="preserve">Wirtgen supplied data at 650 tph converted from euros to US$ and then to a per wmt rate
</t>
        </r>
      </text>
    </comment>
    <comment ref="J1037" authorId="0">
      <text>
        <r>
          <rPr>
            <sz val="10"/>
            <color rgb="FF000000"/>
            <rFont val="Tahoma"/>
            <charset val="1"/>
          </rPr>
          <t xml:space="preserve">Wirtgen supplied data at 650 tph converted from euros to US$ and then to a per wmt rate
</t>
        </r>
      </text>
    </comment>
    <comment ref="K1037" authorId="0">
      <text>
        <r>
          <rPr>
            <sz val="10"/>
            <color rgb="FF000000"/>
            <rFont val="Tahoma"/>
            <charset val="1"/>
          </rPr>
          <t xml:space="preserve">Wirtgen supplied data at 650 tph converted from euros to US$ and then to a per wmt rate
</t>
        </r>
      </text>
    </comment>
    <comment ref="L1037" authorId="0">
      <text>
        <r>
          <rPr>
            <sz val="10"/>
            <color rgb="FF000000"/>
            <rFont val="Tahoma"/>
            <charset val="1"/>
          </rPr>
          <t xml:space="preserve">Wirtgen supplied data at 650 tph converted from euros to US$ and then to a per wmt rate
</t>
        </r>
      </text>
    </comment>
    <comment ref="M1037" authorId="0">
      <text>
        <r>
          <rPr>
            <sz val="10"/>
            <color rgb="FF000000"/>
            <rFont val="Tahoma"/>
            <charset val="1"/>
          </rPr>
          <t xml:space="preserve">Wirtgen supplied data at 650 tph converted from euros to US$ and then to a per wmt rate
</t>
        </r>
      </text>
    </comment>
    <comment ref="N1037" authorId="0">
      <text>
        <r>
          <rPr>
            <sz val="10"/>
            <color rgb="FF000000"/>
            <rFont val="Tahoma"/>
            <charset val="1"/>
          </rPr>
          <t xml:space="preserve">Wirtgen supplied data at 650 tph converted from euros to US$ and then to a per wmt rate
</t>
        </r>
      </text>
    </comment>
    <comment ref="O1037" authorId="0">
      <text>
        <r>
          <rPr>
            <sz val="10"/>
            <color rgb="FF000000"/>
            <rFont val="Tahoma"/>
            <charset val="1"/>
          </rPr>
          <t xml:space="preserve">Wirtgen supplied data at 650 tph converted from euros to US$ and then to a per wmt rate
</t>
        </r>
      </text>
    </comment>
    <comment ref="P1037" authorId="0">
      <text>
        <r>
          <rPr>
            <sz val="10"/>
            <color rgb="FF000000"/>
            <rFont val="Tahoma"/>
            <charset val="1"/>
          </rPr>
          <t xml:space="preserve">Wirtgen supplied data at 650 tph converted from euros to US$ and then to a per wmt rate
</t>
        </r>
      </text>
    </comment>
    <comment ref="Q1037" authorId="0">
      <text>
        <r>
          <rPr>
            <sz val="10"/>
            <color rgb="FF000000"/>
            <rFont val="Tahoma"/>
            <charset val="1"/>
          </rPr>
          <t xml:space="preserve">Wirtgen supplied data at 650 tph converted from euros to US$ and then to a per wmt rate
</t>
        </r>
      </text>
    </comment>
    <comment ref="R1037" authorId="0">
      <text>
        <r>
          <rPr>
            <sz val="10"/>
            <color rgb="FF000000"/>
            <rFont val="Tahoma"/>
            <charset val="1"/>
          </rPr>
          <t xml:space="preserve">Wirtgen supplied data at 650 tph converted from euros to US$ and then to a per wmt rate
</t>
        </r>
      </text>
    </comment>
    <comment ref="S1037" authorId="0">
      <text>
        <r>
          <rPr>
            <sz val="10"/>
            <color rgb="FF000000"/>
            <rFont val="Tahoma"/>
            <charset val="1"/>
          </rPr>
          <t xml:space="preserve">Wirtgen supplied data at 650 tph converted from euros to US$ and then to a per wmt rate
</t>
        </r>
      </text>
    </comment>
    <comment ref="T1037" authorId="0">
      <text>
        <r>
          <rPr>
            <sz val="10"/>
            <color rgb="FF000000"/>
            <rFont val="Tahoma"/>
            <charset val="1"/>
          </rPr>
          <t xml:space="preserve">Wirtgen supplied data at 650 tph converted from euros to US$ and then to a per wmt rate
</t>
        </r>
      </text>
    </comment>
    <comment ref="U1037" authorId="0">
      <text>
        <r>
          <rPr>
            <sz val="10"/>
            <color rgb="FF000000"/>
            <rFont val="Tahoma"/>
            <charset val="1"/>
          </rPr>
          <t xml:space="preserve">Wirtgen supplied data at 650 tph converted from euros to US$ and then to a per wmt rate
</t>
        </r>
      </text>
    </comment>
    <comment ref="V1037" authorId="0">
      <text>
        <r>
          <rPr>
            <sz val="10"/>
            <color rgb="FF000000"/>
            <rFont val="Tahoma"/>
            <charset val="1"/>
          </rPr>
          <t xml:space="preserve">Wirtgen supplied data at 650 tph converted from euros to US$ and then to a per wmt rate
</t>
        </r>
      </text>
    </comment>
    <comment ref="W1037" authorId="0">
      <text>
        <r>
          <rPr>
            <sz val="10"/>
            <color rgb="FF000000"/>
            <rFont val="Tahoma"/>
            <charset val="1"/>
          </rPr>
          <t xml:space="preserve">Wirtgen supplied data at 650 tph converted from euros to US$ and then to a per wmt rate
</t>
        </r>
      </text>
    </comment>
    <comment ref="C1055" authorId="0">
      <text>
        <r>
          <rPr>
            <sz val="10"/>
            <color rgb="FF000000"/>
            <rFont val="Tahoma"/>
            <charset val="1"/>
          </rPr>
          <t>tuned roughly to Henan Chine trip data</t>
        </r>
      </text>
    </comment>
    <comment ref="D1055" authorId="0">
      <text>
        <r>
          <rPr>
            <sz val="10"/>
            <color rgb="FF000000"/>
            <rFont val="Tahoma"/>
            <charset val="1"/>
          </rPr>
          <t>tuned roughly to Henan Chine trip data</t>
        </r>
      </text>
    </comment>
    <comment ref="E1055" authorId="0">
      <text>
        <r>
          <rPr>
            <sz val="10"/>
            <color rgb="FF000000"/>
            <rFont val="Tahoma"/>
            <charset val="1"/>
          </rPr>
          <t>tuned roughly to Henan Chine trip data</t>
        </r>
      </text>
    </comment>
    <comment ref="F1055" authorId="0">
      <text>
        <r>
          <rPr>
            <sz val="10"/>
            <color rgb="FF000000"/>
            <rFont val="Tahoma"/>
            <charset val="1"/>
          </rPr>
          <t>tuned roughly to Henan Chine trip data</t>
        </r>
      </text>
    </comment>
    <comment ref="G1055" authorId="0">
      <text>
        <r>
          <rPr>
            <sz val="10"/>
            <color rgb="FF000000"/>
            <rFont val="Tahoma"/>
            <charset val="1"/>
          </rPr>
          <t>tuned roughly to Henan Chine trip data</t>
        </r>
      </text>
    </comment>
    <comment ref="H1055" authorId="0">
      <text>
        <r>
          <rPr>
            <sz val="10"/>
            <color rgb="FF000000"/>
            <rFont val="Tahoma"/>
            <charset val="1"/>
          </rPr>
          <t>tuned roughly to Henan Chine trip data</t>
        </r>
      </text>
    </comment>
    <comment ref="I1055" authorId="0">
      <text>
        <r>
          <rPr>
            <sz val="10"/>
            <color rgb="FF000000"/>
            <rFont val="Tahoma"/>
            <charset val="1"/>
          </rPr>
          <t>tuned roughly to Henan Chine trip data</t>
        </r>
      </text>
    </comment>
    <comment ref="J1055" authorId="0">
      <text>
        <r>
          <rPr>
            <sz val="10"/>
            <color rgb="FF000000"/>
            <rFont val="Tahoma"/>
            <charset val="1"/>
          </rPr>
          <t>tuned roughly to Henan Chine trip data</t>
        </r>
      </text>
    </comment>
    <comment ref="K1055" authorId="0">
      <text>
        <r>
          <rPr>
            <sz val="10"/>
            <color rgb="FF000000"/>
            <rFont val="Tahoma"/>
            <charset val="1"/>
          </rPr>
          <t>tuned roughly to Henan Chine trip data</t>
        </r>
      </text>
    </comment>
    <comment ref="L1055" authorId="0">
      <text>
        <r>
          <rPr>
            <sz val="10"/>
            <color rgb="FF000000"/>
            <rFont val="Tahoma"/>
            <charset val="1"/>
          </rPr>
          <t>tuned roughly to Henan Chine trip data</t>
        </r>
      </text>
    </comment>
    <comment ref="M1055" authorId="0">
      <text>
        <r>
          <rPr>
            <sz val="10"/>
            <color rgb="FF000000"/>
            <rFont val="Tahoma"/>
            <charset val="1"/>
          </rPr>
          <t>tuned roughly to Henan Chine trip data</t>
        </r>
      </text>
    </comment>
    <comment ref="N1055" authorId="0">
      <text>
        <r>
          <rPr>
            <sz val="10"/>
            <color rgb="FF000000"/>
            <rFont val="Tahoma"/>
            <charset val="1"/>
          </rPr>
          <t>tuned roughly to Henan Chine trip data</t>
        </r>
      </text>
    </comment>
    <comment ref="O1055" authorId="0">
      <text>
        <r>
          <rPr>
            <sz val="10"/>
            <color rgb="FF000000"/>
            <rFont val="Tahoma"/>
            <charset val="1"/>
          </rPr>
          <t>tuned roughly to Henan Chine trip data</t>
        </r>
      </text>
    </comment>
    <comment ref="P1055" authorId="0">
      <text>
        <r>
          <rPr>
            <sz val="10"/>
            <color rgb="FF000000"/>
            <rFont val="Tahoma"/>
            <charset val="1"/>
          </rPr>
          <t>tuned roughly to Henan Chine trip data</t>
        </r>
      </text>
    </comment>
    <comment ref="Q1055" authorId="0">
      <text>
        <r>
          <rPr>
            <sz val="10"/>
            <color rgb="FF000000"/>
            <rFont val="Tahoma"/>
            <charset val="1"/>
          </rPr>
          <t>tuned roughly to Henan Chine trip data</t>
        </r>
      </text>
    </comment>
    <comment ref="R1055" authorId="0">
      <text>
        <r>
          <rPr>
            <sz val="10"/>
            <color rgb="FF000000"/>
            <rFont val="Tahoma"/>
            <charset val="1"/>
          </rPr>
          <t>tuned roughly to Henan Chine trip data</t>
        </r>
      </text>
    </comment>
    <comment ref="S1055" authorId="0">
      <text>
        <r>
          <rPr>
            <sz val="10"/>
            <color rgb="FF000000"/>
            <rFont val="Tahoma"/>
            <charset val="1"/>
          </rPr>
          <t>tuned roughly to Henan Chine trip data</t>
        </r>
      </text>
    </comment>
    <comment ref="T1055" authorId="0">
      <text>
        <r>
          <rPr>
            <sz val="10"/>
            <color rgb="FF000000"/>
            <rFont val="Tahoma"/>
            <charset val="1"/>
          </rPr>
          <t>tuned roughly to Henan Chine trip data</t>
        </r>
      </text>
    </comment>
    <comment ref="U1055" authorId="0">
      <text>
        <r>
          <rPr>
            <sz val="10"/>
            <color rgb="FF000000"/>
            <rFont val="Tahoma"/>
            <charset val="1"/>
          </rPr>
          <t>tuned roughly to Henan Chine trip data</t>
        </r>
      </text>
    </comment>
    <comment ref="V1055" authorId="0">
      <text>
        <r>
          <rPr>
            <sz val="10"/>
            <color rgb="FF000000"/>
            <rFont val="Tahoma"/>
            <charset val="1"/>
          </rPr>
          <t>tuned roughly to Henan Chine trip data</t>
        </r>
      </text>
    </comment>
    <comment ref="W1055" authorId="0">
      <text>
        <r>
          <rPr>
            <sz val="10"/>
            <color rgb="FF000000"/>
            <rFont val="Tahoma"/>
            <charset val="1"/>
          </rPr>
          <t>tuned roughly to Henan Chine trip data</t>
        </r>
      </text>
    </comment>
    <comment ref="C1056" authorId="0">
      <text>
        <r>
          <rPr>
            <sz val="10"/>
            <color rgb="FF000000"/>
            <rFont val="Calibri"/>
            <charset val="1"/>
          </rPr>
          <t xml:space="preserve">Baes off India bx truck data &amp; Guidelines for Measuring and Managing CO2 Emission from Freight Transport Operations </t>
        </r>
      </text>
    </comment>
    <comment ref="D1056" authorId="0">
      <text>
        <r>
          <rPr>
            <sz val="10"/>
            <color rgb="FF000000"/>
            <rFont val="Calibri"/>
            <charset val="1"/>
          </rPr>
          <t xml:space="preserve">Baes off India bx truck data &amp; Guidelines for Measuring and Managing CO2 Emission from Freight Transport Operations </t>
        </r>
      </text>
    </comment>
    <comment ref="E1056" authorId="0">
      <text>
        <r>
          <rPr>
            <sz val="10"/>
            <color rgb="FF000000"/>
            <rFont val="Calibri"/>
            <charset val="1"/>
          </rPr>
          <t xml:space="preserve">Baes off India bx truck data &amp; Guidelines for Measuring and Managing CO2 Emission from Freight Transport Operations </t>
        </r>
      </text>
    </comment>
    <comment ref="F1056" authorId="0">
      <text>
        <r>
          <rPr>
            <sz val="10"/>
            <color rgb="FF000000"/>
            <rFont val="Calibri"/>
            <charset val="1"/>
          </rPr>
          <t xml:space="preserve">Baes off India bx truck data &amp; Guidelines for Measuring and Managing CO2 Emission from Freight Transport Operations </t>
        </r>
      </text>
    </comment>
    <comment ref="G1056" authorId="0">
      <text>
        <r>
          <rPr>
            <sz val="10"/>
            <color rgb="FF000000"/>
            <rFont val="Calibri"/>
            <charset val="1"/>
          </rPr>
          <t xml:space="preserve">Baes off India bx truck data &amp; Guidelines for Measuring and Managing CO2 Emission from Freight Transport Operations </t>
        </r>
      </text>
    </comment>
    <comment ref="H1056" authorId="0">
      <text>
        <r>
          <rPr>
            <sz val="10"/>
            <color rgb="FF000000"/>
            <rFont val="Calibri"/>
            <charset val="1"/>
          </rPr>
          <t xml:space="preserve">Baes off India bx truck data &amp; Guidelines for Measuring and Managing CO2 Emission from Freight Transport Operations </t>
        </r>
      </text>
    </comment>
    <comment ref="I1056" authorId="0">
      <text>
        <r>
          <rPr>
            <sz val="10"/>
            <color rgb="FF000000"/>
            <rFont val="Calibri"/>
            <charset val="1"/>
          </rPr>
          <t xml:space="preserve">Baes off India bx truck data &amp; Guidelines for Measuring and Managing CO2 Emission from Freight Transport Operations </t>
        </r>
      </text>
    </comment>
    <comment ref="J1056" authorId="0">
      <text>
        <r>
          <rPr>
            <sz val="10"/>
            <color rgb="FF000000"/>
            <rFont val="Calibri"/>
            <charset val="1"/>
          </rPr>
          <t xml:space="preserve">Baes off India bx truck data &amp; Guidelines for Measuring and Managing CO2 Emission from Freight Transport Operations </t>
        </r>
      </text>
    </comment>
    <comment ref="K1056" authorId="0">
      <text>
        <r>
          <rPr>
            <sz val="10"/>
            <color rgb="FF000000"/>
            <rFont val="Calibri"/>
            <charset val="1"/>
          </rPr>
          <t xml:space="preserve">Baes off India bx truck data &amp; Guidelines for Measuring and Managing CO2 Emission from Freight Transport Operations </t>
        </r>
      </text>
    </comment>
    <comment ref="L1056" authorId="0">
      <text>
        <r>
          <rPr>
            <sz val="10"/>
            <color rgb="FF000000"/>
            <rFont val="Calibri"/>
            <charset val="1"/>
          </rPr>
          <t xml:space="preserve">Baes off India bx truck data &amp; Guidelines for Measuring and Managing CO2 Emission from Freight Transport Operations </t>
        </r>
      </text>
    </comment>
    <comment ref="M1056" authorId="0">
      <text>
        <r>
          <rPr>
            <sz val="10"/>
            <color rgb="FF000000"/>
            <rFont val="Calibri"/>
            <charset val="1"/>
          </rPr>
          <t xml:space="preserve">Baes off India bx truck data &amp; Guidelines for Measuring and Managing CO2 Emission from Freight Transport Operations </t>
        </r>
      </text>
    </comment>
    <comment ref="N1056" authorId="0">
      <text>
        <r>
          <rPr>
            <sz val="10"/>
            <color rgb="FF000000"/>
            <rFont val="Calibri"/>
            <charset val="1"/>
          </rPr>
          <t xml:space="preserve">Baes off India bx truck data &amp; Guidelines for Measuring and Managing CO2 Emission from Freight Transport Operations </t>
        </r>
      </text>
    </comment>
    <comment ref="O1056" authorId="0">
      <text>
        <r>
          <rPr>
            <sz val="10"/>
            <color rgb="FF000000"/>
            <rFont val="Calibri"/>
            <charset val="1"/>
          </rPr>
          <t xml:space="preserve">Baes off India bx truck data &amp; Guidelines for Measuring and Managing CO2 Emission from Freight Transport Operations </t>
        </r>
      </text>
    </comment>
    <comment ref="P1056" authorId="0">
      <text>
        <r>
          <rPr>
            <sz val="10"/>
            <color rgb="FF000000"/>
            <rFont val="Calibri"/>
            <charset val="1"/>
          </rPr>
          <t xml:space="preserve">Baes off India bx truck data &amp; Guidelines for Measuring and Managing CO2 Emission from Freight Transport Operations </t>
        </r>
      </text>
    </comment>
    <comment ref="Q1056" authorId="0">
      <text>
        <r>
          <rPr>
            <sz val="10"/>
            <color rgb="FF000000"/>
            <rFont val="Calibri"/>
            <charset val="1"/>
          </rPr>
          <t xml:space="preserve">Baes off India bx truck data &amp; Guidelines for Measuring and Managing CO2 Emission from Freight Transport Operations </t>
        </r>
      </text>
    </comment>
    <comment ref="R1056" authorId="0">
      <text>
        <r>
          <rPr>
            <sz val="10"/>
            <color rgb="FF000000"/>
            <rFont val="Calibri"/>
            <charset val="1"/>
          </rPr>
          <t xml:space="preserve">Baes off India bx truck data &amp; Guidelines for Measuring and Managing CO2 Emission from Freight Transport Operations </t>
        </r>
      </text>
    </comment>
    <comment ref="S1056" authorId="0">
      <text>
        <r>
          <rPr>
            <sz val="10"/>
            <color rgb="FF000000"/>
            <rFont val="Calibri"/>
            <charset val="1"/>
          </rPr>
          <t xml:space="preserve">Baes off India bx truck data &amp; Guidelines for Measuring and Managing CO2 Emission from Freight Transport Operations </t>
        </r>
      </text>
    </comment>
    <comment ref="T1056" authorId="0">
      <text>
        <r>
          <rPr>
            <sz val="10"/>
            <color rgb="FF000000"/>
            <rFont val="Calibri"/>
            <charset val="1"/>
          </rPr>
          <t xml:space="preserve">Baes off India bx truck data &amp; Guidelines for Measuring and Managing CO2 Emission from Freight Transport Operations </t>
        </r>
      </text>
    </comment>
    <comment ref="U1056" authorId="0">
      <text>
        <r>
          <rPr>
            <sz val="10"/>
            <color rgb="FF000000"/>
            <rFont val="Calibri"/>
            <charset val="1"/>
          </rPr>
          <t xml:space="preserve">Baes off India bx truck data &amp; Guidelines for Measuring and Managing CO2 Emission from Freight Transport Operations </t>
        </r>
      </text>
    </comment>
    <comment ref="V1056" authorId="0">
      <text>
        <r>
          <rPr>
            <sz val="10"/>
            <color rgb="FF000000"/>
            <rFont val="Calibri"/>
            <charset val="1"/>
          </rPr>
          <t xml:space="preserve">Baes off India bx truck data &amp; Guidelines for Measuring and Managing CO2 Emission from Freight Transport Operations </t>
        </r>
      </text>
    </comment>
    <comment ref="W1056" authorId="0">
      <text>
        <r>
          <rPr>
            <sz val="10"/>
            <color rgb="FF000000"/>
            <rFont val="Calibri"/>
            <charset val="1"/>
          </rPr>
          <t xml:space="preserve">Baes off India bx truck data &amp; Guidelines for Measuring and Managing CO2 Emission from Freight Transport Operations </t>
        </r>
      </text>
    </comment>
    <comment ref="C1057" authorId="0">
      <text>
        <r>
          <rPr>
            <sz val="10"/>
            <color rgb="FF000000"/>
            <rFont val="Tahoma"/>
            <charset val="1"/>
          </rPr>
          <t>tuned roughly to Henan Chine trip data</t>
        </r>
      </text>
    </comment>
    <comment ref="D1057" authorId="0">
      <text>
        <r>
          <rPr>
            <sz val="10"/>
            <color rgb="FF000000"/>
            <rFont val="Tahoma"/>
            <charset val="1"/>
          </rPr>
          <t>tuned roughly to Henan Chine trip data</t>
        </r>
      </text>
    </comment>
    <comment ref="E1057" authorId="0">
      <text>
        <r>
          <rPr>
            <sz val="10"/>
            <color rgb="FF000000"/>
            <rFont val="Tahoma"/>
            <charset val="1"/>
          </rPr>
          <t>tuned roughly to Henan Chine trip data</t>
        </r>
      </text>
    </comment>
    <comment ref="F1057" authorId="0">
      <text>
        <r>
          <rPr>
            <sz val="10"/>
            <color rgb="FF000000"/>
            <rFont val="Tahoma"/>
            <charset val="1"/>
          </rPr>
          <t>tuned roughly to Henan Chine trip data</t>
        </r>
      </text>
    </comment>
    <comment ref="G1057" authorId="0">
      <text>
        <r>
          <rPr>
            <sz val="10"/>
            <color rgb="FF000000"/>
            <rFont val="Tahoma"/>
            <charset val="1"/>
          </rPr>
          <t>tuned roughly to Henan Chine trip data</t>
        </r>
      </text>
    </comment>
    <comment ref="H1057" authorId="0">
      <text>
        <r>
          <rPr>
            <sz val="10"/>
            <color rgb="FF000000"/>
            <rFont val="Tahoma"/>
            <charset val="1"/>
          </rPr>
          <t>tuned roughly to Henan Chine trip data</t>
        </r>
      </text>
    </comment>
    <comment ref="I1057" authorId="0">
      <text>
        <r>
          <rPr>
            <sz val="10"/>
            <color rgb="FF000000"/>
            <rFont val="Tahoma"/>
            <charset val="1"/>
          </rPr>
          <t>tuned roughly to Henan Chine trip data</t>
        </r>
      </text>
    </comment>
    <comment ref="J1057" authorId="0">
      <text>
        <r>
          <rPr>
            <sz val="10"/>
            <color rgb="FF000000"/>
            <rFont val="Tahoma"/>
            <charset val="1"/>
          </rPr>
          <t>tuned roughly to Henan Chine trip data</t>
        </r>
      </text>
    </comment>
    <comment ref="K1057" authorId="0">
      <text>
        <r>
          <rPr>
            <sz val="10"/>
            <color rgb="FF000000"/>
            <rFont val="Tahoma"/>
            <charset val="1"/>
          </rPr>
          <t>tuned roughly to Henan Chine trip data</t>
        </r>
      </text>
    </comment>
    <comment ref="L1057" authorId="0">
      <text>
        <r>
          <rPr>
            <sz val="10"/>
            <color rgb="FF000000"/>
            <rFont val="Tahoma"/>
            <charset val="1"/>
          </rPr>
          <t>tuned roughly to Henan Chine trip data</t>
        </r>
      </text>
    </comment>
    <comment ref="M1057" authorId="0">
      <text>
        <r>
          <rPr>
            <sz val="10"/>
            <color rgb="FF000000"/>
            <rFont val="Tahoma"/>
            <charset val="1"/>
          </rPr>
          <t>tuned roughly to Henan Chine trip data</t>
        </r>
      </text>
    </comment>
    <comment ref="N1057" authorId="0">
      <text>
        <r>
          <rPr>
            <sz val="10"/>
            <color rgb="FF000000"/>
            <rFont val="Tahoma"/>
            <charset val="1"/>
          </rPr>
          <t>tuned roughly to Henan Chine trip data</t>
        </r>
      </text>
    </comment>
    <comment ref="O1057" authorId="0">
      <text>
        <r>
          <rPr>
            <sz val="10"/>
            <color rgb="FF000000"/>
            <rFont val="Tahoma"/>
            <charset val="1"/>
          </rPr>
          <t>tuned roughly to Henan Chine trip data</t>
        </r>
      </text>
    </comment>
    <comment ref="P1057" authorId="0">
      <text>
        <r>
          <rPr>
            <sz val="10"/>
            <color rgb="FF000000"/>
            <rFont val="Tahoma"/>
            <charset val="1"/>
          </rPr>
          <t>tuned roughly to Henan Chine trip data</t>
        </r>
      </text>
    </comment>
    <comment ref="Q1057" authorId="0">
      <text>
        <r>
          <rPr>
            <sz val="10"/>
            <color rgb="FF000000"/>
            <rFont val="Tahoma"/>
            <charset val="1"/>
          </rPr>
          <t>tuned roughly to Henan Chine trip data</t>
        </r>
      </text>
    </comment>
    <comment ref="R1057" authorId="0">
      <text>
        <r>
          <rPr>
            <sz val="10"/>
            <color rgb="FF000000"/>
            <rFont val="Tahoma"/>
            <charset val="1"/>
          </rPr>
          <t>tuned roughly to Henan Chine trip data</t>
        </r>
      </text>
    </comment>
    <comment ref="S1057" authorId="0">
      <text>
        <r>
          <rPr>
            <sz val="10"/>
            <color rgb="FF000000"/>
            <rFont val="Tahoma"/>
            <charset val="1"/>
          </rPr>
          <t>tuned roughly to Henan Chine trip data</t>
        </r>
      </text>
    </comment>
    <comment ref="T1057" authorId="0">
      <text>
        <r>
          <rPr>
            <sz val="10"/>
            <color rgb="FF000000"/>
            <rFont val="Tahoma"/>
            <charset val="1"/>
          </rPr>
          <t>tuned roughly to Henan Chine trip data</t>
        </r>
      </text>
    </comment>
    <comment ref="U1057" authorId="0">
      <text>
        <r>
          <rPr>
            <sz val="10"/>
            <color rgb="FF000000"/>
            <rFont val="Tahoma"/>
            <charset val="1"/>
          </rPr>
          <t>tuned roughly to Henan Chine trip data</t>
        </r>
      </text>
    </comment>
    <comment ref="V1057" authorId="0">
      <text>
        <r>
          <rPr>
            <sz val="10"/>
            <color rgb="FF000000"/>
            <rFont val="Tahoma"/>
            <charset val="1"/>
          </rPr>
          <t>tuned roughly to Henan Chine trip data</t>
        </r>
      </text>
    </comment>
    <comment ref="W1057" authorId="0">
      <text>
        <r>
          <rPr>
            <sz val="10"/>
            <color rgb="FF000000"/>
            <rFont val="Tahoma"/>
            <charset val="1"/>
          </rPr>
          <t>tuned roughly to Henan Chine trip data</t>
        </r>
      </text>
    </comment>
    <comment ref="C1136" authorId="0">
      <text>
        <r>
          <rPr>
            <sz val="10"/>
            <color rgb="FF000000"/>
            <rFont val="Tahoma"/>
            <charset val="1"/>
          </rPr>
          <t xml:space="preserve">HFO cost is long term approx 67% of diesel
</t>
        </r>
      </text>
    </comment>
    <comment ref="D1136" authorId="0">
      <text>
        <r>
          <rPr>
            <sz val="10"/>
            <color rgb="FF000000"/>
            <rFont val="Tahoma"/>
            <charset val="1"/>
          </rPr>
          <t xml:space="preserve">HFO cost is long term approx 67% of diesel
</t>
        </r>
      </text>
    </comment>
    <comment ref="E1136" authorId="0">
      <text>
        <r>
          <rPr>
            <sz val="10"/>
            <color rgb="FF000000"/>
            <rFont val="Tahoma"/>
            <charset val="1"/>
          </rPr>
          <t xml:space="preserve">HFO cost is long term approx 67% of diesel
</t>
        </r>
      </text>
    </comment>
    <comment ref="F1136" authorId="0">
      <text>
        <r>
          <rPr>
            <sz val="10"/>
            <color rgb="FF000000"/>
            <rFont val="Tahoma"/>
            <charset val="1"/>
          </rPr>
          <t xml:space="preserve">HFO cost is long term approx 67% of diesel
</t>
        </r>
      </text>
    </comment>
    <comment ref="G1136" authorId="0">
      <text>
        <r>
          <rPr>
            <sz val="10"/>
            <color rgb="FF000000"/>
            <rFont val="Tahoma"/>
            <charset val="1"/>
          </rPr>
          <t xml:space="preserve">HFO cost is long term approx 67% of diesel
</t>
        </r>
      </text>
    </comment>
    <comment ref="H1136" authorId="0">
      <text>
        <r>
          <rPr>
            <sz val="10"/>
            <color rgb="FF000000"/>
            <rFont val="Tahoma"/>
            <charset val="1"/>
          </rPr>
          <t xml:space="preserve">HFO cost is long term approx 67% of diesel
</t>
        </r>
      </text>
    </comment>
    <comment ref="I1136" authorId="0">
      <text>
        <r>
          <rPr>
            <sz val="10"/>
            <color rgb="FF000000"/>
            <rFont val="Tahoma"/>
            <charset val="1"/>
          </rPr>
          <t xml:space="preserve">HFO cost is long term approx 67% of diesel
</t>
        </r>
      </text>
    </comment>
    <comment ref="J1136" authorId="0">
      <text>
        <r>
          <rPr>
            <sz val="10"/>
            <color rgb="FF000000"/>
            <rFont val="Tahoma"/>
            <charset val="1"/>
          </rPr>
          <t xml:space="preserve">HFO cost is long term approx 67% of diesel
</t>
        </r>
      </text>
    </comment>
    <comment ref="K1136" authorId="0">
      <text>
        <r>
          <rPr>
            <sz val="10"/>
            <color rgb="FF000000"/>
            <rFont val="Tahoma"/>
            <charset val="1"/>
          </rPr>
          <t xml:space="preserve">HFO cost is long term approx 67% of diesel
</t>
        </r>
      </text>
    </comment>
    <comment ref="L1136" authorId="0">
      <text>
        <r>
          <rPr>
            <sz val="10"/>
            <color rgb="FF000000"/>
            <rFont val="Tahoma"/>
            <charset val="1"/>
          </rPr>
          <t xml:space="preserve">HFO cost is long term approx 67% of diesel
</t>
        </r>
      </text>
    </comment>
    <comment ref="M1136" authorId="0">
      <text>
        <r>
          <rPr>
            <sz val="10"/>
            <color rgb="FF000000"/>
            <rFont val="Tahoma"/>
            <charset val="1"/>
          </rPr>
          <t xml:space="preserve">HFO cost is long term approx 67% of diesel
</t>
        </r>
      </text>
    </comment>
    <comment ref="N1136" authorId="0">
      <text>
        <r>
          <rPr>
            <sz val="10"/>
            <color rgb="FF000000"/>
            <rFont val="Tahoma"/>
            <charset val="1"/>
          </rPr>
          <t xml:space="preserve">HFO cost is long term approx 67% of diesel
</t>
        </r>
      </text>
    </comment>
    <comment ref="O1136" authorId="0">
      <text>
        <r>
          <rPr>
            <sz val="10"/>
            <color rgb="FF000000"/>
            <rFont val="Tahoma"/>
            <charset val="1"/>
          </rPr>
          <t xml:space="preserve">HFO cost is long term approx 67% of diesel
</t>
        </r>
      </text>
    </comment>
    <comment ref="P1136" authorId="0">
      <text>
        <r>
          <rPr>
            <sz val="10"/>
            <color rgb="FF000000"/>
            <rFont val="Tahoma"/>
            <charset val="1"/>
          </rPr>
          <t xml:space="preserve">HFO cost is long term approx 67% of diesel
</t>
        </r>
      </text>
    </comment>
    <comment ref="Q1136" authorId="0">
      <text>
        <r>
          <rPr>
            <sz val="10"/>
            <color rgb="FF000000"/>
            <rFont val="Tahoma"/>
            <charset val="1"/>
          </rPr>
          <t xml:space="preserve">HFO cost is long term approx 67% of diesel
</t>
        </r>
      </text>
    </comment>
    <comment ref="R1136" authorId="0">
      <text>
        <r>
          <rPr>
            <sz val="10"/>
            <color rgb="FF000000"/>
            <rFont val="Tahoma"/>
            <charset val="1"/>
          </rPr>
          <t xml:space="preserve">HFO cost is long term approx 67% of diesel
</t>
        </r>
      </text>
    </comment>
    <comment ref="S1136" authorId="0">
      <text>
        <r>
          <rPr>
            <sz val="10"/>
            <color rgb="FF000000"/>
            <rFont val="Tahoma"/>
            <charset val="1"/>
          </rPr>
          <t xml:space="preserve">HFO cost is long term approx 67% of diesel
</t>
        </r>
      </text>
    </comment>
    <comment ref="T1136" authorId="0">
      <text>
        <r>
          <rPr>
            <sz val="10"/>
            <color rgb="FF000000"/>
            <rFont val="Tahoma"/>
            <charset val="1"/>
          </rPr>
          <t xml:space="preserve">HFO cost is long term approx 67% of diesel
</t>
        </r>
      </text>
    </comment>
    <comment ref="U1136" authorId="0">
      <text>
        <r>
          <rPr>
            <sz val="10"/>
            <color rgb="FF000000"/>
            <rFont val="Tahoma"/>
            <charset val="1"/>
          </rPr>
          <t xml:space="preserve">HFO cost is long term approx 67% of diesel
</t>
        </r>
      </text>
    </comment>
    <comment ref="V1136" authorId="0">
      <text>
        <r>
          <rPr>
            <sz val="10"/>
            <color rgb="FF000000"/>
            <rFont val="Tahoma"/>
            <charset val="1"/>
          </rPr>
          <t xml:space="preserve">HFO cost is long term approx 67% of diesel
</t>
        </r>
      </text>
    </comment>
    <comment ref="W1136" authorId="0">
      <text>
        <r>
          <rPr>
            <sz val="10"/>
            <color rgb="FF000000"/>
            <rFont val="Tahoma"/>
            <charset val="1"/>
          </rPr>
          <t xml:space="preserve">HFO cost is long term approx 67% of diesel
</t>
        </r>
      </text>
    </comment>
    <comment ref="R1147" authorId="0">
      <text>
        <r>
          <rPr>
            <sz val="12"/>
            <color rgb="FF000000"/>
            <rFont val="Calibri"/>
            <charset val="1"/>
          </rPr>
          <t>[Threaded comment]
Your version of Excel allows you to read this threaded comment; however, any edits to it will get removed if the file is opened in a newer version of Excel. Learn more: https://go.microsoft.com/fwlink/?linkid=870924
Comment:
    per Dynamic comms Feb 2019</t>
        </r>
      </text>
    </comment>
    <comment ref="C1172" authorId="0">
      <text>
        <r>
          <rPr>
            <sz val="10"/>
            <color rgb="FF000000"/>
            <rFont val="Tahoma"/>
            <charset val="1"/>
          </rPr>
          <t>communityy</t>
        </r>
      </text>
    </comment>
    <comment ref="D1172" authorId="0">
      <text>
        <r>
          <rPr>
            <sz val="10"/>
            <color rgb="FF000000"/>
            <rFont val="Tahoma"/>
            <charset val="1"/>
          </rPr>
          <t>communityy</t>
        </r>
      </text>
    </comment>
    <comment ref="E1172" authorId="0">
      <text>
        <r>
          <rPr>
            <sz val="10"/>
            <color rgb="FF000000"/>
            <rFont val="Tahoma"/>
            <charset val="1"/>
          </rPr>
          <t>communityy</t>
        </r>
      </text>
    </comment>
    <comment ref="H1172" authorId="0">
      <text>
        <r>
          <rPr>
            <sz val="10"/>
            <color rgb="FF000000"/>
            <rFont val="Tahoma"/>
            <charset val="1"/>
          </rPr>
          <t xml:space="preserve">Community and lots of lab analysis
Orion marketing fee and final number adjusted to match Alufer Cost
</t>
        </r>
      </text>
    </comment>
    <comment ref="S1172" authorId="0">
      <text>
        <r>
          <rPr>
            <sz val="10"/>
            <color rgb="FF000000"/>
            <rFont val="Tahoma"/>
            <charset val="1"/>
          </rPr>
          <t xml:space="preserve">Community and lots of lab analysis
</t>
        </r>
      </text>
    </comment>
    <comment ref="C1194" authorId="0">
      <text>
        <r>
          <rPr>
            <sz val="10"/>
            <color rgb="FF000000"/>
            <rFont val="Tahoma"/>
            <charset val="1"/>
          </rPr>
          <t>0 or 1.10</t>
        </r>
      </text>
    </comment>
    <comment ref="D1194" authorId="0">
      <text>
        <r>
          <rPr>
            <sz val="10"/>
            <color rgb="FF000000"/>
            <rFont val="Tahoma"/>
            <charset val="1"/>
          </rPr>
          <t>0 or 1.10</t>
        </r>
      </text>
    </comment>
    <comment ref="E1194" authorId="0">
      <text>
        <r>
          <rPr>
            <sz val="10"/>
            <color rgb="FF000000"/>
            <rFont val="Tahoma"/>
            <charset val="1"/>
          </rPr>
          <t>0 or 1.10</t>
        </r>
      </text>
    </comment>
    <comment ref="F1194" authorId="0">
      <text>
        <r>
          <rPr>
            <sz val="10"/>
            <color rgb="FF000000"/>
            <rFont val="Tahoma"/>
            <charset val="1"/>
          </rPr>
          <t>0 or 1.10</t>
        </r>
      </text>
    </comment>
    <comment ref="G1194" authorId="0">
      <text>
        <r>
          <rPr>
            <sz val="10"/>
            <color rgb="FF000000"/>
            <rFont val="Tahoma"/>
            <charset val="1"/>
          </rPr>
          <t>0 or 1.10</t>
        </r>
      </text>
    </comment>
    <comment ref="H1194" authorId="0">
      <text>
        <r>
          <rPr>
            <sz val="10"/>
            <color rgb="FF000000"/>
            <rFont val="Tahoma"/>
            <charset val="1"/>
          </rPr>
          <t>0 or 1.10</t>
        </r>
      </text>
    </comment>
    <comment ref="I1194" authorId="0">
      <text>
        <r>
          <rPr>
            <sz val="10"/>
            <color rgb="FF000000"/>
            <rFont val="Tahoma"/>
            <charset val="1"/>
          </rPr>
          <t>0 or 1.10</t>
        </r>
      </text>
    </comment>
    <comment ref="J1194" authorId="0">
      <text>
        <r>
          <rPr>
            <sz val="10"/>
            <color rgb="FF000000"/>
            <rFont val="Tahoma"/>
            <charset val="1"/>
          </rPr>
          <t>0 or 1.10</t>
        </r>
      </text>
    </comment>
    <comment ref="K1194" authorId="0">
      <text>
        <r>
          <rPr>
            <sz val="10"/>
            <color rgb="FF000000"/>
            <rFont val="Tahoma"/>
            <charset val="1"/>
          </rPr>
          <t>0 or 1.10</t>
        </r>
      </text>
    </comment>
    <comment ref="L1194" authorId="0">
      <text>
        <r>
          <rPr>
            <sz val="10"/>
            <color rgb="FF000000"/>
            <rFont val="Tahoma"/>
            <charset val="1"/>
          </rPr>
          <t>0 or 1.10</t>
        </r>
      </text>
    </comment>
    <comment ref="M1194" authorId="0">
      <text>
        <r>
          <rPr>
            <sz val="10"/>
            <color rgb="FF000000"/>
            <rFont val="Tahoma"/>
            <charset val="1"/>
          </rPr>
          <t>0 or 1.10</t>
        </r>
      </text>
    </comment>
    <comment ref="N1194" authorId="0">
      <text>
        <r>
          <rPr>
            <sz val="10"/>
            <color rgb="FF000000"/>
            <rFont val="Tahoma"/>
            <charset val="1"/>
          </rPr>
          <t>0 or 1.10</t>
        </r>
      </text>
    </comment>
    <comment ref="O1194" authorId="0">
      <text>
        <r>
          <rPr>
            <sz val="10"/>
            <color rgb="FF000000"/>
            <rFont val="Tahoma"/>
            <charset val="1"/>
          </rPr>
          <t>0 or 1.10</t>
        </r>
      </text>
    </comment>
    <comment ref="P1194" authorId="0">
      <text>
        <r>
          <rPr>
            <sz val="10"/>
            <color rgb="FF000000"/>
            <rFont val="Tahoma"/>
            <charset val="1"/>
          </rPr>
          <t>0 or 1.10</t>
        </r>
      </text>
    </comment>
    <comment ref="Q1194" authorId="0">
      <text>
        <r>
          <rPr>
            <sz val="10"/>
            <color rgb="FF000000"/>
            <rFont val="Tahoma"/>
            <charset val="1"/>
          </rPr>
          <t>0 or 1.10</t>
        </r>
      </text>
    </comment>
    <comment ref="R1194" authorId="0">
      <text>
        <r>
          <rPr>
            <sz val="10"/>
            <color rgb="FF000000"/>
            <rFont val="Tahoma"/>
            <charset val="1"/>
          </rPr>
          <t>0 or 1.10</t>
        </r>
      </text>
    </comment>
    <comment ref="S1194" authorId="0">
      <text>
        <r>
          <rPr>
            <sz val="10"/>
            <color rgb="FF000000"/>
            <rFont val="Tahoma"/>
            <charset val="1"/>
          </rPr>
          <t>0 or 1.10</t>
        </r>
      </text>
    </comment>
    <comment ref="T1194" authorId="0">
      <text>
        <r>
          <rPr>
            <sz val="10"/>
            <color rgb="FF000000"/>
            <rFont val="Tahoma"/>
            <charset val="1"/>
          </rPr>
          <t>0 or 1.10</t>
        </r>
      </text>
    </comment>
    <comment ref="U1194" authorId="0">
      <text>
        <r>
          <rPr>
            <sz val="10"/>
            <color rgb="FF000000"/>
            <rFont val="Tahoma"/>
            <charset val="1"/>
          </rPr>
          <t>0 or 1.10</t>
        </r>
      </text>
    </comment>
    <comment ref="V1194" authorId="0">
      <text>
        <r>
          <rPr>
            <sz val="10"/>
            <color rgb="FF000000"/>
            <rFont val="Tahoma"/>
            <charset val="1"/>
          </rPr>
          <t>0 or 1.10</t>
        </r>
      </text>
    </comment>
    <comment ref="W1194" authorId="0">
      <text>
        <r>
          <rPr>
            <sz val="10"/>
            <color rgb="FF000000"/>
            <rFont val="Tahoma"/>
            <charset val="1"/>
          </rPr>
          <t>0 or 1.10</t>
        </r>
      </text>
    </comment>
  </commentList>
</comments>
</file>

<file path=xl/sharedStrings.xml><?xml version="1.0" encoding="utf-8"?>
<sst xmlns="http://schemas.openxmlformats.org/spreadsheetml/2006/main" count="2311" uniqueCount="169">
  <si>
    <t>LME US$</t>
  </si>
  <si>
    <t>FX rate GNF:US$</t>
  </si>
  <si>
    <t>Field</t>
  </si>
  <si>
    <t>Unit</t>
  </si>
  <si>
    <t>Kamsar</t>
  </si>
  <si>
    <t>Rusal Nunez</t>
  </si>
  <si>
    <t>GAC Kamsar</t>
  </si>
  <si>
    <t>Rusal Conakry</t>
  </si>
  <si>
    <t>Alufer Cap Verga</t>
  </si>
  <si>
    <t>Dapilon</t>
  </si>
  <si>
    <t>Ashapura</t>
  </si>
  <si>
    <t>Katougouma</t>
  </si>
  <si>
    <t>AGB2A Pongo</t>
  </si>
  <si>
    <t>Dynamic</t>
  </si>
  <si>
    <t>AMC</t>
  </si>
  <si>
    <t>Chalco</t>
  </si>
  <si>
    <t>Rundi Boffa</t>
  </si>
  <si>
    <t>SPIC</t>
  </si>
  <si>
    <t>Owner</t>
  </si>
  <si>
    <t>CBG</t>
  </si>
  <si>
    <t>Rusal</t>
  </si>
  <si>
    <t>GAC</t>
  </si>
  <si>
    <t>Alufer</t>
  </si>
  <si>
    <t>GDM</t>
  </si>
  <si>
    <t>Henan Chine</t>
  </si>
  <si>
    <t>AMR</t>
  </si>
  <si>
    <t>SMB</t>
  </si>
  <si>
    <t>AGB2A</t>
  </si>
  <si>
    <t>Rundi Kimbo</t>
  </si>
  <si>
    <t>Project / units</t>
  </si>
  <si>
    <t>Dian Dian</t>
  </si>
  <si>
    <t>Kindia</t>
  </si>
  <si>
    <t>Friguia</t>
  </si>
  <si>
    <t>Bel Air</t>
  </si>
  <si>
    <t>Malapouya</t>
  </si>
  <si>
    <t>Kaboye</t>
  </si>
  <si>
    <t>Dabiss (S)</t>
  </si>
  <si>
    <t>Dabiss (N)</t>
  </si>
  <si>
    <t>3rd Party Mines</t>
  </si>
  <si>
    <t>Boffa</t>
  </si>
  <si>
    <t>Santou-Houda</t>
  </si>
  <si>
    <t>% continuous mining</t>
  </si>
  <si>
    <t>average worker wage</t>
  </si>
  <si>
    <t>GNF/year</t>
  </si>
  <si>
    <t>worker hours per year</t>
  </si>
  <si>
    <t>hrs</t>
  </si>
  <si>
    <t>cost of diesel</t>
  </si>
  <si>
    <t>US$/litre</t>
  </si>
  <si>
    <t>exchange rate</t>
  </si>
  <si>
    <t>GNF:US$</t>
  </si>
  <si>
    <t>labour shift markup</t>
  </si>
  <si>
    <t>-</t>
  </si>
  <si>
    <t>labour on costs and benefits etc</t>
  </si>
  <si>
    <t>labour cost</t>
  </si>
  <si>
    <t>US$/hr</t>
  </si>
  <si>
    <t>overheads percenatge</t>
  </si>
  <si>
    <t>use hard cap ??</t>
  </si>
  <si>
    <t>Yes</t>
  </si>
  <si>
    <t>No</t>
  </si>
  <si>
    <t>Contract mining fee</t>
  </si>
  <si>
    <t>US$/wmt</t>
  </si>
  <si>
    <t>Contract explosives fee</t>
  </si>
  <si>
    <t>Contract haulage fee</t>
  </si>
  <si>
    <t>Port costs</t>
  </si>
  <si>
    <t>Contract barging and trans shipping fees</t>
  </si>
  <si>
    <t>T.Al2O3</t>
  </si>
  <si>
    <t>%</t>
  </si>
  <si>
    <t>Av.Al2O3 (LT)</t>
  </si>
  <si>
    <t>T.SiO2</t>
  </si>
  <si>
    <t>R.SiO2</t>
  </si>
  <si>
    <t>Monohydrate</t>
  </si>
  <si>
    <t>overburden T'ness</t>
  </si>
  <si>
    <t>m</t>
  </si>
  <si>
    <t>ore T'ness</t>
  </si>
  <si>
    <t>insitu density (wet)</t>
  </si>
  <si>
    <t>t/m^3</t>
  </si>
  <si>
    <t>insitu moisture</t>
  </si>
  <si>
    <t>final moisture</t>
  </si>
  <si>
    <t>strip ratio</t>
  </si>
  <si>
    <t>overburden specific mass</t>
  </si>
  <si>
    <t>wmt/plan_m^2</t>
  </si>
  <si>
    <t>ore specific specific mass</t>
  </si>
  <si>
    <t>total tonnes specific mass</t>
  </si>
  <si>
    <t>overburden switch</t>
  </si>
  <si>
    <t>hard cap factor</t>
  </si>
  <si>
    <t>general efficiency</t>
  </si>
  <si>
    <t>average efficiency</t>
  </si>
  <si>
    <t>more efficient than average</t>
  </si>
  <si>
    <t>general efficiency factor</t>
  </si>
  <si>
    <t>clear and grub difficulty</t>
  </si>
  <si>
    <t>average difficulty</t>
  </si>
  <si>
    <t>more difficult than average</t>
  </si>
  <si>
    <t>clear and grub difficulty factor</t>
  </si>
  <si>
    <t>tuning factor</t>
  </si>
  <si>
    <t>Include in costs ? (switch) =&gt;</t>
  </si>
  <si>
    <t>Base Values</t>
  </si>
  <si>
    <t>diesel</t>
  </si>
  <si>
    <t>litres/m^2</t>
  </si>
  <si>
    <t>labour (incl. mtce, camp, etc)</t>
  </si>
  <si>
    <t>person_hours/m^2</t>
  </si>
  <si>
    <t>maintenance (parts &amp; consumables only)</t>
  </si>
  <si>
    <t>US$/m^2</t>
  </si>
  <si>
    <t>Values after efficiency factoring</t>
  </si>
  <si>
    <t>Cost per plan_m^2</t>
  </si>
  <si>
    <t>wmt ore / plan_m^2</t>
  </si>
  <si>
    <t>Cost per wmt of ore</t>
  </si>
  <si>
    <t>explosives</t>
  </si>
  <si>
    <t>TOTAL</t>
  </si>
  <si>
    <t>litres/wmt</t>
  </si>
  <si>
    <t>person_hours/wmt</t>
  </si>
  <si>
    <t>Cost per wmt</t>
  </si>
  <si>
    <t>insitu  tph</t>
  </si>
  <si>
    <t>tph</t>
  </si>
  <si>
    <t>truck  size</t>
  </si>
  <si>
    <t>wmt payload</t>
  </si>
  <si>
    <t>one way distance</t>
  </si>
  <si>
    <t>km</t>
  </si>
  <si>
    <t>speed</t>
  </si>
  <si>
    <t>km/h</t>
  </si>
  <si>
    <t>litres/wmt/km one way</t>
  </si>
  <si>
    <t>person_hours per trip one way</t>
  </si>
  <si>
    <t>US$/wmt/hr</t>
  </si>
  <si>
    <t>hours per trip one way</t>
  </si>
  <si>
    <t>truck capacity factor</t>
  </si>
  <si>
    <t>distance factor</t>
  </si>
  <si>
    <t>Values after distance and truck capacity factoring</t>
  </si>
  <si>
    <t>person_hours/wmt/km one way</t>
  </si>
  <si>
    <t>Cost per wmt (incl capacity &amp; distance factoring)</t>
  </si>
  <si>
    <t>Breakdown of oversize</t>
  </si>
  <si>
    <t>Total Load, Haul &amp; Dump 1 module - per wmt ore</t>
  </si>
  <si>
    <t>Total Load, Haul &amp; Dump 2 module - per wmt ore</t>
  </si>
  <si>
    <t>Total Load, Haul &amp; Dump 3 module - per wmt ore</t>
  </si>
  <si>
    <t>contract mining</t>
  </si>
  <si>
    <t>contract explosives</t>
  </si>
  <si>
    <t>Inland transport efficiency</t>
  </si>
  <si>
    <t>Total Load, Haul &amp; Dump rail 1 module - per wmt ore</t>
  </si>
  <si>
    <t>Total inland transport - per wmt ore</t>
  </si>
  <si>
    <t>contract haulage fee</t>
  </si>
  <si>
    <t>Total Load, Haul &amp; Dump 4 module - per wmt ore</t>
  </si>
  <si>
    <t>Total Load, Haul &amp; Dump 5 module - per wmt ore</t>
  </si>
  <si>
    <t>Total Load, Haul &amp; Dump 6 module - per wmt ore</t>
  </si>
  <si>
    <t>HFO</t>
  </si>
  <si>
    <t>Type Barge</t>
  </si>
  <si>
    <t>self-propelled</t>
  </si>
  <si>
    <t>mixed</t>
  </si>
  <si>
    <t>dumb</t>
  </si>
  <si>
    <t>Barging distance (km)</t>
  </si>
  <si>
    <t>Cost per wmt inc distance factoring</t>
  </si>
  <si>
    <t>contract barging and transhipping fees</t>
  </si>
  <si>
    <t>% LME</t>
  </si>
  <si>
    <t>base rate</t>
  </si>
  <si>
    <t>US$/dmt</t>
  </si>
  <si>
    <t>Alumin grade factor</t>
  </si>
  <si>
    <t>final rate</t>
  </si>
  <si>
    <t>Mining</t>
  </si>
  <si>
    <t>Inland Transport</t>
  </si>
  <si>
    <t>Processing &amp; Port Costs</t>
  </si>
  <si>
    <t>Barging &amp; Transhipping</t>
  </si>
  <si>
    <t>Overheads</t>
  </si>
  <si>
    <t>Other</t>
  </si>
  <si>
    <t>Taxes</t>
  </si>
  <si>
    <t>Crushing allowance (if not already crushed)</t>
  </si>
  <si>
    <t>Crushing (if not 80% passing &lt;125mm)</t>
  </si>
  <si>
    <t>Total crushed FOB basis</t>
  </si>
  <si>
    <t>Clear and grub difficulty</t>
  </si>
  <si>
    <t>Multiplier</t>
  </si>
  <si>
    <t>less difficult than average</t>
  </si>
  <si>
    <t>General Efficiency</t>
  </si>
  <si>
    <t>less efficient than average</t>
  </si>
</sst>
</file>

<file path=xl/styles.xml><?xml version="1.0" encoding="utf-8"?>
<styleSheet xmlns="http://schemas.openxmlformats.org/spreadsheetml/2006/main">
  <numFmts count="10">
    <numFmt numFmtId="176" formatCode="0.0%"/>
    <numFmt numFmtId="177" formatCode="_(* #,##0_);_(* \(#,##0\);_(* \-??_);_(@_)"/>
    <numFmt numFmtId="42" formatCode="_(&quot;$&quot;* #,##0_);_(&quot;$&quot;* \(#,##0\);_(&quot;$&quot;* &quot;-&quot;_);_(@_)"/>
    <numFmt numFmtId="178" formatCode="_(* #,##0.0_);_(* \(#,##0.0\);_(* \-??_);_(@_)"/>
    <numFmt numFmtId="179" formatCode="_(* #,##0.00_);_(* \(#,##0.00\);_(* \-??_);_(@_)"/>
    <numFmt numFmtId="44" formatCode="_(&quot;$&quot;* #,##0.00_);_(&quot;$&quot;* \(#,##0.00\);_(&quot;$&quot;* &quot;-&quot;??_);_(@_)"/>
    <numFmt numFmtId="41" formatCode="_(* #,##0_);_(* \(#,##0\);_(* &quot;-&quot;_);_(@_)"/>
    <numFmt numFmtId="180" formatCode="_(* #,##0.000_);_(* \(#,##0.000\);_(* \-??_);_(@_)"/>
    <numFmt numFmtId="181" formatCode="0.000%"/>
    <numFmt numFmtId="182" formatCode="_(* #,##0.0000_);_(* \(#,##0.0000\);_(* \-??_);_(@_)"/>
  </numFmts>
  <fonts count="35">
    <font>
      <sz val="11"/>
      <color rgb="FF000000"/>
      <name val="Calibri"/>
      <charset val="1"/>
    </font>
    <font>
      <b/>
      <sz val="12"/>
      <color rgb="FF000000"/>
      <name val="Calibri"/>
      <charset val="1"/>
    </font>
    <font>
      <b/>
      <sz val="12"/>
      <color rgb="FFFF0000"/>
      <name val="Calibri"/>
      <charset val="1"/>
    </font>
    <font>
      <sz val="12"/>
      <color rgb="FF808080"/>
      <name val="Calibri"/>
      <charset val="1"/>
    </font>
    <font>
      <sz val="12"/>
      <color rgb="FFFF0000"/>
      <name val="Calibri"/>
      <charset val="1"/>
    </font>
    <font>
      <sz val="12"/>
      <color rgb="FF000000"/>
      <name val="Calibri"/>
      <charset val="1"/>
    </font>
    <font>
      <sz val="12"/>
      <name val="Calibri"/>
      <charset val="1"/>
    </font>
    <font>
      <b/>
      <sz val="12"/>
      <color rgb="FFFFFFFF"/>
      <name val="Calibri"/>
      <charset val="1"/>
    </font>
    <font>
      <i/>
      <sz val="12"/>
      <color rgb="FF000000"/>
      <name val="Calibri"/>
      <charset val="1"/>
    </font>
    <font>
      <sz val="12"/>
      <color rgb="FFFFFFFF"/>
      <name val="Calibri"/>
      <charset val="1"/>
    </font>
    <font>
      <b/>
      <sz val="12"/>
      <color rgb="FF0432FF"/>
      <name val="Calibri"/>
      <charset val="1"/>
    </font>
    <font>
      <sz val="12"/>
      <color rgb="FF0432FF"/>
      <name val="Calibri"/>
      <charset val="1"/>
    </font>
    <font>
      <sz val="10"/>
      <name val="Arial"/>
      <charset val="134"/>
    </font>
    <font>
      <b/>
      <sz val="11"/>
      <color theme="1"/>
      <name val="Calibri"/>
      <charset val="0"/>
      <scheme val="minor"/>
    </font>
    <font>
      <sz val="11"/>
      <color theme="0"/>
      <name val="Calibri"/>
      <charset val="0"/>
      <scheme val="minor"/>
    </font>
    <font>
      <b/>
      <sz val="11"/>
      <color rgb="FFFFFFFF"/>
      <name val="Calibri"/>
      <charset val="0"/>
      <scheme val="minor"/>
    </font>
    <font>
      <sz val="11"/>
      <color rgb="FFFA7D00"/>
      <name val="Calibri"/>
      <charset val="0"/>
      <scheme val="minor"/>
    </font>
    <font>
      <sz val="11"/>
      <color theme="1"/>
      <name val="Calibri"/>
      <charset val="0"/>
      <scheme val="minor"/>
    </font>
    <font>
      <sz val="11"/>
      <color theme="1"/>
      <name val="Calibri"/>
      <charset val="134"/>
      <scheme val="minor"/>
    </font>
    <font>
      <b/>
      <sz val="13"/>
      <color theme="3"/>
      <name val="Calibri"/>
      <charset val="134"/>
      <scheme val="minor"/>
    </font>
    <font>
      <b/>
      <sz val="15"/>
      <color theme="3"/>
      <name val="Calibri"/>
      <charset val="134"/>
      <scheme val="minor"/>
    </font>
    <font>
      <u/>
      <sz val="11"/>
      <color rgb="FF0000FF"/>
      <name val="Calibri"/>
      <charset val="0"/>
      <scheme val="minor"/>
    </font>
    <font>
      <u/>
      <sz val="11"/>
      <color rgb="FF800080"/>
      <name val="Calibri"/>
      <charset val="0"/>
      <scheme val="minor"/>
    </font>
    <font>
      <b/>
      <sz val="11"/>
      <color rgb="FF3F3F3F"/>
      <name val="Calibri"/>
      <charset val="0"/>
      <scheme val="minor"/>
    </font>
    <font>
      <sz val="11"/>
      <color rgb="FFFF0000"/>
      <name val="Calibri"/>
      <charset val="0"/>
      <scheme val="minor"/>
    </font>
    <font>
      <sz val="11"/>
      <color rgb="FF9C0006"/>
      <name val="Calibri"/>
      <charset val="0"/>
      <scheme val="minor"/>
    </font>
    <font>
      <i/>
      <sz val="11"/>
      <color rgb="FF7F7F7F"/>
      <name val="Calibri"/>
      <charset val="0"/>
      <scheme val="minor"/>
    </font>
    <font>
      <b/>
      <sz val="18"/>
      <color theme="3"/>
      <name val="Calibri"/>
      <charset val="134"/>
      <scheme val="minor"/>
    </font>
    <font>
      <b/>
      <sz val="11"/>
      <color theme="3"/>
      <name val="Calibri"/>
      <charset val="134"/>
      <scheme val="minor"/>
    </font>
    <font>
      <sz val="11"/>
      <color rgb="FF3F3F76"/>
      <name val="Calibri"/>
      <charset val="0"/>
      <scheme val="minor"/>
    </font>
    <font>
      <sz val="11"/>
      <color rgb="FF006100"/>
      <name val="Calibri"/>
      <charset val="0"/>
      <scheme val="minor"/>
    </font>
    <font>
      <b/>
      <sz val="11"/>
      <color rgb="FFFA7D00"/>
      <name val="Calibri"/>
      <charset val="0"/>
      <scheme val="minor"/>
    </font>
    <font>
      <sz val="11"/>
      <color rgb="FF9C6500"/>
      <name val="Calibri"/>
      <charset val="0"/>
      <scheme val="minor"/>
    </font>
    <font>
      <sz val="10"/>
      <color rgb="FF000000"/>
      <name val="Calibri"/>
      <charset val="1"/>
    </font>
    <font>
      <sz val="10"/>
      <color rgb="FF000000"/>
      <name val="Tahoma"/>
      <charset val="1"/>
    </font>
  </fonts>
  <fills count="38">
    <fill>
      <patternFill patternType="none"/>
    </fill>
    <fill>
      <patternFill patternType="gray125"/>
    </fill>
    <fill>
      <patternFill patternType="solid">
        <fgColor rgb="FFF2F2F2"/>
        <bgColor rgb="FFFFFFFF"/>
      </patternFill>
    </fill>
    <fill>
      <patternFill patternType="solid">
        <fgColor rgb="FF92D050"/>
        <bgColor rgb="FFC0C0C0"/>
      </patternFill>
    </fill>
    <fill>
      <patternFill patternType="solid">
        <fgColor rgb="FF00B0F0"/>
        <bgColor rgb="FF33CCCC"/>
      </patternFill>
    </fill>
    <fill>
      <patternFill patternType="solid">
        <fgColor rgb="FFFFFF00"/>
        <bgColor rgb="FFFFFF00"/>
      </patternFill>
    </fill>
    <fill>
      <patternFill patternType="solid">
        <fgColor rgb="FF00B050"/>
        <bgColor rgb="FF008080"/>
      </patternFill>
    </fill>
    <fill>
      <patternFill patternType="solid">
        <fgColor theme="6" tint="0.399975585192419"/>
        <bgColor indexed="64"/>
      </patternFill>
    </fill>
    <fill>
      <patternFill patternType="solid">
        <fgColor rgb="FFA5A5A5"/>
        <bgColor indexed="64"/>
      </patternFill>
    </fill>
    <fill>
      <patternFill patternType="solid">
        <fgColor theme="5" tint="0.399975585192419"/>
        <bgColor indexed="64"/>
      </patternFill>
    </fill>
    <fill>
      <patternFill patternType="solid">
        <fgColor theme="4" tint="0.599993896298105"/>
        <bgColor indexed="64"/>
      </patternFill>
    </fill>
    <fill>
      <patternFill patternType="solid">
        <fgColor rgb="FFFFFFCC"/>
        <bgColor indexed="64"/>
      </patternFill>
    </fill>
    <fill>
      <patternFill patternType="solid">
        <fgColor theme="9"/>
        <bgColor indexed="64"/>
      </patternFill>
    </fill>
    <fill>
      <patternFill patternType="solid">
        <fgColor theme="7" tint="0.399975585192419"/>
        <bgColor indexed="64"/>
      </patternFill>
    </fill>
    <fill>
      <patternFill patternType="solid">
        <fgColor theme="5" tint="0.799981688894314"/>
        <bgColor indexed="64"/>
      </patternFill>
    </fill>
    <fill>
      <patternFill patternType="solid">
        <fgColor rgb="FFF2F2F2"/>
        <bgColor indexed="64"/>
      </patternFill>
    </fill>
    <fill>
      <patternFill patternType="solid">
        <fgColor theme="6" tint="0.599993896298105"/>
        <bgColor indexed="64"/>
      </patternFill>
    </fill>
    <fill>
      <patternFill patternType="solid">
        <fgColor theme="4"/>
        <bgColor indexed="64"/>
      </patternFill>
    </fill>
    <fill>
      <patternFill patternType="solid">
        <fgColor rgb="FFFFC7CE"/>
        <bgColor indexed="64"/>
      </patternFill>
    </fill>
    <fill>
      <patternFill patternType="solid">
        <fgColor theme="5" tint="0.599993896298105"/>
        <bgColor indexed="64"/>
      </patternFill>
    </fill>
    <fill>
      <patternFill patternType="solid">
        <fgColor theme="6" tint="0.799981688894314"/>
        <bgColor indexed="64"/>
      </patternFill>
    </fill>
    <fill>
      <patternFill patternType="solid">
        <fgColor rgb="FFFFCC99"/>
        <bgColor indexed="64"/>
      </patternFill>
    </fill>
    <fill>
      <patternFill patternType="solid">
        <fgColor theme="5"/>
        <bgColor indexed="64"/>
      </patternFill>
    </fill>
    <fill>
      <patternFill patternType="solid">
        <fgColor theme="4" tint="0.399975585192419"/>
        <bgColor indexed="64"/>
      </patternFill>
    </fill>
    <fill>
      <patternFill patternType="solid">
        <fgColor rgb="FFC6EFCE"/>
        <bgColor indexed="64"/>
      </patternFill>
    </fill>
    <fill>
      <patternFill patternType="solid">
        <fgColor theme="7"/>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theme="6"/>
        <bgColor indexed="64"/>
      </patternFill>
    </fill>
    <fill>
      <patternFill patternType="solid">
        <fgColor rgb="FFFFEB9C"/>
        <bgColor indexed="64"/>
      </patternFill>
    </fill>
    <fill>
      <patternFill patternType="solid">
        <fgColor theme="8" tint="0.599993896298105"/>
        <bgColor indexed="64"/>
      </patternFill>
    </fill>
    <fill>
      <patternFill patternType="solid">
        <fgColor theme="7" tint="0.599993896298105"/>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8"/>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s>
  <cellStyleXfs count="49">
    <xf numFmtId="0" fontId="0" fillId="0" borderId="0"/>
    <xf numFmtId="0" fontId="17" fillId="10" borderId="0" applyNumberFormat="0" applyBorder="0" applyAlignment="0" applyProtection="0">
      <alignment vertical="center"/>
    </xf>
    <xf numFmtId="179" fontId="0" fillId="0" borderId="0" applyBorder="0" applyProtection="0"/>
    <xf numFmtId="41" fontId="12" fillId="0" borderId="0" applyBorder="0" applyAlignment="0" applyProtection="0"/>
    <xf numFmtId="42" fontId="12" fillId="0" borderId="0" applyBorder="0" applyAlignment="0" applyProtection="0"/>
    <xf numFmtId="44" fontId="12" fillId="0" borderId="0" applyBorder="0" applyAlignment="0" applyProtection="0"/>
    <xf numFmtId="9" fontId="0" fillId="0" borderId="0" applyBorder="0" applyProtection="0"/>
    <xf numFmtId="0" fontId="15" fillId="8" borderId="4" applyNumberFormat="0" applyAlignment="0" applyProtection="0">
      <alignment vertical="center"/>
    </xf>
    <xf numFmtId="0" fontId="19" fillId="0" borderId="7" applyNumberFormat="0" applyFill="0" applyAlignment="0" applyProtection="0">
      <alignment vertical="center"/>
    </xf>
    <xf numFmtId="0" fontId="18" fillId="11" borderId="6" applyNumberFormat="0" applyFont="0" applyAlignment="0" applyProtection="0">
      <alignment vertical="center"/>
    </xf>
    <xf numFmtId="0" fontId="21" fillId="0" borderId="0" applyNumberFormat="0" applyFill="0" applyBorder="0" applyAlignment="0" applyProtection="0">
      <alignment vertical="center"/>
    </xf>
    <xf numFmtId="0" fontId="14" fillId="13" borderId="0" applyNumberFormat="0" applyBorder="0" applyAlignment="0" applyProtection="0">
      <alignment vertical="center"/>
    </xf>
    <xf numFmtId="0" fontId="22" fillId="0" borderId="0" applyNumberFormat="0" applyFill="0" applyBorder="0" applyAlignment="0" applyProtection="0">
      <alignment vertical="center"/>
    </xf>
    <xf numFmtId="0" fontId="17" fillId="16" borderId="0" applyNumberFormat="0" applyBorder="0" applyAlignment="0" applyProtection="0">
      <alignment vertical="center"/>
    </xf>
    <xf numFmtId="0" fontId="24" fillId="0" borderId="0" applyNumberFormat="0" applyFill="0" applyBorder="0" applyAlignment="0" applyProtection="0">
      <alignment vertical="center"/>
    </xf>
    <xf numFmtId="0" fontId="17" fillId="19" borderId="0" applyNumberFormat="0" applyBorder="0" applyAlignment="0" applyProtection="0">
      <alignment vertical="center"/>
    </xf>
    <xf numFmtId="0" fontId="27"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0" fillId="0" borderId="7" applyNumberFormat="0" applyFill="0" applyAlignment="0" applyProtection="0">
      <alignment vertical="center"/>
    </xf>
    <xf numFmtId="0" fontId="28" fillId="0" borderId="9" applyNumberFormat="0" applyFill="0" applyAlignment="0" applyProtection="0">
      <alignment vertical="center"/>
    </xf>
    <xf numFmtId="0" fontId="28" fillId="0" borderId="0" applyNumberFormat="0" applyFill="0" applyBorder="0" applyAlignment="0" applyProtection="0">
      <alignment vertical="center"/>
    </xf>
    <xf numFmtId="0" fontId="29" fillId="21" borderId="10" applyNumberFormat="0" applyAlignment="0" applyProtection="0">
      <alignment vertical="center"/>
    </xf>
    <xf numFmtId="0" fontId="14" fillId="7" borderId="0" applyNumberFormat="0" applyBorder="0" applyAlignment="0" applyProtection="0">
      <alignment vertical="center"/>
    </xf>
    <xf numFmtId="0" fontId="30" fillId="24" borderId="0" applyNumberFormat="0" applyBorder="0" applyAlignment="0" applyProtection="0">
      <alignment vertical="center"/>
    </xf>
    <xf numFmtId="0" fontId="23" fillId="15" borderId="8" applyNumberFormat="0" applyAlignment="0" applyProtection="0">
      <alignment vertical="center"/>
    </xf>
    <xf numFmtId="0" fontId="17" fillId="26" borderId="0" applyNumberFormat="0" applyBorder="0" applyAlignment="0" applyProtection="0">
      <alignment vertical="center"/>
    </xf>
    <xf numFmtId="0" fontId="31" fillId="15" borderId="10" applyNumberFormat="0" applyAlignment="0" applyProtection="0">
      <alignment vertical="center"/>
    </xf>
    <xf numFmtId="0" fontId="16" fillId="0" borderId="5" applyNumberFormat="0" applyFill="0" applyAlignment="0" applyProtection="0">
      <alignment vertical="center"/>
    </xf>
    <xf numFmtId="0" fontId="13" fillId="0" borderId="3" applyNumberFormat="0" applyFill="0" applyAlignment="0" applyProtection="0">
      <alignment vertical="center"/>
    </xf>
    <xf numFmtId="0" fontId="25" fillId="18" borderId="0" applyNumberFormat="0" applyBorder="0" applyAlignment="0" applyProtection="0">
      <alignment vertical="center"/>
    </xf>
    <xf numFmtId="0" fontId="32" fillId="29" borderId="0" applyNumberFormat="0" applyBorder="0" applyAlignment="0" applyProtection="0">
      <alignment vertical="center"/>
    </xf>
    <xf numFmtId="0" fontId="14" fillId="17" borderId="0" applyNumberFormat="0" applyBorder="0" applyAlignment="0" applyProtection="0">
      <alignment vertical="center"/>
    </xf>
    <xf numFmtId="0" fontId="17" fillId="32" borderId="0" applyNumberFormat="0" applyBorder="0" applyAlignment="0" applyProtection="0">
      <alignment vertical="center"/>
    </xf>
    <xf numFmtId="0" fontId="14" fillId="23" borderId="0" applyNumberFormat="0" applyBorder="0" applyAlignment="0" applyProtection="0">
      <alignment vertical="center"/>
    </xf>
    <xf numFmtId="0" fontId="14" fillId="22" borderId="0" applyNumberFormat="0" applyBorder="0" applyAlignment="0" applyProtection="0">
      <alignment vertical="center"/>
    </xf>
    <xf numFmtId="0" fontId="17" fillId="14" borderId="0" applyNumberFormat="0" applyBorder="0" applyAlignment="0" applyProtection="0">
      <alignment vertical="center"/>
    </xf>
    <xf numFmtId="0" fontId="17" fillId="34" borderId="0" applyNumberFormat="0" applyBorder="0" applyAlignment="0" applyProtection="0">
      <alignment vertical="center"/>
    </xf>
    <xf numFmtId="0" fontId="14" fillId="9" borderId="0" applyNumberFormat="0" applyBorder="0" applyAlignment="0" applyProtection="0">
      <alignment vertical="center"/>
    </xf>
    <xf numFmtId="0" fontId="14" fillId="28" borderId="0" applyNumberFormat="0" applyBorder="0" applyAlignment="0" applyProtection="0">
      <alignment vertical="center"/>
    </xf>
    <xf numFmtId="0" fontId="17" fillId="20" borderId="0" applyNumberFormat="0" applyBorder="0" applyAlignment="0" applyProtection="0">
      <alignment vertical="center"/>
    </xf>
    <xf numFmtId="0" fontId="14" fillId="25" borderId="0" applyNumberFormat="0" applyBorder="0" applyAlignment="0" applyProtection="0">
      <alignment vertical="center"/>
    </xf>
    <xf numFmtId="0" fontId="17" fillId="27" borderId="0" applyNumberFormat="0" applyBorder="0" applyAlignment="0" applyProtection="0">
      <alignment vertical="center"/>
    </xf>
    <xf numFmtId="0" fontId="17" fillId="31" borderId="0" applyNumberFormat="0" applyBorder="0" applyAlignment="0" applyProtection="0">
      <alignment vertical="center"/>
    </xf>
    <xf numFmtId="0" fontId="14" fillId="35" borderId="0" applyNumberFormat="0" applyBorder="0" applyAlignment="0" applyProtection="0">
      <alignment vertical="center"/>
    </xf>
    <xf numFmtId="0" fontId="17" fillId="30" borderId="0" applyNumberFormat="0" applyBorder="0" applyAlignment="0" applyProtection="0">
      <alignment vertical="center"/>
    </xf>
    <xf numFmtId="0" fontId="14" fillId="33" borderId="0" applyNumberFormat="0" applyBorder="0" applyAlignment="0" applyProtection="0">
      <alignment vertical="center"/>
    </xf>
    <xf numFmtId="0" fontId="14" fillId="12" borderId="0" applyNumberFormat="0" applyBorder="0" applyAlignment="0" applyProtection="0">
      <alignment vertical="center"/>
    </xf>
    <xf numFmtId="0" fontId="17" fillId="36" borderId="0" applyNumberFormat="0" applyBorder="0" applyAlignment="0" applyProtection="0">
      <alignment vertical="center"/>
    </xf>
    <xf numFmtId="0" fontId="14" fillId="37" borderId="0" applyNumberFormat="0" applyBorder="0" applyAlignment="0" applyProtection="0">
      <alignment vertical="center"/>
    </xf>
  </cellStyleXfs>
  <cellXfs count="75">
    <xf numFmtId="0" fontId="0" fillId="0" borderId="0" xfId="0"/>
    <xf numFmtId="0" fontId="0" fillId="2" borderId="1" xfId="0" applyFont="1" applyFill="1" applyBorder="1"/>
    <xf numFmtId="0" fontId="0" fillId="2" borderId="1" xfId="0" applyFont="1" applyFill="1" applyBorder="1" applyAlignment="1">
      <alignment horizontal="right"/>
    </xf>
    <xf numFmtId="0" fontId="0" fillId="3" borderId="1" xfId="0" applyFont="1" applyFill="1" applyBorder="1"/>
    <xf numFmtId="9" fontId="0" fillId="3" borderId="1" xfId="2" applyNumberFormat="1" applyFont="1" applyFill="1" applyBorder="1" applyAlignment="1" applyProtection="1"/>
    <xf numFmtId="0" fontId="1" fillId="0" borderId="0" xfId="0" applyFont="1"/>
    <xf numFmtId="0" fontId="1" fillId="3" borderId="0" xfId="0" applyFont="1" applyFill="1" applyAlignment="1">
      <alignment horizontal="center"/>
    </xf>
    <xf numFmtId="0" fontId="2" fillId="3" borderId="0" xfId="0" applyFont="1" applyFill="1" applyAlignment="1">
      <alignment horizontal="center"/>
    </xf>
    <xf numFmtId="9" fontId="0" fillId="3" borderId="0" xfId="0" applyNumberFormat="1" applyFill="1"/>
    <xf numFmtId="0" fontId="0" fillId="0" borderId="0" xfId="0" applyFont="1" applyAlignment="1">
      <alignment horizontal="center"/>
    </xf>
    <xf numFmtId="177" fontId="0" fillId="3" borderId="0" xfId="2" applyNumberFormat="1" applyFont="1" applyFill="1" applyBorder="1" applyAlignment="1" applyProtection="1"/>
    <xf numFmtId="179" fontId="0" fillId="3" borderId="0" xfId="2" applyFont="1" applyFill="1" applyBorder="1" applyAlignment="1" applyProtection="1"/>
    <xf numFmtId="177" fontId="0" fillId="4" borderId="0" xfId="2" applyNumberFormat="1" applyFont="1" applyFill="1" applyBorder="1" applyAlignment="1" applyProtection="1"/>
    <xf numFmtId="9" fontId="0" fillId="3" borderId="0" xfId="6" applyFont="1" applyFill="1" applyBorder="1" applyAlignment="1" applyProtection="1"/>
    <xf numFmtId="179" fontId="0" fillId="5" borderId="0" xfId="2" applyFont="1" applyFill="1" applyBorder="1" applyAlignment="1" applyProtection="1"/>
    <xf numFmtId="9" fontId="0" fillId="3" borderId="0" xfId="6" applyFont="1" applyFill="1" applyBorder="1" applyAlignment="1" applyProtection="1">
      <alignment horizontal="right"/>
    </xf>
    <xf numFmtId="0" fontId="0" fillId="3" borderId="0" xfId="0" applyFont="1" applyFill="1" applyAlignment="1">
      <alignment horizontal="center"/>
    </xf>
    <xf numFmtId="176" fontId="0" fillId="3" borderId="0" xfId="0" applyNumberFormat="1" applyFill="1"/>
    <xf numFmtId="10" fontId="0" fillId="3" borderId="0" xfId="0" applyNumberFormat="1" applyFill="1"/>
    <xf numFmtId="178" fontId="0" fillId="3" borderId="0" xfId="2" applyNumberFormat="1" applyFont="1" applyFill="1" applyBorder="1" applyAlignment="1" applyProtection="1"/>
    <xf numFmtId="178" fontId="0" fillId="5" borderId="0" xfId="2" applyNumberFormat="1" applyFont="1" applyFill="1" applyBorder="1" applyAlignment="1" applyProtection="1"/>
    <xf numFmtId="0" fontId="0" fillId="3" borderId="0" xfId="0" applyFont="1" applyFill="1" applyAlignment="1">
      <alignment horizontal="right"/>
    </xf>
    <xf numFmtId="0" fontId="3" fillId="0" borderId="0" xfId="0" applyFont="1"/>
    <xf numFmtId="0" fontId="3" fillId="0" borderId="0" xfId="0" applyFont="1" applyAlignment="1">
      <alignment horizontal="center"/>
    </xf>
    <xf numFmtId="9" fontId="3" fillId="5" borderId="0" xfId="6" applyFont="1" applyFill="1" applyBorder="1" applyAlignment="1" applyProtection="1"/>
    <xf numFmtId="0" fontId="4" fillId="0" borderId="0" xfId="0" applyFont="1" applyAlignment="1">
      <alignment horizontal="right"/>
    </xf>
    <xf numFmtId="0" fontId="0" fillId="3" borderId="0" xfId="0" applyFill="1"/>
    <xf numFmtId="0" fontId="0" fillId="0" borderId="0" xfId="0" applyFont="1" applyAlignment="1">
      <alignment horizontal="left" indent="7"/>
    </xf>
    <xf numFmtId="179" fontId="5" fillId="6" borderId="0" xfId="2" applyFont="1" applyFill="1" applyBorder="1" applyAlignment="1" applyProtection="1"/>
    <xf numFmtId="179" fontId="0" fillId="4" borderId="0" xfId="0" applyNumberFormat="1" applyFill="1"/>
    <xf numFmtId="178" fontId="0" fillId="4" borderId="0" xfId="0" applyNumberFormat="1" applyFill="1"/>
    <xf numFmtId="0" fontId="0" fillId="0" borderId="2" xfId="0" applyFont="1" applyBorder="1" applyAlignment="1">
      <alignment horizontal="left" indent="7"/>
    </xf>
    <xf numFmtId="0" fontId="0" fillId="0" borderId="2" xfId="0" applyFont="1" applyBorder="1"/>
    <xf numFmtId="179" fontId="0" fillId="5" borderId="2" xfId="2" applyFont="1" applyFill="1" applyBorder="1" applyAlignment="1" applyProtection="1"/>
    <xf numFmtId="9" fontId="0" fillId="3" borderId="0" xfId="0" applyNumberFormat="1" applyFont="1" applyFill="1" applyAlignment="1">
      <alignment horizontal="center"/>
    </xf>
    <xf numFmtId="176" fontId="6" fillId="3" borderId="0" xfId="0" applyNumberFormat="1" applyFont="1" applyFill="1"/>
    <xf numFmtId="0" fontId="7" fillId="3" borderId="0" xfId="0" applyFont="1" applyFill="1" applyAlignment="1">
      <alignment horizontal="center"/>
    </xf>
    <xf numFmtId="9" fontId="4" fillId="3" borderId="0" xfId="6" applyFont="1" applyFill="1" applyBorder="1" applyAlignment="1" applyProtection="1">
      <alignment horizontal="right"/>
    </xf>
    <xf numFmtId="176" fontId="4" fillId="3" borderId="0" xfId="0" applyNumberFormat="1" applyFont="1" applyFill="1"/>
    <xf numFmtId="179" fontId="0" fillId="5" borderId="0" xfId="0" applyNumberFormat="1" applyFill="1"/>
    <xf numFmtId="177" fontId="5" fillId="3" borderId="0" xfId="2" applyNumberFormat="1" applyFont="1" applyFill="1" applyBorder="1" applyAlignment="1" applyProtection="1"/>
    <xf numFmtId="179" fontId="5" fillId="3" borderId="0" xfId="2" applyFont="1" applyFill="1" applyBorder="1" applyAlignment="1" applyProtection="1"/>
    <xf numFmtId="177" fontId="5" fillId="6" borderId="0" xfId="2" applyNumberFormat="1" applyFont="1" applyFill="1" applyBorder="1" applyAlignment="1" applyProtection="1"/>
    <xf numFmtId="180" fontId="5" fillId="6" borderId="0" xfId="2" applyNumberFormat="1" applyFont="1" applyFill="1" applyBorder="1" applyAlignment="1" applyProtection="1"/>
    <xf numFmtId="179" fontId="5" fillId="5" borderId="0" xfId="2" applyFont="1" applyFill="1" applyBorder="1" applyAlignment="1" applyProtection="1"/>
    <xf numFmtId="180" fontId="0" fillId="5" borderId="0" xfId="2" applyNumberFormat="1" applyFont="1" applyFill="1" applyBorder="1" applyAlignment="1" applyProtection="1"/>
    <xf numFmtId="180" fontId="0" fillId="5" borderId="0" xfId="0" applyNumberFormat="1" applyFill="1"/>
    <xf numFmtId="177" fontId="5" fillId="5" borderId="0" xfId="2" applyNumberFormat="1" applyFont="1" applyFill="1" applyBorder="1" applyAlignment="1" applyProtection="1"/>
    <xf numFmtId="179" fontId="0" fillId="5" borderId="0" xfId="0" applyNumberFormat="1" applyFont="1" applyFill="1"/>
    <xf numFmtId="179" fontId="0" fillId="3" borderId="0" xfId="2" applyFont="1" applyFill="1" applyBorder="1" applyAlignment="1" applyProtection="1">
      <alignment horizontal="left" indent="7"/>
    </xf>
    <xf numFmtId="179" fontId="0" fillId="4" borderId="0" xfId="2" applyFont="1" applyFill="1" applyBorder="1" applyAlignment="1" applyProtection="1"/>
    <xf numFmtId="179" fontId="4" fillId="5" borderId="0" xfId="0" applyNumberFormat="1" applyFont="1" applyFill="1"/>
    <xf numFmtId="177" fontId="8" fillId="3" borderId="0" xfId="2" applyNumberFormat="1" applyFont="1" applyFill="1" applyBorder="1" applyAlignment="1" applyProtection="1"/>
    <xf numFmtId="179" fontId="0" fillId="3" borderId="0" xfId="0" applyNumberFormat="1" applyFill="1"/>
    <xf numFmtId="0" fontId="4" fillId="0" borderId="0" xfId="0" applyFont="1"/>
    <xf numFmtId="177" fontId="9" fillId="6" borderId="0" xfId="2" applyNumberFormat="1" applyFont="1" applyFill="1" applyBorder="1" applyAlignment="1" applyProtection="1"/>
    <xf numFmtId="178" fontId="5" fillId="6" borderId="0" xfId="2" applyNumberFormat="1" applyFont="1" applyFill="1" applyBorder="1" applyAlignment="1" applyProtection="1"/>
    <xf numFmtId="178" fontId="5" fillId="3" borderId="0" xfId="2" applyNumberFormat="1" applyFont="1" applyFill="1" applyBorder="1" applyAlignment="1" applyProtection="1"/>
    <xf numFmtId="179" fontId="4" fillId="5" borderId="0" xfId="2" applyFont="1" applyFill="1" applyBorder="1" applyAlignment="1" applyProtection="1"/>
    <xf numFmtId="0" fontId="0" fillId="3" borderId="0" xfId="0" applyFont="1" applyFill="1"/>
    <xf numFmtId="179" fontId="9" fillId="6" borderId="0" xfId="2" applyFont="1" applyFill="1" applyBorder="1" applyAlignment="1" applyProtection="1"/>
    <xf numFmtId="179" fontId="5" fillId="3" borderId="0" xfId="0" applyNumberFormat="1" applyFont="1" applyFill="1"/>
    <xf numFmtId="181" fontId="0" fillId="6" borderId="0" xfId="6" applyNumberFormat="1" applyFont="1" applyFill="1" applyBorder="1" applyAlignment="1" applyProtection="1"/>
    <xf numFmtId="0" fontId="0" fillId="0" borderId="2" xfId="0" applyFont="1" applyBorder="1" applyAlignment="1">
      <alignment horizontal="center"/>
    </xf>
    <xf numFmtId="181" fontId="0" fillId="3" borderId="0" xfId="6" applyNumberFormat="1" applyFont="1" applyFill="1" applyBorder="1" applyAlignment="1" applyProtection="1"/>
    <xf numFmtId="0" fontId="1" fillId="0" borderId="0" xfId="0" applyFont="1" applyAlignment="1">
      <alignment horizontal="left"/>
    </xf>
    <xf numFmtId="182" fontId="0" fillId="5" borderId="0" xfId="0" applyNumberFormat="1" applyFill="1"/>
    <xf numFmtId="0" fontId="0" fillId="0" borderId="0" xfId="0" applyFont="1" applyAlignment="1">
      <alignment horizontal="left"/>
    </xf>
    <xf numFmtId="179" fontId="0" fillId="4" borderId="0" xfId="0" applyNumberFormat="1" applyFill="1" applyAlignment="1">
      <alignment horizontal="left"/>
    </xf>
    <xf numFmtId="0" fontId="10" fillId="0" borderId="0" xfId="0" applyFont="1" applyAlignment="1">
      <alignment horizontal="left"/>
    </xf>
    <xf numFmtId="0" fontId="11" fillId="0" borderId="0" xfId="0" applyFont="1"/>
    <xf numFmtId="179" fontId="11" fillId="5" borderId="0" xfId="0" applyNumberFormat="1" applyFont="1" applyFill="1"/>
    <xf numFmtId="179" fontId="4" fillId="3" borderId="0" xfId="2" applyFont="1" applyFill="1" applyBorder="1" applyAlignment="1" applyProtection="1"/>
    <xf numFmtId="179" fontId="11" fillId="5" borderId="0" xfId="2" applyFont="1" applyFill="1" applyBorder="1" applyAlignment="1" applyProtection="1"/>
    <xf numFmtId="177" fontId="0" fillId="0" borderId="0" xfId="2" applyNumberFormat="1" applyFont="1" applyBorder="1" applyAlignment="1" applyProtection="1"/>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Check Cell" xfId="7" builtinId="23"/>
    <cellStyle name="Heading 2" xfId="8" builtinId="17"/>
    <cellStyle name="Note" xfId="9" builtinId="10"/>
    <cellStyle name="Hyperlink" xfId="10" builtinId="8"/>
    <cellStyle name="60% - Accent4" xfId="11" builtinId="44"/>
    <cellStyle name="Followed Hyperlink" xfId="12" builtinId="9"/>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2F2F2"/>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B0F0"/>
      <rgbColor rgb="00CCFFFF"/>
      <rgbColor rgb="00CCFFCC"/>
      <rgbColor rgb="00FFFF99"/>
      <rgbColor rgb="0099CCFF"/>
      <rgbColor rgb="00FF99CC"/>
      <rgbColor rgb="00CC99FF"/>
      <rgbColor rgb="00FFCC99"/>
      <rgbColor rgb="003366FF"/>
      <rgbColor rgb="0033CCCC"/>
      <rgbColor rgb="0092D050"/>
      <rgbColor rgb="00FFCC00"/>
      <rgbColor rgb="00FF9900"/>
      <rgbColor rgb="00FF6600"/>
      <rgbColor rgb="00666699"/>
      <rgbColor rgb="00969696"/>
      <rgbColor rgb="00003366"/>
      <rgbColor rgb="0000B050"/>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
  <sheetViews>
    <sheetView workbookViewId="0">
      <selection activeCell="A1" sqref="A1"/>
    </sheetView>
  </sheetViews>
  <sheetFormatPr defaultColWidth="8.5462962962963" defaultRowHeight="14.4" outlineLevelRow="2" outlineLevelCol="1"/>
  <sheetData>
    <row r="1" spans="1:2">
      <c r="A1" s="9" t="s">
        <v>0</v>
      </c>
      <c r="B1" s="9" t="s">
        <v>1</v>
      </c>
    </row>
    <row r="2" spans="1:2">
      <c r="A2" s="10">
        <v>1800</v>
      </c>
      <c r="B2" s="10">
        <v>9003</v>
      </c>
    </row>
    <row r="3" spans="1:2">
      <c r="A3" s="74"/>
      <c r="B3" s="74"/>
    </row>
  </sheetData>
  <pageMargins left="0.7" right="0.7" top="0.75" bottom="0.75" header="0.511805555555555" footer="0.511805555555555"/>
  <pageSetup paperSize="1" firstPageNumber="0" orientation="portrait" useFirstPageNumber="1"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205"/>
  <sheetViews>
    <sheetView tabSelected="1" topLeftCell="A407" workbookViewId="0">
      <selection activeCell="A4" sqref="A4"/>
    </sheetView>
  </sheetViews>
  <sheetFormatPr defaultColWidth="8.5462962962963" defaultRowHeight="14.4"/>
  <cols>
    <col min="1" max="1" width="24.8518518518519" customWidth="1"/>
    <col min="2" max="2" width="25" customWidth="1"/>
  </cols>
  <sheetData>
    <row r="1" ht="15.6" spans="1:23">
      <c r="A1" t="s">
        <v>2</v>
      </c>
      <c r="B1" s="5" t="s">
        <v>3</v>
      </c>
      <c r="C1" s="6" t="s">
        <v>4</v>
      </c>
      <c r="D1" s="6" t="s">
        <v>5</v>
      </c>
      <c r="E1" s="6" t="s">
        <v>6</v>
      </c>
      <c r="F1" s="6" t="s">
        <v>7</v>
      </c>
      <c r="G1" s="7" t="s">
        <v>7</v>
      </c>
      <c r="H1" s="6" t="s">
        <v>8</v>
      </c>
      <c r="I1" s="6" t="s">
        <v>9</v>
      </c>
      <c r="J1" s="6" t="s">
        <v>9</v>
      </c>
      <c r="K1" s="6" t="s">
        <v>9</v>
      </c>
      <c r="L1" s="6" t="s">
        <v>9</v>
      </c>
      <c r="M1" s="6" t="s">
        <v>10</v>
      </c>
      <c r="N1" s="6" t="s">
        <v>11</v>
      </c>
      <c r="O1" s="6" t="s">
        <v>11</v>
      </c>
      <c r="P1" s="6" t="s">
        <v>11</v>
      </c>
      <c r="Q1" s="6" t="s">
        <v>12</v>
      </c>
      <c r="R1" s="36" t="s">
        <v>13</v>
      </c>
      <c r="S1" s="6" t="s">
        <v>14</v>
      </c>
      <c r="T1" s="6" t="s">
        <v>15</v>
      </c>
      <c r="U1" s="6" t="s">
        <v>9</v>
      </c>
      <c r="V1" s="6" t="s">
        <v>16</v>
      </c>
      <c r="W1" s="6" t="s">
        <v>17</v>
      </c>
    </row>
    <row r="2" ht="15.6" spans="1:23">
      <c r="A2" s="5" t="s">
        <v>18</v>
      </c>
      <c r="C2" s="6" t="s">
        <v>19</v>
      </c>
      <c r="D2" s="6" t="s">
        <v>20</v>
      </c>
      <c r="E2" s="6" t="s">
        <v>21</v>
      </c>
      <c r="F2" s="6" t="s">
        <v>20</v>
      </c>
      <c r="G2" s="6" t="s">
        <v>20</v>
      </c>
      <c r="H2" s="6" t="s">
        <v>22</v>
      </c>
      <c r="I2" s="6" t="s">
        <v>23</v>
      </c>
      <c r="J2" s="6" t="s">
        <v>24</v>
      </c>
      <c r="K2" s="7" t="s">
        <v>25</v>
      </c>
      <c r="L2" s="7" t="s">
        <v>26</v>
      </c>
      <c r="M2" s="6" t="s">
        <v>10</v>
      </c>
      <c r="N2" s="6" t="s">
        <v>26</v>
      </c>
      <c r="O2" s="6" t="s">
        <v>26</v>
      </c>
      <c r="P2" s="6" t="s">
        <v>26</v>
      </c>
      <c r="Q2" s="6" t="s">
        <v>27</v>
      </c>
      <c r="R2" s="6" t="s">
        <v>13</v>
      </c>
      <c r="S2" s="6" t="s">
        <v>14</v>
      </c>
      <c r="T2" s="6" t="s">
        <v>15</v>
      </c>
      <c r="U2" s="6" t="s">
        <v>26</v>
      </c>
      <c r="V2" s="6" t="s">
        <v>28</v>
      </c>
      <c r="W2" s="6" t="s">
        <v>17</v>
      </c>
    </row>
    <row r="3" ht="15.6" spans="1:23">
      <c r="A3" s="5" t="s">
        <v>29</v>
      </c>
      <c r="C3" s="6" t="s">
        <v>19</v>
      </c>
      <c r="D3" s="6" t="s">
        <v>30</v>
      </c>
      <c r="E3" s="6" t="s">
        <v>21</v>
      </c>
      <c r="F3" s="6" t="s">
        <v>31</v>
      </c>
      <c r="G3" s="6" t="s">
        <v>32</v>
      </c>
      <c r="H3" s="6" t="s">
        <v>33</v>
      </c>
      <c r="I3" s="6" t="s">
        <v>23</v>
      </c>
      <c r="J3" s="6" t="s">
        <v>24</v>
      </c>
      <c r="K3" s="7" t="s">
        <v>25</v>
      </c>
      <c r="L3" s="7" t="s">
        <v>34</v>
      </c>
      <c r="M3" s="6" t="s">
        <v>10</v>
      </c>
      <c r="N3" s="6" t="s">
        <v>35</v>
      </c>
      <c r="O3" s="6" t="s">
        <v>36</v>
      </c>
      <c r="P3" s="6" t="s">
        <v>37</v>
      </c>
      <c r="Q3" s="6" t="s">
        <v>38</v>
      </c>
      <c r="R3" s="6" t="s">
        <v>13</v>
      </c>
      <c r="S3" s="6" t="s">
        <v>14</v>
      </c>
      <c r="T3" s="6" t="s">
        <v>39</v>
      </c>
      <c r="U3" s="6" t="s">
        <v>40</v>
      </c>
      <c r="V3" s="6" t="s">
        <v>28</v>
      </c>
      <c r="W3" s="6" t="s">
        <v>17</v>
      </c>
    </row>
    <row r="4" spans="1:23">
      <c r="A4" t="s">
        <v>41</v>
      </c>
      <c r="C4" s="8">
        <v>0</v>
      </c>
      <c r="D4" s="8">
        <v>0</v>
      </c>
      <c r="E4" s="8">
        <v>0</v>
      </c>
      <c r="F4" s="8">
        <v>0</v>
      </c>
      <c r="G4" s="8">
        <v>0</v>
      </c>
      <c r="H4" s="8">
        <v>1</v>
      </c>
      <c r="I4" s="8">
        <v>0</v>
      </c>
      <c r="J4" s="8">
        <v>1</v>
      </c>
      <c r="K4" s="34">
        <v>0.6</v>
      </c>
      <c r="L4" s="34">
        <v>0.9</v>
      </c>
      <c r="M4" s="8">
        <v>0</v>
      </c>
      <c r="N4" s="8">
        <v>0</v>
      </c>
      <c r="O4" s="8">
        <v>0</v>
      </c>
      <c r="P4" s="8">
        <v>0</v>
      </c>
      <c r="Q4" s="8">
        <v>0</v>
      </c>
      <c r="R4" s="8">
        <v>1</v>
      </c>
      <c r="S4" s="8">
        <v>1</v>
      </c>
      <c r="T4" s="8">
        <v>0</v>
      </c>
      <c r="U4" s="34">
        <v>0.6</v>
      </c>
      <c r="V4" s="8">
        <v>0</v>
      </c>
      <c r="W4" s="8">
        <v>0</v>
      </c>
    </row>
    <row r="5" spans="1:23">
      <c r="A5" t="s">
        <v>42</v>
      </c>
      <c r="B5" s="9" t="s">
        <v>43</v>
      </c>
      <c r="C5" s="10">
        <f>1000*12*9003</f>
        <v>108036000</v>
      </c>
      <c r="D5" s="10">
        <f>950*12*9003</f>
        <v>102634200</v>
      </c>
      <c r="E5" s="10">
        <f>1000*12*9003</f>
        <v>108036000</v>
      </c>
      <c r="F5" s="10">
        <f>950*12*9003</f>
        <v>102634200</v>
      </c>
      <c r="G5" s="10">
        <f>950*12*9003</f>
        <v>102634200</v>
      </c>
      <c r="H5" s="10">
        <f>950*12*9003</f>
        <v>102634200</v>
      </c>
      <c r="I5" s="10">
        <f t="shared" ref="I5:Q5" si="0">800*12*9003</f>
        <v>86428800</v>
      </c>
      <c r="J5" s="10">
        <f t="shared" si="0"/>
        <v>86428800</v>
      </c>
      <c r="K5" s="10">
        <f t="shared" si="0"/>
        <v>86428800</v>
      </c>
      <c r="L5" s="10">
        <f t="shared" si="0"/>
        <v>86428800</v>
      </c>
      <c r="M5" s="10">
        <f t="shared" si="0"/>
        <v>86428800</v>
      </c>
      <c r="N5" s="10">
        <f t="shared" si="0"/>
        <v>86428800</v>
      </c>
      <c r="O5" s="10">
        <f t="shared" si="0"/>
        <v>86428800</v>
      </c>
      <c r="P5" s="10">
        <f t="shared" si="0"/>
        <v>86428800</v>
      </c>
      <c r="Q5" s="10">
        <f t="shared" si="0"/>
        <v>86428800</v>
      </c>
      <c r="R5" s="10">
        <f>950*12*9003</f>
        <v>102634200</v>
      </c>
      <c r="S5" s="10">
        <f>950*12*9003</f>
        <v>102634200</v>
      </c>
      <c r="T5" s="10">
        <f>800*12*9003</f>
        <v>86428800</v>
      </c>
      <c r="U5" s="10">
        <f>800*12*9003</f>
        <v>86428800</v>
      </c>
      <c r="V5" s="10">
        <f>800*12*9003</f>
        <v>86428800</v>
      </c>
      <c r="W5" s="10">
        <f>800*12*9003</f>
        <v>86428800</v>
      </c>
    </row>
    <row r="6" spans="1:23">
      <c r="A6" t="s">
        <v>44</v>
      </c>
      <c r="B6" s="9" t="s">
        <v>45</v>
      </c>
      <c r="C6" s="10">
        <f t="shared" ref="C6:W6" si="1">8*40*48</f>
        <v>15360</v>
      </c>
      <c r="D6" s="10">
        <f t="shared" si="1"/>
        <v>15360</v>
      </c>
      <c r="E6" s="10">
        <f t="shared" si="1"/>
        <v>15360</v>
      </c>
      <c r="F6" s="10">
        <f t="shared" si="1"/>
        <v>15360</v>
      </c>
      <c r="G6" s="10">
        <f t="shared" si="1"/>
        <v>15360</v>
      </c>
      <c r="H6" s="10">
        <f t="shared" si="1"/>
        <v>15360</v>
      </c>
      <c r="I6" s="10">
        <f t="shared" si="1"/>
        <v>15360</v>
      </c>
      <c r="J6" s="10">
        <f t="shared" si="1"/>
        <v>15360</v>
      </c>
      <c r="K6" s="10">
        <f t="shared" si="1"/>
        <v>15360</v>
      </c>
      <c r="L6" s="10">
        <f t="shared" si="1"/>
        <v>15360</v>
      </c>
      <c r="M6" s="10">
        <f t="shared" si="1"/>
        <v>15360</v>
      </c>
      <c r="N6" s="10">
        <f t="shared" si="1"/>
        <v>15360</v>
      </c>
      <c r="O6" s="10">
        <f t="shared" si="1"/>
        <v>15360</v>
      </c>
      <c r="P6" s="10">
        <f t="shared" si="1"/>
        <v>15360</v>
      </c>
      <c r="Q6" s="10">
        <f t="shared" si="1"/>
        <v>15360</v>
      </c>
      <c r="R6" s="10">
        <f t="shared" si="1"/>
        <v>15360</v>
      </c>
      <c r="S6" s="10">
        <f t="shared" si="1"/>
        <v>15360</v>
      </c>
      <c r="T6" s="10">
        <f t="shared" si="1"/>
        <v>15360</v>
      </c>
      <c r="U6" s="10">
        <f t="shared" si="1"/>
        <v>15360</v>
      </c>
      <c r="V6" s="10">
        <f t="shared" si="1"/>
        <v>15360</v>
      </c>
      <c r="W6" s="10">
        <f t="shared" si="1"/>
        <v>15360</v>
      </c>
    </row>
    <row r="7" spans="1:23">
      <c r="A7" t="s">
        <v>46</v>
      </c>
      <c r="B7" s="9" t="s">
        <v>47</v>
      </c>
      <c r="C7" s="11">
        <v>1</v>
      </c>
      <c r="D7" s="11">
        <v>1</v>
      </c>
      <c r="E7" s="11">
        <v>1</v>
      </c>
      <c r="F7" s="11">
        <v>1</v>
      </c>
      <c r="G7" s="11">
        <v>1</v>
      </c>
      <c r="H7" s="11">
        <v>1</v>
      </c>
      <c r="I7" s="11">
        <v>1</v>
      </c>
      <c r="J7" s="11">
        <v>1</v>
      </c>
      <c r="K7" s="11">
        <v>1</v>
      </c>
      <c r="L7" s="11">
        <v>1</v>
      </c>
      <c r="M7" s="11">
        <v>1</v>
      </c>
      <c r="N7" s="11">
        <v>1</v>
      </c>
      <c r="O7" s="11">
        <v>1</v>
      </c>
      <c r="P7" s="11">
        <v>1</v>
      </c>
      <c r="Q7" s="11">
        <v>1</v>
      </c>
      <c r="R7" s="11">
        <v>1</v>
      </c>
      <c r="S7" s="11">
        <v>1</v>
      </c>
      <c r="T7" s="11">
        <v>1</v>
      </c>
      <c r="U7" s="11">
        <v>1</v>
      </c>
      <c r="V7" s="11">
        <v>1</v>
      </c>
      <c r="W7" s="11">
        <v>1</v>
      </c>
    </row>
    <row r="8" spans="1:23">
      <c r="A8" t="s">
        <v>48</v>
      </c>
      <c r="B8" s="9" t="s">
        <v>49</v>
      </c>
      <c r="C8" s="12"/>
      <c r="D8" s="12"/>
      <c r="E8" s="12"/>
      <c r="F8" s="12"/>
      <c r="G8" s="12"/>
      <c r="H8" s="12"/>
      <c r="I8" s="12"/>
      <c r="J8" s="12"/>
      <c r="K8" s="12"/>
      <c r="L8" s="12"/>
      <c r="M8" s="12"/>
      <c r="N8" s="12"/>
      <c r="O8" s="12"/>
      <c r="P8" s="12"/>
      <c r="Q8" s="12"/>
      <c r="R8" s="12"/>
      <c r="S8" s="12"/>
      <c r="T8" s="12"/>
      <c r="U8" s="12"/>
      <c r="V8" s="12"/>
      <c r="W8" s="12"/>
    </row>
    <row r="9" spans="1:23">
      <c r="A9" t="s">
        <v>50</v>
      </c>
      <c r="B9" s="9" t="s">
        <v>51</v>
      </c>
      <c r="C9" s="13">
        <f t="shared" ref="C9:W9" si="2">4/3</f>
        <v>1.33333333333333</v>
      </c>
      <c r="D9" s="13">
        <f t="shared" si="2"/>
        <v>1.33333333333333</v>
      </c>
      <c r="E9" s="13">
        <f t="shared" si="2"/>
        <v>1.33333333333333</v>
      </c>
      <c r="F9" s="13">
        <f t="shared" si="2"/>
        <v>1.33333333333333</v>
      </c>
      <c r="G9" s="13">
        <f t="shared" si="2"/>
        <v>1.33333333333333</v>
      </c>
      <c r="H9" s="13">
        <f t="shared" si="2"/>
        <v>1.33333333333333</v>
      </c>
      <c r="I9" s="13">
        <f t="shared" si="2"/>
        <v>1.33333333333333</v>
      </c>
      <c r="J9" s="13">
        <f t="shared" si="2"/>
        <v>1.33333333333333</v>
      </c>
      <c r="K9" s="13">
        <f t="shared" si="2"/>
        <v>1.33333333333333</v>
      </c>
      <c r="L9" s="13">
        <f t="shared" si="2"/>
        <v>1.33333333333333</v>
      </c>
      <c r="M9" s="13">
        <f t="shared" si="2"/>
        <v>1.33333333333333</v>
      </c>
      <c r="N9" s="13">
        <f t="shared" si="2"/>
        <v>1.33333333333333</v>
      </c>
      <c r="O9" s="13">
        <f t="shared" si="2"/>
        <v>1.33333333333333</v>
      </c>
      <c r="P9" s="13">
        <f t="shared" si="2"/>
        <v>1.33333333333333</v>
      </c>
      <c r="Q9" s="13">
        <f t="shared" si="2"/>
        <v>1.33333333333333</v>
      </c>
      <c r="R9" s="13">
        <f t="shared" si="2"/>
        <v>1.33333333333333</v>
      </c>
      <c r="S9" s="13">
        <f t="shared" si="2"/>
        <v>1.33333333333333</v>
      </c>
      <c r="T9" s="13">
        <f t="shared" si="2"/>
        <v>1.33333333333333</v>
      </c>
      <c r="U9" s="13">
        <f t="shared" si="2"/>
        <v>1.33333333333333</v>
      </c>
      <c r="V9" s="13">
        <f t="shared" si="2"/>
        <v>1.33333333333333</v>
      </c>
      <c r="W9" s="13">
        <f t="shared" si="2"/>
        <v>1.33333333333333</v>
      </c>
    </row>
    <row r="10" spans="1:23">
      <c r="A10" t="s">
        <v>52</v>
      </c>
      <c r="B10" s="9" t="s">
        <v>51</v>
      </c>
      <c r="C10" s="13">
        <v>1.2</v>
      </c>
      <c r="D10" s="13">
        <v>1.2</v>
      </c>
      <c r="E10" s="13">
        <v>1.4</v>
      </c>
      <c r="F10" s="13">
        <v>1.2</v>
      </c>
      <c r="G10" s="13">
        <v>1.2</v>
      </c>
      <c r="H10" s="13">
        <v>1.4</v>
      </c>
      <c r="I10" s="13">
        <v>1.2</v>
      </c>
      <c r="J10" s="13">
        <v>1.2</v>
      </c>
      <c r="K10" s="13">
        <v>1.2</v>
      </c>
      <c r="L10" s="13">
        <v>1.2</v>
      </c>
      <c r="M10" s="13">
        <v>1.2</v>
      </c>
      <c r="N10" s="13">
        <v>1.2</v>
      </c>
      <c r="O10" s="13">
        <v>1.2</v>
      </c>
      <c r="P10" s="13">
        <v>1.2</v>
      </c>
      <c r="Q10" s="13">
        <v>1.2</v>
      </c>
      <c r="R10" s="13">
        <v>1.2</v>
      </c>
      <c r="S10" s="13">
        <v>1.2</v>
      </c>
      <c r="T10" s="13">
        <v>1.2</v>
      </c>
      <c r="U10" s="13">
        <v>1.2</v>
      </c>
      <c r="V10" s="13">
        <v>1.2</v>
      </c>
      <c r="W10" s="13">
        <v>1.2</v>
      </c>
    </row>
    <row r="11" spans="1:23">
      <c r="A11" t="s">
        <v>53</v>
      </c>
      <c r="B11" s="9" t="s">
        <v>54</v>
      </c>
      <c r="C11" s="14"/>
      <c r="D11" s="14"/>
      <c r="E11" s="14"/>
      <c r="F11" s="14"/>
      <c r="G11" s="14"/>
      <c r="H11" s="14"/>
      <c r="I11" s="14"/>
      <c r="J11" s="14"/>
      <c r="K11" s="14"/>
      <c r="L11" s="14"/>
      <c r="M11" s="14"/>
      <c r="N11" s="14"/>
      <c r="O11" s="14"/>
      <c r="P11" s="14"/>
      <c r="Q11" s="14"/>
      <c r="R11" s="14"/>
      <c r="S11" s="14"/>
      <c r="T11" s="14"/>
      <c r="U11" s="14"/>
      <c r="V11" s="14"/>
      <c r="W11" s="14"/>
    </row>
    <row r="12" ht="15.6" spans="1:23">
      <c r="A12" t="s">
        <v>55</v>
      </c>
      <c r="B12" s="9" t="s">
        <v>51</v>
      </c>
      <c r="C12" s="15">
        <v>0.15</v>
      </c>
      <c r="D12" s="15">
        <v>0.05</v>
      </c>
      <c r="E12" s="15">
        <v>0.1</v>
      </c>
      <c r="F12" s="15">
        <v>0.05</v>
      </c>
      <c r="G12" s="15">
        <v>0.05</v>
      </c>
      <c r="H12" s="15">
        <v>0.05</v>
      </c>
      <c r="I12" s="15">
        <v>0.05</v>
      </c>
      <c r="J12" s="15">
        <v>0.05</v>
      </c>
      <c r="K12" s="15">
        <v>0.05</v>
      </c>
      <c r="L12" s="15">
        <v>0.05</v>
      </c>
      <c r="M12" s="15">
        <v>0.05</v>
      </c>
      <c r="N12" s="15">
        <v>0.05</v>
      </c>
      <c r="O12" s="15">
        <v>0.05</v>
      </c>
      <c r="P12" s="15">
        <v>0.05</v>
      </c>
      <c r="Q12" s="15">
        <v>0.05</v>
      </c>
      <c r="R12" s="15">
        <v>0.05</v>
      </c>
      <c r="S12" s="15">
        <v>0.05</v>
      </c>
      <c r="T12" s="15">
        <v>0.05</v>
      </c>
      <c r="U12" s="15">
        <v>0.05</v>
      </c>
      <c r="V12" s="15">
        <v>0.05</v>
      </c>
      <c r="W12" s="37">
        <v>0.1</v>
      </c>
    </row>
    <row r="13" spans="1:23">
      <c r="A13" t="s">
        <v>56</v>
      </c>
      <c r="B13" s="9" t="s">
        <v>51</v>
      </c>
      <c r="C13" s="16" t="s">
        <v>57</v>
      </c>
      <c r="D13" s="16" t="s">
        <v>57</v>
      </c>
      <c r="E13" s="16" t="s">
        <v>57</v>
      </c>
      <c r="F13" s="16" t="s">
        <v>57</v>
      </c>
      <c r="G13" s="16" t="s">
        <v>57</v>
      </c>
      <c r="H13" s="16" t="s">
        <v>58</v>
      </c>
      <c r="I13" s="16" t="s">
        <v>57</v>
      </c>
      <c r="J13" s="16" t="s">
        <v>57</v>
      </c>
      <c r="K13" s="16" t="s">
        <v>57</v>
      </c>
      <c r="L13" s="16" t="s">
        <v>57</v>
      </c>
      <c r="M13" s="16" t="s">
        <v>57</v>
      </c>
      <c r="N13" s="16" t="s">
        <v>57</v>
      </c>
      <c r="O13" s="16" t="s">
        <v>57</v>
      </c>
      <c r="P13" s="16" t="s">
        <v>57</v>
      </c>
      <c r="Q13" s="16" t="s">
        <v>57</v>
      </c>
      <c r="R13" s="16" t="s">
        <v>57</v>
      </c>
      <c r="S13" s="16" t="s">
        <v>58</v>
      </c>
      <c r="T13" s="16" t="s">
        <v>57</v>
      </c>
      <c r="U13" s="16" t="s">
        <v>57</v>
      </c>
      <c r="V13" s="16" t="s">
        <v>58</v>
      </c>
      <c r="W13" s="16" t="s">
        <v>57</v>
      </c>
    </row>
    <row r="14" spans="1:23">
      <c r="A14" t="s">
        <v>59</v>
      </c>
      <c r="B14" s="9" t="s">
        <v>60</v>
      </c>
      <c r="C14" s="11">
        <v>0</v>
      </c>
      <c r="D14" s="11">
        <v>0</v>
      </c>
      <c r="E14" s="11">
        <v>0</v>
      </c>
      <c r="F14" s="11">
        <v>0</v>
      </c>
      <c r="G14" s="11">
        <v>0</v>
      </c>
      <c r="H14" s="11">
        <v>1</v>
      </c>
      <c r="I14" s="11">
        <v>1</v>
      </c>
      <c r="J14" s="11">
        <v>0</v>
      </c>
      <c r="K14" s="11">
        <v>1</v>
      </c>
      <c r="L14" s="11">
        <v>1</v>
      </c>
      <c r="M14" s="11">
        <v>1</v>
      </c>
      <c r="N14" s="11">
        <v>1</v>
      </c>
      <c r="O14" s="11">
        <v>1</v>
      </c>
      <c r="P14" s="11">
        <v>1</v>
      </c>
      <c r="Q14" s="11">
        <v>1</v>
      </c>
      <c r="R14" s="11">
        <v>0</v>
      </c>
      <c r="S14" s="11">
        <v>0</v>
      </c>
      <c r="T14" s="11">
        <v>0</v>
      </c>
      <c r="U14" s="11">
        <v>1</v>
      </c>
      <c r="V14" s="11">
        <v>1</v>
      </c>
      <c r="W14" s="11">
        <v>1</v>
      </c>
    </row>
    <row r="15" spans="1:23">
      <c r="A15" t="s">
        <v>61</v>
      </c>
      <c r="B15" s="9"/>
      <c r="C15" s="11">
        <v>0</v>
      </c>
      <c r="D15" s="11">
        <v>0</v>
      </c>
      <c r="E15" s="11">
        <v>0</v>
      </c>
      <c r="F15" s="11">
        <v>0</v>
      </c>
      <c r="G15" s="11">
        <v>0</v>
      </c>
      <c r="H15" s="11">
        <v>0</v>
      </c>
      <c r="I15" s="11">
        <v>1</v>
      </c>
      <c r="J15" s="11">
        <v>0</v>
      </c>
      <c r="K15" s="11">
        <v>1</v>
      </c>
      <c r="L15" s="11">
        <v>1</v>
      </c>
      <c r="M15" s="11">
        <v>1</v>
      </c>
      <c r="N15" s="11">
        <v>1</v>
      </c>
      <c r="O15" s="11">
        <v>1</v>
      </c>
      <c r="P15" s="11">
        <v>1</v>
      </c>
      <c r="Q15" s="11">
        <v>1</v>
      </c>
      <c r="R15" s="11">
        <v>0</v>
      </c>
      <c r="S15" s="11">
        <v>0</v>
      </c>
      <c r="T15" s="11">
        <v>1</v>
      </c>
      <c r="U15" s="11">
        <v>0.5</v>
      </c>
      <c r="V15" s="11">
        <v>1</v>
      </c>
      <c r="W15" s="11">
        <v>1</v>
      </c>
    </row>
    <row r="16" spans="1:23">
      <c r="A16" t="s">
        <v>62</v>
      </c>
      <c r="B16" s="9"/>
      <c r="C16" s="11">
        <v>0</v>
      </c>
      <c r="D16" s="11">
        <v>0</v>
      </c>
      <c r="E16" s="11">
        <v>0</v>
      </c>
      <c r="F16" s="11">
        <v>0</v>
      </c>
      <c r="G16" s="11">
        <v>0</v>
      </c>
      <c r="H16" s="11">
        <v>1</v>
      </c>
      <c r="I16" s="11">
        <v>0</v>
      </c>
      <c r="J16" s="11">
        <v>0.5</v>
      </c>
      <c r="K16" s="11">
        <v>0.5</v>
      </c>
      <c r="L16" s="11">
        <v>0.5</v>
      </c>
      <c r="M16" s="11">
        <v>1</v>
      </c>
      <c r="N16" s="11">
        <v>0.5</v>
      </c>
      <c r="O16" s="11">
        <v>0.5</v>
      </c>
      <c r="P16" s="11">
        <v>0.5</v>
      </c>
      <c r="Q16" s="11">
        <v>1</v>
      </c>
      <c r="R16" s="11">
        <v>0</v>
      </c>
      <c r="S16" s="11">
        <v>0</v>
      </c>
      <c r="T16" s="11">
        <v>1</v>
      </c>
      <c r="U16" s="11">
        <v>0</v>
      </c>
      <c r="V16" s="11">
        <v>0</v>
      </c>
      <c r="W16" s="11">
        <v>1</v>
      </c>
    </row>
    <row r="17" spans="1:23">
      <c r="A17" t="s">
        <v>63</v>
      </c>
      <c r="B17" s="9"/>
      <c r="C17" s="11">
        <v>0</v>
      </c>
      <c r="D17" s="11">
        <v>0</v>
      </c>
      <c r="E17" s="11">
        <v>0</v>
      </c>
      <c r="F17" s="11">
        <v>0</v>
      </c>
      <c r="G17" s="11">
        <v>0</v>
      </c>
      <c r="H17" s="11">
        <v>0</v>
      </c>
      <c r="I17" s="11">
        <v>0</v>
      </c>
      <c r="J17" s="11">
        <v>0</v>
      </c>
      <c r="K17" s="11">
        <v>0</v>
      </c>
      <c r="L17" s="11">
        <v>0</v>
      </c>
      <c r="M17" s="11">
        <v>0</v>
      </c>
      <c r="N17" s="11">
        <v>0</v>
      </c>
      <c r="O17" s="11">
        <v>0</v>
      </c>
      <c r="P17" s="11">
        <v>0</v>
      </c>
      <c r="Q17" s="11">
        <v>0</v>
      </c>
      <c r="R17" s="11">
        <v>0</v>
      </c>
      <c r="S17" s="11">
        <v>0</v>
      </c>
      <c r="T17" s="11">
        <v>0</v>
      </c>
      <c r="U17" s="11">
        <v>0</v>
      </c>
      <c r="V17" s="11">
        <v>0</v>
      </c>
      <c r="W17" s="11">
        <v>0</v>
      </c>
    </row>
    <row r="18" spans="1:23">
      <c r="A18" t="s">
        <v>64</v>
      </c>
      <c r="B18" s="9"/>
      <c r="C18" s="11">
        <v>1</v>
      </c>
      <c r="D18" s="11">
        <v>0</v>
      </c>
      <c r="E18" s="11">
        <v>0</v>
      </c>
      <c r="F18" s="11">
        <v>0</v>
      </c>
      <c r="G18" s="11">
        <v>0</v>
      </c>
      <c r="H18" s="11">
        <v>1</v>
      </c>
      <c r="I18" s="11">
        <v>1</v>
      </c>
      <c r="J18" s="11">
        <v>1</v>
      </c>
      <c r="K18" s="11">
        <v>1</v>
      </c>
      <c r="L18" s="11">
        <v>1</v>
      </c>
      <c r="M18" s="11">
        <v>1</v>
      </c>
      <c r="N18" s="11">
        <v>1</v>
      </c>
      <c r="O18" s="11">
        <v>1</v>
      </c>
      <c r="P18" s="11">
        <v>1</v>
      </c>
      <c r="Q18" s="11">
        <v>1</v>
      </c>
      <c r="R18" s="11">
        <v>1</v>
      </c>
      <c r="S18" s="11">
        <v>0</v>
      </c>
      <c r="T18" s="11">
        <v>1</v>
      </c>
      <c r="U18" s="11">
        <v>1</v>
      </c>
      <c r="V18" s="11">
        <v>1</v>
      </c>
      <c r="W18" s="11">
        <v>1</v>
      </c>
    </row>
    <row r="19" ht="15.6" spans="1:23">
      <c r="A19" s="9" t="s">
        <v>65</v>
      </c>
      <c r="B19" s="9" t="s">
        <v>66</v>
      </c>
      <c r="C19" s="17">
        <v>0.49</v>
      </c>
      <c r="D19" s="17">
        <v>0.49</v>
      </c>
      <c r="E19" s="18">
        <v>0.466</v>
      </c>
      <c r="F19" s="17">
        <v>0.4</v>
      </c>
      <c r="G19" s="17">
        <v>0.391</v>
      </c>
      <c r="H19" s="17">
        <v>0.47</v>
      </c>
      <c r="I19" s="35">
        <v>0.45</v>
      </c>
      <c r="J19" s="17">
        <v>0.46</v>
      </c>
      <c r="K19" s="17">
        <v>0.44</v>
      </c>
      <c r="L19" s="17">
        <v>0.44</v>
      </c>
      <c r="M19" s="17">
        <v>0.45</v>
      </c>
      <c r="N19" s="17">
        <v>0.42</v>
      </c>
      <c r="O19" s="17">
        <v>0.44</v>
      </c>
      <c r="P19" s="17">
        <v>0.46</v>
      </c>
      <c r="Q19" s="17">
        <v>0.45</v>
      </c>
      <c r="R19" s="17">
        <v>0.42</v>
      </c>
      <c r="S19" s="17">
        <v>0.49</v>
      </c>
      <c r="T19" s="17">
        <v>0.45</v>
      </c>
      <c r="U19" s="38">
        <v>0.46</v>
      </c>
      <c r="V19" s="38">
        <v>0.43</v>
      </c>
      <c r="W19" s="38">
        <v>0.43</v>
      </c>
    </row>
    <row r="20" ht="15.6" spans="1:23">
      <c r="A20" s="9" t="s">
        <v>67</v>
      </c>
      <c r="B20" s="9" t="s">
        <v>66</v>
      </c>
      <c r="C20" s="17">
        <v>0.436</v>
      </c>
      <c r="D20" s="17">
        <v>0.456</v>
      </c>
      <c r="E20" s="18">
        <v>0.4069</v>
      </c>
      <c r="F20" s="17">
        <v>0.35</v>
      </c>
      <c r="G20" s="17">
        <v>0.368</v>
      </c>
      <c r="H20" s="17">
        <v>0.405</v>
      </c>
      <c r="I20" s="17">
        <v>0.416</v>
      </c>
      <c r="J20" s="17">
        <v>0.425</v>
      </c>
      <c r="K20" s="17">
        <v>0.405</v>
      </c>
      <c r="L20" s="17">
        <v>0.405</v>
      </c>
      <c r="M20" s="17">
        <v>0.415</v>
      </c>
      <c r="N20" s="17">
        <v>0.385</v>
      </c>
      <c r="O20" s="17">
        <v>0.405</v>
      </c>
      <c r="P20" s="17">
        <v>0.425</v>
      </c>
      <c r="Q20" s="17">
        <v>0.415</v>
      </c>
      <c r="R20" s="17">
        <v>0.381</v>
      </c>
      <c r="S20" s="17">
        <v>0.458</v>
      </c>
      <c r="T20" s="17">
        <v>0.421</v>
      </c>
      <c r="U20" s="38">
        <v>0.425</v>
      </c>
      <c r="V20" s="38">
        <v>0.395</v>
      </c>
      <c r="W20" s="38">
        <v>0.395</v>
      </c>
    </row>
    <row r="21" ht="15.6" spans="1:23">
      <c r="A21" s="9" t="s">
        <v>68</v>
      </c>
      <c r="B21" s="9" t="s">
        <v>66</v>
      </c>
      <c r="C21" s="17">
        <v>0.02</v>
      </c>
      <c r="D21" s="17">
        <v>0.015</v>
      </c>
      <c r="E21" s="18">
        <v>0.022</v>
      </c>
      <c r="F21" s="17">
        <v>0.028</v>
      </c>
      <c r="G21" s="17">
        <v>0.015</v>
      </c>
      <c r="H21" s="17">
        <v>0.045</v>
      </c>
      <c r="I21" s="17">
        <v>0.02</v>
      </c>
      <c r="J21" s="17">
        <v>0.02</v>
      </c>
      <c r="K21" s="17">
        <v>0.02</v>
      </c>
      <c r="L21" s="17">
        <v>0.02</v>
      </c>
      <c r="M21" s="17">
        <v>0.02</v>
      </c>
      <c r="N21" s="17">
        <v>0.02</v>
      </c>
      <c r="O21" s="17">
        <v>0.02</v>
      </c>
      <c r="P21" s="17">
        <v>0.02</v>
      </c>
      <c r="Q21" s="17">
        <v>0.04</v>
      </c>
      <c r="R21" s="17">
        <v>0.026</v>
      </c>
      <c r="S21" s="17">
        <v>0.028</v>
      </c>
      <c r="T21" s="17">
        <v>0.02</v>
      </c>
      <c r="U21" s="38">
        <v>0.02</v>
      </c>
      <c r="V21" s="38">
        <v>0.02</v>
      </c>
      <c r="W21" s="38">
        <v>0.02</v>
      </c>
    </row>
    <row r="22" ht="15.6" spans="1:23">
      <c r="A22" s="9" t="s">
        <v>69</v>
      </c>
      <c r="B22" s="9" t="s">
        <v>66</v>
      </c>
      <c r="C22" s="17">
        <v>0.019</v>
      </c>
      <c r="D22" s="17">
        <v>0.014</v>
      </c>
      <c r="E22" s="18">
        <v>0.0118</v>
      </c>
      <c r="F22" s="17">
        <v>0.015</v>
      </c>
      <c r="G22" s="17">
        <v>0.008</v>
      </c>
      <c r="H22" s="17">
        <v>0.017</v>
      </c>
      <c r="I22" s="35">
        <v>0.014</v>
      </c>
      <c r="J22" s="17">
        <v>0.015</v>
      </c>
      <c r="K22" s="17">
        <v>0.015</v>
      </c>
      <c r="L22" s="17">
        <v>0.015</v>
      </c>
      <c r="M22" s="17">
        <v>0.015</v>
      </c>
      <c r="N22" s="17">
        <v>0.015</v>
      </c>
      <c r="O22" s="17">
        <v>0.015</v>
      </c>
      <c r="P22" s="17">
        <v>0.015</v>
      </c>
      <c r="Q22" s="17">
        <v>0.015</v>
      </c>
      <c r="R22" s="17">
        <v>0.013</v>
      </c>
      <c r="S22" s="17">
        <v>0.012</v>
      </c>
      <c r="T22" s="17">
        <v>0.009</v>
      </c>
      <c r="U22" s="38">
        <v>0.015</v>
      </c>
      <c r="V22" s="38">
        <v>0.015</v>
      </c>
      <c r="W22" s="38">
        <v>0.015</v>
      </c>
    </row>
    <row r="23" ht="15.6" spans="1:23">
      <c r="A23" s="9" t="s">
        <v>70</v>
      </c>
      <c r="B23" s="9" t="s">
        <v>66</v>
      </c>
      <c r="C23" s="17">
        <v>0.035</v>
      </c>
      <c r="D23" s="17">
        <v>0.02</v>
      </c>
      <c r="E23" s="18">
        <v>0.0473</v>
      </c>
      <c r="F23" s="17">
        <v>0.035</v>
      </c>
      <c r="G23" s="17">
        <v>0.015</v>
      </c>
      <c r="H23" s="17">
        <v>0</v>
      </c>
      <c r="I23" s="17">
        <v>0.02</v>
      </c>
      <c r="J23" s="17">
        <v>0.02</v>
      </c>
      <c r="K23" s="17">
        <v>0.02</v>
      </c>
      <c r="L23" s="17">
        <v>0.02</v>
      </c>
      <c r="M23" s="17">
        <v>0.02</v>
      </c>
      <c r="N23" s="17">
        <v>0.02</v>
      </c>
      <c r="O23" s="17">
        <v>0.02</v>
      </c>
      <c r="P23" s="17">
        <v>0.02</v>
      </c>
      <c r="Q23" s="17">
        <v>0.02</v>
      </c>
      <c r="R23" s="18">
        <v>0.0167</v>
      </c>
      <c r="S23" s="17">
        <v>0.02</v>
      </c>
      <c r="T23" s="17">
        <v>0.02</v>
      </c>
      <c r="U23" s="38">
        <v>0.02</v>
      </c>
      <c r="V23" s="38">
        <v>0.02</v>
      </c>
      <c r="W23" s="38">
        <v>0.02</v>
      </c>
    </row>
    <row r="24" spans="1:23">
      <c r="A24" t="s">
        <v>71</v>
      </c>
      <c r="B24" s="9" t="s">
        <v>72</v>
      </c>
      <c r="C24" s="11">
        <v>0.5</v>
      </c>
      <c r="D24" s="11">
        <v>0.5</v>
      </c>
      <c r="E24" s="11">
        <v>0.5</v>
      </c>
      <c r="F24" s="11">
        <v>0.5</v>
      </c>
      <c r="G24" s="11">
        <v>0.5</v>
      </c>
      <c r="H24" s="11">
        <v>1</v>
      </c>
      <c r="I24" s="11">
        <v>0.5</v>
      </c>
      <c r="J24" s="11">
        <v>0.5</v>
      </c>
      <c r="K24" s="11">
        <v>0.5</v>
      </c>
      <c r="L24" s="11">
        <v>0.5</v>
      </c>
      <c r="M24" s="11">
        <v>0.5</v>
      </c>
      <c r="N24" s="11">
        <v>0.5</v>
      </c>
      <c r="O24" s="11">
        <v>0.5</v>
      </c>
      <c r="P24" s="11">
        <v>0.5</v>
      </c>
      <c r="Q24" s="11">
        <v>0.5</v>
      </c>
      <c r="R24" s="11">
        <v>0.5</v>
      </c>
      <c r="S24" s="11">
        <v>1.5</v>
      </c>
      <c r="T24" s="11">
        <v>0.5</v>
      </c>
      <c r="U24" s="11">
        <v>0.5</v>
      </c>
      <c r="V24" s="11">
        <v>0.5</v>
      </c>
      <c r="W24" s="11">
        <v>0.5</v>
      </c>
    </row>
    <row r="25" spans="1:23">
      <c r="A25" t="s">
        <v>73</v>
      </c>
      <c r="B25" s="9" t="s">
        <v>72</v>
      </c>
      <c r="C25" s="19">
        <v>14</v>
      </c>
      <c r="D25" s="19">
        <v>7</v>
      </c>
      <c r="E25" s="19">
        <v>7</v>
      </c>
      <c r="F25" s="19">
        <v>7</v>
      </c>
      <c r="G25" s="19">
        <v>7</v>
      </c>
      <c r="H25" s="19">
        <v>7</v>
      </c>
      <c r="I25" s="19">
        <v>7</v>
      </c>
      <c r="J25" s="19">
        <v>7</v>
      </c>
      <c r="K25" s="19">
        <v>7</v>
      </c>
      <c r="L25" s="19">
        <v>7</v>
      </c>
      <c r="M25" s="19">
        <v>7</v>
      </c>
      <c r="N25" s="19">
        <v>7</v>
      </c>
      <c r="O25" s="19">
        <v>7</v>
      </c>
      <c r="P25" s="19">
        <v>7</v>
      </c>
      <c r="Q25" s="19">
        <v>7</v>
      </c>
      <c r="R25" s="19">
        <v>7</v>
      </c>
      <c r="S25" s="19">
        <v>7</v>
      </c>
      <c r="T25" s="19">
        <v>7</v>
      </c>
      <c r="U25" s="19">
        <v>7</v>
      </c>
      <c r="V25" s="19">
        <v>7</v>
      </c>
      <c r="W25" s="19">
        <v>7</v>
      </c>
    </row>
    <row r="26" spans="1:23">
      <c r="A26" t="s">
        <v>74</v>
      </c>
      <c r="B26" s="9" t="s">
        <v>75</v>
      </c>
      <c r="C26" s="19">
        <v>2.2</v>
      </c>
      <c r="D26" s="19">
        <v>2.2</v>
      </c>
      <c r="E26" s="19">
        <v>2.2</v>
      </c>
      <c r="F26" s="19">
        <v>2.2</v>
      </c>
      <c r="G26" s="19">
        <v>2.2</v>
      </c>
      <c r="H26" s="19">
        <v>2.2</v>
      </c>
      <c r="I26" s="19">
        <v>2.2</v>
      </c>
      <c r="J26" s="19">
        <v>2.2</v>
      </c>
      <c r="K26" s="19">
        <v>2.2</v>
      </c>
      <c r="L26" s="19">
        <v>2.2</v>
      </c>
      <c r="M26" s="19">
        <v>2.2</v>
      </c>
      <c r="N26" s="19">
        <v>2.2</v>
      </c>
      <c r="O26" s="19">
        <v>2.2</v>
      </c>
      <c r="P26" s="19">
        <v>2.2</v>
      </c>
      <c r="Q26" s="19">
        <v>2.2</v>
      </c>
      <c r="R26" s="19">
        <v>2.2</v>
      </c>
      <c r="S26" s="19">
        <v>2.2</v>
      </c>
      <c r="T26" s="19">
        <v>2.2</v>
      </c>
      <c r="U26" s="19">
        <v>2.2</v>
      </c>
      <c r="V26" s="19">
        <v>2.2</v>
      </c>
      <c r="W26" s="19">
        <v>2.2</v>
      </c>
    </row>
    <row r="27" spans="1:23">
      <c r="A27" t="s">
        <v>76</v>
      </c>
      <c r="B27" s="9" t="s">
        <v>66</v>
      </c>
      <c r="C27" s="8">
        <v>0.1</v>
      </c>
      <c r="D27" s="8">
        <v>0.1</v>
      </c>
      <c r="E27" s="18">
        <v>0.0875</v>
      </c>
      <c r="F27" s="8">
        <v>0.1</v>
      </c>
      <c r="G27" s="8">
        <v>0.1</v>
      </c>
      <c r="H27" s="8">
        <v>0.1</v>
      </c>
      <c r="I27" s="8">
        <v>0.1</v>
      </c>
      <c r="J27" s="8">
        <v>0.1</v>
      </c>
      <c r="K27" s="8">
        <v>0.1</v>
      </c>
      <c r="L27" s="8">
        <v>0.1</v>
      </c>
      <c r="M27" s="8">
        <v>0.1</v>
      </c>
      <c r="N27" s="8">
        <v>0.1</v>
      </c>
      <c r="O27" s="8">
        <v>0.1</v>
      </c>
      <c r="P27" s="8">
        <v>0.1</v>
      </c>
      <c r="Q27" s="8">
        <v>0.1</v>
      </c>
      <c r="R27" s="8">
        <v>0.1</v>
      </c>
      <c r="S27" s="8">
        <v>0.1</v>
      </c>
      <c r="T27" s="8">
        <v>0.1</v>
      </c>
      <c r="U27" s="8">
        <v>0.1</v>
      </c>
      <c r="V27" s="8">
        <v>0.1</v>
      </c>
      <c r="W27" s="8">
        <v>0.1</v>
      </c>
    </row>
    <row r="28" spans="1:23">
      <c r="A28" t="s">
        <v>77</v>
      </c>
      <c r="B28" s="9"/>
      <c r="C28" s="8">
        <v>0.07</v>
      </c>
      <c r="D28" s="8">
        <v>0.07</v>
      </c>
      <c r="E28" s="18">
        <v>0.0875</v>
      </c>
      <c r="F28" s="8">
        <v>0.1</v>
      </c>
      <c r="G28" s="8">
        <v>0.1</v>
      </c>
      <c r="H28" s="8">
        <v>0.1</v>
      </c>
      <c r="I28" s="8">
        <v>0.1</v>
      </c>
      <c r="J28" s="8">
        <v>0.1</v>
      </c>
      <c r="K28" s="8">
        <v>0.1</v>
      </c>
      <c r="L28" s="8">
        <v>0.1</v>
      </c>
      <c r="M28" s="8">
        <v>0.1</v>
      </c>
      <c r="N28" s="8">
        <v>0.1</v>
      </c>
      <c r="O28" s="8">
        <v>0.1</v>
      </c>
      <c r="P28" s="8">
        <v>0.1</v>
      </c>
      <c r="Q28" s="8">
        <v>0.1</v>
      </c>
      <c r="R28" s="8">
        <v>0.1</v>
      </c>
      <c r="S28" s="8">
        <v>0.1</v>
      </c>
      <c r="T28" s="8">
        <v>0.1</v>
      </c>
      <c r="U28" s="8">
        <v>0.1</v>
      </c>
      <c r="V28" s="8">
        <v>0.1</v>
      </c>
      <c r="W28" s="8">
        <v>0.1</v>
      </c>
    </row>
    <row r="29" spans="1:23">
      <c r="A29" t="s">
        <v>78</v>
      </c>
      <c r="B29" s="9" t="s">
        <v>51</v>
      </c>
      <c r="C29" s="20"/>
      <c r="D29" s="20"/>
      <c r="E29" s="20"/>
      <c r="F29" s="20"/>
      <c r="G29" s="20"/>
      <c r="H29" s="20"/>
      <c r="I29" s="20"/>
      <c r="J29" s="20"/>
      <c r="K29" s="20"/>
      <c r="L29" s="20"/>
      <c r="M29" s="20"/>
      <c r="N29" s="20"/>
      <c r="O29" s="20"/>
      <c r="P29" s="20"/>
      <c r="Q29" s="20"/>
      <c r="R29" s="20"/>
      <c r="S29" s="20"/>
      <c r="T29" s="20"/>
      <c r="U29" s="20"/>
      <c r="V29" s="20"/>
      <c r="W29" s="20"/>
    </row>
    <row r="30" spans="1:23">
      <c r="A30" t="s">
        <v>79</v>
      </c>
      <c r="B30" s="9" t="s">
        <v>80</v>
      </c>
      <c r="C30" s="20"/>
      <c r="D30" s="20"/>
      <c r="E30" s="20"/>
      <c r="F30" s="20"/>
      <c r="G30" s="20"/>
      <c r="H30" s="20"/>
      <c r="I30" s="20"/>
      <c r="J30" s="20"/>
      <c r="K30" s="20"/>
      <c r="L30" s="20"/>
      <c r="M30" s="20"/>
      <c r="N30" s="20"/>
      <c r="O30" s="20"/>
      <c r="P30" s="20"/>
      <c r="Q30" s="20"/>
      <c r="R30" s="20"/>
      <c r="S30" s="20"/>
      <c r="T30" s="20"/>
      <c r="U30" s="20"/>
      <c r="V30" s="20"/>
      <c r="W30" s="20"/>
    </row>
    <row r="31" spans="1:23">
      <c r="A31" t="s">
        <v>81</v>
      </c>
      <c r="B31" s="9" t="s">
        <v>80</v>
      </c>
      <c r="C31" s="20"/>
      <c r="D31" s="20"/>
      <c r="E31" s="20"/>
      <c r="F31" s="20"/>
      <c r="G31" s="20"/>
      <c r="H31" s="20"/>
      <c r="I31" s="20"/>
      <c r="J31" s="20"/>
      <c r="K31" s="20"/>
      <c r="L31" s="20"/>
      <c r="M31" s="20"/>
      <c r="N31" s="20"/>
      <c r="O31" s="20"/>
      <c r="P31" s="20"/>
      <c r="Q31" s="20"/>
      <c r="R31" s="20"/>
      <c r="S31" s="20"/>
      <c r="T31" s="20"/>
      <c r="U31" s="20"/>
      <c r="V31" s="20"/>
      <c r="W31" s="20"/>
    </row>
    <row r="32" spans="1:23">
      <c r="A32" t="s">
        <v>82</v>
      </c>
      <c r="B32" s="9" t="s">
        <v>80</v>
      </c>
      <c r="C32" s="20"/>
      <c r="D32" s="20"/>
      <c r="E32" s="20"/>
      <c r="F32" s="20"/>
      <c r="G32" s="20"/>
      <c r="H32" s="20"/>
      <c r="I32" s="20"/>
      <c r="J32" s="20"/>
      <c r="K32" s="20"/>
      <c r="L32" s="20"/>
      <c r="M32" s="20"/>
      <c r="N32" s="20"/>
      <c r="O32" s="20"/>
      <c r="P32" s="20"/>
      <c r="Q32" s="20"/>
      <c r="R32" s="20"/>
      <c r="S32" s="20"/>
      <c r="T32" s="20"/>
      <c r="U32" s="20"/>
      <c r="V32" s="20"/>
      <c r="W32" s="20"/>
    </row>
    <row r="33" spans="1:23">
      <c r="A33" t="s">
        <v>83</v>
      </c>
      <c r="B33" s="9"/>
      <c r="C33" s="20"/>
      <c r="D33" s="20"/>
      <c r="E33" s="20"/>
      <c r="F33" s="20"/>
      <c r="G33" s="20"/>
      <c r="H33" s="20"/>
      <c r="I33" s="20"/>
      <c r="J33" s="20"/>
      <c r="K33" s="20"/>
      <c r="L33" s="20"/>
      <c r="M33" s="20"/>
      <c r="N33" s="20"/>
      <c r="O33" s="20"/>
      <c r="P33" s="20"/>
      <c r="Q33" s="20"/>
      <c r="R33" s="20"/>
      <c r="S33" s="20"/>
      <c r="T33" s="20"/>
      <c r="U33" s="20"/>
      <c r="V33" s="20"/>
      <c r="W33" s="20"/>
    </row>
    <row r="34" spans="1:23">
      <c r="A34" t="s">
        <v>84</v>
      </c>
      <c r="B34" s="9"/>
      <c r="C34" s="14"/>
      <c r="D34" s="14"/>
      <c r="E34" s="14"/>
      <c r="F34" s="14"/>
      <c r="G34" s="14"/>
      <c r="H34" s="14"/>
      <c r="I34" s="14"/>
      <c r="J34" s="14"/>
      <c r="K34" s="14"/>
      <c r="L34" s="14"/>
      <c r="M34" s="14"/>
      <c r="N34" s="14"/>
      <c r="O34" s="14"/>
      <c r="P34" s="14"/>
      <c r="Q34" s="14"/>
      <c r="R34" s="14"/>
      <c r="S34" s="14"/>
      <c r="T34" s="14"/>
      <c r="U34" s="14"/>
      <c r="V34" s="14"/>
      <c r="W34" s="14"/>
    </row>
    <row r="35" spans="1:23">
      <c r="A35" t="s">
        <v>85</v>
      </c>
      <c r="B35" s="9" t="s">
        <v>51</v>
      </c>
      <c r="C35" s="21" t="s">
        <v>86</v>
      </c>
      <c r="D35" s="21" t="s">
        <v>86</v>
      </c>
      <c r="E35" s="21" t="s">
        <v>86</v>
      </c>
      <c r="F35" s="21" t="s">
        <v>86</v>
      </c>
      <c r="G35" s="21" t="s">
        <v>86</v>
      </c>
      <c r="H35" s="21" t="s">
        <v>86</v>
      </c>
      <c r="I35" s="21" t="s">
        <v>86</v>
      </c>
      <c r="J35" s="21" t="s">
        <v>87</v>
      </c>
      <c r="K35" s="21" t="s">
        <v>86</v>
      </c>
      <c r="L35" s="21" t="s">
        <v>86</v>
      </c>
      <c r="M35" s="21" t="s">
        <v>86</v>
      </c>
      <c r="N35" s="21" t="s">
        <v>86</v>
      </c>
      <c r="O35" s="21" t="s">
        <v>86</v>
      </c>
      <c r="P35" s="21" t="s">
        <v>86</v>
      </c>
      <c r="Q35" s="21" t="s">
        <v>86</v>
      </c>
      <c r="R35" s="21" t="s">
        <v>86</v>
      </c>
      <c r="S35" s="21" t="s">
        <v>86</v>
      </c>
      <c r="T35" s="21" t="s">
        <v>86</v>
      </c>
      <c r="U35" s="21" t="s">
        <v>86</v>
      </c>
      <c r="V35" s="21" t="s">
        <v>86</v>
      </c>
      <c r="W35" s="21" t="s">
        <v>86</v>
      </c>
    </row>
    <row r="36" ht="15.6" spans="1:23">
      <c r="A36" s="22" t="s">
        <v>88</v>
      </c>
      <c r="B36" s="23" t="s">
        <v>51</v>
      </c>
      <c r="C36" s="24"/>
      <c r="D36" s="24"/>
      <c r="E36" s="24"/>
      <c r="F36" s="24"/>
      <c r="G36" s="24"/>
      <c r="H36" s="24"/>
      <c r="I36" s="24"/>
      <c r="J36" s="24"/>
      <c r="K36" s="24"/>
      <c r="L36" s="24"/>
      <c r="M36" s="24"/>
      <c r="N36" s="24"/>
      <c r="O36" s="24"/>
      <c r="P36" s="24"/>
      <c r="Q36" s="24"/>
      <c r="R36" s="24"/>
      <c r="S36" s="24"/>
      <c r="T36" s="24"/>
      <c r="U36" s="24"/>
      <c r="V36" s="24"/>
      <c r="W36" s="24"/>
    </row>
    <row r="37" spans="1:23">
      <c r="A37" t="s">
        <v>89</v>
      </c>
      <c r="B37" s="9" t="s">
        <v>51</v>
      </c>
      <c r="C37" s="21" t="s">
        <v>90</v>
      </c>
      <c r="D37" s="21" t="s">
        <v>90</v>
      </c>
      <c r="E37" s="21" t="s">
        <v>90</v>
      </c>
      <c r="F37" s="21" t="s">
        <v>90</v>
      </c>
      <c r="G37" s="21" t="s">
        <v>90</v>
      </c>
      <c r="H37" s="21" t="s">
        <v>91</v>
      </c>
      <c r="I37" s="21" t="s">
        <v>90</v>
      </c>
      <c r="J37" s="21" t="s">
        <v>90</v>
      </c>
      <c r="K37" s="21" t="s">
        <v>90</v>
      </c>
      <c r="L37" s="21" t="s">
        <v>90</v>
      </c>
      <c r="M37" s="21" t="s">
        <v>90</v>
      </c>
      <c r="N37" s="21" t="s">
        <v>90</v>
      </c>
      <c r="O37" s="21" t="s">
        <v>90</v>
      </c>
      <c r="P37" s="21" t="s">
        <v>90</v>
      </c>
      <c r="Q37" s="21" t="s">
        <v>90</v>
      </c>
      <c r="R37" s="21" t="s">
        <v>90</v>
      </c>
      <c r="S37" s="21" t="s">
        <v>91</v>
      </c>
      <c r="T37" s="21" t="s">
        <v>90</v>
      </c>
      <c r="U37" s="21" t="s">
        <v>90</v>
      </c>
      <c r="V37" s="21" t="s">
        <v>90</v>
      </c>
      <c r="W37" s="21" t="s">
        <v>90</v>
      </c>
    </row>
    <row r="38" ht="15.6" spans="1:23">
      <c r="A38" s="22" t="s">
        <v>92</v>
      </c>
      <c r="B38" s="23" t="s">
        <v>51</v>
      </c>
      <c r="C38" s="24"/>
      <c r="D38" s="24"/>
      <c r="E38" s="24"/>
      <c r="F38" s="24"/>
      <c r="G38" s="24"/>
      <c r="H38" s="24"/>
      <c r="I38" s="24"/>
      <c r="J38" s="24"/>
      <c r="K38" s="24"/>
      <c r="L38" s="24"/>
      <c r="M38" s="24"/>
      <c r="N38" s="24"/>
      <c r="O38" s="24"/>
      <c r="P38" s="24"/>
      <c r="Q38" s="24"/>
      <c r="R38" s="24"/>
      <c r="S38" s="24"/>
      <c r="T38" s="24"/>
      <c r="U38" s="24"/>
      <c r="V38" s="24"/>
      <c r="W38" s="24"/>
    </row>
    <row r="39" spans="1:23">
      <c r="A39" t="s">
        <v>93</v>
      </c>
      <c r="B39" s="9" t="s">
        <v>66</v>
      </c>
      <c r="C39" s="13">
        <v>1</v>
      </c>
      <c r="D39" s="13">
        <v>1</v>
      </c>
      <c r="E39" s="13">
        <v>1</v>
      </c>
      <c r="F39" s="13">
        <v>1</v>
      </c>
      <c r="G39" s="13">
        <v>1</v>
      </c>
      <c r="H39" s="13">
        <v>1</v>
      </c>
      <c r="I39" s="13">
        <v>1</v>
      </c>
      <c r="J39" s="13">
        <v>1</v>
      </c>
      <c r="K39" s="13">
        <v>1</v>
      </c>
      <c r="L39" s="13">
        <v>1</v>
      </c>
      <c r="M39" s="13">
        <v>1</v>
      </c>
      <c r="N39" s="13">
        <v>1</v>
      </c>
      <c r="O39" s="13">
        <v>1</v>
      </c>
      <c r="P39" s="13">
        <v>1</v>
      </c>
      <c r="Q39" s="13">
        <v>1</v>
      </c>
      <c r="R39" s="13">
        <v>1</v>
      </c>
      <c r="S39" s="13">
        <v>1</v>
      </c>
      <c r="T39" s="13">
        <v>1</v>
      </c>
      <c r="U39" s="13">
        <v>1</v>
      </c>
      <c r="V39" s="13">
        <v>1</v>
      </c>
      <c r="W39" s="13">
        <v>1</v>
      </c>
    </row>
    <row r="40" ht="15.6" spans="1:23">
      <c r="A40" s="25" t="s">
        <v>94</v>
      </c>
      <c r="C40" s="26">
        <v>1</v>
      </c>
      <c r="D40" s="26">
        <v>1</v>
      </c>
      <c r="E40" s="26">
        <v>1</v>
      </c>
      <c r="F40" s="26">
        <v>1</v>
      </c>
      <c r="G40" s="26">
        <v>1</v>
      </c>
      <c r="H40" s="26">
        <v>1</v>
      </c>
      <c r="I40" s="26">
        <v>1</v>
      </c>
      <c r="J40" s="26">
        <v>1</v>
      </c>
      <c r="K40" s="26">
        <v>1</v>
      </c>
      <c r="L40" s="26">
        <v>1</v>
      </c>
      <c r="M40" s="26">
        <v>1</v>
      </c>
      <c r="N40" s="26">
        <v>1</v>
      </c>
      <c r="O40" s="26">
        <v>1</v>
      </c>
      <c r="P40" s="26">
        <v>1</v>
      </c>
      <c r="Q40" s="26">
        <v>1</v>
      </c>
      <c r="R40" s="26">
        <v>1</v>
      </c>
      <c r="S40" s="26">
        <v>1</v>
      </c>
      <c r="T40" s="26">
        <v>1</v>
      </c>
      <c r="U40" s="26">
        <v>1</v>
      </c>
      <c r="V40" s="26">
        <v>1</v>
      </c>
      <c r="W40" s="26">
        <v>1</v>
      </c>
    </row>
    <row r="41" ht="15.6" spans="1:1">
      <c r="A41" s="5" t="s">
        <v>95</v>
      </c>
    </row>
    <row r="42" ht="15.6" spans="1:23">
      <c r="A42" s="27" t="s">
        <v>96</v>
      </c>
      <c r="B42" t="s">
        <v>97</v>
      </c>
      <c r="C42" s="28">
        <v>0.5</v>
      </c>
      <c r="D42" s="28">
        <v>0.5</v>
      </c>
      <c r="E42" s="28">
        <v>0.5</v>
      </c>
      <c r="F42" s="28">
        <v>0.5</v>
      </c>
      <c r="G42" s="28">
        <v>0.5</v>
      </c>
      <c r="H42" s="28">
        <v>0.5</v>
      </c>
      <c r="I42" s="28">
        <v>0.5</v>
      </c>
      <c r="J42" s="28">
        <v>0.5</v>
      </c>
      <c r="K42" s="28">
        <v>0.5</v>
      </c>
      <c r="L42" s="28">
        <v>0.5</v>
      </c>
      <c r="M42" s="28">
        <v>0.5</v>
      </c>
      <c r="N42" s="28">
        <v>0.5</v>
      </c>
      <c r="O42" s="28">
        <v>0.5</v>
      </c>
      <c r="P42" s="28">
        <v>0.5</v>
      </c>
      <c r="Q42" s="28">
        <v>0.5</v>
      </c>
      <c r="R42" s="28">
        <v>0.5</v>
      </c>
      <c r="S42" s="28">
        <v>0.5</v>
      </c>
      <c r="T42" s="28">
        <v>0.5</v>
      </c>
      <c r="U42" s="28">
        <v>0.5</v>
      </c>
      <c r="V42" s="28">
        <v>0.5</v>
      </c>
      <c r="W42" s="28">
        <v>0.5</v>
      </c>
    </row>
    <row r="43" ht="15.6" spans="1:23">
      <c r="A43" s="27" t="s">
        <v>98</v>
      </c>
      <c r="B43" t="s">
        <v>99</v>
      </c>
      <c r="C43" s="28">
        <v>0.2</v>
      </c>
      <c r="D43" s="28">
        <v>0.2</v>
      </c>
      <c r="E43" s="28">
        <v>0.2</v>
      </c>
      <c r="F43" s="28">
        <v>0.2</v>
      </c>
      <c r="G43" s="28">
        <v>0.2</v>
      </c>
      <c r="H43" s="28">
        <v>0.2</v>
      </c>
      <c r="I43" s="28">
        <v>0.2</v>
      </c>
      <c r="J43" s="28">
        <v>0.2</v>
      </c>
      <c r="K43" s="28">
        <v>0.2</v>
      </c>
      <c r="L43" s="28">
        <v>0.2</v>
      </c>
      <c r="M43" s="28">
        <v>0.2</v>
      </c>
      <c r="N43" s="28">
        <v>0.2</v>
      </c>
      <c r="O43" s="28">
        <v>0.2</v>
      </c>
      <c r="P43" s="28">
        <v>0.2</v>
      </c>
      <c r="Q43" s="28">
        <v>0.2</v>
      </c>
      <c r="R43" s="28">
        <v>0.2</v>
      </c>
      <c r="S43" s="28">
        <v>0.2</v>
      </c>
      <c r="T43" s="28">
        <v>0.2</v>
      </c>
      <c r="U43" s="28">
        <v>0.2</v>
      </c>
      <c r="V43" s="28">
        <v>0.2</v>
      </c>
      <c r="W43" s="28">
        <v>0.2</v>
      </c>
    </row>
    <row r="44" ht="15.6" spans="1:23">
      <c r="A44" s="27" t="s">
        <v>100</v>
      </c>
      <c r="B44" t="s">
        <v>101</v>
      </c>
      <c r="C44" s="28">
        <v>0.5</v>
      </c>
      <c r="D44" s="28">
        <v>0.5</v>
      </c>
      <c r="E44" s="28">
        <v>0.5</v>
      </c>
      <c r="F44" s="28">
        <v>0.5</v>
      </c>
      <c r="G44" s="28">
        <v>0.5</v>
      </c>
      <c r="H44" s="28">
        <v>0.5</v>
      </c>
      <c r="I44" s="28">
        <v>0.5</v>
      </c>
      <c r="J44" s="28">
        <v>0.5</v>
      </c>
      <c r="K44" s="28">
        <v>0.5</v>
      </c>
      <c r="L44" s="28">
        <v>0.5</v>
      </c>
      <c r="M44" s="28">
        <v>0.5</v>
      </c>
      <c r="N44" s="28">
        <v>0.5</v>
      </c>
      <c r="O44" s="28">
        <v>0.5</v>
      </c>
      <c r="P44" s="28">
        <v>0.5</v>
      </c>
      <c r="Q44" s="28">
        <v>0.5</v>
      </c>
      <c r="R44" s="28">
        <v>0.5</v>
      </c>
      <c r="S44" s="28">
        <v>0.5</v>
      </c>
      <c r="T44" s="28">
        <v>0.5</v>
      </c>
      <c r="U44" s="28">
        <v>0.5</v>
      </c>
      <c r="V44" s="28">
        <v>0.5</v>
      </c>
      <c r="W44" s="28">
        <v>0.5</v>
      </c>
    </row>
    <row r="45" ht="15.6" spans="1:1">
      <c r="A45" s="5" t="s">
        <v>102</v>
      </c>
    </row>
    <row r="46" spans="1:23">
      <c r="A46" s="27" t="s">
        <v>96</v>
      </c>
      <c r="B46" t="s">
        <v>97</v>
      </c>
      <c r="C46" s="14"/>
      <c r="D46" s="14"/>
      <c r="E46" s="14"/>
      <c r="F46" s="14"/>
      <c r="G46" s="14"/>
      <c r="H46" s="14"/>
      <c r="I46" s="14"/>
      <c r="J46" s="14"/>
      <c r="K46" s="14"/>
      <c r="L46" s="14"/>
      <c r="M46" s="14"/>
      <c r="N46" s="14"/>
      <c r="O46" s="14"/>
      <c r="P46" s="14"/>
      <c r="Q46" s="14"/>
      <c r="R46" s="14"/>
      <c r="S46" s="14"/>
      <c r="T46" s="14"/>
      <c r="U46" s="14"/>
      <c r="V46" s="14"/>
      <c r="W46" s="14"/>
    </row>
    <row r="47" spans="1:23">
      <c r="A47" s="27" t="s">
        <v>98</v>
      </c>
      <c r="B47" t="s">
        <v>99</v>
      </c>
      <c r="C47" s="14"/>
      <c r="D47" s="14"/>
      <c r="E47" s="14"/>
      <c r="F47" s="14"/>
      <c r="G47" s="14"/>
      <c r="H47" s="14"/>
      <c r="I47" s="14"/>
      <c r="J47" s="14"/>
      <c r="K47" s="14"/>
      <c r="L47" s="14"/>
      <c r="M47" s="14"/>
      <c r="N47" s="14"/>
      <c r="O47" s="14"/>
      <c r="P47" s="14"/>
      <c r="Q47" s="14"/>
      <c r="R47" s="14"/>
      <c r="S47" s="14"/>
      <c r="T47" s="14"/>
      <c r="U47" s="14"/>
      <c r="V47" s="14"/>
      <c r="W47" s="14"/>
    </row>
    <row r="48" spans="1:23">
      <c r="A48" s="27" t="s">
        <v>100</v>
      </c>
      <c r="B48" t="s">
        <v>101</v>
      </c>
      <c r="C48" s="14"/>
      <c r="D48" s="14"/>
      <c r="E48" s="14"/>
      <c r="F48" s="14"/>
      <c r="G48" s="14"/>
      <c r="H48" s="14"/>
      <c r="I48" s="14"/>
      <c r="J48" s="14"/>
      <c r="K48" s="14"/>
      <c r="L48" s="14"/>
      <c r="M48" s="14"/>
      <c r="N48" s="14"/>
      <c r="O48" s="14"/>
      <c r="P48" s="14"/>
      <c r="Q48" s="14"/>
      <c r="R48" s="14"/>
      <c r="S48" s="14"/>
      <c r="T48" s="14"/>
      <c r="U48" s="14"/>
      <c r="V48" s="14"/>
      <c r="W48" s="14"/>
    </row>
    <row r="49" ht="15.6" spans="1:1">
      <c r="A49" s="5" t="s">
        <v>103</v>
      </c>
    </row>
    <row r="50" spans="1:23">
      <c r="A50" s="27" t="s">
        <v>96</v>
      </c>
      <c r="B50" t="s">
        <v>97</v>
      </c>
      <c r="C50" s="14"/>
      <c r="D50" s="14"/>
      <c r="E50" s="14"/>
      <c r="F50" s="14"/>
      <c r="G50" s="14"/>
      <c r="H50" s="14"/>
      <c r="I50" s="14"/>
      <c r="J50" s="14"/>
      <c r="K50" s="14"/>
      <c r="L50" s="14"/>
      <c r="M50" s="14"/>
      <c r="N50" s="14"/>
      <c r="O50" s="14"/>
      <c r="P50" s="14"/>
      <c r="Q50" s="14"/>
      <c r="R50" s="14"/>
      <c r="S50" s="14"/>
      <c r="T50" s="14"/>
      <c r="U50" s="14"/>
      <c r="V50" s="14"/>
      <c r="W50" s="14"/>
    </row>
    <row r="51" spans="1:23">
      <c r="A51" s="27" t="s">
        <v>98</v>
      </c>
      <c r="B51" t="s">
        <v>99</v>
      </c>
      <c r="C51" s="14"/>
      <c r="D51" s="14"/>
      <c r="E51" s="14"/>
      <c r="F51" s="14"/>
      <c r="G51" s="14"/>
      <c r="H51" s="14"/>
      <c r="I51" s="14"/>
      <c r="J51" s="14"/>
      <c r="K51" s="14"/>
      <c r="L51" s="14"/>
      <c r="M51" s="14"/>
      <c r="N51" s="14"/>
      <c r="O51" s="14"/>
      <c r="P51" s="14"/>
      <c r="Q51" s="14"/>
      <c r="R51" s="14"/>
      <c r="S51" s="14"/>
      <c r="T51" s="14"/>
      <c r="U51" s="14"/>
      <c r="V51" s="14"/>
      <c r="W51" s="14"/>
    </row>
    <row r="52" spans="1:23">
      <c r="A52" s="27" t="s">
        <v>100</v>
      </c>
      <c r="B52" t="s">
        <v>101</v>
      </c>
      <c r="C52" s="29"/>
      <c r="D52" s="29"/>
      <c r="E52" s="29"/>
      <c r="F52" s="29"/>
      <c r="G52" s="29"/>
      <c r="H52" s="29"/>
      <c r="I52" s="29"/>
      <c r="J52" s="29"/>
      <c r="K52" s="29"/>
      <c r="L52" s="29"/>
      <c r="M52" s="29"/>
      <c r="N52" s="29"/>
      <c r="O52" s="29"/>
      <c r="P52" s="29"/>
      <c r="Q52" s="29"/>
      <c r="R52" s="29"/>
      <c r="S52" s="29"/>
      <c r="T52" s="29"/>
      <c r="U52" s="29"/>
      <c r="V52" s="29"/>
      <c r="W52" s="29"/>
    </row>
    <row r="53" ht="15.6" spans="1:23">
      <c r="A53" s="5" t="s">
        <v>104</v>
      </c>
      <c r="C53" s="30"/>
      <c r="D53" s="30"/>
      <c r="E53" s="30"/>
      <c r="F53" s="30"/>
      <c r="G53" s="30"/>
      <c r="H53" s="30"/>
      <c r="I53" s="30"/>
      <c r="J53" s="30"/>
      <c r="K53" s="30"/>
      <c r="L53" s="30"/>
      <c r="M53" s="30"/>
      <c r="N53" s="30"/>
      <c r="O53" s="30"/>
      <c r="P53" s="30"/>
      <c r="Q53" s="30"/>
      <c r="R53" s="30"/>
      <c r="S53" s="30"/>
      <c r="T53" s="30"/>
      <c r="U53" s="30"/>
      <c r="V53" s="30"/>
      <c r="W53" s="30"/>
    </row>
    <row r="54" ht="15.6" spans="1:1">
      <c r="A54" s="5" t="s">
        <v>105</v>
      </c>
    </row>
    <row r="55" spans="1:23">
      <c r="A55" s="27" t="s">
        <v>96</v>
      </c>
      <c r="B55" t="s">
        <v>60</v>
      </c>
      <c r="C55" s="14"/>
      <c r="D55" s="14"/>
      <c r="E55" s="14"/>
      <c r="F55" s="14"/>
      <c r="G55" s="14"/>
      <c r="H55" s="14"/>
      <c r="I55" s="14"/>
      <c r="J55" s="14"/>
      <c r="K55" s="14"/>
      <c r="L55" s="14"/>
      <c r="M55" s="14"/>
      <c r="N55" s="14"/>
      <c r="O55" s="14"/>
      <c r="P55" s="14"/>
      <c r="Q55" s="14"/>
      <c r="R55" s="14"/>
      <c r="S55" s="14"/>
      <c r="T55" s="14"/>
      <c r="U55" s="14"/>
      <c r="V55" s="14"/>
      <c r="W55" s="14"/>
    </row>
    <row r="56" spans="1:23">
      <c r="A56" s="27" t="s">
        <v>98</v>
      </c>
      <c r="B56" t="s">
        <v>60</v>
      </c>
      <c r="C56" s="14"/>
      <c r="D56" s="14"/>
      <c r="E56" s="14"/>
      <c r="F56" s="14"/>
      <c r="G56" s="14"/>
      <c r="H56" s="14"/>
      <c r="I56" s="14"/>
      <c r="J56" s="14"/>
      <c r="K56" s="14"/>
      <c r="L56" s="14"/>
      <c r="M56" s="14"/>
      <c r="N56" s="14"/>
      <c r="O56" s="14"/>
      <c r="P56" s="14"/>
      <c r="Q56" s="14"/>
      <c r="R56" s="14"/>
      <c r="S56" s="14"/>
      <c r="T56" s="14"/>
      <c r="U56" s="14"/>
      <c r="V56" s="14"/>
      <c r="W56" s="14"/>
    </row>
    <row r="57" spans="1:23">
      <c r="A57" s="27" t="s">
        <v>100</v>
      </c>
      <c r="B57" t="s">
        <v>60</v>
      </c>
      <c r="C57" s="14"/>
      <c r="D57" s="14"/>
      <c r="E57" s="14"/>
      <c r="F57" s="14"/>
      <c r="G57" s="14"/>
      <c r="H57" s="14"/>
      <c r="I57" s="14"/>
      <c r="J57" s="14"/>
      <c r="K57" s="14"/>
      <c r="L57" s="14"/>
      <c r="M57" s="14"/>
      <c r="N57" s="14"/>
      <c r="O57" s="14"/>
      <c r="P57" s="14"/>
      <c r="Q57" s="14"/>
      <c r="R57" s="14"/>
      <c r="S57" s="14"/>
      <c r="T57" s="14"/>
      <c r="U57" s="14"/>
      <c r="V57" s="14"/>
      <c r="W57" s="14"/>
    </row>
    <row r="58" spans="1:23">
      <c r="A58" s="27" t="s">
        <v>106</v>
      </c>
      <c r="B58" t="s">
        <v>60</v>
      </c>
      <c r="C58" s="11">
        <v>0</v>
      </c>
      <c r="D58" s="11">
        <v>0</v>
      </c>
      <c r="E58" s="11">
        <v>0</v>
      </c>
      <c r="F58" s="11">
        <v>0</v>
      </c>
      <c r="G58" s="11">
        <v>0</v>
      </c>
      <c r="H58" s="11">
        <v>0</v>
      </c>
      <c r="I58" s="11">
        <v>0</v>
      </c>
      <c r="J58" s="11">
        <v>0</v>
      </c>
      <c r="K58" s="11">
        <v>0</v>
      </c>
      <c r="L58" s="11">
        <v>0</v>
      </c>
      <c r="M58" s="11">
        <v>0</v>
      </c>
      <c r="N58" s="11">
        <v>0</v>
      </c>
      <c r="O58" s="11">
        <v>0</v>
      </c>
      <c r="P58" s="11">
        <v>0</v>
      </c>
      <c r="Q58" s="11">
        <v>0</v>
      </c>
      <c r="R58" s="11">
        <v>0</v>
      </c>
      <c r="S58" s="11">
        <v>0</v>
      </c>
      <c r="T58" s="11">
        <v>0</v>
      </c>
      <c r="U58" s="11">
        <v>0</v>
      </c>
      <c r="V58" s="11">
        <v>0</v>
      </c>
      <c r="W58" s="11">
        <v>0</v>
      </c>
    </row>
    <row r="59" spans="1:23">
      <c r="A59" s="31" t="s">
        <v>107</v>
      </c>
      <c r="B59" s="32" t="s">
        <v>60</v>
      </c>
      <c r="C59" s="33"/>
      <c r="D59" s="33"/>
      <c r="E59" s="33"/>
      <c r="F59" s="33"/>
      <c r="G59" s="33"/>
      <c r="H59" s="33"/>
      <c r="I59" s="33"/>
      <c r="J59" s="33"/>
      <c r="K59" s="33"/>
      <c r="L59" s="33"/>
      <c r="M59" s="33"/>
      <c r="N59" s="33"/>
      <c r="O59" s="33"/>
      <c r="P59" s="33"/>
      <c r="Q59" s="33"/>
      <c r="R59" s="33"/>
      <c r="S59" s="33"/>
      <c r="T59" s="33"/>
      <c r="U59" s="33"/>
      <c r="V59" s="33"/>
      <c r="W59" s="33"/>
    </row>
    <row r="60" ht="15.6" spans="1:23">
      <c r="A60" s="25" t="s">
        <v>94</v>
      </c>
      <c r="C60" s="26">
        <v>1</v>
      </c>
      <c r="D60" s="26">
        <v>1</v>
      </c>
      <c r="E60" s="26">
        <v>1</v>
      </c>
      <c r="F60" s="26">
        <v>1</v>
      </c>
      <c r="G60" s="26">
        <v>1</v>
      </c>
      <c r="H60" s="26">
        <v>0</v>
      </c>
      <c r="I60" s="26">
        <v>1</v>
      </c>
      <c r="J60" s="26">
        <v>0</v>
      </c>
      <c r="K60" s="26">
        <v>1</v>
      </c>
      <c r="L60" s="26">
        <v>1</v>
      </c>
      <c r="M60" s="26">
        <v>1</v>
      </c>
      <c r="N60" s="26">
        <v>1</v>
      </c>
      <c r="O60" s="26">
        <v>1</v>
      </c>
      <c r="P60" s="26">
        <v>1</v>
      </c>
      <c r="Q60" s="26">
        <v>1</v>
      </c>
      <c r="R60" s="26">
        <v>0</v>
      </c>
      <c r="S60" s="26">
        <v>0</v>
      </c>
      <c r="T60" s="26">
        <v>1</v>
      </c>
      <c r="U60" s="26">
        <v>1</v>
      </c>
      <c r="V60" s="26">
        <v>1</v>
      </c>
      <c r="W60" s="26">
        <v>1</v>
      </c>
    </row>
    <row r="61" ht="15.6" spans="1:1">
      <c r="A61" s="5" t="s">
        <v>95</v>
      </c>
    </row>
    <row r="62" ht="15.6" spans="1:23">
      <c r="A62" s="27" t="s">
        <v>96</v>
      </c>
      <c r="B62" t="s">
        <v>108</v>
      </c>
      <c r="C62" s="28">
        <v>0.25</v>
      </c>
      <c r="D62" s="28">
        <v>0.25</v>
      </c>
      <c r="E62" s="28">
        <v>0.25</v>
      </c>
      <c r="F62" s="28">
        <v>0.25</v>
      </c>
      <c r="G62" s="28">
        <v>0.25</v>
      </c>
      <c r="H62" s="28">
        <v>0.25</v>
      </c>
      <c r="I62" s="28">
        <v>0.25</v>
      </c>
      <c r="J62" s="28">
        <v>0.25</v>
      </c>
      <c r="K62" s="28">
        <v>0.25</v>
      </c>
      <c r="L62" s="28">
        <v>0.25</v>
      </c>
      <c r="M62" s="28">
        <v>0.25</v>
      </c>
      <c r="N62" s="28">
        <v>0.25</v>
      </c>
      <c r="O62" s="28">
        <v>0.25</v>
      </c>
      <c r="P62" s="28">
        <v>0.25</v>
      </c>
      <c r="Q62" s="28">
        <v>0.25</v>
      </c>
      <c r="R62" s="28">
        <v>0.25</v>
      </c>
      <c r="S62" s="28">
        <v>0.25</v>
      </c>
      <c r="T62" s="28">
        <v>0.25</v>
      </c>
      <c r="U62" s="28">
        <v>0.25</v>
      </c>
      <c r="V62" s="28">
        <v>0.25</v>
      </c>
      <c r="W62" s="28">
        <v>0.25</v>
      </c>
    </row>
    <row r="63" ht="15.6" spans="1:23">
      <c r="A63" s="27" t="s">
        <v>98</v>
      </c>
      <c r="B63" t="s">
        <v>109</v>
      </c>
      <c r="C63" s="28">
        <v>0.05</v>
      </c>
      <c r="D63" s="28">
        <v>0.05</v>
      </c>
      <c r="E63" s="28">
        <v>0.05</v>
      </c>
      <c r="F63" s="28">
        <v>0.05</v>
      </c>
      <c r="G63" s="28">
        <v>0.05</v>
      </c>
      <c r="H63" s="28">
        <v>0.05</v>
      </c>
      <c r="I63" s="28">
        <v>0.05</v>
      </c>
      <c r="J63" s="28">
        <v>0.05</v>
      </c>
      <c r="K63" s="28">
        <v>0.05</v>
      </c>
      <c r="L63" s="28">
        <v>0.05</v>
      </c>
      <c r="M63" s="28">
        <v>0.05</v>
      </c>
      <c r="N63" s="28">
        <v>0.05</v>
      </c>
      <c r="O63" s="28">
        <v>0.05</v>
      </c>
      <c r="P63" s="28">
        <v>0.05</v>
      </c>
      <c r="Q63" s="28">
        <v>0.05</v>
      </c>
      <c r="R63" s="28">
        <v>0.05</v>
      </c>
      <c r="S63" s="28">
        <v>0.05</v>
      </c>
      <c r="T63" s="28">
        <v>0.05</v>
      </c>
      <c r="U63" s="28">
        <v>0.05</v>
      </c>
      <c r="V63" s="28">
        <v>0.05</v>
      </c>
      <c r="W63" s="28">
        <v>0.05</v>
      </c>
    </row>
    <row r="64" ht="15.6" spans="1:23">
      <c r="A64" s="27" t="s">
        <v>100</v>
      </c>
      <c r="B64" t="s">
        <v>60</v>
      </c>
      <c r="C64" s="28">
        <v>0.5</v>
      </c>
      <c r="D64" s="28">
        <v>0.5</v>
      </c>
      <c r="E64" s="28">
        <v>0.5</v>
      </c>
      <c r="F64" s="28">
        <v>0.5</v>
      </c>
      <c r="G64" s="28">
        <v>0.5</v>
      </c>
      <c r="H64" s="28">
        <v>0.5</v>
      </c>
      <c r="I64" s="28">
        <v>0.5</v>
      </c>
      <c r="J64" s="28">
        <v>0.5</v>
      </c>
      <c r="K64" s="28">
        <v>0.5</v>
      </c>
      <c r="L64" s="28">
        <v>0.5</v>
      </c>
      <c r="M64" s="28">
        <v>0.5</v>
      </c>
      <c r="N64" s="28">
        <v>0.5</v>
      </c>
      <c r="O64" s="28">
        <v>0.5</v>
      </c>
      <c r="P64" s="28">
        <v>0.5</v>
      </c>
      <c r="Q64" s="28">
        <v>0.5</v>
      </c>
      <c r="R64" s="28">
        <v>0.5</v>
      </c>
      <c r="S64" s="28">
        <v>0.5</v>
      </c>
      <c r="T64" s="28">
        <v>0.5</v>
      </c>
      <c r="U64" s="28">
        <v>0.5</v>
      </c>
      <c r="V64" s="28">
        <v>0.5</v>
      </c>
      <c r="W64" s="28">
        <v>0.5</v>
      </c>
    </row>
    <row r="65" ht="15.6" spans="1:23">
      <c r="A65" s="27" t="s">
        <v>106</v>
      </c>
      <c r="B65" t="s">
        <v>60</v>
      </c>
      <c r="C65" s="28">
        <f t="shared" ref="C65:W65" si="3">1.75/C$26</f>
        <v>0.795454545454545</v>
      </c>
      <c r="D65" s="28">
        <f t="shared" si="3"/>
        <v>0.795454545454545</v>
      </c>
      <c r="E65" s="28">
        <f t="shared" si="3"/>
        <v>0.795454545454545</v>
      </c>
      <c r="F65" s="28">
        <f t="shared" si="3"/>
        <v>0.795454545454545</v>
      </c>
      <c r="G65" s="28">
        <f t="shared" si="3"/>
        <v>0.795454545454545</v>
      </c>
      <c r="H65" s="28">
        <f t="shared" si="3"/>
        <v>0.795454545454545</v>
      </c>
      <c r="I65" s="28">
        <f t="shared" si="3"/>
        <v>0.795454545454545</v>
      </c>
      <c r="J65" s="28">
        <f t="shared" si="3"/>
        <v>0.795454545454545</v>
      </c>
      <c r="K65" s="28">
        <f t="shared" si="3"/>
        <v>0.795454545454545</v>
      </c>
      <c r="L65" s="28">
        <f t="shared" si="3"/>
        <v>0.795454545454545</v>
      </c>
      <c r="M65" s="28">
        <f t="shared" si="3"/>
        <v>0.795454545454545</v>
      </c>
      <c r="N65" s="28">
        <f t="shared" si="3"/>
        <v>0.795454545454545</v>
      </c>
      <c r="O65" s="28">
        <f t="shared" si="3"/>
        <v>0.795454545454545</v>
      </c>
      <c r="P65" s="28">
        <f t="shared" si="3"/>
        <v>0.795454545454545</v>
      </c>
      <c r="Q65" s="28">
        <f t="shared" si="3"/>
        <v>0.795454545454545</v>
      </c>
      <c r="R65" s="28">
        <f t="shared" si="3"/>
        <v>0.795454545454545</v>
      </c>
      <c r="S65" s="28">
        <f t="shared" si="3"/>
        <v>0.795454545454545</v>
      </c>
      <c r="T65" s="28">
        <f t="shared" si="3"/>
        <v>0.795454545454545</v>
      </c>
      <c r="U65" s="28">
        <f t="shared" si="3"/>
        <v>0.795454545454545</v>
      </c>
      <c r="V65" s="28">
        <f t="shared" si="3"/>
        <v>0.795454545454545</v>
      </c>
      <c r="W65" s="28">
        <f t="shared" si="3"/>
        <v>0.795454545454545</v>
      </c>
    </row>
    <row r="66" ht="15.6" spans="1:1">
      <c r="A66" s="5" t="s">
        <v>102</v>
      </c>
    </row>
    <row r="67" spans="1:23">
      <c r="A67" s="27" t="s">
        <v>96</v>
      </c>
      <c r="B67" t="s">
        <v>108</v>
      </c>
      <c r="C67" s="14"/>
      <c r="D67" s="14"/>
      <c r="E67" s="14"/>
      <c r="F67" s="14"/>
      <c r="G67" s="14"/>
      <c r="H67" s="14"/>
      <c r="I67" s="14"/>
      <c r="J67" s="14"/>
      <c r="K67" s="14"/>
      <c r="L67" s="14"/>
      <c r="M67" s="14"/>
      <c r="N67" s="14"/>
      <c r="O67" s="14"/>
      <c r="P67" s="14"/>
      <c r="Q67" s="14"/>
      <c r="R67" s="14"/>
      <c r="S67" s="14"/>
      <c r="T67" s="14"/>
      <c r="U67" s="14"/>
      <c r="V67" s="14"/>
      <c r="W67" s="14"/>
    </row>
    <row r="68" spans="1:23">
      <c r="A68" s="27" t="s">
        <v>98</v>
      </c>
      <c r="B68" t="s">
        <v>109</v>
      </c>
      <c r="C68" s="14"/>
      <c r="D68" s="14"/>
      <c r="E68" s="14"/>
      <c r="F68" s="14"/>
      <c r="G68" s="14"/>
      <c r="H68" s="14"/>
      <c r="I68" s="14"/>
      <c r="J68" s="14"/>
      <c r="K68" s="14"/>
      <c r="L68" s="14"/>
      <c r="M68" s="14"/>
      <c r="N68" s="14"/>
      <c r="O68" s="14"/>
      <c r="P68" s="14"/>
      <c r="Q68" s="14"/>
      <c r="R68" s="14"/>
      <c r="S68" s="14"/>
      <c r="T68" s="14"/>
      <c r="U68" s="14"/>
      <c r="V68" s="14"/>
      <c r="W68" s="14"/>
    </row>
    <row r="69" spans="1:23">
      <c r="A69" s="27" t="s">
        <v>100</v>
      </c>
      <c r="B69" t="s">
        <v>60</v>
      </c>
      <c r="C69" s="14"/>
      <c r="D69" s="14"/>
      <c r="E69" s="14"/>
      <c r="F69" s="14"/>
      <c r="G69" s="14"/>
      <c r="H69" s="14"/>
      <c r="I69" s="14"/>
      <c r="J69" s="14"/>
      <c r="K69" s="14"/>
      <c r="L69" s="14"/>
      <c r="M69" s="14"/>
      <c r="N69" s="14"/>
      <c r="O69" s="14"/>
      <c r="P69" s="14"/>
      <c r="Q69" s="14"/>
      <c r="R69" s="14"/>
      <c r="S69" s="14"/>
      <c r="T69" s="14"/>
      <c r="U69" s="14"/>
      <c r="V69" s="14"/>
      <c r="W69" s="14"/>
    </row>
    <row r="70" spans="1:23">
      <c r="A70" s="27" t="s">
        <v>106</v>
      </c>
      <c r="B70" t="s">
        <v>60</v>
      </c>
      <c r="C70" s="14"/>
      <c r="D70" s="14"/>
      <c r="E70" s="14"/>
      <c r="F70" s="14"/>
      <c r="G70" s="14"/>
      <c r="H70" s="14"/>
      <c r="I70" s="14"/>
      <c r="J70" s="14"/>
      <c r="K70" s="14"/>
      <c r="L70" s="14"/>
      <c r="M70" s="14"/>
      <c r="N70" s="14"/>
      <c r="O70" s="14"/>
      <c r="P70" s="14"/>
      <c r="Q70" s="14"/>
      <c r="R70" s="14"/>
      <c r="S70" s="14"/>
      <c r="T70" s="14"/>
      <c r="U70" s="14"/>
      <c r="V70" s="14"/>
      <c r="W70" s="14"/>
    </row>
    <row r="71" ht="15.6" spans="1:1">
      <c r="A71" s="5" t="s">
        <v>110</v>
      </c>
    </row>
    <row r="72" spans="1:23">
      <c r="A72" s="27" t="s">
        <v>96</v>
      </c>
      <c r="B72" t="s">
        <v>108</v>
      </c>
      <c r="C72" s="14"/>
      <c r="D72" s="14"/>
      <c r="E72" s="14"/>
      <c r="F72" s="14"/>
      <c r="G72" s="14"/>
      <c r="H72" s="14"/>
      <c r="I72" s="14"/>
      <c r="J72" s="14"/>
      <c r="K72" s="14"/>
      <c r="L72" s="14"/>
      <c r="M72" s="14"/>
      <c r="N72" s="14"/>
      <c r="O72" s="14"/>
      <c r="P72" s="14"/>
      <c r="Q72" s="14"/>
      <c r="R72" s="14"/>
      <c r="S72" s="14"/>
      <c r="T72" s="14"/>
      <c r="U72" s="14"/>
      <c r="V72" s="14"/>
      <c r="W72" s="14"/>
    </row>
    <row r="73" spans="1:23">
      <c r="A73" s="27" t="s">
        <v>98</v>
      </c>
      <c r="B73" t="s">
        <v>109</v>
      </c>
      <c r="C73" s="14"/>
      <c r="D73" s="14"/>
      <c r="E73" s="14"/>
      <c r="F73" s="14"/>
      <c r="G73" s="14"/>
      <c r="H73" s="14"/>
      <c r="I73" s="14"/>
      <c r="J73" s="14"/>
      <c r="K73" s="14"/>
      <c r="L73" s="14"/>
      <c r="M73" s="14"/>
      <c r="N73" s="14"/>
      <c r="O73" s="14"/>
      <c r="P73" s="14"/>
      <c r="Q73" s="14"/>
      <c r="R73" s="14"/>
      <c r="S73" s="14"/>
      <c r="T73" s="14"/>
      <c r="U73" s="14"/>
      <c r="V73" s="14"/>
      <c r="W73" s="14"/>
    </row>
    <row r="74" spans="1:23">
      <c r="A74" s="27" t="s">
        <v>100</v>
      </c>
      <c r="B74" t="s">
        <v>60</v>
      </c>
      <c r="C74" s="29"/>
      <c r="D74" s="29"/>
      <c r="E74" s="29"/>
      <c r="F74" s="29"/>
      <c r="G74" s="29"/>
      <c r="H74" s="29"/>
      <c r="I74" s="29"/>
      <c r="J74" s="29"/>
      <c r="K74" s="29"/>
      <c r="L74" s="29"/>
      <c r="M74" s="29"/>
      <c r="N74" s="29"/>
      <c r="O74" s="29"/>
      <c r="P74" s="29"/>
      <c r="Q74" s="29"/>
      <c r="R74" s="29"/>
      <c r="S74" s="29"/>
      <c r="T74" s="29"/>
      <c r="U74" s="29"/>
      <c r="V74" s="29"/>
      <c r="W74" s="29"/>
    </row>
    <row r="75" spans="1:23">
      <c r="A75" s="27" t="s">
        <v>106</v>
      </c>
      <c r="B75" t="s">
        <v>60</v>
      </c>
      <c r="C75" s="29"/>
      <c r="D75" s="29"/>
      <c r="E75" s="29"/>
      <c r="F75" s="29"/>
      <c r="G75" s="29"/>
      <c r="H75" s="29"/>
      <c r="I75" s="29"/>
      <c r="J75" s="29"/>
      <c r="K75" s="29"/>
      <c r="L75" s="29"/>
      <c r="M75" s="29"/>
      <c r="N75" s="29"/>
      <c r="O75" s="29"/>
      <c r="P75" s="29"/>
      <c r="Q75" s="29"/>
      <c r="R75" s="29"/>
      <c r="S75" s="29"/>
      <c r="T75" s="29"/>
      <c r="U75" s="29"/>
      <c r="V75" s="29"/>
      <c r="W75" s="29"/>
    </row>
    <row r="76" ht="15.6" spans="1:1">
      <c r="A76" s="5" t="s">
        <v>105</v>
      </c>
    </row>
    <row r="77" spans="1:23">
      <c r="A77" s="27" t="s">
        <v>96</v>
      </c>
      <c r="B77" t="s">
        <v>60</v>
      </c>
      <c r="C77" s="39"/>
      <c r="D77" s="39"/>
      <c r="E77" s="39"/>
      <c r="F77" s="39"/>
      <c r="G77" s="39"/>
      <c r="H77" s="39"/>
      <c r="I77" s="39"/>
      <c r="J77" s="39"/>
      <c r="K77" s="39"/>
      <c r="L77" s="39"/>
      <c r="M77" s="39"/>
      <c r="N77" s="39"/>
      <c r="O77" s="39"/>
      <c r="P77" s="39"/>
      <c r="Q77" s="39"/>
      <c r="R77" s="39"/>
      <c r="S77" s="39"/>
      <c r="T77" s="39"/>
      <c r="U77" s="39"/>
      <c r="V77" s="39"/>
      <c r="W77" s="39"/>
    </row>
    <row r="78" spans="1:23">
      <c r="A78" s="27" t="s">
        <v>98</v>
      </c>
      <c r="B78" t="s">
        <v>60</v>
      </c>
      <c r="C78" s="39"/>
      <c r="D78" s="39"/>
      <c r="E78" s="39"/>
      <c r="F78" s="39"/>
      <c r="G78" s="39"/>
      <c r="H78" s="39"/>
      <c r="I78" s="39"/>
      <c r="J78" s="39"/>
      <c r="K78" s="39"/>
      <c r="L78" s="39"/>
      <c r="M78" s="39"/>
      <c r="N78" s="39"/>
      <c r="O78" s="39"/>
      <c r="P78" s="39"/>
      <c r="Q78" s="39"/>
      <c r="R78" s="39"/>
      <c r="S78" s="39"/>
      <c r="T78" s="39"/>
      <c r="U78" s="39"/>
      <c r="V78" s="39"/>
      <c r="W78" s="39"/>
    </row>
    <row r="79" spans="1:23">
      <c r="A79" s="27" t="s">
        <v>100</v>
      </c>
      <c r="B79" t="s">
        <v>60</v>
      </c>
      <c r="C79" s="39"/>
      <c r="D79" s="39"/>
      <c r="E79" s="39"/>
      <c r="F79" s="39"/>
      <c r="G79" s="39"/>
      <c r="H79" s="39"/>
      <c r="I79" s="39"/>
      <c r="J79" s="39"/>
      <c r="K79" s="39"/>
      <c r="L79" s="39"/>
      <c r="M79" s="39"/>
      <c r="N79" s="39"/>
      <c r="O79" s="39"/>
      <c r="P79" s="39"/>
      <c r="Q79" s="39"/>
      <c r="R79" s="39"/>
      <c r="S79" s="39"/>
      <c r="T79" s="39"/>
      <c r="U79" s="39"/>
      <c r="V79" s="39"/>
      <c r="W79" s="39"/>
    </row>
    <row r="80" spans="1:23">
      <c r="A80" s="27" t="s">
        <v>106</v>
      </c>
      <c r="B80" t="s">
        <v>60</v>
      </c>
      <c r="C80" s="39"/>
      <c r="D80" s="39"/>
      <c r="E80" s="39"/>
      <c r="F80" s="39"/>
      <c r="G80" s="39"/>
      <c r="H80" s="39"/>
      <c r="I80" s="39"/>
      <c r="J80" s="39"/>
      <c r="K80" s="39"/>
      <c r="L80" s="39"/>
      <c r="M80" s="39"/>
      <c r="N80" s="39"/>
      <c r="O80" s="39"/>
      <c r="P80" s="39"/>
      <c r="Q80" s="39"/>
      <c r="R80" s="39"/>
      <c r="S80" s="39"/>
      <c r="T80" s="39"/>
      <c r="U80" s="39"/>
      <c r="V80" s="39"/>
      <c r="W80" s="39"/>
    </row>
    <row r="81" spans="1:23">
      <c r="A81" s="31" t="s">
        <v>107</v>
      </c>
      <c r="B81" s="32" t="s">
        <v>60</v>
      </c>
      <c r="C81" s="33"/>
      <c r="D81" s="33"/>
      <c r="E81" s="33"/>
      <c r="F81" s="33"/>
      <c r="G81" s="33"/>
      <c r="H81" s="33"/>
      <c r="I81" s="33"/>
      <c r="J81" s="33"/>
      <c r="K81" s="33"/>
      <c r="L81" s="33"/>
      <c r="M81" s="33"/>
      <c r="N81" s="33"/>
      <c r="O81" s="33"/>
      <c r="P81" s="33"/>
      <c r="Q81" s="33"/>
      <c r="R81" s="33"/>
      <c r="S81" s="33"/>
      <c r="T81" s="33"/>
      <c r="U81" s="33"/>
      <c r="V81" s="33"/>
      <c r="W81" s="33"/>
    </row>
    <row r="82" ht="15.6" spans="1:23">
      <c r="A82" s="25" t="s">
        <v>94</v>
      </c>
      <c r="C82" s="12"/>
      <c r="D82" s="12"/>
      <c r="E82" s="12"/>
      <c r="F82" s="12"/>
      <c r="G82" s="12"/>
      <c r="H82" s="12"/>
      <c r="I82" s="12"/>
      <c r="J82" s="12"/>
      <c r="K82" s="12"/>
      <c r="L82" s="12"/>
      <c r="M82" s="12"/>
      <c r="N82" s="12"/>
      <c r="O82" s="12"/>
      <c r="P82" s="12"/>
      <c r="Q82" s="12"/>
      <c r="R82" s="12"/>
      <c r="S82" s="12"/>
      <c r="T82" s="12"/>
      <c r="U82" s="12"/>
      <c r="V82" s="12"/>
      <c r="W82" s="12"/>
    </row>
    <row r="83" ht="15.6" spans="1:23">
      <c r="A83" s="25" t="s">
        <v>111</v>
      </c>
      <c r="B83" t="s">
        <v>112</v>
      </c>
      <c r="C83" s="40">
        <v>200</v>
      </c>
      <c r="D83" s="40">
        <v>200</v>
      </c>
      <c r="E83" s="40">
        <v>200</v>
      </c>
      <c r="F83" s="40">
        <v>150</v>
      </c>
      <c r="G83" s="40">
        <v>150</v>
      </c>
      <c r="H83" s="40">
        <v>100</v>
      </c>
      <c r="I83" s="40">
        <v>100</v>
      </c>
      <c r="J83" s="40">
        <v>200</v>
      </c>
      <c r="K83" s="40">
        <v>100</v>
      </c>
      <c r="L83" s="40">
        <v>100</v>
      </c>
      <c r="M83" s="40">
        <v>100</v>
      </c>
      <c r="N83" s="40">
        <v>100</v>
      </c>
      <c r="O83" s="40">
        <v>100</v>
      </c>
      <c r="P83" s="40">
        <v>100</v>
      </c>
      <c r="Q83" s="40">
        <v>100</v>
      </c>
      <c r="R83" s="40">
        <v>100</v>
      </c>
      <c r="S83" s="40">
        <v>200</v>
      </c>
      <c r="T83" s="40">
        <v>100</v>
      </c>
      <c r="U83" s="40">
        <v>100</v>
      </c>
      <c r="V83" s="40">
        <v>100</v>
      </c>
      <c r="W83" s="40">
        <v>100</v>
      </c>
    </row>
    <row r="84" ht="15.6" spans="1:1">
      <c r="A84" s="5" t="s">
        <v>95</v>
      </c>
    </row>
    <row r="85" ht="15.6" spans="1:23">
      <c r="A85" s="27" t="s">
        <v>96</v>
      </c>
      <c r="B85" t="s">
        <v>108</v>
      </c>
      <c r="C85" s="28">
        <f t="shared" ref="C85:W85" si="4">15/200</f>
        <v>0.075</v>
      </c>
      <c r="D85" s="28">
        <f t="shared" si="4"/>
        <v>0.075</v>
      </c>
      <c r="E85" s="28">
        <f t="shared" si="4"/>
        <v>0.075</v>
      </c>
      <c r="F85" s="28">
        <f t="shared" si="4"/>
        <v>0.075</v>
      </c>
      <c r="G85" s="28">
        <f t="shared" si="4"/>
        <v>0.075</v>
      </c>
      <c r="H85" s="28">
        <f t="shared" si="4"/>
        <v>0.075</v>
      </c>
      <c r="I85" s="28">
        <f t="shared" si="4"/>
        <v>0.075</v>
      </c>
      <c r="J85" s="28">
        <f t="shared" si="4"/>
        <v>0.075</v>
      </c>
      <c r="K85" s="28">
        <f t="shared" si="4"/>
        <v>0.075</v>
      </c>
      <c r="L85" s="28">
        <f t="shared" si="4"/>
        <v>0.075</v>
      </c>
      <c r="M85" s="28">
        <f t="shared" si="4"/>
        <v>0.075</v>
      </c>
      <c r="N85" s="28">
        <f t="shared" si="4"/>
        <v>0.075</v>
      </c>
      <c r="O85" s="28">
        <f t="shared" si="4"/>
        <v>0.075</v>
      </c>
      <c r="P85" s="28">
        <f t="shared" si="4"/>
        <v>0.075</v>
      </c>
      <c r="Q85" s="28">
        <f t="shared" si="4"/>
        <v>0.075</v>
      </c>
      <c r="R85" s="28">
        <f t="shared" si="4"/>
        <v>0.075</v>
      </c>
      <c r="S85" s="28">
        <f t="shared" si="4"/>
        <v>0.075</v>
      </c>
      <c r="T85" s="28">
        <f t="shared" si="4"/>
        <v>0.075</v>
      </c>
      <c r="U85" s="28">
        <f t="shared" si="4"/>
        <v>0.075</v>
      </c>
      <c r="V85" s="28">
        <f t="shared" si="4"/>
        <v>0.075</v>
      </c>
      <c r="W85" s="28">
        <f t="shared" si="4"/>
        <v>0.075</v>
      </c>
    </row>
    <row r="86" ht="15.6" spans="1:23">
      <c r="A86" s="27" t="s">
        <v>98</v>
      </c>
      <c r="B86" t="s">
        <v>109</v>
      </c>
      <c r="C86" s="28">
        <f t="shared" ref="C86:W86" si="5">1.5/200</f>
        <v>0.0075</v>
      </c>
      <c r="D86" s="28">
        <f t="shared" si="5"/>
        <v>0.0075</v>
      </c>
      <c r="E86" s="28">
        <f t="shared" si="5"/>
        <v>0.0075</v>
      </c>
      <c r="F86" s="28">
        <f t="shared" si="5"/>
        <v>0.0075</v>
      </c>
      <c r="G86" s="28">
        <f t="shared" si="5"/>
        <v>0.0075</v>
      </c>
      <c r="H86" s="28">
        <f t="shared" si="5"/>
        <v>0.0075</v>
      </c>
      <c r="I86" s="28">
        <f t="shared" si="5"/>
        <v>0.0075</v>
      </c>
      <c r="J86" s="28">
        <f t="shared" si="5"/>
        <v>0.0075</v>
      </c>
      <c r="K86" s="28">
        <f t="shared" si="5"/>
        <v>0.0075</v>
      </c>
      <c r="L86" s="28">
        <f t="shared" si="5"/>
        <v>0.0075</v>
      </c>
      <c r="M86" s="28">
        <f t="shared" si="5"/>
        <v>0.0075</v>
      </c>
      <c r="N86" s="28">
        <f t="shared" si="5"/>
        <v>0.0075</v>
      </c>
      <c r="O86" s="28">
        <f t="shared" si="5"/>
        <v>0.0075</v>
      </c>
      <c r="P86" s="28">
        <f t="shared" si="5"/>
        <v>0.0075</v>
      </c>
      <c r="Q86" s="28">
        <f t="shared" si="5"/>
        <v>0.0075</v>
      </c>
      <c r="R86" s="28">
        <f t="shared" si="5"/>
        <v>0.0075</v>
      </c>
      <c r="S86" s="28">
        <f t="shared" si="5"/>
        <v>0.0075</v>
      </c>
      <c r="T86" s="28">
        <f t="shared" si="5"/>
        <v>0.0075</v>
      </c>
      <c r="U86" s="28">
        <f t="shared" si="5"/>
        <v>0.0075</v>
      </c>
      <c r="V86" s="28">
        <f t="shared" si="5"/>
        <v>0.0075</v>
      </c>
      <c r="W86" s="28">
        <f t="shared" si="5"/>
        <v>0.0075</v>
      </c>
    </row>
    <row r="87" ht="15.6" spans="1:23">
      <c r="A87" s="27" t="s">
        <v>100</v>
      </c>
      <c r="B87" t="s">
        <v>60</v>
      </c>
      <c r="C87" s="28">
        <f t="shared" ref="C87:W87" si="6">50/200</f>
        <v>0.25</v>
      </c>
      <c r="D87" s="28">
        <f t="shared" si="6"/>
        <v>0.25</v>
      </c>
      <c r="E87" s="28">
        <f t="shared" si="6"/>
        <v>0.25</v>
      </c>
      <c r="F87" s="28">
        <f t="shared" si="6"/>
        <v>0.25</v>
      </c>
      <c r="G87" s="28">
        <f t="shared" si="6"/>
        <v>0.25</v>
      </c>
      <c r="H87" s="28">
        <f t="shared" si="6"/>
        <v>0.25</v>
      </c>
      <c r="I87" s="28">
        <f t="shared" si="6"/>
        <v>0.25</v>
      </c>
      <c r="J87" s="28">
        <f t="shared" si="6"/>
        <v>0.25</v>
      </c>
      <c r="K87" s="28">
        <f t="shared" si="6"/>
        <v>0.25</v>
      </c>
      <c r="L87" s="28">
        <f t="shared" si="6"/>
        <v>0.25</v>
      </c>
      <c r="M87" s="28">
        <f t="shared" si="6"/>
        <v>0.25</v>
      </c>
      <c r="N87" s="28">
        <f t="shared" si="6"/>
        <v>0.25</v>
      </c>
      <c r="O87" s="28">
        <f t="shared" si="6"/>
        <v>0.25</v>
      </c>
      <c r="P87" s="28">
        <f t="shared" si="6"/>
        <v>0.25</v>
      </c>
      <c r="Q87" s="28">
        <f t="shared" si="6"/>
        <v>0.25</v>
      </c>
      <c r="R87" s="28">
        <f t="shared" si="6"/>
        <v>0.25</v>
      </c>
      <c r="S87" s="28">
        <f t="shared" si="6"/>
        <v>0.25</v>
      </c>
      <c r="T87" s="28">
        <f t="shared" si="6"/>
        <v>0.25</v>
      </c>
      <c r="U87" s="28">
        <f t="shared" si="6"/>
        <v>0.25</v>
      </c>
      <c r="V87" s="28">
        <f t="shared" si="6"/>
        <v>0.25</v>
      </c>
      <c r="W87" s="28">
        <f t="shared" si="6"/>
        <v>0.25</v>
      </c>
    </row>
    <row r="88" ht="15.6" spans="1:1">
      <c r="A88" s="5" t="s">
        <v>102</v>
      </c>
    </row>
    <row r="89" spans="1:23">
      <c r="A89" s="27" t="s">
        <v>96</v>
      </c>
      <c r="B89" t="s">
        <v>108</v>
      </c>
      <c r="C89" s="14"/>
      <c r="D89" s="14"/>
      <c r="E89" s="14"/>
      <c r="F89" s="14"/>
      <c r="G89" s="14"/>
      <c r="H89" s="14"/>
      <c r="I89" s="14"/>
      <c r="J89" s="14"/>
      <c r="K89" s="14"/>
      <c r="L89" s="14"/>
      <c r="M89" s="14"/>
      <c r="N89" s="14"/>
      <c r="O89" s="14"/>
      <c r="P89" s="14"/>
      <c r="Q89" s="14"/>
      <c r="R89" s="14"/>
      <c r="S89" s="14"/>
      <c r="T89" s="14"/>
      <c r="U89" s="14"/>
      <c r="V89" s="14"/>
      <c r="W89" s="14"/>
    </row>
    <row r="90" spans="1:23">
      <c r="A90" s="27" t="s">
        <v>98</v>
      </c>
      <c r="B90" t="s">
        <v>109</v>
      </c>
      <c r="C90" s="14"/>
      <c r="D90" s="14"/>
      <c r="E90" s="14"/>
      <c r="F90" s="14"/>
      <c r="G90" s="14"/>
      <c r="H90" s="14"/>
      <c r="I90" s="14"/>
      <c r="J90" s="14"/>
      <c r="K90" s="14"/>
      <c r="L90" s="14"/>
      <c r="M90" s="14"/>
      <c r="N90" s="14"/>
      <c r="O90" s="14"/>
      <c r="P90" s="14"/>
      <c r="Q90" s="14"/>
      <c r="R90" s="14"/>
      <c r="S90" s="14"/>
      <c r="T90" s="14"/>
      <c r="U90" s="14"/>
      <c r="V90" s="14"/>
      <c r="W90" s="14"/>
    </row>
    <row r="91" spans="1:23">
      <c r="A91" s="27" t="s">
        <v>100</v>
      </c>
      <c r="B91" t="s">
        <v>60</v>
      </c>
      <c r="C91" s="14"/>
      <c r="D91" s="14"/>
      <c r="E91" s="14"/>
      <c r="F91" s="14"/>
      <c r="G91" s="14"/>
      <c r="H91" s="14"/>
      <c r="I91" s="14"/>
      <c r="J91" s="14"/>
      <c r="K91" s="14"/>
      <c r="L91" s="14"/>
      <c r="M91" s="14"/>
      <c r="N91" s="14"/>
      <c r="O91" s="14"/>
      <c r="P91" s="14"/>
      <c r="Q91" s="14"/>
      <c r="R91" s="14"/>
      <c r="S91" s="14"/>
      <c r="T91" s="14"/>
      <c r="U91" s="14"/>
      <c r="V91" s="14"/>
      <c r="W91" s="14"/>
    </row>
    <row r="92" ht="15.6" spans="1:1">
      <c r="A92" s="5" t="s">
        <v>110</v>
      </c>
    </row>
    <row r="93" spans="1:23">
      <c r="A93" s="27" t="s">
        <v>96</v>
      </c>
      <c r="B93" t="s">
        <v>60</v>
      </c>
      <c r="C93" s="14"/>
      <c r="D93" s="14"/>
      <c r="E93" s="14"/>
      <c r="F93" s="14"/>
      <c r="G93" s="14"/>
      <c r="H93" s="14"/>
      <c r="I93" s="14"/>
      <c r="J93" s="14"/>
      <c r="K93" s="14"/>
      <c r="L93" s="14"/>
      <c r="M93" s="14"/>
      <c r="N93" s="14"/>
      <c r="O93" s="14"/>
      <c r="P93" s="14"/>
      <c r="Q93" s="14"/>
      <c r="R93" s="14"/>
      <c r="S93" s="14"/>
      <c r="T93" s="14"/>
      <c r="U93" s="14"/>
      <c r="V93" s="14"/>
      <c r="W93" s="14"/>
    </row>
    <row r="94" spans="1:23">
      <c r="A94" s="27" t="s">
        <v>98</v>
      </c>
      <c r="B94" t="s">
        <v>60</v>
      </c>
      <c r="C94" s="14"/>
      <c r="D94" s="14"/>
      <c r="E94" s="14"/>
      <c r="F94" s="14"/>
      <c r="G94" s="14"/>
      <c r="H94" s="14"/>
      <c r="I94" s="14"/>
      <c r="J94" s="14"/>
      <c r="K94" s="14"/>
      <c r="L94" s="14"/>
      <c r="M94" s="14"/>
      <c r="N94" s="14"/>
      <c r="O94" s="14"/>
      <c r="P94" s="14"/>
      <c r="Q94" s="14"/>
      <c r="R94" s="14"/>
      <c r="S94" s="14"/>
      <c r="T94" s="14"/>
      <c r="U94" s="14"/>
      <c r="V94" s="14"/>
      <c r="W94" s="14"/>
    </row>
    <row r="95" spans="1:23">
      <c r="A95" s="27" t="s">
        <v>100</v>
      </c>
      <c r="B95" t="s">
        <v>60</v>
      </c>
      <c r="C95" s="39"/>
      <c r="D95" s="39"/>
      <c r="E95" s="39"/>
      <c r="F95" s="39"/>
      <c r="G95" s="39"/>
      <c r="H95" s="39"/>
      <c r="I95" s="39"/>
      <c r="J95" s="39"/>
      <c r="K95" s="39"/>
      <c r="L95" s="39"/>
      <c r="M95" s="39"/>
      <c r="N95" s="39"/>
      <c r="O95" s="39"/>
      <c r="P95" s="39"/>
      <c r="Q95" s="39"/>
      <c r="R95" s="39"/>
      <c r="S95" s="39"/>
      <c r="T95" s="39"/>
      <c r="U95" s="39"/>
      <c r="V95" s="39"/>
      <c r="W95" s="39"/>
    </row>
    <row r="96" ht="15.6" spans="1:1">
      <c r="A96" s="5" t="s">
        <v>105</v>
      </c>
    </row>
    <row r="97" spans="1:23">
      <c r="A97" s="27" t="s">
        <v>96</v>
      </c>
      <c r="B97" t="s">
        <v>60</v>
      </c>
      <c r="C97" s="14"/>
      <c r="D97" s="14"/>
      <c r="E97" s="14"/>
      <c r="F97" s="14"/>
      <c r="G97" s="14"/>
      <c r="H97" s="14"/>
      <c r="I97" s="14"/>
      <c r="J97" s="14"/>
      <c r="K97" s="14"/>
      <c r="L97" s="14"/>
      <c r="M97" s="14"/>
      <c r="N97" s="14"/>
      <c r="O97" s="14"/>
      <c r="P97" s="14"/>
      <c r="Q97" s="14"/>
      <c r="R97" s="14"/>
      <c r="S97" s="14"/>
      <c r="T97" s="14"/>
      <c r="U97" s="14"/>
      <c r="V97" s="14"/>
      <c r="W97" s="14"/>
    </row>
    <row r="98" spans="1:23">
      <c r="A98" s="27" t="s">
        <v>98</v>
      </c>
      <c r="B98" t="s">
        <v>60</v>
      </c>
      <c r="C98" s="14"/>
      <c r="D98" s="14"/>
      <c r="E98" s="14"/>
      <c r="F98" s="14"/>
      <c r="G98" s="14"/>
      <c r="H98" s="14"/>
      <c r="I98" s="14"/>
      <c r="J98" s="14"/>
      <c r="K98" s="14"/>
      <c r="L98" s="14"/>
      <c r="M98" s="14"/>
      <c r="N98" s="14"/>
      <c r="O98" s="14"/>
      <c r="P98" s="14"/>
      <c r="Q98" s="14"/>
      <c r="R98" s="14"/>
      <c r="S98" s="14"/>
      <c r="T98" s="14"/>
      <c r="U98" s="14"/>
      <c r="V98" s="14"/>
      <c r="W98" s="14"/>
    </row>
    <row r="99" spans="1:23">
      <c r="A99" s="27" t="s">
        <v>100</v>
      </c>
      <c r="B99" t="s">
        <v>60</v>
      </c>
      <c r="C99" s="14"/>
      <c r="D99" s="14"/>
      <c r="E99" s="14"/>
      <c r="F99" s="14"/>
      <c r="G99" s="14"/>
      <c r="H99" s="14"/>
      <c r="I99" s="14"/>
      <c r="J99" s="14"/>
      <c r="K99" s="14"/>
      <c r="L99" s="14"/>
      <c r="M99" s="14"/>
      <c r="N99" s="14"/>
      <c r="O99" s="14"/>
      <c r="P99" s="14"/>
      <c r="Q99" s="14"/>
      <c r="R99" s="14"/>
      <c r="S99" s="14"/>
      <c r="T99" s="14"/>
      <c r="U99" s="14"/>
      <c r="V99" s="14"/>
      <c r="W99" s="14"/>
    </row>
    <row r="100" spans="1:23">
      <c r="A100" s="31" t="s">
        <v>107</v>
      </c>
      <c r="B100" s="32" t="s">
        <v>60</v>
      </c>
      <c r="C100" s="33"/>
      <c r="D100" s="33"/>
      <c r="E100" s="33"/>
      <c r="F100" s="33"/>
      <c r="G100" s="33"/>
      <c r="H100" s="33"/>
      <c r="I100" s="33"/>
      <c r="J100" s="33"/>
      <c r="K100" s="33"/>
      <c r="L100" s="33"/>
      <c r="M100" s="33"/>
      <c r="N100" s="33"/>
      <c r="O100" s="33"/>
      <c r="P100" s="33"/>
      <c r="Q100" s="33"/>
      <c r="R100" s="33"/>
      <c r="S100" s="33"/>
      <c r="T100" s="33"/>
      <c r="U100" s="33"/>
      <c r="V100" s="33"/>
      <c r="W100" s="33"/>
    </row>
    <row r="101" ht="15.6" spans="1:23">
      <c r="A101" s="25" t="s">
        <v>94</v>
      </c>
      <c r="C101" s="12"/>
      <c r="D101" s="12"/>
      <c r="E101" s="12"/>
      <c r="F101" s="12"/>
      <c r="G101" s="12"/>
      <c r="H101" s="12"/>
      <c r="I101" s="12"/>
      <c r="J101" s="12"/>
      <c r="K101" s="12"/>
      <c r="L101" s="12"/>
      <c r="M101" s="12"/>
      <c r="N101" s="12"/>
      <c r="O101" s="12"/>
      <c r="P101" s="12"/>
      <c r="Q101" s="12"/>
      <c r="R101" s="12"/>
      <c r="S101" s="12"/>
      <c r="T101" s="12"/>
      <c r="U101" s="12"/>
      <c r="V101" s="12"/>
      <c r="W101" s="12"/>
    </row>
    <row r="102" ht="15.6" spans="1:23">
      <c r="A102" s="25" t="s">
        <v>113</v>
      </c>
      <c r="B102" t="s">
        <v>114</v>
      </c>
      <c r="C102" s="40">
        <v>85</v>
      </c>
      <c r="D102" s="40">
        <v>100</v>
      </c>
      <c r="E102" s="40">
        <v>100</v>
      </c>
      <c r="F102" s="40">
        <v>60</v>
      </c>
      <c r="G102" s="40">
        <v>60</v>
      </c>
      <c r="H102" s="40">
        <v>35</v>
      </c>
      <c r="I102" s="40">
        <v>35</v>
      </c>
      <c r="J102" s="40">
        <v>60</v>
      </c>
      <c r="K102" s="40">
        <v>35</v>
      </c>
      <c r="L102" s="40">
        <v>35</v>
      </c>
      <c r="M102" s="40">
        <v>35</v>
      </c>
      <c r="N102" s="40">
        <v>35</v>
      </c>
      <c r="O102" s="40">
        <v>35</v>
      </c>
      <c r="P102" s="40">
        <v>35</v>
      </c>
      <c r="Q102" s="40">
        <v>35</v>
      </c>
      <c r="R102" s="40">
        <v>35</v>
      </c>
      <c r="S102" s="40">
        <v>100</v>
      </c>
      <c r="T102" s="40">
        <v>35</v>
      </c>
      <c r="U102" s="40">
        <v>35</v>
      </c>
      <c r="V102" s="40">
        <v>35</v>
      </c>
      <c r="W102" s="40">
        <v>35</v>
      </c>
    </row>
    <row r="103" ht="15.6" spans="1:23">
      <c r="A103" s="25" t="s">
        <v>115</v>
      </c>
      <c r="B103" t="s">
        <v>116</v>
      </c>
      <c r="C103" s="41">
        <v>1</v>
      </c>
      <c r="D103" s="41">
        <v>1</v>
      </c>
      <c r="E103" s="41">
        <v>1</v>
      </c>
      <c r="F103" s="41">
        <v>1</v>
      </c>
      <c r="G103" s="41">
        <v>1</v>
      </c>
      <c r="H103" s="41">
        <v>1</v>
      </c>
      <c r="I103" s="41">
        <v>1</v>
      </c>
      <c r="J103" s="41">
        <v>1</v>
      </c>
      <c r="K103" s="41">
        <v>1</v>
      </c>
      <c r="L103" s="41">
        <v>1</v>
      </c>
      <c r="M103" s="41">
        <v>1</v>
      </c>
      <c r="N103" s="41">
        <v>1</v>
      </c>
      <c r="O103" s="41">
        <v>1</v>
      </c>
      <c r="P103" s="41">
        <v>1</v>
      </c>
      <c r="Q103" s="41">
        <v>1</v>
      </c>
      <c r="R103" s="41">
        <v>1</v>
      </c>
      <c r="S103" s="41">
        <v>1</v>
      </c>
      <c r="T103" s="41">
        <v>1</v>
      </c>
      <c r="U103" s="41">
        <v>1</v>
      </c>
      <c r="V103" s="41">
        <v>1</v>
      </c>
      <c r="W103" s="41">
        <v>1</v>
      </c>
    </row>
    <row r="104" ht="15.6" spans="1:1">
      <c r="A104" s="5" t="s">
        <v>95</v>
      </c>
    </row>
    <row r="105" ht="15.6" spans="1:23">
      <c r="A105" s="27" t="s">
        <v>117</v>
      </c>
      <c r="B105" t="s">
        <v>118</v>
      </c>
      <c r="C105" s="42">
        <v>45</v>
      </c>
      <c r="D105" s="42">
        <v>45</v>
      </c>
      <c r="E105" s="42">
        <v>45</v>
      </c>
      <c r="F105" s="42">
        <v>45</v>
      </c>
      <c r="G105" s="42">
        <v>45</v>
      </c>
      <c r="H105" s="42">
        <v>45</v>
      </c>
      <c r="I105" s="42">
        <v>45</v>
      </c>
      <c r="J105" s="42">
        <v>45</v>
      </c>
      <c r="K105" s="42">
        <v>45</v>
      </c>
      <c r="L105" s="42">
        <v>45</v>
      </c>
      <c r="M105" s="42">
        <v>45</v>
      </c>
      <c r="N105" s="42">
        <v>45</v>
      </c>
      <c r="O105" s="42">
        <v>45</v>
      </c>
      <c r="P105" s="42">
        <v>45</v>
      </c>
      <c r="Q105" s="42">
        <v>45</v>
      </c>
      <c r="R105" s="42">
        <v>45</v>
      </c>
      <c r="S105" s="42">
        <v>45</v>
      </c>
      <c r="T105" s="42">
        <v>45</v>
      </c>
      <c r="U105" s="42">
        <v>45</v>
      </c>
      <c r="V105" s="42">
        <v>45</v>
      </c>
      <c r="W105" s="42">
        <v>45</v>
      </c>
    </row>
    <row r="106" ht="15.6" spans="1:23">
      <c r="A106" s="27" t="s">
        <v>96</v>
      </c>
      <c r="B106" t="s">
        <v>119</v>
      </c>
      <c r="C106" s="43">
        <v>0.01</v>
      </c>
      <c r="D106" s="43">
        <v>0.01</v>
      </c>
      <c r="E106" s="43">
        <v>0.01</v>
      </c>
      <c r="F106" s="43">
        <v>0.01</v>
      </c>
      <c r="G106" s="43">
        <v>0.01</v>
      </c>
      <c r="H106" s="43">
        <v>0.01</v>
      </c>
      <c r="I106" s="43">
        <v>0.01</v>
      </c>
      <c r="J106" s="43">
        <v>0.01</v>
      </c>
      <c r="K106" s="43">
        <v>0.01</v>
      </c>
      <c r="L106" s="43">
        <v>0.01</v>
      </c>
      <c r="M106" s="43">
        <v>0.01</v>
      </c>
      <c r="N106" s="43">
        <v>0.01</v>
      </c>
      <c r="O106" s="43">
        <v>0.01</v>
      </c>
      <c r="P106" s="43">
        <v>0.01</v>
      </c>
      <c r="Q106" s="43">
        <v>0.01</v>
      </c>
      <c r="R106" s="43">
        <v>0.01</v>
      </c>
      <c r="S106" s="43">
        <v>0.01</v>
      </c>
      <c r="T106" s="43">
        <v>0.01</v>
      </c>
      <c r="U106" s="43">
        <v>0.01</v>
      </c>
      <c r="V106" s="43">
        <v>0.01</v>
      </c>
      <c r="W106" s="43">
        <v>0.01</v>
      </c>
    </row>
    <row r="107" ht="15.6" spans="1:23">
      <c r="A107" s="27" t="s">
        <v>98</v>
      </c>
      <c r="B107" t="s">
        <v>120</v>
      </c>
      <c r="C107" s="43">
        <f t="shared" ref="C107:W107" si="7">1.5*2.7556/2</f>
        <v>2.0667</v>
      </c>
      <c r="D107" s="43">
        <f t="shared" si="7"/>
        <v>2.0667</v>
      </c>
      <c r="E107" s="43">
        <f t="shared" si="7"/>
        <v>2.0667</v>
      </c>
      <c r="F107" s="43">
        <f t="shared" si="7"/>
        <v>2.0667</v>
      </c>
      <c r="G107" s="43">
        <f t="shared" si="7"/>
        <v>2.0667</v>
      </c>
      <c r="H107" s="43">
        <f t="shared" si="7"/>
        <v>2.0667</v>
      </c>
      <c r="I107" s="43">
        <f t="shared" si="7"/>
        <v>2.0667</v>
      </c>
      <c r="J107" s="43">
        <f t="shared" si="7"/>
        <v>2.0667</v>
      </c>
      <c r="K107" s="43">
        <f t="shared" si="7"/>
        <v>2.0667</v>
      </c>
      <c r="L107" s="43">
        <f t="shared" si="7"/>
        <v>2.0667</v>
      </c>
      <c r="M107" s="43">
        <f t="shared" si="7"/>
        <v>2.0667</v>
      </c>
      <c r="N107" s="43">
        <f t="shared" si="7"/>
        <v>2.0667</v>
      </c>
      <c r="O107" s="43">
        <f t="shared" si="7"/>
        <v>2.0667</v>
      </c>
      <c r="P107" s="43">
        <f t="shared" si="7"/>
        <v>2.0667</v>
      </c>
      <c r="Q107" s="43">
        <f t="shared" si="7"/>
        <v>2.0667</v>
      </c>
      <c r="R107" s="43">
        <f t="shared" si="7"/>
        <v>2.0667</v>
      </c>
      <c r="S107" s="43">
        <f t="shared" si="7"/>
        <v>2.0667</v>
      </c>
      <c r="T107" s="43">
        <f t="shared" si="7"/>
        <v>2.0667</v>
      </c>
      <c r="U107" s="43">
        <f t="shared" si="7"/>
        <v>2.0667</v>
      </c>
      <c r="V107" s="43">
        <f t="shared" si="7"/>
        <v>2.0667</v>
      </c>
      <c r="W107" s="43">
        <f t="shared" si="7"/>
        <v>2.0667</v>
      </c>
    </row>
    <row r="108" ht="15.6" spans="1:23">
      <c r="A108" s="27" t="s">
        <v>100</v>
      </c>
      <c r="B108" t="s">
        <v>121</v>
      </c>
      <c r="C108" s="28">
        <v>0.5</v>
      </c>
      <c r="D108" s="28">
        <v>0.5</v>
      </c>
      <c r="E108" s="28">
        <v>0.5</v>
      </c>
      <c r="F108" s="28">
        <v>0.5</v>
      </c>
      <c r="G108" s="28">
        <v>0.5</v>
      </c>
      <c r="H108" s="28">
        <v>0.5</v>
      </c>
      <c r="I108" s="28">
        <v>0.5</v>
      </c>
      <c r="J108" s="28">
        <v>0.5</v>
      </c>
      <c r="K108" s="28">
        <v>0.5</v>
      </c>
      <c r="L108" s="28">
        <v>0.5</v>
      </c>
      <c r="M108" s="28">
        <v>0.5</v>
      </c>
      <c r="N108" s="28">
        <v>0.5</v>
      </c>
      <c r="O108" s="28">
        <v>0.5</v>
      </c>
      <c r="P108" s="28">
        <v>0.5</v>
      </c>
      <c r="Q108" s="28">
        <v>0.5</v>
      </c>
      <c r="R108" s="28">
        <v>0.5</v>
      </c>
      <c r="S108" s="28">
        <v>0.5</v>
      </c>
      <c r="T108" s="28">
        <v>0.5</v>
      </c>
      <c r="U108" s="28">
        <v>0.5</v>
      </c>
      <c r="V108" s="28">
        <v>0.5</v>
      </c>
      <c r="W108" s="28">
        <v>0.5</v>
      </c>
    </row>
    <row r="109" ht="15.6" spans="1:23">
      <c r="A109" s="27" t="s">
        <v>122</v>
      </c>
      <c r="B109" t="s">
        <v>45</v>
      </c>
      <c r="C109" s="44"/>
      <c r="D109" s="44"/>
      <c r="E109" s="44"/>
      <c r="F109" s="44"/>
      <c r="G109" s="44"/>
      <c r="H109" s="44"/>
      <c r="I109" s="44"/>
      <c r="J109" s="44"/>
      <c r="K109" s="44"/>
      <c r="L109" s="44"/>
      <c r="M109" s="44"/>
      <c r="N109" s="44"/>
      <c r="O109" s="44"/>
      <c r="P109" s="44"/>
      <c r="Q109" s="44"/>
      <c r="R109" s="44"/>
      <c r="S109" s="44"/>
      <c r="T109" s="44"/>
      <c r="U109" s="44"/>
      <c r="V109" s="44"/>
      <c r="W109" s="44"/>
    </row>
    <row r="110" ht="15.6" spans="1:23">
      <c r="A110" s="27" t="s">
        <v>123</v>
      </c>
      <c r="B110" s="9" t="s">
        <v>51</v>
      </c>
      <c r="C110" s="44"/>
      <c r="D110" s="44"/>
      <c r="E110" s="44"/>
      <c r="F110" s="44"/>
      <c r="G110" s="44"/>
      <c r="H110" s="44"/>
      <c r="I110" s="44"/>
      <c r="J110" s="44"/>
      <c r="K110" s="44"/>
      <c r="L110" s="44"/>
      <c r="M110" s="44"/>
      <c r="N110" s="44"/>
      <c r="O110" s="44"/>
      <c r="P110" s="44"/>
      <c r="Q110" s="44"/>
      <c r="R110" s="44"/>
      <c r="S110" s="44"/>
      <c r="T110" s="44"/>
      <c r="U110" s="44"/>
      <c r="V110" s="44"/>
      <c r="W110" s="44"/>
    </row>
    <row r="111" ht="15.6" spans="1:23">
      <c r="A111" s="27" t="s">
        <v>124</v>
      </c>
      <c r="B111" s="9" t="s">
        <v>51</v>
      </c>
      <c r="C111" s="44"/>
      <c r="D111" s="44"/>
      <c r="E111" s="44"/>
      <c r="F111" s="44"/>
      <c r="G111" s="44"/>
      <c r="H111" s="44"/>
      <c r="I111" s="44"/>
      <c r="J111" s="44"/>
      <c r="K111" s="44"/>
      <c r="L111" s="44"/>
      <c r="M111" s="44"/>
      <c r="N111" s="44"/>
      <c r="O111" s="44"/>
      <c r="P111" s="44"/>
      <c r="Q111" s="44"/>
      <c r="R111" s="44"/>
      <c r="S111" s="44"/>
      <c r="T111" s="44"/>
      <c r="U111" s="44"/>
      <c r="V111" s="44"/>
      <c r="W111" s="44"/>
    </row>
    <row r="112" ht="15.6" spans="1:1">
      <c r="A112" s="5" t="s">
        <v>102</v>
      </c>
    </row>
    <row r="113" spans="1:23">
      <c r="A113" s="27" t="s">
        <v>96</v>
      </c>
      <c r="B113" t="s">
        <v>119</v>
      </c>
      <c r="C113" s="45"/>
      <c r="D113" s="45"/>
      <c r="E113" s="45"/>
      <c r="F113" s="45"/>
      <c r="G113" s="45"/>
      <c r="H113" s="45"/>
      <c r="I113" s="45"/>
      <c r="J113" s="45"/>
      <c r="K113" s="45"/>
      <c r="L113" s="45"/>
      <c r="M113" s="45"/>
      <c r="N113" s="45"/>
      <c r="O113" s="45"/>
      <c r="P113" s="45"/>
      <c r="Q113" s="45"/>
      <c r="R113" s="45"/>
      <c r="S113" s="45"/>
      <c r="T113" s="45"/>
      <c r="U113" s="45"/>
      <c r="V113" s="45"/>
      <c r="W113" s="45"/>
    </row>
    <row r="114" spans="1:23">
      <c r="A114" s="27" t="s">
        <v>98</v>
      </c>
      <c r="B114" t="s">
        <v>120</v>
      </c>
      <c r="C114" s="45"/>
      <c r="D114" s="45"/>
      <c r="E114" s="45"/>
      <c r="F114" s="45"/>
      <c r="G114" s="45"/>
      <c r="H114" s="45"/>
      <c r="I114" s="45"/>
      <c r="J114" s="45"/>
      <c r="K114" s="45"/>
      <c r="L114" s="45"/>
      <c r="M114" s="45"/>
      <c r="N114" s="45"/>
      <c r="O114" s="45"/>
      <c r="P114" s="45"/>
      <c r="Q114" s="45"/>
      <c r="R114" s="45"/>
      <c r="S114" s="45"/>
      <c r="T114" s="45"/>
      <c r="U114" s="45"/>
      <c r="V114" s="45"/>
      <c r="W114" s="45"/>
    </row>
    <row r="115" spans="1:23">
      <c r="A115" s="27" t="s">
        <v>100</v>
      </c>
      <c r="B115" t="s">
        <v>121</v>
      </c>
      <c r="C115" s="45"/>
      <c r="D115" s="45"/>
      <c r="E115" s="45"/>
      <c r="F115" s="45"/>
      <c r="G115" s="45"/>
      <c r="H115" s="45"/>
      <c r="I115" s="45"/>
      <c r="J115" s="45"/>
      <c r="K115" s="45"/>
      <c r="L115" s="45"/>
      <c r="M115" s="45"/>
      <c r="N115" s="45"/>
      <c r="O115" s="45"/>
      <c r="P115" s="45"/>
      <c r="Q115" s="45"/>
      <c r="R115" s="45"/>
      <c r="S115" s="45"/>
      <c r="T115" s="45"/>
      <c r="U115" s="45"/>
      <c r="V115" s="45"/>
      <c r="W115" s="45"/>
    </row>
    <row r="116" ht="15.6" spans="1:1">
      <c r="A116" s="5" t="s">
        <v>125</v>
      </c>
    </row>
    <row r="117" spans="1:23">
      <c r="A117" s="27" t="s">
        <v>96</v>
      </c>
      <c r="B117" t="s">
        <v>119</v>
      </c>
      <c r="C117" s="45"/>
      <c r="D117" s="45"/>
      <c r="E117" s="45"/>
      <c r="F117" s="45"/>
      <c r="G117" s="45"/>
      <c r="H117" s="45"/>
      <c r="I117" s="45"/>
      <c r="J117" s="45"/>
      <c r="K117" s="45"/>
      <c r="L117" s="45"/>
      <c r="M117" s="45"/>
      <c r="N117" s="45"/>
      <c r="O117" s="45"/>
      <c r="P117" s="45"/>
      <c r="Q117" s="45"/>
      <c r="R117" s="45"/>
      <c r="S117" s="45"/>
      <c r="T117" s="45"/>
      <c r="U117" s="45"/>
      <c r="V117" s="45"/>
      <c r="W117" s="45"/>
    </row>
    <row r="118" spans="1:23">
      <c r="A118" s="27" t="s">
        <v>98</v>
      </c>
      <c r="B118" t="s">
        <v>126</v>
      </c>
      <c r="C118" s="45"/>
      <c r="D118" s="45"/>
      <c r="E118" s="45"/>
      <c r="F118" s="45"/>
      <c r="G118" s="45"/>
      <c r="H118" s="45"/>
      <c r="I118" s="45"/>
      <c r="J118" s="45"/>
      <c r="K118" s="45"/>
      <c r="L118" s="45"/>
      <c r="M118" s="45"/>
      <c r="N118" s="45"/>
      <c r="O118" s="45"/>
      <c r="P118" s="45"/>
      <c r="Q118" s="45"/>
      <c r="R118" s="45"/>
      <c r="S118" s="45"/>
      <c r="T118" s="45"/>
      <c r="U118" s="45"/>
      <c r="V118" s="45"/>
      <c r="W118" s="45"/>
    </row>
    <row r="119" spans="1:23">
      <c r="A119" s="27" t="s">
        <v>100</v>
      </c>
      <c r="B119" t="s">
        <v>121</v>
      </c>
      <c r="C119" s="45"/>
      <c r="D119" s="45"/>
      <c r="E119" s="45"/>
      <c r="F119" s="45"/>
      <c r="G119" s="45"/>
      <c r="H119" s="45"/>
      <c r="I119" s="45"/>
      <c r="J119" s="45"/>
      <c r="K119" s="45"/>
      <c r="L119" s="45"/>
      <c r="M119" s="45"/>
      <c r="N119" s="45"/>
      <c r="O119" s="45"/>
      <c r="P119" s="45"/>
      <c r="Q119" s="45"/>
      <c r="R119" s="45"/>
      <c r="S119" s="45"/>
      <c r="T119" s="45"/>
      <c r="U119" s="45"/>
      <c r="V119" s="45"/>
      <c r="W119" s="45"/>
    </row>
    <row r="120" ht="15.6" spans="1:1">
      <c r="A120" s="5" t="s">
        <v>127</v>
      </c>
    </row>
    <row r="121" spans="1:23">
      <c r="A121" s="27" t="s">
        <v>96</v>
      </c>
      <c r="B121" t="s">
        <v>60</v>
      </c>
      <c r="C121" s="45"/>
      <c r="D121" s="45"/>
      <c r="E121" s="45"/>
      <c r="F121" s="45"/>
      <c r="G121" s="45"/>
      <c r="H121" s="45"/>
      <c r="I121" s="45"/>
      <c r="J121" s="45"/>
      <c r="K121" s="45"/>
      <c r="L121" s="45"/>
      <c r="M121" s="45"/>
      <c r="N121" s="45"/>
      <c r="O121" s="45"/>
      <c r="P121" s="45"/>
      <c r="Q121" s="45"/>
      <c r="R121" s="45"/>
      <c r="S121" s="45"/>
      <c r="T121" s="45"/>
      <c r="U121" s="45"/>
      <c r="V121" s="45"/>
      <c r="W121" s="45"/>
    </row>
    <row r="122" spans="1:23">
      <c r="A122" s="27" t="s">
        <v>98</v>
      </c>
      <c r="B122" t="s">
        <v>60</v>
      </c>
      <c r="C122" s="45"/>
      <c r="D122" s="45"/>
      <c r="E122" s="45"/>
      <c r="F122" s="45"/>
      <c r="G122" s="45"/>
      <c r="H122" s="45"/>
      <c r="I122" s="45"/>
      <c r="J122" s="45"/>
      <c r="K122" s="45"/>
      <c r="L122" s="45"/>
      <c r="M122" s="45"/>
      <c r="N122" s="45"/>
      <c r="O122" s="45"/>
      <c r="P122" s="45"/>
      <c r="Q122" s="45"/>
      <c r="R122" s="45"/>
      <c r="S122" s="45"/>
      <c r="T122" s="45"/>
      <c r="U122" s="45"/>
      <c r="V122" s="45"/>
      <c r="W122" s="45"/>
    </row>
    <row r="123" spans="1:23">
      <c r="A123" s="27" t="s">
        <v>100</v>
      </c>
      <c r="B123" t="s">
        <v>60</v>
      </c>
      <c r="C123" s="46"/>
      <c r="D123" s="46"/>
      <c r="E123" s="46"/>
      <c r="F123" s="46"/>
      <c r="G123" s="46"/>
      <c r="H123" s="46"/>
      <c r="I123" s="46"/>
      <c r="J123" s="46"/>
      <c r="K123" s="46"/>
      <c r="L123" s="46"/>
      <c r="M123" s="46"/>
      <c r="N123" s="46"/>
      <c r="O123" s="46"/>
      <c r="P123" s="46"/>
      <c r="Q123" s="46"/>
      <c r="R123" s="46"/>
      <c r="S123" s="46"/>
      <c r="T123" s="46"/>
      <c r="U123" s="46"/>
      <c r="V123" s="46"/>
      <c r="W123" s="46"/>
    </row>
    <row r="124" ht="15.6" spans="1:1">
      <c r="A124" s="5" t="s">
        <v>105</v>
      </c>
    </row>
    <row r="125" spans="1:23">
      <c r="A125" s="27" t="s">
        <v>96</v>
      </c>
      <c r="B125" t="s">
        <v>60</v>
      </c>
      <c r="C125" s="14"/>
      <c r="D125" s="14"/>
      <c r="E125" s="14"/>
      <c r="F125" s="14"/>
      <c r="G125" s="14"/>
      <c r="H125" s="14"/>
      <c r="I125" s="14"/>
      <c r="J125" s="14"/>
      <c r="K125" s="14"/>
      <c r="L125" s="14"/>
      <c r="M125" s="14"/>
      <c r="N125" s="14"/>
      <c r="O125" s="14"/>
      <c r="P125" s="14"/>
      <c r="Q125" s="14"/>
      <c r="R125" s="14"/>
      <c r="S125" s="14"/>
      <c r="T125" s="14"/>
      <c r="U125" s="14"/>
      <c r="V125" s="14"/>
      <c r="W125" s="14"/>
    </row>
    <row r="126" spans="1:23">
      <c r="A126" s="27" t="s">
        <v>98</v>
      </c>
      <c r="B126" t="s">
        <v>60</v>
      </c>
      <c r="C126" s="14"/>
      <c r="D126" s="14"/>
      <c r="E126" s="14"/>
      <c r="F126" s="14"/>
      <c r="G126" s="14"/>
      <c r="H126" s="14"/>
      <c r="I126" s="14"/>
      <c r="J126" s="14"/>
      <c r="K126" s="14"/>
      <c r="L126" s="14"/>
      <c r="M126" s="14"/>
      <c r="N126" s="14"/>
      <c r="O126" s="14"/>
      <c r="P126" s="14"/>
      <c r="Q126" s="14"/>
      <c r="R126" s="14"/>
      <c r="S126" s="14"/>
      <c r="T126" s="14"/>
      <c r="U126" s="14"/>
      <c r="V126" s="14"/>
      <c r="W126" s="14"/>
    </row>
    <row r="127" spans="1:23">
      <c r="A127" s="27" t="s">
        <v>100</v>
      </c>
      <c r="B127" t="s">
        <v>60</v>
      </c>
      <c r="C127" s="14"/>
      <c r="D127" s="14"/>
      <c r="E127" s="14"/>
      <c r="F127" s="14"/>
      <c r="G127" s="14"/>
      <c r="H127" s="14"/>
      <c r="I127" s="14"/>
      <c r="J127" s="14"/>
      <c r="K127" s="14"/>
      <c r="L127" s="14"/>
      <c r="M127" s="14"/>
      <c r="N127" s="14"/>
      <c r="O127" s="14"/>
      <c r="P127" s="14"/>
      <c r="Q127" s="14"/>
      <c r="R127" s="14"/>
      <c r="S127" s="14"/>
      <c r="T127" s="14"/>
      <c r="U127" s="14"/>
      <c r="V127" s="14"/>
      <c r="W127" s="14"/>
    </row>
    <row r="128" spans="1:23">
      <c r="A128" s="31" t="s">
        <v>107</v>
      </c>
      <c r="B128" s="32" t="s">
        <v>60</v>
      </c>
      <c r="C128" s="33"/>
      <c r="D128" s="33"/>
      <c r="E128" s="33"/>
      <c r="F128" s="33"/>
      <c r="G128" s="33"/>
      <c r="H128" s="33"/>
      <c r="I128" s="33"/>
      <c r="J128" s="33"/>
      <c r="K128" s="33"/>
      <c r="L128" s="33"/>
      <c r="M128" s="33"/>
      <c r="N128" s="33"/>
      <c r="O128" s="33"/>
      <c r="P128" s="33"/>
      <c r="Q128" s="33"/>
      <c r="R128" s="33"/>
      <c r="S128" s="33"/>
      <c r="T128" s="33"/>
      <c r="U128" s="33"/>
      <c r="V128" s="33"/>
      <c r="W128" s="33"/>
    </row>
    <row r="129" ht="15.6" spans="1:23">
      <c r="A129" s="25" t="s">
        <v>94</v>
      </c>
      <c r="C129" s="10">
        <v>0</v>
      </c>
      <c r="D129" s="10">
        <v>0</v>
      </c>
      <c r="E129" s="10">
        <v>0</v>
      </c>
      <c r="F129" s="10">
        <v>0</v>
      </c>
      <c r="G129" s="10">
        <v>0</v>
      </c>
      <c r="H129" s="10">
        <v>1</v>
      </c>
      <c r="I129" s="10">
        <v>0</v>
      </c>
      <c r="J129" s="10">
        <v>1</v>
      </c>
      <c r="K129" s="10">
        <v>1</v>
      </c>
      <c r="L129" s="10">
        <v>1</v>
      </c>
      <c r="M129" s="10">
        <v>0</v>
      </c>
      <c r="N129" s="10">
        <v>0</v>
      </c>
      <c r="O129" s="10">
        <v>0</v>
      </c>
      <c r="P129" s="10">
        <v>0</v>
      </c>
      <c r="Q129" s="10">
        <v>0</v>
      </c>
      <c r="R129" s="10">
        <v>1</v>
      </c>
      <c r="S129" s="10">
        <v>1</v>
      </c>
      <c r="T129" s="10">
        <v>0</v>
      </c>
      <c r="U129" s="10">
        <v>1</v>
      </c>
      <c r="V129" s="10">
        <v>0</v>
      </c>
      <c r="W129" s="10">
        <v>0</v>
      </c>
    </row>
    <row r="130" ht="15.6" spans="1:23">
      <c r="A130" s="25" t="s">
        <v>111</v>
      </c>
      <c r="B130" t="s">
        <v>112</v>
      </c>
      <c r="C130" s="40">
        <v>250</v>
      </c>
      <c r="D130" s="40">
        <v>250</v>
      </c>
      <c r="E130" s="40">
        <v>250</v>
      </c>
      <c r="F130" s="40">
        <v>250</v>
      </c>
      <c r="G130" s="40">
        <v>250</v>
      </c>
      <c r="H130" s="40">
        <v>125</v>
      </c>
      <c r="I130" s="40">
        <v>250</v>
      </c>
      <c r="J130" s="40">
        <v>250</v>
      </c>
      <c r="K130" s="40">
        <v>250</v>
      </c>
      <c r="L130" s="40">
        <v>250</v>
      </c>
      <c r="M130" s="40">
        <v>250</v>
      </c>
      <c r="N130" s="40">
        <v>250</v>
      </c>
      <c r="O130" s="40">
        <v>250</v>
      </c>
      <c r="P130" s="40">
        <v>250</v>
      </c>
      <c r="Q130" s="40">
        <v>250</v>
      </c>
      <c r="R130" s="40">
        <v>250</v>
      </c>
      <c r="S130" s="47">
        <f>0.5*S294</f>
        <v>203.750278358908</v>
      </c>
      <c r="T130" s="40">
        <v>250</v>
      </c>
      <c r="U130" s="40">
        <v>250</v>
      </c>
      <c r="V130" s="40">
        <v>250</v>
      </c>
      <c r="W130" s="40">
        <v>250</v>
      </c>
    </row>
    <row r="131" ht="15.6" spans="1:1">
      <c r="A131" s="5" t="s">
        <v>95</v>
      </c>
    </row>
    <row r="132" ht="15.6" spans="1:23">
      <c r="A132" s="27" t="s">
        <v>96</v>
      </c>
      <c r="B132" t="s">
        <v>108</v>
      </c>
      <c r="C132" s="28">
        <f t="shared" ref="C132:W132" si="8">125/651</f>
        <v>0.192012288786482</v>
      </c>
      <c r="D132" s="28">
        <f t="shared" si="8"/>
        <v>0.192012288786482</v>
      </c>
      <c r="E132" s="28">
        <f t="shared" si="8"/>
        <v>0.192012288786482</v>
      </c>
      <c r="F132" s="28">
        <f t="shared" si="8"/>
        <v>0.192012288786482</v>
      </c>
      <c r="G132" s="28">
        <f t="shared" si="8"/>
        <v>0.192012288786482</v>
      </c>
      <c r="H132" s="28">
        <f t="shared" si="8"/>
        <v>0.192012288786482</v>
      </c>
      <c r="I132" s="28">
        <f t="shared" si="8"/>
        <v>0.192012288786482</v>
      </c>
      <c r="J132" s="28">
        <f t="shared" si="8"/>
        <v>0.192012288786482</v>
      </c>
      <c r="K132" s="28">
        <f t="shared" si="8"/>
        <v>0.192012288786482</v>
      </c>
      <c r="L132" s="28">
        <f t="shared" si="8"/>
        <v>0.192012288786482</v>
      </c>
      <c r="M132" s="28">
        <f t="shared" si="8"/>
        <v>0.192012288786482</v>
      </c>
      <c r="N132" s="28">
        <f t="shared" si="8"/>
        <v>0.192012288786482</v>
      </c>
      <c r="O132" s="28">
        <f t="shared" si="8"/>
        <v>0.192012288786482</v>
      </c>
      <c r="P132" s="28">
        <f t="shared" si="8"/>
        <v>0.192012288786482</v>
      </c>
      <c r="Q132" s="28">
        <f t="shared" si="8"/>
        <v>0.192012288786482</v>
      </c>
      <c r="R132" s="28">
        <f t="shared" si="8"/>
        <v>0.192012288786482</v>
      </c>
      <c r="S132" s="28">
        <f t="shared" si="8"/>
        <v>0.192012288786482</v>
      </c>
      <c r="T132" s="28">
        <f t="shared" si="8"/>
        <v>0.192012288786482</v>
      </c>
      <c r="U132" s="28">
        <f t="shared" si="8"/>
        <v>0.192012288786482</v>
      </c>
      <c r="V132" s="28">
        <f t="shared" si="8"/>
        <v>0.192012288786482</v>
      </c>
      <c r="W132" s="28">
        <f t="shared" si="8"/>
        <v>0.192012288786482</v>
      </c>
    </row>
    <row r="133" ht="15.6" spans="1:23">
      <c r="A133" s="27" t="s">
        <v>98</v>
      </c>
      <c r="B133" t="s">
        <v>109</v>
      </c>
      <c r="C133" s="28">
        <f t="shared" ref="C133:W133" si="9">6/651</f>
        <v>0.00921658986175115</v>
      </c>
      <c r="D133" s="28">
        <f t="shared" si="9"/>
        <v>0.00921658986175115</v>
      </c>
      <c r="E133" s="28">
        <f t="shared" si="9"/>
        <v>0.00921658986175115</v>
      </c>
      <c r="F133" s="28">
        <f t="shared" si="9"/>
        <v>0.00921658986175115</v>
      </c>
      <c r="G133" s="28">
        <f t="shared" si="9"/>
        <v>0.00921658986175115</v>
      </c>
      <c r="H133" s="28">
        <f t="shared" si="9"/>
        <v>0.00921658986175115</v>
      </c>
      <c r="I133" s="28">
        <f t="shared" si="9"/>
        <v>0.00921658986175115</v>
      </c>
      <c r="J133" s="28">
        <f t="shared" si="9"/>
        <v>0.00921658986175115</v>
      </c>
      <c r="K133" s="28">
        <f t="shared" si="9"/>
        <v>0.00921658986175115</v>
      </c>
      <c r="L133" s="28">
        <f t="shared" si="9"/>
        <v>0.00921658986175115</v>
      </c>
      <c r="M133" s="28">
        <f t="shared" si="9"/>
        <v>0.00921658986175115</v>
      </c>
      <c r="N133" s="28">
        <f t="shared" si="9"/>
        <v>0.00921658986175115</v>
      </c>
      <c r="O133" s="28">
        <f t="shared" si="9"/>
        <v>0.00921658986175115</v>
      </c>
      <c r="P133" s="28">
        <f t="shared" si="9"/>
        <v>0.00921658986175115</v>
      </c>
      <c r="Q133" s="28">
        <f t="shared" si="9"/>
        <v>0.00921658986175115</v>
      </c>
      <c r="R133" s="28">
        <f t="shared" si="9"/>
        <v>0.00921658986175115</v>
      </c>
      <c r="S133" s="28">
        <f t="shared" si="9"/>
        <v>0.00921658986175115</v>
      </c>
      <c r="T133" s="28">
        <f t="shared" si="9"/>
        <v>0.00921658986175115</v>
      </c>
      <c r="U133" s="28">
        <f t="shared" si="9"/>
        <v>0.00921658986175115</v>
      </c>
      <c r="V133" s="28">
        <f t="shared" si="9"/>
        <v>0.00921658986175115</v>
      </c>
      <c r="W133" s="28">
        <f t="shared" si="9"/>
        <v>0.00921658986175115</v>
      </c>
    </row>
    <row r="134" ht="15.6" spans="1:23">
      <c r="A134" s="27" t="s">
        <v>100</v>
      </c>
      <c r="B134" t="s">
        <v>60</v>
      </c>
      <c r="C134" s="28">
        <f t="shared" ref="C134:W134" si="10">((71.58+12+145)*1.24)/651</f>
        <v>0.435390476190476</v>
      </c>
      <c r="D134" s="28">
        <f t="shared" si="10"/>
        <v>0.435390476190476</v>
      </c>
      <c r="E134" s="28">
        <f t="shared" si="10"/>
        <v>0.435390476190476</v>
      </c>
      <c r="F134" s="28">
        <f t="shared" si="10"/>
        <v>0.435390476190476</v>
      </c>
      <c r="G134" s="28">
        <f t="shared" si="10"/>
        <v>0.435390476190476</v>
      </c>
      <c r="H134" s="28">
        <f t="shared" si="10"/>
        <v>0.435390476190476</v>
      </c>
      <c r="I134" s="28">
        <f t="shared" si="10"/>
        <v>0.435390476190476</v>
      </c>
      <c r="J134" s="28">
        <f t="shared" si="10"/>
        <v>0.435390476190476</v>
      </c>
      <c r="K134" s="28">
        <f t="shared" si="10"/>
        <v>0.435390476190476</v>
      </c>
      <c r="L134" s="28">
        <f t="shared" si="10"/>
        <v>0.435390476190476</v>
      </c>
      <c r="M134" s="28">
        <f t="shared" si="10"/>
        <v>0.435390476190476</v>
      </c>
      <c r="N134" s="28">
        <f t="shared" si="10"/>
        <v>0.435390476190476</v>
      </c>
      <c r="O134" s="28">
        <f t="shared" si="10"/>
        <v>0.435390476190476</v>
      </c>
      <c r="P134" s="28">
        <f t="shared" si="10"/>
        <v>0.435390476190476</v>
      </c>
      <c r="Q134" s="28">
        <f t="shared" si="10"/>
        <v>0.435390476190476</v>
      </c>
      <c r="R134" s="28">
        <f t="shared" si="10"/>
        <v>0.435390476190476</v>
      </c>
      <c r="S134" s="28">
        <f t="shared" si="10"/>
        <v>0.435390476190476</v>
      </c>
      <c r="T134" s="28">
        <f t="shared" si="10"/>
        <v>0.435390476190476</v>
      </c>
      <c r="U134" s="28">
        <f t="shared" si="10"/>
        <v>0.435390476190476</v>
      </c>
      <c r="V134" s="28">
        <f t="shared" si="10"/>
        <v>0.435390476190476</v>
      </c>
      <c r="W134" s="28">
        <f t="shared" si="10"/>
        <v>0.435390476190476</v>
      </c>
    </row>
    <row r="135" ht="15.6" spans="1:1">
      <c r="A135" s="5" t="s">
        <v>102</v>
      </c>
    </row>
    <row r="136" spans="1:23">
      <c r="A136" s="27" t="s">
        <v>96</v>
      </c>
      <c r="B136" t="s">
        <v>108</v>
      </c>
      <c r="C136" s="14"/>
      <c r="D136" s="14"/>
      <c r="E136" s="14"/>
      <c r="F136" s="14"/>
      <c r="G136" s="14"/>
      <c r="H136" s="14"/>
      <c r="I136" s="14"/>
      <c r="J136" s="14"/>
      <c r="K136" s="14"/>
      <c r="L136" s="14"/>
      <c r="M136" s="14"/>
      <c r="N136" s="14"/>
      <c r="O136" s="14"/>
      <c r="P136" s="14"/>
      <c r="Q136" s="14"/>
      <c r="R136" s="14"/>
      <c r="S136" s="14"/>
      <c r="T136" s="14"/>
      <c r="U136" s="14"/>
      <c r="V136" s="14"/>
      <c r="W136" s="14"/>
    </row>
    <row r="137" spans="1:23">
      <c r="A137" s="27" t="s">
        <v>98</v>
      </c>
      <c r="B137" t="s">
        <v>109</v>
      </c>
      <c r="C137" s="14"/>
      <c r="D137" s="14"/>
      <c r="E137" s="14"/>
      <c r="F137" s="14"/>
      <c r="G137" s="14"/>
      <c r="H137" s="14"/>
      <c r="I137" s="14"/>
      <c r="J137" s="14"/>
      <c r="K137" s="14"/>
      <c r="L137" s="14"/>
      <c r="M137" s="14"/>
      <c r="N137" s="14"/>
      <c r="O137" s="14"/>
      <c r="P137" s="14"/>
      <c r="Q137" s="14"/>
      <c r="R137" s="14"/>
      <c r="S137" s="14"/>
      <c r="T137" s="14"/>
      <c r="U137" s="14"/>
      <c r="V137" s="14"/>
      <c r="W137" s="14"/>
    </row>
    <row r="138" spans="1:23">
      <c r="A138" s="27" t="s">
        <v>100</v>
      </c>
      <c r="B138" t="s">
        <v>60</v>
      </c>
      <c r="C138" s="14"/>
      <c r="D138" s="14"/>
      <c r="E138" s="14"/>
      <c r="F138" s="14"/>
      <c r="G138" s="14"/>
      <c r="H138" s="14"/>
      <c r="I138" s="14"/>
      <c r="J138" s="14"/>
      <c r="K138" s="14"/>
      <c r="L138" s="14"/>
      <c r="M138" s="14"/>
      <c r="N138" s="14"/>
      <c r="O138" s="14"/>
      <c r="P138" s="14"/>
      <c r="Q138" s="14"/>
      <c r="R138" s="14"/>
      <c r="S138" s="14"/>
      <c r="T138" s="14"/>
      <c r="U138" s="14"/>
      <c r="V138" s="14"/>
      <c r="W138" s="14"/>
    </row>
    <row r="139" ht="15.6" spans="1:1">
      <c r="A139" s="5" t="s">
        <v>110</v>
      </c>
    </row>
    <row r="140" spans="1:23">
      <c r="A140" s="27" t="s">
        <v>96</v>
      </c>
      <c r="B140" t="s">
        <v>60</v>
      </c>
      <c r="C140" s="14"/>
      <c r="D140" s="14"/>
      <c r="E140" s="14"/>
      <c r="F140" s="14"/>
      <c r="G140" s="14"/>
      <c r="H140" s="14"/>
      <c r="I140" s="14"/>
      <c r="J140" s="14"/>
      <c r="K140" s="14"/>
      <c r="L140" s="14"/>
      <c r="M140" s="14"/>
      <c r="N140" s="14"/>
      <c r="O140" s="14"/>
      <c r="P140" s="14"/>
      <c r="Q140" s="14"/>
      <c r="R140" s="14"/>
      <c r="S140" s="14"/>
      <c r="T140" s="14"/>
      <c r="U140" s="14"/>
      <c r="V140" s="14"/>
      <c r="W140" s="14"/>
    </row>
    <row r="141" spans="1:23">
      <c r="A141" s="27" t="s">
        <v>98</v>
      </c>
      <c r="B141" t="s">
        <v>60</v>
      </c>
      <c r="C141" s="14"/>
      <c r="D141" s="14"/>
      <c r="E141" s="14"/>
      <c r="F141" s="14"/>
      <c r="G141" s="14"/>
      <c r="H141" s="14"/>
      <c r="I141" s="14"/>
      <c r="J141" s="14"/>
      <c r="K141" s="14"/>
      <c r="L141" s="14"/>
      <c r="M141" s="14"/>
      <c r="N141" s="14"/>
      <c r="O141" s="14"/>
      <c r="P141" s="14"/>
      <c r="Q141" s="14"/>
      <c r="R141" s="14"/>
      <c r="S141" s="14"/>
      <c r="T141" s="14"/>
      <c r="U141" s="14"/>
      <c r="V141" s="14"/>
      <c r="W141" s="14"/>
    </row>
    <row r="142" spans="1:23">
      <c r="A142" s="27" t="s">
        <v>100</v>
      </c>
      <c r="B142" t="s">
        <v>60</v>
      </c>
      <c r="C142" s="39"/>
      <c r="D142" s="39"/>
      <c r="E142" s="39"/>
      <c r="F142" s="39"/>
      <c r="G142" s="39"/>
      <c r="H142" s="39"/>
      <c r="I142" s="39"/>
      <c r="J142" s="39"/>
      <c r="K142" s="39"/>
      <c r="L142" s="39"/>
      <c r="M142" s="39"/>
      <c r="N142" s="39"/>
      <c r="O142" s="39"/>
      <c r="P142" s="39"/>
      <c r="Q142" s="39"/>
      <c r="R142" s="39"/>
      <c r="S142" s="39"/>
      <c r="T142" s="39"/>
      <c r="U142" s="39"/>
      <c r="V142" s="39"/>
      <c r="W142" s="39"/>
    </row>
    <row r="143" ht="15.6" spans="1:1">
      <c r="A143" s="5" t="s">
        <v>105</v>
      </c>
    </row>
    <row r="144" spans="1:23">
      <c r="A144" s="27" t="s">
        <v>96</v>
      </c>
      <c r="B144" t="s">
        <v>60</v>
      </c>
      <c r="C144" s="14"/>
      <c r="D144" s="14"/>
      <c r="E144" s="14"/>
      <c r="F144" s="14"/>
      <c r="G144" s="14"/>
      <c r="H144" s="14"/>
      <c r="I144" s="14"/>
      <c r="J144" s="14"/>
      <c r="K144" s="14"/>
      <c r="L144" s="14"/>
      <c r="M144" s="14"/>
      <c r="N144" s="14"/>
      <c r="O144" s="14"/>
      <c r="P144" s="14"/>
      <c r="Q144" s="14"/>
      <c r="R144" s="14"/>
      <c r="S144" s="14"/>
      <c r="T144" s="14"/>
      <c r="U144" s="14"/>
      <c r="V144" s="14"/>
      <c r="W144" s="14"/>
    </row>
    <row r="145" spans="1:23">
      <c r="A145" s="27" t="s">
        <v>98</v>
      </c>
      <c r="B145" t="s">
        <v>60</v>
      </c>
      <c r="C145" s="14"/>
      <c r="D145" s="14"/>
      <c r="E145" s="14"/>
      <c r="F145" s="14"/>
      <c r="G145" s="14"/>
      <c r="H145" s="14"/>
      <c r="I145" s="14"/>
      <c r="J145" s="14"/>
      <c r="K145" s="14"/>
      <c r="L145" s="14"/>
      <c r="M145" s="14"/>
      <c r="N145" s="14"/>
      <c r="O145" s="14"/>
      <c r="P145" s="14"/>
      <c r="Q145" s="14"/>
      <c r="R145" s="14"/>
      <c r="S145" s="14"/>
      <c r="T145" s="14"/>
      <c r="U145" s="14"/>
      <c r="V145" s="14"/>
      <c r="W145" s="14"/>
    </row>
    <row r="146" spans="1:23">
      <c r="A146" s="27" t="s">
        <v>100</v>
      </c>
      <c r="B146" t="s">
        <v>60</v>
      </c>
      <c r="C146" s="14"/>
      <c r="D146" s="14"/>
      <c r="E146" s="14"/>
      <c r="F146" s="14"/>
      <c r="G146" s="14"/>
      <c r="H146" s="14"/>
      <c r="I146" s="14"/>
      <c r="J146" s="14"/>
      <c r="K146" s="14"/>
      <c r="L146" s="14"/>
      <c r="M146" s="14"/>
      <c r="N146" s="14"/>
      <c r="O146" s="14"/>
      <c r="P146" s="14"/>
      <c r="Q146" s="14"/>
      <c r="R146" s="14"/>
      <c r="S146" s="14"/>
      <c r="T146" s="14"/>
      <c r="U146" s="14"/>
      <c r="V146" s="14"/>
      <c r="W146" s="14"/>
    </row>
    <row r="147" spans="1:23">
      <c r="A147" s="31" t="s">
        <v>107</v>
      </c>
      <c r="B147" s="32" t="s">
        <v>60</v>
      </c>
      <c r="C147" s="33"/>
      <c r="D147" s="33"/>
      <c r="E147" s="33"/>
      <c r="F147" s="33"/>
      <c r="G147" s="33"/>
      <c r="H147" s="33"/>
      <c r="I147" s="33"/>
      <c r="J147" s="33"/>
      <c r="K147" s="33"/>
      <c r="L147" s="33"/>
      <c r="M147" s="33"/>
      <c r="N147" s="33"/>
      <c r="O147" s="33"/>
      <c r="P147" s="33"/>
      <c r="Q147" s="33"/>
      <c r="R147" s="33"/>
      <c r="S147" s="33"/>
      <c r="T147" s="33"/>
      <c r="U147" s="33"/>
      <c r="V147" s="33"/>
      <c r="W147" s="33"/>
    </row>
    <row r="148" ht="15.6" spans="1:23">
      <c r="A148" s="25" t="s">
        <v>94</v>
      </c>
      <c r="C148" s="12"/>
      <c r="D148" s="12"/>
      <c r="E148" s="12"/>
      <c r="F148" s="12"/>
      <c r="G148" s="12"/>
      <c r="H148" s="12"/>
      <c r="I148" s="12"/>
      <c r="J148" s="12"/>
      <c r="K148" s="12"/>
      <c r="L148" s="12"/>
      <c r="M148" s="12"/>
      <c r="N148" s="12"/>
      <c r="O148" s="12"/>
      <c r="P148" s="12"/>
      <c r="Q148" s="12"/>
      <c r="R148" s="12"/>
      <c r="S148" s="12"/>
      <c r="T148" s="12"/>
      <c r="U148" s="12"/>
      <c r="V148" s="12"/>
      <c r="W148" s="12"/>
    </row>
    <row r="149" ht="15.6" spans="1:23">
      <c r="A149" s="25" t="s">
        <v>111</v>
      </c>
      <c r="B149" t="s">
        <v>112</v>
      </c>
      <c r="C149" s="40">
        <v>200</v>
      </c>
      <c r="D149" s="40">
        <v>200</v>
      </c>
      <c r="E149" s="40">
        <v>200</v>
      </c>
      <c r="F149" s="40">
        <v>200</v>
      </c>
      <c r="G149" s="40">
        <v>200</v>
      </c>
      <c r="H149" s="40">
        <v>200</v>
      </c>
      <c r="I149" s="40">
        <v>100</v>
      </c>
      <c r="J149" s="40">
        <v>200</v>
      </c>
      <c r="K149" s="40">
        <v>100</v>
      </c>
      <c r="L149" s="40">
        <v>100</v>
      </c>
      <c r="M149" s="40">
        <v>100</v>
      </c>
      <c r="N149" s="40">
        <v>100</v>
      </c>
      <c r="O149" s="40">
        <v>100</v>
      </c>
      <c r="P149" s="40">
        <v>100</v>
      </c>
      <c r="Q149" s="40">
        <v>100</v>
      </c>
      <c r="R149" s="40">
        <v>200</v>
      </c>
      <c r="S149" s="40">
        <v>100</v>
      </c>
      <c r="T149" s="40">
        <v>100</v>
      </c>
      <c r="U149" s="40">
        <v>100</v>
      </c>
      <c r="V149" s="40">
        <v>100</v>
      </c>
      <c r="W149" s="40">
        <v>100</v>
      </c>
    </row>
    <row r="150" ht="15.6" spans="1:1">
      <c r="A150" s="5" t="s">
        <v>95</v>
      </c>
    </row>
    <row r="151" ht="15.6" spans="1:23">
      <c r="A151" s="27" t="s">
        <v>96</v>
      </c>
      <c r="B151" t="s">
        <v>108</v>
      </c>
      <c r="C151" s="28">
        <f t="shared" ref="C151:W151" si="11">15/200</f>
        <v>0.075</v>
      </c>
      <c r="D151" s="28">
        <f t="shared" si="11"/>
        <v>0.075</v>
      </c>
      <c r="E151" s="28">
        <f t="shared" si="11"/>
        <v>0.075</v>
      </c>
      <c r="F151" s="28">
        <f t="shared" si="11"/>
        <v>0.075</v>
      </c>
      <c r="G151" s="28">
        <f t="shared" si="11"/>
        <v>0.075</v>
      </c>
      <c r="H151" s="28">
        <f t="shared" si="11"/>
        <v>0.075</v>
      </c>
      <c r="I151" s="28">
        <f t="shared" si="11"/>
        <v>0.075</v>
      </c>
      <c r="J151" s="28">
        <f t="shared" si="11"/>
        <v>0.075</v>
      </c>
      <c r="K151" s="28">
        <f t="shared" si="11"/>
        <v>0.075</v>
      </c>
      <c r="L151" s="28">
        <f t="shared" si="11"/>
        <v>0.075</v>
      </c>
      <c r="M151" s="28">
        <f t="shared" si="11"/>
        <v>0.075</v>
      </c>
      <c r="N151" s="28">
        <f t="shared" si="11"/>
        <v>0.075</v>
      </c>
      <c r="O151" s="28">
        <f t="shared" si="11"/>
        <v>0.075</v>
      </c>
      <c r="P151" s="28">
        <f t="shared" si="11"/>
        <v>0.075</v>
      </c>
      <c r="Q151" s="28">
        <f t="shared" si="11"/>
        <v>0.075</v>
      </c>
      <c r="R151" s="28">
        <f t="shared" si="11"/>
        <v>0.075</v>
      </c>
      <c r="S151" s="28">
        <f t="shared" si="11"/>
        <v>0.075</v>
      </c>
      <c r="T151" s="28">
        <f t="shared" si="11"/>
        <v>0.075</v>
      </c>
      <c r="U151" s="28">
        <f t="shared" si="11"/>
        <v>0.075</v>
      </c>
      <c r="V151" s="28">
        <f t="shared" si="11"/>
        <v>0.075</v>
      </c>
      <c r="W151" s="28">
        <f t="shared" si="11"/>
        <v>0.075</v>
      </c>
    </row>
    <row r="152" ht="15.6" spans="1:23">
      <c r="A152" s="27" t="s">
        <v>98</v>
      </c>
      <c r="B152" t="s">
        <v>109</v>
      </c>
      <c r="C152" s="28">
        <f t="shared" ref="C152:W152" si="12">1.5/200</f>
        <v>0.0075</v>
      </c>
      <c r="D152" s="28">
        <f t="shared" si="12"/>
        <v>0.0075</v>
      </c>
      <c r="E152" s="28">
        <f t="shared" si="12"/>
        <v>0.0075</v>
      </c>
      <c r="F152" s="28">
        <f t="shared" si="12"/>
        <v>0.0075</v>
      </c>
      <c r="G152" s="28">
        <f t="shared" si="12"/>
        <v>0.0075</v>
      </c>
      <c r="H152" s="28">
        <f t="shared" si="12"/>
        <v>0.0075</v>
      </c>
      <c r="I152" s="28">
        <f t="shared" si="12"/>
        <v>0.0075</v>
      </c>
      <c r="J152" s="28">
        <f t="shared" si="12"/>
        <v>0.0075</v>
      </c>
      <c r="K152" s="28">
        <f t="shared" si="12"/>
        <v>0.0075</v>
      </c>
      <c r="L152" s="28">
        <f t="shared" si="12"/>
        <v>0.0075</v>
      </c>
      <c r="M152" s="28">
        <f t="shared" si="12"/>
        <v>0.0075</v>
      </c>
      <c r="N152" s="28">
        <f t="shared" si="12"/>
        <v>0.0075</v>
      </c>
      <c r="O152" s="28">
        <f t="shared" si="12"/>
        <v>0.0075</v>
      </c>
      <c r="P152" s="28">
        <f t="shared" si="12"/>
        <v>0.0075</v>
      </c>
      <c r="Q152" s="28">
        <f t="shared" si="12"/>
        <v>0.0075</v>
      </c>
      <c r="R152" s="28">
        <f t="shared" si="12"/>
        <v>0.0075</v>
      </c>
      <c r="S152" s="28">
        <f t="shared" si="12"/>
        <v>0.0075</v>
      </c>
      <c r="T152" s="28">
        <f t="shared" si="12"/>
        <v>0.0075</v>
      </c>
      <c r="U152" s="28">
        <f t="shared" si="12"/>
        <v>0.0075</v>
      </c>
      <c r="V152" s="28">
        <f t="shared" si="12"/>
        <v>0.0075</v>
      </c>
      <c r="W152" s="28">
        <f t="shared" si="12"/>
        <v>0.0075</v>
      </c>
    </row>
    <row r="153" ht="15.6" spans="1:23">
      <c r="A153" s="27" t="s">
        <v>100</v>
      </c>
      <c r="B153" t="s">
        <v>60</v>
      </c>
      <c r="C153" s="28">
        <f t="shared" ref="C153:W153" si="13">50/200</f>
        <v>0.25</v>
      </c>
      <c r="D153" s="28">
        <f t="shared" si="13"/>
        <v>0.25</v>
      </c>
      <c r="E153" s="28">
        <f t="shared" si="13"/>
        <v>0.25</v>
      </c>
      <c r="F153" s="28">
        <f t="shared" si="13"/>
        <v>0.25</v>
      </c>
      <c r="G153" s="28">
        <f t="shared" si="13"/>
        <v>0.25</v>
      </c>
      <c r="H153" s="28">
        <f t="shared" si="13"/>
        <v>0.25</v>
      </c>
      <c r="I153" s="28">
        <f t="shared" si="13"/>
        <v>0.25</v>
      </c>
      <c r="J153" s="28">
        <f t="shared" si="13"/>
        <v>0.25</v>
      </c>
      <c r="K153" s="28">
        <f t="shared" si="13"/>
        <v>0.25</v>
      </c>
      <c r="L153" s="28">
        <f t="shared" si="13"/>
        <v>0.25</v>
      </c>
      <c r="M153" s="28">
        <f t="shared" si="13"/>
        <v>0.25</v>
      </c>
      <c r="N153" s="28">
        <f t="shared" si="13"/>
        <v>0.25</v>
      </c>
      <c r="O153" s="28">
        <f t="shared" si="13"/>
        <v>0.25</v>
      </c>
      <c r="P153" s="28">
        <f t="shared" si="13"/>
        <v>0.25</v>
      </c>
      <c r="Q153" s="28">
        <f t="shared" si="13"/>
        <v>0.25</v>
      </c>
      <c r="R153" s="28">
        <f t="shared" si="13"/>
        <v>0.25</v>
      </c>
      <c r="S153" s="28">
        <f t="shared" si="13"/>
        <v>0.25</v>
      </c>
      <c r="T153" s="28">
        <f t="shared" si="13"/>
        <v>0.25</v>
      </c>
      <c r="U153" s="28">
        <f t="shared" si="13"/>
        <v>0.25</v>
      </c>
      <c r="V153" s="28">
        <f t="shared" si="13"/>
        <v>0.25</v>
      </c>
      <c r="W153" s="28">
        <f t="shared" si="13"/>
        <v>0.25</v>
      </c>
    </row>
    <row r="154" ht="15.6" spans="1:1">
      <c r="A154" s="5" t="s">
        <v>102</v>
      </c>
    </row>
    <row r="155" spans="1:23">
      <c r="A155" s="27" t="s">
        <v>96</v>
      </c>
      <c r="B155" t="s">
        <v>108</v>
      </c>
      <c r="C155" s="14"/>
      <c r="D155" s="14"/>
      <c r="E155" s="14"/>
      <c r="F155" s="14"/>
      <c r="G155" s="14"/>
      <c r="H155" s="14"/>
      <c r="I155" s="14"/>
      <c r="J155" s="14"/>
      <c r="K155" s="14"/>
      <c r="L155" s="14"/>
      <c r="M155" s="14"/>
      <c r="N155" s="14"/>
      <c r="O155" s="14"/>
      <c r="P155" s="14"/>
      <c r="Q155" s="14"/>
      <c r="R155" s="14"/>
      <c r="S155" s="14"/>
      <c r="T155" s="14"/>
      <c r="U155" s="14"/>
      <c r="V155" s="14"/>
      <c r="W155" s="14"/>
    </row>
    <row r="156" spans="1:23">
      <c r="A156" s="27" t="s">
        <v>98</v>
      </c>
      <c r="B156" t="s">
        <v>109</v>
      </c>
      <c r="C156" s="14"/>
      <c r="D156" s="14"/>
      <c r="E156" s="14"/>
      <c r="F156" s="14"/>
      <c r="G156" s="14"/>
      <c r="H156" s="14"/>
      <c r="I156" s="14"/>
      <c r="J156" s="14"/>
      <c r="K156" s="14"/>
      <c r="L156" s="14"/>
      <c r="M156" s="14"/>
      <c r="N156" s="14"/>
      <c r="O156" s="14"/>
      <c r="P156" s="14"/>
      <c r="Q156" s="14"/>
      <c r="R156" s="14"/>
      <c r="S156" s="14"/>
      <c r="T156" s="14"/>
      <c r="U156" s="14"/>
      <c r="V156" s="14"/>
      <c r="W156" s="14"/>
    </row>
    <row r="157" spans="1:23">
      <c r="A157" s="27" t="s">
        <v>100</v>
      </c>
      <c r="B157" t="s">
        <v>60</v>
      </c>
      <c r="C157" s="14"/>
      <c r="D157" s="14"/>
      <c r="E157" s="14"/>
      <c r="F157" s="14"/>
      <c r="G157" s="14"/>
      <c r="H157" s="14"/>
      <c r="I157" s="14"/>
      <c r="J157" s="14"/>
      <c r="K157" s="14"/>
      <c r="L157" s="14"/>
      <c r="M157" s="14"/>
      <c r="N157" s="14"/>
      <c r="O157" s="14"/>
      <c r="P157" s="14"/>
      <c r="Q157" s="14"/>
      <c r="R157" s="14"/>
      <c r="S157" s="14"/>
      <c r="T157" s="14"/>
      <c r="U157" s="14"/>
      <c r="V157" s="14"/>
      <c r="W157" s="14"/>
    </row>
    <row r="158" ht="15.6" spans="1:1">
      <c r="A158" s="5" t="s">
        <v>110</v>
      </c>
    </row>
    <row r="159" spans="1:23">
      <c r="A159" s="27" t="s">
        <v>96</v>
      </c>
      <c r="B159" t="s">
        <v>60</v>
      </c>
      <c r="C159" s="14"/>
      <c r="D159" s="14"/>
      <c r="E159" s="14"/>
      <c r="F159" s="14"/>
      <c r="G159" s="14"/>
      <c r="H159" s="14"/>
      <c r="I159" s="14"/>
      <c r="J159" s="14"/>
      <c r="K159" s="14"/>
      <c r="L159" s="14"/>
      <c r="M159" s="14"/>
      <c r="N159" s="14"/>
      <c r="O159" s="14"/>
      <c r="P159" s="14"/>
      <c r="Q159" s="14"/>
      <c r="R159" s="14"/>
      <c r="S159" s="14"/>
      <c r="T159" s="14"/>
      <c r="U159" s="14"/>
      <c r="V159" s="14"/>
      <c r="W159" s="14"/>
    </row>
    <row r="160" spans="1:23">
      <c r="A160" s="27" t="s">
        <v>98</v>
      </c>
      <c r="B160" t="s">
        <v>60</v>
      </c>
      <c r="C160" s="14"/>
      <c r="D160" s="14"/>
      <c r="E160" s="14"/>
      <c r="F160" s="14"/>
      <c r="G160" s="14"/>
      <c r="H160" s="14"/>
      <c r="I160" s="14"/>
      <c r="J160" s="14"/>
      <c r="K160" s="14"/>
      <c r="L160" s="14"/>
      <c r="M160" s="14"/>
      <c r="N160" s="14"/>
      <c r="O160" s="14"/>
      <c r="P160" s="14"/>
      <c r="Q160" s="14"/>
      <c r="R160" s="14"/>
      <c r="S160" s="14"/>
      <c r="T160" s="14"/>
      <c r="U160" s="14"/>
      <c r="V160" s="14"/>
      <c r="W160" s="14"/>
    </row>
    <row r="161" spans="1:23">
      <c r="A161" s="27" t="s">
        <v>100</v>
      </c>
      <c r="B161" t="s">
        <v>60</v>
      </c>
      <c r="C161" s="39"/>
      <c r="D161" s="39"/>
      <c r="E161" s="39"/>
      <c r="F161" s="39"/>
      <c r="G161" s="39"/>
      <c r="H161" s="39"/>
      <c r="I161" s="39"/>
      <c r="J161" s="39"/>
      <c r="K161" s="39"/>
      <c r="L161" s="39"/>
      <c r="M161" s="39"/>
      <c r="N161" s="39"/>
      <c r="O161" s="39"/>
      <c r="P161" s="39"/>
      <c r="Q161" s="39"/>
      <c r="R161" s="39"/>
      <c r="S161" s="39"/>
      <c r="T161" s="39"/>
      <c r="U161" s="39"/>
      <c r="V161" s="39"/>
      <c r="W161" s="39"/>
    </row>
    <row r="162" ht="15.6" spans="1:1">
      <c r="A162" s="5" t="s">
        <v>105</v>
      </c>
    </row>
    <row r="163" spans="1:23">
      <c r="A163" s="27" t="s">
        <v>96</v>
      </c>
      <c r="B163" t="s">
        <v>60</v>
      </c>
      <c r="C163" s="14"/>
      <c r="D163" s="14"/>
      <c r="E163" s="14"/>
      <c r="F163" s="14"/>
      <c r="G163" s="14"/>
      <c r="H163" s="14"/>
      <c r="I163" s="14"/>
      <c r="J163" s="14"/>
      <c r="K163" s="14"/>
      <c r="L163" s="14"/>
      <c r="M163" s="14"/>
      <c r="N163" s="14"/>
      <c r="O163" s="14"/>
      <c r="P163" s="14"/>
      <c r="Q163" s="14"/>
      <c r="R163" s="14"/>
      <c r="S163" s="14"/>
      <c r="T163" s="14"/>
      <c r="U163" s="14"/>
      <c r="V163" s="14"/>
      <c r="W163" s="14"/>
    </row>
    <row r="164" spans="1:23">
      <c r="A164" s="27" t="s">
        <v>98</v>
      </c>
      <c r="B164" t="s">
        <v>60</v>
      </c>
      <c r="C164" s="14"/>
      <c r="D164" s="14"/>
      <c r="E164" s="14"/>
      <c r="F164" s="14"/>
      <c r="G164" s="14"/>
      <c r="H164" s="14"/>
      <c r="I164" s="14"/>
      <c r="J164" s="14"/>
      <c r="K164" s="14"/>
      <c r="L164" s="14"/>
      <c r="M164" s="14"/>
      <c r="N164" s="14"/>
      <c r="O164" s="14"/>
      <c r="P164" s="14"/>
      <c r="Q164" s="14"/>
      <c r="R164" s="14"/>
      <c r="S164" s="14"/>
      <c r="T164" s="14"/>
      <c r="U164" s="14"/>
      <c r="V164" s="14"/>
      <c r="W164" s="14"/>
    </row>
    <row r="165" spans="1:23">
      <c r="A165" s="27" t="s">
        <v>100</v>
      </c>
      <c r="B165" t="s">
        <v>60</v>
      </c>
      <c r="C165" s="14"/>
      <c r="D165" s="14"/>
      <c r="E165" s="14"/>
      <c r="F165" s="14"/>
      <c r="G165" s="14"/>
      <c r="H165" s="14"/>
      <c r="I165" s="14"/>
      <c r="J165" s="14"/>
      <c r="K165" s="14"/>
      <c r="L165" s="14"/>
      <c r="M165" s="14"/>
      <c r="N165" s="14"/>
      <c r="O165" s="14"/>
      <c r="P165" s="14"/>
      <c r="Q165" s="14"/>
      <c r="R165" s="14"/>
      <c r="S165" s="14"/>
      <c r="T165" s="14"/>
      <c r="U165" s="14"/>
      <c r="V165" s="14"/>
      <c r="W165" s="14"/>
    </row>
    <row r="166" spans="1:23">
      <c r="A166" s="31" t="s">
        <v>107</v>
      </c>
      <c r="B166" s="32" t="s">
        <v>60</v>
      </c>
      <c r="C166" s="33"/>
      <c r="D166" s="33"/>
      <c r="E166" s="33"/>
      <c r="F166" s="33"/>
      <c r="G166" s="33"/>
      <c r="H166" s="33"/>
      <c r="I166" s="33"/>
      <c r="J166" s="33"/>
      <c r="K166" s="33"/>
      <c r="L166" s="33"/>
      <c r="M166" s="33"/>
      <c r="N166" s="33"/>
      <c r="O166" s="33"/>
      <c r="P166" s="33"/>
      <c r="Q166" s="33"/>
      <c r="R166" s="33"/>
      <c r="S166" s="33"/>
      <c r="T166" s="33"/>
      <c r="U166" s="33"/>
      <c r="V166" s="33"/>
      <c r="W166" s="33"/>
    </row>
    <row r="167" ht="15.6" spans="1:23">
      <c r="A167" s="25" t="s">
        <v>94</v>
      </c>
      <c r="C167" s="12"/>
      <c r="D167" s="12"/>
      <c r="E167" s="12"/>
      <c r="F167" s="12"/>
      <c r="G167" s="12"/>
      <c r="H167" s="12"/>
      <c r="I167" s="12"/>
      <c r="J167" s="12"/>
      <c r="K167" s="12"/>
      <c r="L167" s="12"/>
      <c r="M167" s="12"/>
      <c r="N167" s="12"/>
      <c r="O167" s="12"/>
      <c r="P167" s="12"/>
      <c r="Q167" s="12"/>
      <c r="R167" s="12"/>
      <c r="S167" s="12"/>
      <c r="T167" s="12"/>
      <c r="U167" s="12"/>
      <c r="V167" s="12"/>
      <c r="W167" s="12"/>
    </row>
    <row r="168" ht="15.6" spans="1:23">
      <c r="A168" s="25" t="s">
        <v>113</v>
      </c>
      <c r="B168" t="s">
        <v>114</v>
      </c>
      <c r="C168" s="40">
        <v>35</v>
      </c>
      <c r="D168" s="40">
        <v>35</v>
      </c>
      <c r="E168" s="40">
        <v>35</v>
      </c>
      <c r="F168" s="40">
        <v>35</v>
      </c>
      <c r="G168" s="40">
        <v>35</v>
      </c>
      <c r="H168" s="40">
        <v>90</v>
      </c>
      <c r="I168" s="40">
        <v>35</v>
      </c>
      <c r="J168" s="40">
        <v>35</v>
      </c>
      <c r="K168" s="40">
        <v>35</v>
      </c>
      <c r="L168" s="40">
        <v>35</v>
      </c>
      <c r="M168" s="40">
        <v>35</v>
      </c>
      <c r="N168" s="40">
        <v>35</v>
      </c>
      <c r="O168" s="40">
        <v>35</v>
      </c>
      <c r="P168" s="40">
        <v>35</v>
      </c>
      <c r="Q168" s="40">
        <v>35</v>
      </c>
      <c r="R168" s="40">
        <v>90</v>
      </c>
      <c r="S168" s="40">
        <v>35</v>
      </c>
      <c r="T168" s="40">
        <v>35</v>
      </c>
      <c r="U168" s="40">
        <v>35</v>
      </c>
      <c r="V168" s="40">
        <v>35</v>
      </c>
      <c r="W168" s="40">
        <v>35</v>
      </c>
    </row>
    <row r="169" ht="15.6" spans="1:23">
      <c r="A169" s="25" t="s">
        <v>115</v>
      </c>
      <c r="B169" t="s">
        <v>116</v>
      </c>
      <c r="C169" s="41">
        <v>1</v>
      </c>
      <c r="D169" s="41">
        <v>1</v>
      </c>
      <c r="E169" s="41">
        <v>1</v>
      </c>
      <c r="F169" s="41">
        <v>1</v>
      </c>
      <c r="G169" s="41">
        <v>1</v>
      </c>
      <c r="H169" s="41">
        <v>1</v>
      </c>
      <c r="I169" s="41">
        <v>1</v>
      </c>
      <c r="J169" s="41">
        <v>1</v>
      </c>
      <c r="K169" s="41">
        <v>1</v>
      </c>
      <c r="L169" s="41">
        <v>1</v>
      </c>
      <c r="M169" s="41">
        <v>1</v>
      </c>
      <c r="N169" s="41">
        <v>1</v>
      </c>
      <c r="O169" s="41">
        <v>1</v>
      </c>
      <c r="P169" s="41">
        <v>1</v>
      </c>
      <c r="Q169" s="41">
        <v>1</v>
      </c>
      <c r="R169" s="41">
        <v>1</v>
      </c>
      <c r="S169" s="41">
        <v>1</v>
      </c>
      <c r="T169" s="41">
        <v>1</v>
      </c>
      <c r="U169" s="41">
        <v>1</v>
      </c>
      <c r="V169" s="41">
        <v>1</v>
      </c>
      <c r="W169" s="41">
        <v>1</v>
      </c>
    </row>
    <row r="170" ht="15.6" spans="1:1">
      <c r="A170" s="5" t="s">
        <v>95</v>
      </c>
    </row>
    <row r="171" ht="15.6" spans="1:23">
      <c r="A171" s="27" t="s">
        <v>117</v>
      </c>
      <c r="B171" t="s">
        <v>118</v>
      </c>
      <c r="C171" s="42">
        <v>45</v>
      </c>
      <c r="D171" s="42">
        <v>45</v>
      </c>
      <c r="E171" s="42">
        <v>45</v>
      </c>
      <c r="F171" s="42">
        <v>45</v>
      </c>
      <c r="G171" s="42">
        <v>45</v>
      </c>
      <c r="H171" s="42">
        <v>45</v>
      </c>
      <c r="I171" s="42">
        <v>45</v>
      </c>
      <c r="J171" s="42">
        <v>45</v>
      </c>
      <c r="K171" s="42">
        <v>45</v>
      </c>
      <c r="L171" s="42">
        <v>45</v>
      </c>
      <c r="M171" s="42">
        <v>45</v>
      </c>
      <c r="N171" s="42">
        <v>45</v>
      </c>
      <c r="O171" s="42">
        <v>45</v>
      </c>
      <c r="P171" s="42">
        <v>45</v>
      </c>
      <c r="Q171" s="42">
        <v>45</v>
      </c>
      <c r="R171" s="42">
        <v>45</v>
      </c>
      <c r="S171" s="42">
        <v>45</v>
      </c>
      <c r="T171" s="42">
        <v>45</v>
      </c>
      <c r="U171" s="42">
        <v>45</v>
      </c>
      <c r="V171" s="42">
        <v>45</v>
      </c>
      <c r="W171" s="42">
        <v>45</v>
      </c>
    </row>
    <row r="172" ht="15.6" spans="1:23">
      <c r="A172" s="27" t="s">
        <v>96</v>
      </c>
      <c r="B172" t="s">
        <v>119</v>
      </c>
      <c r="C172" s="43">
        <v>0.01</v>
      </c>
      <c r="D172" s="43">
        <v>0.01</v>
      </c>
      <c r="E172" s="43">
        <v>0.01</v>
      </c>
      <c r="F172" s="43">
        <v>0.01</v>
      </c>
      <c r="G172" s="43">
        <v>0.01</v>
      </c>
      <c r="H172" s="43">
        <v>0.01</v>
      </c>
      <c r="I172" s="43">
        <v>0.01</v>
      </c>
      <c r="J172" s="43">
        <v>0.01</v>
      </c>
      <c r="K172" s="43">
        <v>0.01</v>
      </c>
      <c r="L172" s="43">
        <v>0.01</v>
      </c>
      <c r="M172" s="43">
        <v>0.01</v>
      </c>
      <c r="N172" s="43">
        <v>0.01</v>
      </c>
      <c r="O172" s="43">
        <v>0.01</v>
      </c>
      <c r="P172" s="43">
        <v>0.01</v>
      </c>
      <c r="Q172" s="43">
        <v>0.01</v>
      </c>
      <c r="R172" s="43">
        <v>0.01</v>
      </c>
      <c r="S172" s="43">
        <v>0.01</v>
      </c>
      <c r="T172" s="43">
        <v>0.01</v>
      </c>
      <c r="U172" s="43">
        <v>0.01</v>
      </c>
      <c r="V172" s="43">
        <v>0.01</v>
      </c>
      <c r="W172" s="43">
        <v>0.01</v>
      </c>
    </row>
    <row r="173" ht="15.6" spans="1:23">
      <c r="A173" s="27" t="s">
        <v>98</v>
      </c>
      <c r="B173" t="s">
        <v>120</v>
      </c>
      <c r="C173" s="43">
        <f t="shared" ref="C173:W173" si="14">1.5*2.7556/2</f>
        <v>2.0667</v>
      </c>
      <c r="D173" s="43">
        <f t="shared" si="14"/>
        <v>2.0667</v>
      </c>
      <c r="E173" s="43">
        <f t="shared" si="14"/>
        <v>2.0667</v>
      </c>
      <c r="F173" s="43">
        <f t="shared" si="14"/>
        <v>2.0667</v>
      </c>
      <c r="G173" s="43">
        <f t="shared" si="14"/>
        <v>2.0667</v>
      </c>
      <c r="H173" s="43">
        <f t="shared" si="14"/>
        <v>2.0667</v>
      </c>
      <c r="I173" s="43">
        <f t="shared" si="14"/>
        <v>2.0667</v>
      </c>
      <c r="J173" s="43">
        <f t="shared" si="14"/>
        <v>2.0667</v>
      </c>
      <c r="K173" s="43">
        <f t="shared" si="14"/>
        <v>2.0667</v>
      </c>
      <c r="L173" s="43">
        <f t="shared" si="14"/>
        <v>2.0667</v>
      </c>
      <c r="M173" s="43">
        <f t="shared" si="14"/>
        <v>2.0667</v>
      </c>
      <c r="N173" s="43">
        <f t="shared" si="14"/>
        <v>2.0667</v>
      </c>
      <c r="O173" s="43">
        <f t="shared" si="14"/>
        <v>2.0667</v>
      </c>
      <c r="P173" s="43">
        <f t="shared" si="14"/>
        <v>2.0667</v>
      </c>
      <c r="Q173" s="43">
        <f t="shared" si="14"/>
        <v>2.0667</v>
      </c>
      <c r="R173" s="43">
        <f t="shared" si="14"/>
        <v>2.0667</v>
      </c>
      <c r="S173" s="43">
        <f t="shared" si="14"/>
        <v>2.0667</v>
      </c>
      <c r="T173" s="43">
        <f t="shared" si="14"/>
        <v>2.0667</v>
      </c>
      <c r="U173" s="43">
        <f t="shared" si="14"/>
        <v>2.0667</v>
      </c>
      <c r="V173" s="43">
        <f t="shared" si="14"/>
        <v>2.0667</v>
      </c>
      <c r="W173" s="43">
        <f t="shared" si="14"/>
        <v>2.0667</v>
      </c>
    </row>
    <row r="174" ht="15.6" spans="1:23">
      <c r="A174" s="27" t="s">
        <v>100</v>
      </c>
      <c r="B174" t="s">
        <v>121</v>
      </c>
      <c r="C174" s="28">
        <v>0.5</v>
      </c>
      <c r="D174" s="28">
        <v>0.5</v>
      </c>
      <c r="E174" s="28">
        <v>0.5</v>
      </c>
      <c r="F174" s="28">
        <v>0.5</v>
      </c>
      <c r="G174" s="28">
        <v>0.5</v>
      </c>
      <c r="H174" s="28">
        <v>0.5</v>
      </c>
      <c r="I174" s="28">
        <v>0.5</v>
      </c>
      <c r="J174" s="28">
        <v>0.5</v>
      </c>
      <c r="K174" s="28">
        <v>0.5</v>
      </c>
      <c r="L174" s="28">
        <v>0.5</v>
      </c>
      <c r="M174" s="28">
        <v>0.5</v>
      </c>
      <c r="N174" s="28">
        <v>0.5</v>
      </c>
      <c r="O174" s="28">
        <v>0.5</v>
      </c>
      <c r="P174" s="28">
        <v>0.5</v>
      </c>
      <c r="Q174" s="28">
        <v>0.5</v>
      </c>
      <c r="R174" s="28">
        <v>0.5</v>
      </c>
      <c r="S174" s="28">
        <v>0.5</v>
      </c>
      <c r="T174" s="28">
        <v>0.5</v>
      </c>
      <c r="U174" s="28">
        <v>0.5</v>
      </c>
      <c r="V174" s="28">
        <v>0.5</v>
      </c>
      <c r="W174" s="28">
        <v>0.5</v>
      </c>
    </row>
    <row r="175" ht="15.6" spans="1:23">
      <c r="A175" s="27" t="s">
        <v>122</v>
      </c>
      <c r="B175" t="s">
        <v>45</v>
      </c>
      <c r="C175" s="44"/>
      <c r="D175" s="44"/>
      <c r="E175" s="44"/>
      <c r="F175" s="44"/>
      <c r="G175" s="44"/>
      <c r="H175" s="44"/>
      <c r="I175" s="44"/>
      <c r="J175" s="44"/>
      <c r="K175" s="44"/>
      <c r="L175" s="44"/>
      <c r="M175" s="44"/>
      <c r="N175" s="44"/>
      <c r="O175" s="44"/>
      <c r="P175" s="44"/>
      <c r="Q175" s="44"/>
      <c r="R175" s="44"/>
      <c r="S175" s="44"/>
      <c r="T175" s="44"/>
      <c r="U175" s="44"/>
      <c r="V175" s="44"/>
      <c r="W175" s="44"/>
    </row>
    <row r="176" ht="15.6" spans="1:23">
      <c r="A176" s="27" t="s">
        <v>123</v>
      </c>
      <c r="B176" s="9" t="s">
        <v>51</v>
      </c>
      <c r="C176" s="44"/>
      <c r="D176" s="44"/>
      <c r="E176" s="44"/>
      <c r="F176" s="44"/>
      <c r="G176" s="44"/>
      <c r="H176" s="44"/>
      <c r="I176" s="44"/>
      <c r="J176" s="44"/>
      <c r="K176" s="44"/>
      <c r="L176" s="44"/>
      <c r="M176" s="44"/>
      <c r="N176" s="44"/>
      <c r="O176" s="44"/>
      <c r="P176" s="44"/>
      <c r="Q176" s="44"/>
      <c r="R176" s="44"/>
      <c r="S176" s="44"/>
      <c r="T176" s="44"/>
      <c r="U176" s="44"/>
      <c r="V176" s="44"/>
      <c r="W176" s="44"/>
    </row>
    <row r="177" ht="15.6" spans="1:23">
      <c r="A177" s="27" t="s">
        <v>124</v>
      </c>
      <c r="B177" s="9" t="s">
        <v>51</v>
      </c>
      <c r="C177" s="44"/>
      <c r="D177" s="44"/>
      <c r="E177" s="44"/>
      <c r="F177" s="44"/>
      <c r="G177" s="44"/>
      <c r="H177" s="44"/>
      <c r="I177" s="44"/>
      <c r="J177" s="44"/>
      <c r="K177" s="44"/>
      <c r="L177" s="44"/>
      <c r="M177" s="44"/>
      <c r="N177" s="44"/>
      <c r="O177" s="44"/>
      <c r="P177" s="44"/>
      <c r="Q177" s="44"/>
      <c r="R177" s="44"/>
      <c r="S177" s="44"/>
      <c r="T177" s="44"/>
      <c r="U177" s="44"/>
      <c r="V177" s="44"/>
      <c r="W177" s="44"/>
    </row>
    <row r="178" ht="15.6" spans="1:1">
      <c r="A178" s="5" t="s">
        <v>102</v>
      </c>
    </row>
    <row r="179" spans="1:23">
      <c r="A179" s="27" t="s">
        <v>96</v>
      </c>
      <c r="B179" t="s">
        <v>119</v>
      </c>
      <c r="C179" s="45"/>
      <c r="D179" s="45"/>
      <c r="E179" s="45"/>
      <c r="F179" s="45"/>
      <c r="G179" s="45"/>
      <c r="H179" s="45"/>
      <c r="I179" s="45"/>
      <c r="J179" s="45"/>
      <c r="K179" s="45"/>
      <c r="L179" s="45"/>
      <c r="M179" s="45"/>
      <c r="N179" s="45"/>
      <c r="O179" s="45"/>
      <c r="P179" s="45"/>
      <c r="Q179" s="45"/>
      <c r="R179" s="45"/>
      <c r="S179" s="45"/>
      <c r="T179" s="45"/>
      <c r="U179" s="45"/>
      <c r="V179" s="45"/>
      <c r="W179" s="45"/>
    </row>
    <row r="180" spans="1:23">
      <c r="A180" s="27" t="s">
        <v>98</v>
      </c>
      <c r="B180" t="s">
        <v>120</v>
      </c>
      <c r="C180" s="45"/>
      <c r="D180" s="45"/>
      <c r="E180" s="45"/>
      <c r="F180" s="45"/>
      <c r="G180" s="45"/>
      <c r="H180" s="45"/>
      <c r="I180" s="45"/>
      <c r="J180" s="45"/>
      <c r="K180" s="45"/>
      <c r="L180" s="45"/>
      <c r="M180" s="45"/>
      <c r="N180" s="45"/>
      <c r="O180" s="45"/>
      <c r="P180" s="45"/>
      <c r="Q180" s="45"/>
      <c r="R180" s="45"/>
      <c r="S180" s="45"/>
      <c r="T180" s="45"/>
      <c r="U180" s="45"/>
      <c r="V180" s="45"/>
      <c r="W180" s="45"/>
    </row>
    <row r="181" spans="1:23">
      <c r="A181" s="27" t="s">
        <v>100</v>
      </c>
      <c r="B181" t="s">
        <v>121</v>
      </c>
      <c r="C181" s="45"/>
      <c r="D181" s="45"/>
      <c r="E181" s="45"/>
      <c r="F181" s="45"/>
      <c r="G181" s="45"/>
      <c r="H181" s="45"/>
      <c r="I181" s="45"/>
      <c r="J181" s="45"/>
      <c r="K181" s="45"/>
      <c r="L181" s="45"/>
      <c r="M181" s="45"/>
      <c r="N181" s="45"/>
      <c r="O181" s="45"/>
      <c r="P181" s="45"/>
      <c r="Q181" s="45"/>
      <c r="R181" s="45"/>
      <c r="S181" s="45"/>
      <c r="T181" s="45"/>
      <c r="U181" s="45"/>
      <c r="V181" s="45"/>
      <c r="W181" s="45"/>
    </row>
    <row r="182" ht="15.6" spans="1:1">
      <c r="A182" s="5" t="s">
        <v>125</v>
      </c>
    </row>
    <row r="183" spans="1:23">
      <c r="A183" s="27" t="s">
        <v>96</v>
      </c>
      <c r="B183" t="s">
        <v>119</v>
      </c>
      <c r="C183" s="45"/>
      <c r="D183" s="45"/>
      <c r="E183" s="45"/>
      <c r="F183" s="45"/>
      <c r="G183" s="45"/>
      <c r="H183" s="45"/>
      <c r="I183" s="45"/>
      <c r="J183" s="45"/>
      <c r="K183" s="45"/>
      <c r="L183" s="45"/>
      <c r="M183" s="45"/>
      <c r="N183" s="45"/>
      <c r="O183" s="45"/>
      <c r="P183" s="45"/>
      <c r="Q183" s="45"/>
      <c r="R183" s="45"/>
      <c r="S183" s="45"/>
      <c r="T183" s="45"/>
      <c r="U183" s="45"/>
      <c r="V183" s="45"/>
      <c r="W183" s="45"/>
    </row>
    <row r="184" spans="1:23">
      <c r="A184" s="27" t="s">
        <v>98</v>
      </c>
      <c r="B184" t="s">
        <v>126</v>
      </c>
      <c r="C184" s="45"/>
      <c r="D184" s="45"/>
      <c r="E184" s="45"/>
      <c r="F184" s="45"/>
      <c r="G184" s="45"/>
      <c r="H184" s="45"/>
      <c r="I184" s="45"/>
      <c r="J184" s="45"/>
      <c r="K184" s="45"/>
      <c r="L184" s="45"/>
      <c r="M184" s="45"/>
      <c r="N184" s="45"/>
      <c r="O184" s="45"/>
      <c r="P184" s="45"/>
      <c r="Q184" s="45"/>
      <c r="R184" s="45"/>
      <c r="S184" s="45"/>
      <c r="T184" s="45"/>
      <c r="U184" s="45"/>
      <c r="V184" s="45"/>
      <c r="W184" s="45"/>
    </row>
    <row r="185" spans="1:23">
      <c r="A185" s="27" t="s">
        <v>100</v>
      </c>
      <c r="B185" t="s">
        <v>121</v>
      </c>
      <c r="C185" s="45"/>
      <c r="D185" s="45"/>
      <c r="E185" s="45"/>
      <c r="F185" s="45"/>
      <c r="G185" s="45"/>
      <c r="H185" s="45"/>
      <c r="I185" s="45"/>
      <c r="J185" s="45"/>
      <c r="K185" s="45"/>
      <c r="L185" s="45"/>
      <c r="M185" s="45"/>
      <c r="N185" s="45"/>
      <c r="O185" s="45"/>
      <c r="P185" s="45"/>
      <c r="Q185" s="45"/>
      <c r="R185" s="45"/>
      <c r="S185" s="45"/>
      <c r="T185" s="45"/>
      <c r="U185" s="45"/>
      <c r="V185" s="45"/>
      <c r="W185" s="45"/>
    </row>
    <row r="186" ht="15.6" spans="1:1">
      <c r="A186" s="5" t="s">
        <v>127</v>
      </c>
    </row>
    <row r="187" spans="1:23">
      <c r="A187" s="27" t="s">
        <v>96</v>
      </c>
      <c r="B187" t="s">
        <v>60</v>
      </c>
      <c r="C187" s="45"/>
      <c r="D187" s="45"/>
      <c r="E187" s="45"/>
      <c r="F187" s="45"/>
      <c r="G187" s="45"/>
      <c r="H187" s="45"/>
      <c r="I187" s="45"/>
      <c r="J187" s="45"/>
      <c r="K187" s="45"/>
      <c r="L187" s="45"/>
      <c r="M187" s="45"/>
      <c r="N187" s="45"/>
      <c r="O187" s="45"/>
      <c r="P187" s="45"/>
      <c r="Q187" s="45"/>
      <c r="R187" s="45"/>
      <c r="S187" s="45"/>
      <c r="T187" s="45"/>
      <c r="U187" s="45"/>
      <c r="V187" s="45"/>
      <c r="W187" s="45"/>
    </row>
    <row r="188" spans="1:23">
      <c r="A188" s="27" t="s">
        <v>98</v>
      </c>
      <c r="B188" t="s">
        <v>60</v>
      </c>
      <c r="C188" s="45"/>
      <c r="D188" s="45"/>
      <c r="E188" s="45"/>
      <c r="F188" s="45"/>
      <c r="G188" s="45"/>
      <c r="H188" s="45"/>
      <c r="I188" s="45"/>
      <c r="J188" s="45"/>
      <c r="K188" s="45"/>
      <c r="L188" s="45"/>
      <c r="M188" s="45"/>
      <c r="N188" s="45"/>
      <c r="O188" s="45"/>
      <c r="P188" s="45"/>
      <c r="Q188" s="45"/>
      <c r="R188" s="45"/>
      <c r="S188" s="45"/>
      <c r="T188" s="45"/>
      <c r="U188" s="45"/>
      <c r="V188" s="45"/>
      <c r="W188" s="45"/>
    </row>
    <row r="189" spans="1:23">
      <c r="A189" s="27" t="s">
        <v>100</v>
      </c>
      <c r="B189" t="s">
        <v>60</v>
      </c>
      <c r="C189" s="46"/>
      <c r="D189" s="46"/>
      <c r="E189" s="46"/>
      <c r="F189" s="46"/>
      <c r="G189" s="46"/>
      <c r="H189" s="46"/>
      <c r="I189" s="46"/>
      <c r="J189" s="46"/>
      <c r="K189" s="46"/>
      <c r="L189" s="46"/>
      <c r="M189" s="46"/>
      <c r="N189" s="46"/>
      <c r="O189" s="46"/>
      <c r="P189" s="46"/>
      <c r="Q189" s="46"/>
      <c r="R189" s="46"/>
      <c r="S189" s="46"/>
      <c r="T189" s="46"/>
      <c r="U189" s="46"/>
      <c r="V189" s="46"/>
      <c r="W189" s="46"/>
    </row>
    <row r="190" ht="15.6" spans="1:1">
      <c r="A190" s="5" t="s">
        <v>105</v>
      </c>
    </row>
    <row r="191" spans="1:23">
      <c r="A191" s="27" t="s">
        <v>96</v>
      </c>
      <c r="B191" t="s">
        <v>60</v>
      </c>
      <c r="C191" s="14"/>
      <c r="D191" s="14"/>
      <c r="E191" s="14"/>
      <c r="F191" s="14"/>
      <c r="G191" s="14"/>
      <c r="H191" s="14"/>
      <c r="I191" s="14"/>
      <c r="J191" s="14"/>
      <c r="K191" s="14"/>
      <c r="L191" s="14"/>
      <c r="M191" s="14"/>
      <c r="N191" s="14"/>
      <c r="O191" s="14"/>
      <c r="P191" s="14"/>
      <c r="Q191" s="14"/>
      <c r="R191" s="14"/>
      <c r="S191" s="14"/>
      <c r="T191" s="14"/>
      <c r="U191" s="14"/>
      <c r="V191" s="14"/>
      <c r="W191" s="14"/>
    </row>
    <row r="192" spans="1:23">
      <c r="A192" s="27" t="s">
        <v>98</v>
      </c>
      <c r="B192" t="s">
        <v>60</v>
      </c>
      <c r="C192" s="14"/>
      <c r="D192" s="14"/>
      <c r="E192" s="14"/>
      <c r="F192" s="14"/>
      <c r="G192" s="14"/>
      <c r="H192" s="14"/>
      <c r="I192" s="14"/>
      <c r="J192" s="14"/>
      <c r="K192" s="14"/>
      <c r="L192" s="14"/>
      <c r="M192" s="14"/>
      <c r="N192" s="14"/>
      <c r="O192" s="14"/>
      <c r="P192" s="14"/>
      <c r="Q192" s="14"/>
      <c r="R192" s="14"/>
      <c r="S192" s="14"/>
      <c r="T192" s="14"/>
      <c r="U192" s="14"/>
      <c r="V192" s="14"/>
      <c r="W192" s="14"/>
    </row>
    <row r="193" spans="1:23">
      <c r="A193" s="27" t="s">
        <v>100</v>
      </c>
      <c r="B193" t="s">
        <v>60</v>
      </c>
      <c r="C193" s="14"/>
      <c r="D193" s="14"/>
      <c r="E193" s="14"/>
      <c r="F193" s="14"/>
      <c r="G193" s="14"/>
      <c r="H193" s="14"/>
      <c r="I193" s="14"/>
      <c r="J193" s="14"/>
      <c r="K193" s="14"/>
      <c r="L193" s="14"/>
      <c r="M193" s="14"/>
      <c r="N193" s="14"/>
      <c r="O193" s="14"/>
      <c r="P193" s="14"/>
      <c r="Q193" s="14"/>
      <c r="R193" s="14"/>
      <c r="S193" s="14"/>
      <c r="T193" s="14"/>
      <c r="U193" s="14"/>
      <c r="V193" s="14"/>
      <c r="W193" s="14"/>
    </row>
    <row r="194" spans="1:23">
      <c r="A194" s="31" t="s">
        <v>107</v>
      </c>
      <c r="B194" s="32" t="s">
        <v>60</v>
      </c>
      <c r="C194" s="33"/>
      <c r="D194" s="33"/>
      <c r="E194" s="33"/>
      <c r="F194" s="33"/>
      <c r="G194" s="33"/>
      <c r="H194" s="33"/>
      <c r="I194" s="33"/>
      <c r="J194" s="33"/>
      <c r="K194" s="33"/>
      <c r="L194" s="33"/>
      <c r="M194" s="33"/>
      <c r="N194" s="33"/>
      <c r="O194" s="33"/>
      <c r="P194" s="33"/>
      <c r="Q194" s="33"/>
      <c r="R194" s="33"/>
      <c r="S194" s="33"/>
      <c r="T194" s="33"/>
      <c r="U194" s="33"/>
      <c r="V194" s="33"/>
      <c r="W194" s="33"/>
    </row>
    <row r="195" ht="15.6" spans="1:1">
      <c r="A195" s="5" t="s">
        <v>105</v>
      </c>
    </row>
    <row r="196" spans="1:23">
      <c r="A196" s="27" t="s">
        <v>96</v>
      </c>
      <c r="B196" t="s">
        <v>60</v>
      </c>
      <c r="C196" s="48"/>
      <c r="D196" s="48"/>
      <c r="E196" s="48"/>
      <c r="F196" s="48"/>
      <c r="G196" s="48"/>
      <c r="H196" s="48"/>
      <c r="I196" s="48"/>
      <c r="J196" s="48"/>
      <c r="K196" s="48"/>
      <c r="L196" s="48"/>
      <c r="M196" s="48"/>
      <c r="N196" s="48"/>
      <c r="O196" s="48"/>
      <c r="P196" s="48"/>
      <c r="Q196" s="48"/>
      <c r="R196" s="48"/>
      <c r="S196" s="48"/>
      <c r="T196" s="48"/>
      <c r="U196" s="48"/>
      <c r="V196" s="48"/>
      <c r="W196" s="48"/>
    </row>
    <row r="197" spans="1:23">
      <c r="A197" s="27" t="s">
        <v>98</v>
      </c>
      <c r="B197" t="s">
        <v>60</v>
      </c>
      <c r="C197" s="48"/>
      <c r="D197" s="48"/>
      <c r="E197" s="48"/>
      <c r="F197" s="48"/>
      <c r="G197" s="48"/>
      <c r="H197" s="48"/>
      <c r="I197" s="48"/>
      <c r="J197" s="48"/>
      <c r="K197" s="48"/>
      <c r="L197" s="48"/>
      <c r="M197" s="48"/>
      <c r="N197" s="48"/>
      <c r="O197" s="48"/>
      <c r="P197" s="48"/>
      <c r="Q197" s="48"/>
      <c r="R197" s="48"/>
      <c r="S197" s="48"/>
      <c r="T197" s="48"/>
      <c r="U197" s="48"/>
      <c r="V197" s="48"/>
      <c r="W197" s="48"/>
    </row>
    <row r="198" spans="1:23">
      <c r="A198" s="27" t="s">
        <v>100</v>
      </c>
      <c r="B198" t="s">
        <v>60</v>
      </c>
      <c r="C198" s="48"/>
      <c r="D198" s="48"/>
      <c r="E198" s="48"/>
      <c r="F198" s="48"/>
      <c r="G198" s="48"/>
      <c r="H198" s="48"/>
      <c r="I198" s="48"/>
      <c r="J198" s="48"/>
      <c r="K198" s="48"/>
      <c r="L198" s="48"/>
      <c r="M198" s="48"/>
      <c r="N198" s="48"/>
      <c r="O198" s="48"/>
      <c r="P198" s="48"/>
      <c r="Q198" s="48"/>
      <c r="R198" s="48"/>
      <c r="S198" s="48"/>
      <c r="T198" s="48"/>
      <c r="U198" s="48"/>
      <c r="V198" s="48"/>
      <c r="W198" s="48"/>
    </row>
    <row r="199" spans="1:23">
      <c r="A199" s="27" t="s">
        <v>106</v>
      </c>
      <c r="B199" t="s">
        <v>60</v>
      </c>
      <c r="C199" s="48"/>
      <c r="D199" s="48"/>
      <c r="E199" s="48"/>
      <c r="F199" s="48"/>
      <c r="G199" s="48"/>
      <c r="H199" s="48"/>
      <c r="I199" s="48"/>
      <c r="J199" s="48"/>
      <c r="K199" s="48"/>
      <c r="L199" s="48"/>
      <c r="M199" s="48"/>
      <c r="N199" s="48"/>
      <c r="O199" s="48"/>
      <c r="P199" s="48"/>
      <c r="Q199" s="48"/>
      <c r="R199" s="48"/>
      <c r="S199" s="48"/>
      <c r="T199" s="48"/>
      <c r="U199" s="48"/>
      <c r="V199" s="48"/>
      <c r="W199" s="48"/>
    </row>
    <row r="200" spans="1:23">
      <c r="A200" s="31" t="s">
        <v>107</v>
      </c>
      <c r="B200" s="32" t="s">
        <v>60</v>
      </c>
      <c r="C200" s="33"/>
      <c r="D200" s="33"/>
      <c r="E200" s="33"/>
      <c r="F200" s="33"/>
      <c r="G200" s="33"/>
      <c r="H200" s="33"/>
      <c r="I200" s="33"/>
      <c r="J200" s="33"/>
      <c r="K200" s="33"/>
      <c r="L200" s="33"/>
      <c r="M200" s="33"/>
      <c r="N200" s="33"/>
      <c r="O200" s="33"/>
      <c r="P200" s="33"/>
      <c r="Q200" s="33"/>
      <c r="R200" s="33"/>
      <c r="S200" s="33"/>
      <c r="T200" s="33"/>
      <c r="U200" s="33"/>
      <c r="V200" s="33"/>
      <c r="W200" s="33"/>
    </row>
    <row r="201" ht="15.6" spans="1:23">
      <c r="A201" s="25" t="s">
        <v>94</v>
      </c>
      <c r="C201" s="26">
        <v>1</v>
      </c>
      <c r="D201" s="26">
        <v>1</v>
      </c>
      <c r="E201" s="26">
        <v>1</v>
      </c>
      <c r="F201" s="26">
        <v>1</v>
      </c>
      <c r="G201" s="26">
        <v>1</v>
      </c>
      <c r="H201" s="26">
        <v>0</v>
      </c>
      <c r="I201" s="26">
        <v>1</v>
      </c>
      <c r="J201" s="26">
        <v>0</v>
      </c>
      <c r="K201" s="26">
        <v>1</v>
      </c>
      <c r="L201" s="26">
        <v>1</v>
      </c>
      <c r="M201" s="26">
        <v>1</v>
      </c>
      <c r="N201" s="26">
        <v>1</v>
      </c>
      <c r="O201" s="26">
        <v>1</v>
      </c>
      <c r="P201" s="26">
        <v>1</v>
      </c>
      <c r="Q201" s="26">
        <v>1</v>
      </c>
      <c r="R201" s="26">
        <v>0</v>
      </c>
      <c r="S201" s="26">
        <v>0</v>
      </c>
      <c r="T201" s="26">
        <v>1</v>
      </c>
      <c r="U201" s="26">
        <v>1</v>
      </c>
      <c r="V201" s="26">
        <v>1</v>
      </c>
      <c r="W201" s="26">
        <v>1</v>
      </c>
    </row>
    <row r="202" ht="15.6" spans="1:1">
      <c r="A202" s="5" t="s">
        <v>95</v>
      </c>
    </row>
    <row r="203" ht="15.6" spans="1:23">
      <c r="A203" s="27" t="s">
        <v>96</v>
      </c>
      <c r="B203" t="s">
        <v>108</v>
      </c>
      <c r="C203" s="28">
        <v>0.25</v>
      </c>
      <c r="D203" s="28">
        <v>0.25</v>
      </c>
      <c r="E203" s="28">
        <v>0.25</v>
      </c>
      <c r="F203" s="28">
        <v>0.25</v>
      </c>
      <c r="G203" s="28">
        <v>0.25</v>
      </c>
      <c r="H203" s="28">
        <v>0.25</v>
      </c>
      <c r="I203" s="28">
        <v>0.25</v>
      </c>
      <c r="J203" s="28">
        <v>0.25</v>
      </c>
      <c r="K203" s="28">
        <v>0.25</v>
      </c>
      <c r="L203" s="28">
        <v>0.25</v>
      </c>
      <c r="M203" s="28">
        <v>0.25</v>
      </c>
      <c r="N203" s="28">
        <v>0.25</v>
      </c>
      <c r="O203" s="28">
        <v>0.25</v>
      </c>
      <c r="P203" s="28">
        <v>0.25</v>
      </c>
      <c r="Q203" s="28">
        <v>0.25</v>
      </c>
      <c r="R203" s="28">
        <v>0.25</v>
      </c>
      <c r="S203" s="28">
        <v>0.25</v>
      </c>
      <c r="T203" s="28">
        <v>0.25</v>
      </c>
      <c r="U203" s="28">
        <v>0.25</v>
      </c>
      <c r="V203" s="28">
        <v>0.25</v>
      </c>
      <c r="W203" s="28">
        <v>0.25</v>
      </c>
    </row>
    <row r="204" ht="15.6" spans="1:23">
      <c r="A204" s="27" t="s">
        <v>98</v>
      </c>
      <c r="B204" t="s">
        <v>109</v>
      </c>
      <c r="C204" s="28">
        <v>0.05</v>
      </c>
      <c r="D204" s="28">
        <v>0.05</v>
      </c>
      <c r="E204" s="28">
        <v>0.05</v>
      </c>
      <c r="F204" s="28">
        <v>0.05</v>
      </c>
      <c r="G204" s="28">
        <v>0.05</v>
      </c>
      <c r="H204" s="28">
        <v>0.05</v>
      </c>
      <c r="I204" s="28">
        <v>0.05</v>
      </c>
      <c r="J204" s="28">
        <v>0.05</v>
      </c>
      <c r="K204" s="28">
        <v>0.05</v>
      </c>
      <c r="L204" s="28">
        <v>0.05</v>
      </c>
      <c r="M204" s="28">
        <v>0.05</v>
      </c>
      <c r="N204" s="28">
        <v>0.05</v>
      </c>
      <c r="O204" s="28">
        <v>0.05</v>
      </c>
      <c r="P204" s="28">
        <v>0.05</v>
      </c>
      <c r="Q204" s="28">
        <v>0.05</v>
      </c>
      <c r="R204" s="28">
        <v>0.05</v>
      </c>
      <c r="S204" s="28">
        <v>0.05</v>
      </c>
      <c r="T204" s="28">
        <v>0.05</v>
      </c>
      <c r="U204" s="28">
        <v>0.05</v>
      </c>
      <c r="V204" s="28">
        <v>0.05</v>
      </c>
      <c r="W204" s="28">
        <v>0.05</v>
      </c>
    </row>
    <row r="205" ht="15.6" spans="1:23">
      <c r="A205" s="27" t="s">
        <v>100</v>
      </c>
      <c r="B205" t="s">
        <v>60</v>
      </c>
      <c r="C205" s="28">
        <v>0.5</v>
      </c>
      <c r="D205" s="28">
        <v>0.5</v>
      </c>
      <c r="E205" s="28">
        <v>0.5</v>
      </c>
      <c r="F205" s="28">
        <v>0.5</v>
      </c>
      <c r="G205" s="28">
        <v>0.5</v>
      </c>
      <c r="H205" s="28">
        <v>0.5</v>
      </c>
      <c r="I205" s="28">
        <v>0.5</v>
      </c>
      <c r="J205" s="28">
        <v>0.5</v>
      </c>
      <c r="K205" s="28">
        <v>0.5</v>
      </c>
      <c r="L205" s="28">
        <v>0.5</v>
      </c>
      <c r="M205" s="28">
        <v>0.5</v>
      </c>
      <c r="N205" s="28">
        <v>0.5</v>
      </c>
      <c r="O205" s="28">
        <v>0.5</v>
      </c>
      <c r="P205" s="28">
        <v>0.5</v>
      </c>
      <c r="Q205" s="28">
        <v>0.5</v>
      </c>
      <c r="R205" s="28">
        <v>0.5</v>
      </c>
      <c r="S205" s="28">
        <v>0.5</v>
      </c>
      <c r="T205" s="28">
        <v>0.5</v>
      </c>
      <c r="U205" s="28">
        <v>0.5</v>
      </c>
      <c r="V205" s="28">
        <v>0.5</v>
      </c>
      <c r="W205" s="28">
        <v>0.5</v>
      </c>
    </row>
    <row r="206" ht="15.6" spans="1:23">
      <c r="A206" s="27" t="s">
        <v>106</v>
      </c>
      <c r="B206" t="s">
        <v>60</v>
      </c>
      <c r="C206" s="28">
        <f t="shared" ref="C206:W206" si="15">1.75/C$26</f>
        <v>0.795454545454545</v>
      </c>
      <c r="D206" s="28">
        <f t="shared" si="15"/>
        <v>0.795454545454545</v>
      </c>
      <c r="E206" s="28">
        <f t="shared" si="15"/>
        <v>0.795454545454545</v>
      </c>
      <c r="F206" s="28">
        <f t="shared" si="15"/>
        <v>0.795454545454545</v>
      </c>
      <c r="G206" s="28">
        <f t="shared" si="15"/>
        <v>0.795454545454545</v>
      </c>
      <c r="H206" s="28">
        <f t="shared" si="15"/>
        <v>0.795454545454545</v>
      </c>
      <c r="I206" s="28">
        <f t="shared" si="15"/>
        <v>0.795454545454545</v>
      </c>
      <c r="J206" s="28">
        <f t="shared" si="15"/>
        <v>0.795454545454545</v>
      </c>
      <c r="K206" s="28">
        <f t="shared" si="15"/>
        <v>0.795454545454545</v>
      </c>
      <c r="L206" s="28">
        <f t="shared" si="15"/>
        <v>0.795454545454545</v>
      </c>
      <c r="M206" s="28">
        <f t="shared" si="15"/>
        <v>0.795454545454545</v>
      </c>
      <c r="N206" s="28">
        <f t="shared" si="15"/>
        <v>0.795454545454545</v>
      </c>
      <c r="O206" s="28">
        <f t="shared" si="15"/>
        <v>0.795454545454545</v>
      </c>
      <c r="P206" s="28">
        <f t="shared" si="15"/>
        <v>0.795454545454545</v>
      </c>
      <c r="Q206" s="28">
        <f t="shared" si="15"/>
        <v>0.795454545454545</v>
      </c>
      <c r="R206" s="28">
        <f t="shared" si="15"/>
        <v>0.795454545454545</v>
      </c>
      <c r="S206" s="28">
        <f t="shared" si="15"/>
        <v>0.795454545454545</v>
      </c>
      <c r="T206" s="28">
        <f t="shared" si="15"/>
        <v>0.795454545454545</v>
      </c>
      <c r="U206" s="28">
        <f t="shared" si="15"/>
        <v>0.795454545454545</v>
      </c>
      <c r="V206" s="28">
        <f t="shared" si="15"/>
        <v>0.795454545454545</v>
      </c>
      <c r="W206" s="28">
        <f t="shared" si="15"/>
        <v>0.795454545454545</v>
      </c>
    </row>
    <row r="207" ht="15.6" spans="1:1">
      <c r="A207" s="5" t="s">
        <v>102</v>
      </c>
    </row>
    <row r="208" spans="1:23">
      <c r="A208" s="27" t="s">
        <v>96</v>
      </c>
      <c r="B208" t="s">
        <v>108</v>
      </c>
      <c r="C208" s="14"/>
      <c r="D208" s="14"/>
      <c r="E208" s="14"/>
      <c r="F208" s="14"/>
      <c r="G208" s="14"/>
      <c r="H208" s="14"/>
      <c r="I208" s="14"/>
      <c r="J208" s="14"/>
      <c r="K208" s="14"/>
      <c r="L208" s="14"/>
      <c r="M208" s="14"/>
      <c r="N208" s="14"/>
      <c r="O208" s="14"/>
      <c r="P208" s="14"/>
      <c r="Q208" s="14"/>
      <c r="R208" s="14"/>
      <c r="S208" s="14"/>
      <c r="T208" s="14"/>
      <c r="U208" s="14"/>
      <c r="V208" s="14"/>
      <c r="W208" s="14"/>
    </row>
    <row r="209" spans="1:23">
      <c r="A209" s="27" t="s">
        <v>98</v>
      </c>
      <c r="B209" t="s">
        <v>109</v>
      </c>
      <c r="C209" s="14"/>
      <c r="D209" s="14"/>
      <c r="E209" s="14"/>
      <c r="F209" s="14"/>
      <c r="G209" s="14"/>
      <c r="H209" s="14"/>
      <c r="I209" s="14"/>
      <c r="J209" s="14"/>
      <c r="K209" s="14"/>
      <c r="L209" s="14"/>
      <c r="M209" s="14"/>
      <c r="N209" s="14"/>
      <c r="O209" s="14"/>
      <c r="P209" s="14"/>
      <c r="Q209" s="14"/>
      <c r="R209" s="14"/>
      <c r="S209" s="14"/>
      <c r="T209" s="14"/>
      <c r="U209" s="14"/>
      <c r="V209" s="14"/>
      <c r="W209" s="14"/>
    </row>
    <row r="210" spans="1:23">
      <c r="A210" s="27" t="s">
        <v>100</v>
      </c>
      <c r="B210" t="s">
        <v>60</v>
      </c>
      <c r="C210" s="14"/>
      <c r="D210" s="14"/>
      <c r="E210" s="14"/>
      <c r="F210" s="14"/>
      <c r="G210" s="14"/>
      <c r="H210" s="14"/>
      <c r="I210" s="14"/>
      <c r="J210" s="14"/>
      <c r="K210" s="14"/>
      <c r="L210" s="14"/>
      <c r="M210" s="14"/>
      <c r="N210" s="14"/>
      <c r="O210" s="14"/>
      <c r="P210" s="14"/>
      <c r="Q210" s="14"/>
      <c r="R210" s="14"/>
      <c r="S210" s="14"/>
      <c r="T210" s="14"/>
      <c r="U210" s="14"/>
      <c r="V210" s="14"/>
      <c r="W210" s="14"/>
    </row>
    <row r="211" spans="1:23">
      <c r="A211" s="27" t="s">
        <v>106</v>
      </c>
      <c r="B211" t="s">
        <v>60</v>
      </c>
      <c r="C211" s="14"/>
      <c r="D211" s="14"/>
      <c r="E211" s="14"/>
      <c r="F211" s="14"/>
      <c r="G211" s="14"/>
      <c r="H211" s="14"/>
      <c r="I211" s="14"/>
      <c r="J211" s="14"/>
      <c r="K211" s="14"/>
      <c r="L211" s="14"/>
      <c r="M211" s="14"/>
      <c r="N211" s="14"/>
      <c r="O211" s="14"/>
      <c r="P211" s="14"/>
      <c r="Q211" s="14"/>
      <c r="R211" s="14"/>
      <c r="S211" s="14"/>
      <c r="T211" s="14"/>
      <c r="U211" s="14"/>
      <c r="V211" s="14"/>
      <c r="W211" s="14"/>
    </row>
    <row r="212" ht="15.6" spans="1:1">
      <c r="A212" s="5" t="s">
        <v>110</v>
      </c>
    </row>
    <row r="213" spans="1:23">
      <c r="A213" s="27" t="s">
        <v>96</v>
      </c>
      <c r="B213" t="s">
        <v>108</v>
      </c>
      <c r="C213" s="14"/>
      <c r="D213" s="14"/>
      <c r="E213" s="14"/>
      <c r="F213" s="14"/>
      <c r="G213" s="14"/>
      <c r="H213" s="14"/>
      <c r="I213" s="14"/>
      <c r="J213" s="14"/>
      <c r="K213" s="14"/>
      <c r="L213" s="14"/>
      <c r="M213" s="14"/>
      <c r="N213" s="14"/>
      <c r="O213" s="14"/>
      <c r="P213" s="14"/>
      <c r="Q213" s="14"/>
      <c r="R213" s="14"/>
      <c r="S213" s="14"/>
      <c r="T213" s="14"/>
      <c r="U213" s="14"/>
      <c r="V213" s="14"/>
      <c r="W213" s="14"/>
    </row>
    <row r="214" spans="1:23">
      <c r="A214" s="27" t="s">
        <v>98</v>
      </c>
      <c r="B214" t="s">
        <v>109</v>
      </c>
      <c r="C214" s="14"/>
      <c r="D214" s="14"/>
      <c r="E214" s="14"/>
      <c r="F214" s="14"/>
      <c r="G214" s="14"/>
      <c r="H214" s="14"/>
      <c r="I214" s="14"/>
      <c r="J214" s="14"/>
      <c r="K214" s="14"/>
      <c r="L214" s="14"/>
      <c r="M214" s="14"/>
      <c r="N214" s="14"/>
      <c r="O214" s="14"/>
      <c r="P214" s="14"/>
      <c r="Q214" s="14"/>
      <c r="R214" s="14"/>
      <c r="S214" s="14"/>
      <c r="T214" s="14"/>
      <c r="U214" s="14"/>
      <c r="V214" s="14"/>
      <c r="W214" s="14"/>
    </row>
    <row r="215" spans="1:23">
      <c r="A215" s="27" t="s">
        <v>100</v>
      </c>
      <c r="B215" t="s">
        <v>60</v>
      </c>
      <c r="C215" s="29"/>
      <c r="D215" s="29"/>
      <c r="E215" s="29"/>
      <c r="F215" s="29"/>
      <c r="G215" s="29"/>
      <c r="H215" s="29"/>
      <c r="I215" s="29"/>
      <c r="J215" s="29"/>
      <c r="K215" s="29"/>
      <c r="L215" s="29"/>
      <c r="M215" s="29"/>
      <c r="N215" s="29"/>
      <c r="O215" s="29"/>
      <c r="P215" s="29"/>
      <c r="Q215" s="29"/>
      <c r="R215" s="29"/>
      <c r="S215" s="29"/>
      <c r="T215" s="29"/>
      <c r="U215" s="29"/>
      <c r="V215" s="29"/>
      <c r="W215" s="29"/>
    </row>
    <row r="216" spans="1:23">
      <c r="A216" s="27" t="s">
        <v>106</v>
      </c>
      <c r="B216" t="s">
        <v>60</v>
      </c>
      <c r="C216" s="29"/>
      <c r="D216" s="29"/>
      <c r="E216" s="29"/>
      <c r="F216" s="29"/>
      <c r="G216" s="29"/>
      <c r="H216" s="29"/>
      <c r="I216" s="29"/>
      <c r="J216" s="29"/>
      <c r="K216" s="29"/>
      <c r="L216" s="29"/>
      <c r="M216" s="29"/>
      <c r="N216" s="29"/>
      <c r="O216" s="29"/>
      <c r="P216" s="29"/>
      <c r="Q216" s="29"/>
      <c r="R216" s="29"/>
      <c r="S216" s="29"/>
      <c r="T216" s="29"/>
      <c r="U216" s="29"/>
      <c r="V216" s="29"/>
      <c r="W216" s="29"/>
    </row>
    <row r="217" ht="15.6" spans="1:23">
      <c r="A217" s="5" t="s">
        <v>128</v>
      </c>
      <c r="C217" s="27"/>
      <c r="D217" s="27"/>
      <c r="E217" s="27"/>
      <c r="F217" s="27"/>
      <c r="G217" s="27"/>
      <c r="H217" s="27"/>
      <c r="I217" s="27"/>
      <c r="J217" s="27"/>
      <c r="K217" s="27"/>
      <c r="L217" s="27"/>
      <c r="M217" s="27"/>
      <c r="N217" s="27"/>
      <c r="O217" s="27"/>
      <c r="P217" s="27"/>
      <c r="Q217" s="27"/>
      <c r="R217" s="27"/>
      <c r="S217" s="27"/>
      <c r="T217" s="27"/>
      <c r="U217" s="27"/>
      <c r="V217" s="27"/>
      <c r="W217" s="27"/>
    </row>
    <row r="218" spans="1:23">
      <c r="A218" s="27" t="s">
        <v>96</v>
      </c>
      <c r="B218" t="s">
        <v>108</v>
      </c>
      <c r="C218" s="14"/>
      <c r="D218" s="14"/>
      <c r="E218" s="14"/>
      <c r="F218" s="14"/>
      <c r="G218" s="14"/>
      <c r="H218" s="14"/>
      <c r="I218" s="14"/>
      <c r="J218" s="14"/>
      <c r="K218" s="14"/>
      <c r="L218" s="14"/>
      <c r="M218" s="14"/>
      <c r="N218" s="14"/>
      <c r="O218" s="14"/>
      <c r="P218" s="14"/>
      <c r="Q218" s="14"/>
      <c r="R218" s="14"/>
      <c r="S218" s="14"/>
      <c r="T218" s="14"/>
      <c r="U218" s="14"/>
      <c r="V218" s="14"/>
      <c r="W218" s="14"/>
    </row>
    <row r="219" spans="1:23">
      <c r="A219" s="27" t="s">
        <v>98</v>
      </c>
      <c r="B219" t="s">
        <v>109</v>
      </c>
      <c r="C219" s="14"/>
      <c r="D219" s="14"/>
      <c r="E219" s="14"/>
      <c r="F219" s="14"/>
      <c r="G219" s="14"/>
      <c r="H219" s="14"/>
      <c r="I219" s="14"/>
      <c r="J219" s="14"/>
      <c r="K219" s="14"/>
      <c r="L219" s="14"/>
      <c r="M219" s="14"/>
      <c r="N219" s="14"/>
      <c r="O219" s="14"/>
      <c r="P219" s="14"/>
      <c r="Q219" s="14"/>
      <c r="R219" s="14"/>
      <c r="S219" s="14"/>
      <c r="T219" s="14"/>
      <c r="U219" s="14"/>
      <c r="V219" s="14"/>
      <c r="W219" s="14"/>
    </row>
    <row r="220" spans="1:23">
      <c r="A220" s="27" t="s">
        <v>100</v>
      </c>
      <c r="B220" t="s">
        <v>60</v>
      </c>
      <c r="C220" s="14"/>
      <c r="D220" s="14"/>
      <c r="E220" s="14"/>
      <c r="F220" s="14"/>
      <c r="G220" s="14"/>
      <c r="H220" s="14"/>
      <c r="I220" s="14"/>
      <c r="J220" s="14"/>
      <c r="K220" s="14"/>
      <c r="L220" s="14"/>
      <c r="M220" s="14"/>
      <c r="N220" s="14"/>
      <c r="O220" s="14"/>
      <c r="P220" s="14"/>
      <c r="Q220" s="14"/>
      <c r="R220" s="14"/>
      <c r="S220" s="14"/>
      <c r="T220" s="14"/>
      <c r="U220" s="14"/>
      <c r="V220" s="14"/>
      <c r="W220" s="14"/>
    </row>
    <row r="221" spans="1:23">
      <c r="A221" s="27" t="s">
        <v>106</v>
      </c>
      <c r="B221" t="s">
        <v>60</v>
      </c>
      <c r="C221" s="49">
        <v>0</v>
      </c>
      <c r="D221" s="49">
        <v>0</v>
      </c>
      <c r="E221" s="49">
        <v>0</v>
      </c>
      <c r="F221" s="49">
        <v>0</v>
      </c>
      <c r="G221" s="49">
        <v>0</v>
      </c>
      <c r="H221" s="49">
        <v>0</v>
      </c>
      <c r="I221" s="49">
        <v>0</v>
      </c>
      <c r="J221" s="49">
        <v>0</v>
      </c>
      <c r="K221" s="49">
        <v>0</v>
      </c>
      <c r="L221" s="49">
        <v>0</v>
      </c>
      <c r="M221" s="49">
        <v>0</v>
      </c>
      <c r="N221" s="49">
        <v>0</v>
      </c>
      <c r="O221" s="49">
        <v>0</v>
      </c>
      <c r="P221" s="49">
        <v>0</v>
      </c>
      <c r="Q221" s="49">
        <v>0</v>
      </c>
      <c r="R221" s="49">
        <v>0</v>
      </c>
      <c r="S221" s="49">
        <v>0</v>
      </c>
      <c r="T221" s="49">
        <v>0</v>
      </c>
      <c r="U221" s="49">
        <v>0</v>
      </c>
      <c r="V221" s="49">
        <v>0</v>
      </c>
      <c r="W221" s="49">
        <v>0</v>
      </c>
    </row>
    <row r="222" ht="15.6" spans="1:1">
      <c r="A222" s="5" t="s">
        <v>105</v>
      </c>
    </row>
    <row r="223" spans="1:23">
      <c r="A223" s="27" t="s">
        <v>96</v>
      </c>
      <c r="B223" t="s">
        <v>60</v>
      </c>
      <c r="C223" s="29"/>
      <c r="D223" s="29"/>
      <c r="E223" s="29"/>
      <c r="F223" s="29"/>
      <c r="G223" s="29"/>
      <c r="H223" s="29"/>
      <c r="I223" s="29"/>
      <c r="J223" s="29"/>
      <c r="K223" s="29"/>
      <c r="L223" s="29"/>
      <c r="M223" s="29"/>
      <c r="N223" s="29"/>
      <c r="O223" s="29"/>
      <c r="P223" s="29"/>
      <c r="Q223" s="29"/>
      <c r="R223" s="29"/>
      <c r="S223" s="29"/>
      <c r="T223" s="29"/>
      <c r="U223" s="29"/>
      <c r="V223" s="29"/>
      <c r="W223" s="29"/>
    </row>
    <row r="224" spans="1:23">
      <c r="A224" s="27" t="s">
        <v>98</v>
      </c>
      <c r="B224" t="s">
        <v>60</v>
      </c>
      <c r="C224" s="29"/>
      <c r="D224" s="29"/>
      <c r="E224" s="29"/>
      <c r="F224" s="29"/>
      <c r="G224" s="29"/>
      <c r="H224" s="29"/>
      <c r="I224" s="29"/>
      <c r="J224" s="29"/>
      <c r="K224" s="29"/>
      <c r="L224" s="29"/>
      <c r="M224" s="29"/>
      <c r="N224" s="29"/>
      <c r="O224" s="29"/>
      <c r="P224" s="29"/>
      <c r="Q224" s="29"/>
      <c r="R224" s="29"/>
      <c r="S224" s="29"/>
      <c r="T224" s="29"/>
      <c r="U224" s="29"/>
      <c r="V224" s="29"/>
      <c r="W224" s="29"/>
    </row>
    <row r="225" spans="1:23">
      <c r="A225" s="27" t="s">
        <v>100</v>
      </c>
      <c r="B225" t="s">
        <v>60</v>
      </c>
      <c r="C225" s="29"/>
      <c r="D225" s="29"/>
      <c r="E225" s="29"/>
      <c r="F225" s="29"/>
      <c r="G225" s="29"/>
      <c r="H225" s="29"/>
      <c r="I225" s="29"/>
      <c r="J225" s="29"/>
      <c r="K225" s="29"/>
      <c r="L225" s="29"/>
      <c r="M225" s="29"/>
      <c r="N225" s="29"/>
      <c r="O225" s="29"/>
      <c r="P225" s="29"/>
      <c r="Q225" s="29"/>
      <c r="R225" s="29"/>
      <c r="S225" s="29"/>
      <c r="T225" s="29"/>
      <c r="U225" s="29"/>
      <c r="V225" s="29"/>
      <c r="W225" s="29"/>
    </row>
    <row r="226" spans="1:23">
      <c r="A226" s="27" t="s">
        <v>106</v>
      </c>
      <c r="B226" t="s">
        <v>60</v>
      </c>
      <c r="C226" s="29"/>
      <c r="D226" s="29"/>
      <c r="E226" s="29"/>
      <c r="F226" s="29"/>
      <c r="G226" s="29"/>
      <c r="H226" s="29"/>
      <c r="I226" s="29"/>
      <c r="J226" s="29"/>
      <c r="K226" s="29"/>
      <c r="L226" s="29"/>
      <c r="M226" s="29"/>
      <c r="N226" s="29"/>
      <c r="O226" s="29"/>
      <c r="P226" s="29"/>
      <c r="Q226" s="29"/>
      <c r="R226" s="29"/>
      <c r="S226" s="29"/>
      <c r="T226" s="29"/>
      <c r="U226" s="29"/>
      <c r="V226" s="29"/>
      <c r="W226" s="29"/>
    </row>
    <row r="227" spans="1:23">
      <c r="A227" s="31" t="s">
        <v>107</v>
      </c>
      <c r="B227" s="32" t="s">
        <v>60</v>
      </c>
      <c r="C227" s="33"/>
      <c r="D227" s="33"/>
      <c r="E227" s="33"/>
      <c r="F227" s="33"/>
      <c r="G227" s="33"/>
      <c r="H227" s="33"/>
      <c r="I227" s="33"/>
      <c r="J227" s="33"/>
      <c r="K227" s="33"/>
      <c r="L227" s="33"/>
      <c r="M227" s="33"/>
      <c r="N227" s="33"/>
      <c r="O227" s="33"/>
      <c r="P227" s="33"/>
      <c r="Q227" s="33"/>
      <c r="R227" s="33"/>
      <c r="S227" s="33"/>
      <c r="T227" s="33"/>
      <c r="U227" s="33"/>
      <c r="V227" s="33"/>
      <c r="W227" s="33"/>
    </row>
    <row r="228" ht="15.6" spans="1:23">
      <c r="A228" s="25" t="s">
        <v>94</v>
      </c>
      <c r="C228" s="10">
        <v>0</v>
      </c>
      <c r="D228" s="10">
        <v>0</v>
      </c>
      <c r="E228" s="10">
        <v>0</v>
      </c>
      <c r="F228" s="10">
        <v>0</v>
      </c>
      <c r="G228" s="10">
        <v>0</v>
      </c>
      <c r="H228" s="10">
        <v>0</v>
      </c>
      <c r="I228" s="10">
        <v>0</v>
      </c>
      <c r="J228" s="10">
        <v>0</v>
      </c>
      <c r="K228" s="10">
        <v>0</v>
      </c>
      <c r="L228" s="10">
        <v>0</v>
      </c>
      <c r="M228" s="10">
        <v>0</v>
      </c>
      <c r="N228" s="10">
        <v>0</v>
      </c>
      <c r="O228" s="10">
        <v>0</v>
      </c>
      <c r="P228" s="10">
        <v>0</v>
      </c>
      <c r="Q228" s="10">
        <v>0</v>
      </c>
      <c r="R228" s="10">
        <v>0</v>
      </c>
      <c r="S228" s="10">
        <v>0</v>
      </c>
      <c r="T228" s="10">
        <v>0</v>
      </c>
      <c r="U228" s="10">
        <v>0</v>
      </c>
      <c r="V228" s="10">
        <v>0</v>
      </c>
      <c r="W228" s="10">
        <v>0</v>
      </c>
    </row>
    <row r="229" ht="15.6" spans="1:23">
      <c r="A229" s="25" t="s">
        <v>111</v>
      </c>
      <c r="B229" t="s">
        <v>112</v>
      </c>
      <c r="C229" s="40">
        <v>200</v>
      </c>
      <c r="D229" s="40">
        <v>400</v>
      </c>
      <c r="E229" s="40">
        <v>400</v>
      </c>
      <c r="F229" s="40">
        <v>150</v>
      </c>
      <c r="G229" s="40">
        <v>150</v>
      </c>
      <c r="H229" s="40">
        <v>200</v>
      </c>
      <c r="I229" s="40">
        <v>200</v>
      </c>
      <c r="J229" s="40">
        <v>200</v>
      </c>
      <c r="K229" s="40">
        <v>200</v>
      </c>
      <c r="L229" s="40">
        <v>200</v>
      </c>
      <c r="M229" s="40">
        <v>200</v>
      </c>
      <c r="N229" s="40">
        <v>200</v>
      </c>
      <c r="O229" s="40">
        <v>200</v>
      </c>
      <c r="P229" s="40">
        <v>200</v>
      </c>
      <c r="Q229" s="40">
        <v>200</v>
      </c>
      <c r="R229" s="40">
        <v>200</v>
      </c>
      <c r="S229" s="40">
        <v>200</v>
      </c>
      <c r="T229" s="40">
        <v>200</v>
      </c>
      <c r="U229" s="40">
        <v>200</v>
      </c>
      <c r="V229" s="40">
        <v>200</v>
      </c>
      <c r="W229" s="40">
        <v>200</v>
      </c>
    </row>
    <row r="230" ht="15.6" spans="1:1">
      <c r="A230" s="5" t="s">
        <v>95</v>
      </c>
    </row>
    <row r="231" ht="15.6" spans="1:23">
      <c r="A231" s="27" t="s">
        <v>96</v>
      </c>
      <c r="B231" t="s">
        <v>108</v>
      </c>
      <c r="C231" s="28">
        <f t="shared" ref="C231:W231" si="16">15/200</f>
        <v>0.075</v>
      </c>
      <c r="D231" s="28">
        <f t="shared" si="16"/>
        <v>0.075</v>
      </c>
      <c r="E231" s="28">
        <f t="shared" si="16"/>
        <v>0.075</v>
      </c>
      <c r="F231" s="28">
        <f t="shared" si="16"/>
        <v>0.075</v>
      </c>
      <c r="G231" s="28">
        <f t="shared" si="16"/>
        <v>0.075</v>
      </c>
      <c r="H231" s="28">
        <f t="shared" si="16"/>
        <v>0.075</v>
      </c>
      <c r="I231" s="28">
        <f t="shared" si="16"/>
        <v>0.075</v>
      </c>
      <c r="J231" s="28">
        <f t="shared" si="16"/>
        <v>0.075</v>
      </c>
      <c r="K231" s="28">
        <f t="shared" si="16"/>
        <v>0.075</v>
      </c>
      <c r="L231" s="28">
        <f t="shared" si="16"/>
        <v>0.075</v>
      </c>
      <c r="M231" s="28">
        <f t="shared" si="16"/>
        <v>0.075</v>
      </c>
      <c r="N231" s="28">
        <f t="shared" si="16"/>
        <v>0.075</v>
      </c>
      <c r="O231" s="28">
        <f t="shared" si="16"/>
        <v>0.075</v>
      </c>
      <c r="P231" s="28">
        <f t="shared" si="16"/>
        <v>0.075</v>
      </c>
      <c r="Q231" s="28">
        <f t="shared" si="16"/>
        <v>0.075</v>
      </c>
      <c r="R231" s="28">
        <f t="shared" si="16"/>
        <v>0.075</v>
      </c>
      <c r="S231" s="28">
        <f t="shared" si="16"/>
        <v>0.075</v>
      </c>
      <c r="T231" s="28">
        <f t="shared" si="16"/>
        <v>0.075</v>
      </c>
      <c r="U231" s="28">
        <f t="shared" si="16"/>
        <v>0.075</v>
      </c>
      <c r="V231" s="28">
        <f t="shared" si="16"/>
        <v>0.075</v>
      </c>
      <c r="W231" s="28">
        <f t="shared" si="16"/>
        <v>0.075</v>
      </c>
    </row>
    <row r="232" ht="15.6" spans="1:23">
      <c r="A232" s="27" t="s">
        <v>98</v>
      </c>
      <c r="B232" t="s">
        <v>109</v>
      </c>
      <c r="C232" s="28">
        <f t="shared" ref="C232:W232" si="17">1.5/200</f>
        <v>0.0075</v>
      </c>
      <c r="D232" s="28">
        <f t="shared" si="17"/>
        <v>0.0075</v>
      </c>
      <c r="E232" s="28">
        <f t="shared" si="17"/>
        <v>0.0075</v>
      </c>
      <c r="F232" s="28">
        <f t="shared" si="17"/>
        <v>0.0075</v>
      </c>
      <c r="G232" s="28">
        <f t="shared" si="17"/>
        <v>0.0075</v>
      </c>
      <c r="H232" s="28">
        <f t="shared" si="17"/>
        <v>0.0075</v>
      </c>
      <c r="I232" s="28">
        <f t="shared" si="17"/>
        <v>0.0075</v>
      </c>
      <c r="J232" s="28">
        <f t="shared" si="17"/>
        <v>0.0075</v>
      </c>
      <c r="K232" s="28">
        <f t="shared" si="17"/>
        <v>0.0075</v>
      </c>
      <c r="L232" s="28">
        <f t="shared" si="17"/>
        <v>0.0075</v>
      </c>
      <c r="M232" s="28">
        <f t="shared" si="17"/>
        <v>0.0075</v>
      </c>
      <c r="N232" s="28">
        <f t="shared" si="17"/>
        <v>0.0075</v>
      </c>
      <c r="O232" s="28">
        <f t="shared" si="17"/>
        <v>0.0075</v>
      </c>
      <c r="P232" s="28">
        <f t="shared" si="17"/>
        <v>0.0075</v>
      </c>
      <c r="Q232" s="28">
        <f t="shared" si="17"/>
        <v>0.0075</v>
      </c>
      <c r="R232" s="28">
        <f t="shared" si="17"/>
        <v>0.0075</v>
      </c>
      <c r="S232" s="28">
        <f t="shared" si="17"/>
        <v>0.0075</v>
      </c>
      <c r="T232" s="28">
        <f t="shared" si="17"/>
        <v>0.0075</v>
      </c>
      <c r="U232" s="28">
        <f t="shared" si="17"/>
        <v>0.0075</v>
      </c>
      <c r="V232" s="28">
        <f t="shared" si="17"/>
        <v>0.0075</v>
      </c>
      <c r="W232" s="28">
        <f t="shared" si="17"/>
        <v>0.0075</v>
      </c>
    </row>
    <row r="233" ht="15.6" spans="1:23">
      <c r="A233" s="27" t="s">
        <v>100</v>
      </c>
      <c r="B233" t="s">
        <v>60</v>
      </c>
      <c r="C233" s="28">
        <f t="shared" ref="C233:W233" si="18">50/200</f>
        <v>0.25</v>
      </c>
      <c r="D233" s="28">
        <f t="shared" si="18"/>
        <v>0.25</v>
      </c>
      <c r="E233" s="28">
        <f t="shared" si="18"/>
        <v>0.25</v>
      </c>
      <c r="F233" s="28">
        <f t="shared" si="18"/>
        <v>0.25</v>
      </c>
      <c r="G233" s="28">
        <f t="shared" si="18"/>
        <v>0.25</v>
      </c>
      <c r="H233" s="28">
        <f t="shared" si="18"/>
        <v>0.25</v>
      </c>
      <c r="I233" s="28">
        <f t="shared" si="18"/>
        <v>0.25</v>
      </c>
      <c r="J233" s="28">
        <f t="shared" si="18"/>
        <v>0.25</v>
      </c>
      <c r="K233" s="28">
        <f t="shared" si="18"/>
        <v>0.25</v>
      </c>
      <c r="L233" s="28">
        <f t="shared" si="18"/>
        <v>0.25</v>
      </c>
      <c r="M233" s="28">
        <f t="shared" si="18"/>
        <v>0.25</v>
      </c>
      <c r="N233" s="28">
        <f t="shared" si="18"/>
        <v>0.25</v>
      </c>
      <c r="O233" s="28">
        <f t="shared" si="18"/>
        <v>0.25</v>
      </c>
      <c r="P233" s="28">
        <f t="shared" si="18"/>
        <v>0.25</v>
      </c>
      <c r="Q233" s="28">
        <f t="shared" si="18"/>
        <v>0.25</v>
      </c>
      <c r="R233" s="28">
        <f t="shared" si="18"/>
        <v>0.25</v>
      </c>
      <c r="S233" s="28">
        <f t="shared" si="18"/>
        <v>0.25</v>
      </c>
      <c r="T233" s="28">
        <f t="shared" si="18"/>
        <v>0.25</v>
      </c>
      <c r="U233" s="28">
        <f t="shared" si="18"/>
        <v>0.25</v>
      </c>
      <c r="V233" s="28">
        <f t="shared" si="18"/>
        <v>0.25</v>
      </c>
      <c r="W233" s="28">
        <f t="shared" si="18"/>
        <v>0.25</v>
      </c>
    </row>
    <row r="234" ht="15.6" spans="1:1">
      <c r="A234" s="5" t="s">
        <v>102</v>
      </c>
    </row>
    <row r="235" spans="1:23">
      <c r="A235" s="27" t="s">
        <v>96</v>
      </c>
      <c r="B235" t="s">
        <v>108</v>
      </c>
      <c r="C235" s="14"/>
      <c r="D235" s="14"/>
      <c r="E235" s="14"/>
      <c r="F235" s="14"/>
      <c r="G235" s="14"/>
      <c r="H235" s="14"/>
      <c r="I235" s="14"/>
      <c r="J235" s="14"/>
      <c r="K235" s="14"/>
      <c r="L235" s="14"/>
      <c r="M235" s="14"/>
      <c r="N235" s="14"/>
      <c r="O235" s="14"/>
      <c r="P235" s="14"/>
      <c r="Q235" s="14"/>
      <c r="R235" s="14"/>
      <c r="S235" s="14"/>
      <c r="T235" s="14"/>
      <c r="U235" s="14"/>
      <c r="V235" s="14"/>
      <c r="W235" s="14"/>
    </row>
    <row r="236" spans="1:23">
      <c r="A236" s="27" t="s">
        <v>98</v>
      </c>
      <c r="B236" t="s">
        <v>109</v>
      </c>
      <c r="C236" s="14"/>
      <c r="D236" s="14"/>
      <c r="E236" s="14"/>
      <c r="F236" s="14"/>
      <c r="G236" s="14"/>
      <c r="H236" s="14"/>
      <c r="I236" s="14"/>
      <c r="J236" s="14"/>
      <c r="K236" s="14"/>
      <c r="L236" s="14"/>
      <c r="M236" s="14"/>
      <c r="N236" s="14"/>
      <c r="O236" s="14"/>
      <c r="P236" s="14"/>
      <c r="Q236" s="14"/>
      <c r="R236" s="14"/>
      <c r="S236" s="14"/>
      <c r="T236" s="14"/>
      <c r="U236" s="14"/>
      <c r="V236" s="14"/>
      <c r="W236" s="14"/>
    </row>
    <row r="237" spans="1:23">
      <c r="A237" s="27" t="s">
        <v>100</v>
      </c>
      <c r="B237" t="s">
        <v>60</v>
      </c>
      <c r="C237" s="14"/>
      <c r="D237" s="14"/>
      <c r="E237" s="14"/>
      <c r="F237" s="14"/>
      <c r="G237" s="14"/>
      <c r="H237" s="14"/>
      <c r="I237" s="14"/>
      <c r="J237" s="14"/>
      <c r="K237" s="14"/>
      <c r="L237" s="14"/>
      <c r="M237" s="14"/>
      <c r="N237" s="14"/>
      <c r="O237" s="14"/>
      <c r="P237" s="14"/>
      <c r="Q237" s="14"/>
      <c r="R237" s="14"/>
      <c r="S237" s="14"/>
      <c r="T237" s="14"/>
      <c r="U237" s="14"/>
      <c r="V237" s="14"/>
      <c r="W237" s="14"/>
    </row>
    <row r="238" ht="15.6" spans="1:1">
      <c r="A238" s="5" t="s">
        <v>110</v>
      </c>
    </row>
    <row r="239" spans="1:23">
      <c r="A239" s="27" t="s">
        <v>96</v>
      </c>
      <c r="B239" t="s">
        <v>60</v>
      </c>
      <c r="C239" s="14"/>
      <c r="D239" s="14"/>
      <c r="E239" s="14"/>
      <c r="F239" s="14"/>
      <c r="G239" s="14"/>
      <c r="H239" s="14"/>
      <c r="I239" s="14"/>
      <c r="J239" s="14"/>
      <c r="K239" s="14"/>
      <c r="L239" s="14"/>
      <c r="M239" s="14"/>
      <c r="N239" s="14"/>
      <c r="O239" s="14"/>
      <c r="P239" s="14"/>
      <c r="Q239" s="14"/>
      <c r="R239" s="14"/>
      <c r="S239" s="14"/>
      <c r="T239" s="14"/>
      <c r="U239" s="14"/>
      <c r="V239" s="14"/>
      <c r="W239" s="14"/>
    </row>
    <row r="240" spans="1:23">
      <c r="A240" s="27" t="s">
        <v>98</v>
      </c>
      <c r="B240" t="s">
        <v>60</v>
      </c>
      <c r="C240" s="14"/>
      <c r="D240" s="14"/>
      <c r="E240" s="14"/>
      <c r="F240" s="14"/>
      <c r="G240" s="14"/>
      <c r="H240" s="14"/>
      <c r="I240" s="14"/>
      <c r="J240" s="14"/>
      <c r="K240" s="14"/>
      <c r="L240" s="14"/>
      <c r="M240" s="14"/>
      <c r="N240" s="14"/>
      <c r="O240" s="14"/>
      <c r="P240" s="14"/>
      <c r="Q240" s="14"/>
      <c r="R240" s="14"/>
      <c r="S240" s="14"/>
      <c r="T240" s="14"/>
      <c r="U240" s="14"/>
      <c r="V240" s="14"/>
      <c r="W240" s="14"/>
    </row>
    <row r="241" spans="1:23">
      <c r="A241" s="27" t="s">
        <v>100</v>
      </c>
      <c r="B241" t="s">
        <v>60</v>
      </c>
      <c r="C241" s="39"/>
      <c r="D241" s="39"/>
      <c r="E241" s="39"/>
      <c r="F241" s="39"/>
      <c r="G241" s="39"/>
      <c r="H241" s="39"/>
      <c r="I241" s="39"/>
      <c r="J241" s="39"/>
      <c r="K241" s="39"/>
      <c r="L241" s="39"/>
      <c r="M241" s="39"/>
      <c r="N241" s="39"/>
      <c r="O241" s="39"/>
      <c r="P241" s="39"/>
      <c r="Q241" s="39"/>
      <c r="R241" s="39"/>
      <c r="S241" s="39"/>
      <c r="T241" s="39"/>
      <c r="U241" s="39"/>
      <c r="V241" s="39"/>
      <c r="W241" s="39"/>
    </row>
    <row r="242" ht="15.6" spans="1:1">
      <c r="A242" s="5" t="s">
        <v>105</v>
      </c>
    </row>
    <row r="243" spans="1:23">
      <c r="A243" s="27" t="s">
        <v>96</v>
      </c>
      <c r="B243" t="s">
        <v>60</v>
      </c>
      <c r="C243" s="50"/>
      <c r="D243" s="50"/>
      <c r="E243" s="50"/>
      <c r="F243" s="50"/>
      <c r="G243" s="50"/>
      <c r="H243" s="50"/>
      <c r="I243" s="50"/>
      <c r="J243" s="50"/>
      <c r="K243" s="50"/>
      <c r="L243" s="50"/>
      <c r="M243" s="50"/>
      <c r="N243" s="50"/>
      <c r="O243" s="50"/>
      <c r="P243" s="50"/>
      <c r="Q243" s="50"/>
      <c r="R243" s="50"/>
      <c r="S243" s="50"/>
      <c r="T243" s="50"/>
      <c r="U243" s="50"/>
      <c r="V243" s="50"/>
      <c r="W243" s="50"/>
    </row>
    <row r="244" spans="1:23">
      <c r="A244" s="27" t="s">
        <v>98</v>
      </c>
      <c r="B244" t="s">
        <v>60</v>
      </c>
      <c r="C244" s="50"/>
      <c r="D244" s="50"/>
      <c r="E244" s="50"/>
      <c r="F244" s="50"/>
      <c r="G244" s="50"/>
      <c r="H244" s="50"/>
      <c r="I244" s="50"/>
      <c r="J244" s="50"/>
      <c r="K244" s="50"/>
      <c r="L244" s="50"/>
      <c r="M244" s="50"/>
      <c r="N244" s="50"/>
      <c r="O244" s="50"/>
      <c r="P244" s="50"/>
      <c r="Q244" s="50"/>
      <c r="R244" s="50"/>
      <c r="S244" s="50"/>
      <c r="T244" s="50"/>
      <c r="U244" s="50"/>
      <c r="V244" s="50"/>
      <c r="W244" s="50"/>
    </row>
    <row r="245" spans="1:23">
      <c r="A245" s="27" t="s">
        <v>100</v>
      </c>
      <c r="B245" t="s">
        <v>60</v>
      </c>
      <c r="C245" s="50"/>
      <c r="D245" s="50"/>
      <c r="E245" s="50"/>
      <c r="F245" s="50"/>
      <c r="G245" s="50"/>
      <c r="H245" s="50"/>
      <c r="I245" s="50"/>
      <c r="J245" s="50"/>
      <c r="K245" s="50"/>
      <c r="L245" s="50"/>
      <c r="M245" s="50"/>
      <c r="N245" s="50"/>
      <c r="O245" s="50"/>
      <c r="P245" s="50"/>
      <c r="Q245" s="50"/>
      <c r="R245" s="50"/>
      <c r="S245" s="50"/>
      <c r="T245" s="50"/>
      <c r="U245" s="50"/>
      <c r="V245" s="50"/>
      <c r="W245" s="50"/>
    </row>
    <row r="246" spans="1:23">
      <c r="A246" s="31" t="s">
        <v>107</v>
      </c>
      <c r="B246" s="32" t="s">
        <v>60</v>
      </c>
      <c r="C246" s="33"/>
      <c r="D246" s="33"/>
      <c r="E246" s="33"/>
      <c r="F246" s="33"/>
      <c r="G246" s="33"/>
      <c r="H246" s="33"/>
      <c r="I246" s="33"/>
      <c r="J246" s="33"/>
      <c r="K246" s="33"/>
      <c r="L246" s="33"/>
      <c r="M246" s="33"/>
      <c r="N246" s="33"/>
      <c r="O246" s="33"/>
      <c r="P246" s="33"/>
      <c r="Q246" s="33"/>
      <c r="R246" s="33"/>
      <c r="S246" s="33"/>
      <c r="T246" s="33"/>
      <c r="U246" s="33"/>
      <c r="V246" s="33"/>
      <c r="W246" s="33"/>
    </row>
    <row r="247" ht="15.6" spans="1:23">
      <c r="A247" s="25" t="s">
        <v>94</v>
      </c>
      <c r="C247" s="12"/>
      <c r="D247" s="12"/>
      <c r="E247" s="12"/>
      <c r="F247" s="12"/>
      <c r="G247" s="12"/>
      <c r="H247" s="12"/>
      <c r="I247" s="12"/>
      <c r="J247" s="12"/>
      <c r="K247" s="12"/>
      <c r="L247" s="12"/>
      <c r="M247" s="12"/>
      <c r="N247" s="12"/>
      <c r="O247" s="12"/>
      <c r="P247" s="12"/>
      <c r="Q247" s="12"/>
      <c r="R247" s="12"/>
      <c r="S247" s="12"/>
      <c r="T247" s="12"/>
      <c r="U247" s="12"/>
      <c r="V247" s="12"/>
      <c r="W247" s="12"/>
    </row>
    <row r="248" ht="15.6" spans="1:23">
      <c r="A248" s="25" t="s">
        <v>113</v>
      </c>
      <c r="B248" t="s">
        <v>114</v>
      </c>
      <c r="C248" s="40">
        <v>60</v>
      </c>
      <c r="D248" s="40">
        <v>100</v>
      </c>
      <c r="E248" s="40">
        <v>80</v>
      </c>
      <c r="F248" s="40">
        <v>80</v>
      </c>
      <c r="G248" s="40">
        <v>80</v>
      </c>
      <c r="H248" s="40">
        <v>60</v>
      </c>
      <c r="I248" s="40">
        <v>60</v>
      </c>
      <c r="J248" s="40">
        <v>60</v>
      </c>
      <c r="K248" s="40">
        <v>60</v>
      </c>
      <c r="L248" s="40">
        <v>60</v>
      </c>
      <c r="M248" s="40">
        <v>60</v>
      </c>
      <c r="N248" s="40">
        <v>60</v>
      </c>
      <c r="O248" s="40">
        <v>60</v>
      </c>
      <c r="P248" s="40">
        <v>60</v>
      </c>
      <c r="Q248" s="40">
        <v>60</v>
      </c>
      <c r="R248" s="40">
        <v>60</v>
      </c>
      <c r="S248" s="40">
        <v>60</v>
      </c>
      <c r="T248" s="40">
        <v>60</v>
      </c>
      <c r="U248" s="40">
        <v>60</v>
      </c>
      <c r="V248" s="40">
        <v>60</v>
      </c>
      <c r="W248" s="40">
        <v>60</v>
      </c>
    </row>
    <row r="249" ht="15.6" spans="1:23">
      <c r="A249" s="25" t="s">
        <v>115</v>
      </c>
      <c r="B249" t="s">
        <v>116</v>
      </c>
      <c r="C249" s="41">
        <v>1</v>
      </c>
      <c r="D249" s="41">
        <v>1</v>
      </c>
      <c r="E249" s="41">
        <v>1</v>
      </c>
      <c r="F249" s="41">
        <v>1</v>
      </c>
      <c r="G249" s="41">
        <v>1</v>
      </c>
      <c r="H249" s="41">
        <v>1</v>
      </c>
      <c r="I249" s="41">
        <v>1</v>
      </c>
      <c r="J249" s="41">
        <v>1</v>
      </c>
      <c r="K249" s="41">
        <v>1</v>
      </c>
      <c r="L249" s="41">
        <v>1</v>
      </c>
      <c r="M249" s="41">
        <v>1</v>
      </c>
      <c r="N249" s="41">
        <v>1</v>
      </c>
      <c r="O249" s="41">
        <v>1</v>
      </c>
      <c r="P249" s="41">
        <v>1</v>
      </c>
      <c r="Q249" s="41">
        <v>1</v>
      </c>
      <c r="R249" s="41">
        <v>1</v>
      </c>
      <c r="S249" s="41">
        <v>1</v>
      </c>
      <c r="T249" s="41">
        <v>1</v>
      </c>
      <c r="U249" s="41">
        <v>1</v>
      </c>
      <c r="V249" s="41">
        <v>1</v>
      </c>
      <c r="W249" s="41">
        <v>1</v>
      </c>
    </row>
    <row r="250" ht="15.6" spans="1:1">
      <c r="A250" s="5" t="s">
        <v>95</v>
      </c>
    </row>
    <row r="251" ht="15.6" spans="1:23">
      <c r="A251" s="27" t="s">
        <v>117</v>
      </c>
      <c r="B251" t="s">
        <v>118</v>
      </c>
      <c r="C251" s="42">
        <v>45</v>
      </c>
      <c r="D251" s="42">
        <v>45</v>
      </c>
      <c r="E251" s="42">
        <v>45</v>
      </c>
      <c r="F251" s="42">
        <v>45</v>
      </c>
      <c r="G251" s="42">
        <v>45</v>
      </c>
      <c r="H251" s="42">
        <v>45</v>
      </c>
      <c r="I251" s="42">
        <v>45</v>
      </c>
      <c r="J251" s="42">
        <v>45</v>
      </c>
      <c r="K251" s="42">
        <v>45</v>
      </c>
      <c r="L251" s="42">
        <v>45</v>
      </c>
      <c r="M251" s="42">
        <v>45</v>
      </c>
      <c r="N251" s="42">
        <v>45</v>
      </c>
      <c r="O251" s="42">
        <v>45</v>
      </c>
      <c r="P251" s="42">
        <v>45</v>
      </c>
      <c r="Q251" s="42">
        <v>45</v>
      </c>
      <c r="R251" s="42">
        <v>45</v>
      </c>
      <c r="S251" s="42">
        <v>45</v>
      </c>
      <c r="T251" s="42">
        <v>45</v>
      </c>
      <c r="U251" s="42">
        <v>45</v>
      </c>
      <c r="V251" s="42">
        <v>45</v>
      </c>
      <c r="W251" s="42">
        <v>45</v>
      </c>
    </row>
    <row r="252" ht="15.6" spans="1:23">
      <c r="A252" s="27" t="s">
        <v>96</v>
      </c>
      <c r="B252" t="s">
        <v>119</v>
      </c>
      <c r="C252" s="43">
        <v>0.01</v>
      </c>
      <c r="D252" s="43">
        <v>0.01</v>
      </c>
      <c r="E252" s="43">
        <v>0.01</v>
      </c>
      <c r="F252" s="43">
        <v>0.01</v>
      </c>
      <c r="G252" s="43">
        <v>0.01</v>
      </c>
      <c r="H252" s="43">
        <v>0.01</v>
      </c>
      <c r="I252" s="43">
        <v>0.01</v>
      </c>
      <c r="J252" s="43">
        <v>0.01</v>
      </c>
      <c r="K252" s="43">
        <v>0.01</v>
      </c>
      <c r="L252" s="43">
        <v>0.01</v>
      </c>
      <c r="M252" s="43">
        <v>0.01</v>
      </c>
      <c r="N252" s="43">
        <v>0.01</v>
      </c>
      <c r="O252" s="43">
        <v>0.01</v>
      </c>
      <c r="P252" s="43">
        <v>0.01</v>
      </c>
      <c r="Q252" s="43">
        <v>0.01</v>
      </c>
      <c r="R252" s="43">
        <v>0.01</v>
      </c>
      <c r="S252" s="43">
        <v>0.01</v>
      </c>
      <c r="T252" s="43">
        <v>0.01</v>
      </c>
      <c r="U252" s="43">
        <v>0.01</v>
      </c>
      <c r="V252" s="43">
        <v>0.01</v>
      </c>
      <c r="W252" s="43">
        <v>0.01</v>
      </c>
    </row>
    <row r="253" ht="15.6" spans="1:23">
      <c r="A253" s="27" t="s">
        <v>98</v>
      </c>
      <c r="B253" t="s">
        <v>120</v>
      </c>
      <c r="C253" s="43">
        <f t="shared" ref="C253:W253" si="19">1.5*2.7556/2</f>
        <v>2.0667</v>
      </c>
      <c r="D253" s="43">
        <f t="shared" si="19"/>
        <v>2.0667</v>
      </c>
      <c r="E253" s="43">
        <f t="shared" si="19"/>
        <v>2.0667</v>
      </c>
      <c r="F253" s="43">
        <f t="shared" si="19"/>
        <v>2.0667</v>
      </c>
      <c r="G253" s="43">
        <f t="shared" si="19"/>
        <v>2.0667</v>
      </c>
      <c r="H253" s="43">
        <f t="shared" si="19"/>
        <v>2.0667</v>
      </c>
      <c r="I253" s="43">
        <f t="shared" si="19"/>
        <v>2.0667</v>
      </c>
      <c r="J253" s="43">
        <f t="shared" si="19"/>
        <v>2.0667</v>
      </c>
      <c r="K253" s="43">
        <f t="shared" si="19"/>
        <v>2.0667</v>
      </c>
      <c r="L253" s="43">
        <f t="shared" si="19"/>
        <v>2.0667</v>
      </c>
      <c r="M253" s="43">
        <f t="shared" si="19"/>
        <v>2.0667</v>
      </c>
      <c r="N253" s="43">
        <f t="shared" si="19"/>
        <v>2.0667</v>
      </c>
      <c r="O253" s="43">
        <f t="shared" si="19"/>
        <v>2.0667</v>
      </c>
      <c r="P253" s="43">
        <f t="shared" si="19"/>
        <v>2.0667</v>
      </c>
      <c r="Q253" s="43">
        <f t="shared" si="19"/>
        <v>2.0667</v>
      </c>
      <c r="R253" s="43">
        <f t="shared" si="19"/>
        <v>2.0667</v>
      </c>
      <c r="S253" s="43">
        <f t="shared" si="19"/>
        <v>2.0667</v>
      </c>
      <c r="T253" s="43">
        <f t="shared" si="19"/>
        <v>2.0667</v>
      </c>
      <c r="U253" s="43">
        <f t="shared" si="19"/>
        <v>2.0667</v>
      </c>
      <c r="V253" s="43">
        <f t="shared" si="19"/>
        <v>2.0667</v>
      </c>
      <c r="W253" s="43">
        <f t="shared" si="19"/>
        <v>2.0667</v>
      </c>
    </row>
    <row r="254" ht="15.6" spans="1:23">
      <c r="A254" s="27" t="s">
        <v>100</v>
      </c>
      <c r="B254" t="s">
        <v>121</v>
      </c>
      <c r="C254" s="28">
        <v>0.5</v>
      </c>
      <c r="D254" s="28">
        <v>0.5</v>
      </c>
      <c r="E254" s="28">
        <v>0.5</v>
      </c>
      <c r="F254" s="28">
        <v>0.5</v>
      </c>
      <c r="G254" s="28">
        <v>0.5</v>
      </c>
      <c r="H254" s="28">
        <v>0.5</v>
      </c>
      <c r="I254" s="28">
        <v>0.5</v>
      </c>
      <c r="J254" s="28">
        <v>0.5</v>
      </c>
      <c r="K254" s="28">
        <v>0.5</v>
      </c>
      <c r="L254" s="28">
        <v>0.5</v>
      </c>
      <c r="M254" s="28">
        <v>0.5</v>
      </c>
      <c r="N254" s="28">
        <v>0.5</v>
      </c>
      <c r="O254" s="28">
        <v>0.5</v>
      </c>
      <c r="P254" s="28">
        <v>0.5</v>
      </c>
      <c r="Q254" s="28">
        <v>0.5</v>
      </c>
      <c r="R254" s="28">
        <v>0.5</v>
      </c>
      <c r="S254" s="28">
        <v>0.5</v>
      </c>
      <c r="T254" s="28">
        <v>0.5</v>
      </c>
      <c r="U254" s="28">
        <v>0.5</v>
      </c>
      <c r="V254" s="28">
        <v>0.5</v>
      </c>
      <c r="W254" s="28">
        <v>0.5</v>
      </c>
    </row>
    <row r="255" ht="15.6" spans="1:23">
      <c r="A255" s="27" t="s">
        <v>122</v>
      </c>
      <c r="B255" t="s">
        <v>45</v>
      </c>
      <c r="C255" s="44"/>
      <c r="D255" s="44"/>
      <c r="E255" s="44"/>
      <c r="F255" s="44"/>
      <c r="G255" s="44"/>
      <c r="H255" s="44"/>
      <c r="I255" s="44"/>
      <c r="J255" s="44"/>
      <c r="K255" s="44"/>
      <c r="L255" s="44"/>
      <c r="M255" s="44"/>
      <c r="N255" s="44"/>
      <c r="O255" s="44"/>
      <c r="P255" s="44"/>
      <c r="Q255" s="44"/>
      <c r="R255" s="44"/>
      <c r="S255" s="44"/>
      <c r="T255" s="44"/>
      <c r="U255" s="44"/>
      <c r="V255" s="44"/>
      <c r="W255" s="44"/>
    </row>
    <row r="256" ht="15.6" spans="1:23">
      <c r="A256" s="27" t="s">
        <v>123</v>
      </c>
      <c r="B256" s="9" t="s">
        <v>51</v>
      </c>
      <c r="C256" s="44"/>
      <c r="D256" s="44"/>
      <c r="E256" s="44"/>
      <c r="F256" s="44"/>
      <c r="G256" s="44"/>
      <c r="H256" s="44"/>
      <c r="I256" s="44"/>
      <c r="J256" s="44"/>
      <c r="K256" s="44"/>
      <c r="L256" s="44"/>
      <c r="M256" s="44"/>
      <c r="N256" s="44"/>
      <c r="O256" s="44"/>
      <c r="P256" s="44"/>
      <c r="Q256" s="44"/>
      <c r="R256" s="44"/>
      <c r="S256" s="44"/>
      <c r="T256" s="44"/>
      <c r="U256" s="44"/>
      <c r="V256" s="44"/>
      <c r="W256" s="44"/>
    </row>
    <row r="257" ht="15.6" spans="1:23">
      <c r="A257" s="27" t="s">
        <v>124</v>
      </c>
      <c r="B257" s="9" t="s">
        <v>51</v>
      </c>
      <c r="C257" s="44"/>
      <c r="D257" s="44"/>
      <c r="E257" s="44"/>
      <c r="F257" s="44"/>
      <c r="G257" s="44"/>
      <c r="H257" s="44"/>
      <c r="I257" s="44"/>
      <c r="J257" s="44"/>
      <c r="K257" s="44"/>
      <c r="L257" s="44"/>
      <c r="M257" s="44"/>
      <c r="N257" s="44"/>
      <c r="O257" s="44"/>
      <c r="P257" s="44"/>
      <c r="Q257" s="44"/>
      <c r="R257" s="44"/>
      <c r="S257" s="44"/>
      <c r="T257" s="44"/>
      <c r="U257" s="44"/>
      <c r="V257" s="44"/>
      <c r="W257" s="44"/>
    </row>
    <row r="258" ht="15.6" spans="1:1">
      <c r="A258" s="5" t="s">
        <v>102</v>
      </c>
    </row>
    <row r="259" spans="1:23">
      <c r="A259" s="27" t="s">
        <v>96</v>
      </c>
      <c r="B259" t="s">
        <v>119</v>
      </c>
      <c r="C259" s="45"/>
      <c r="D259" s="45"/>
      <c r="E259" s="45"/>
      <c r="F259" s="45"/>
      <c r="G259" s="45"/>
      <c r="H259" s="45"/>
      <c r="I259" s="45"/>
      <c r="J259" s="45"/>
      <c r="K259" s="45"/>
      <c r="L259" s="45"/>
      <c r="M259" s="45"/>
      <c r="N259" s="45"/>
      <c r="O259" s="45"/>
      <c r="P259" s="45"/>
      <c r="Q259" s="45"/>
      <c r="R259" s="45"/>
      <c r="S259" s="45"/>
      <c r="T259" s="45"/>
      <c r="U259" s="45"/>
      <c r="V259" s="45"/>
      <c r="W259" s="45"/>
    </row>
    <row r="260" spans="1:23">
      <c r="A260" s="27" t="s">
        <v>98</v>
      </c>
      <c r="B260" t="s">
        <v>120</v>
      </c>
      <c r="C260" s="45"/>
      <c r="D260" s="45"/>
      <c r="E260" s="45"/>
      <c r="F260" s="45"/>
      <c r="G260" s="45"/>
      <c r="H260" s="45"/>
      <c r="I260" s="45"/>
      <c r="J260" s="45"/>
      <c r="K260" s="45"/>
      <c r="L260" s="45"/>
      <c r="M260" s="45"/>
      <c r="N260" s="45"/>
      <c r="O260" s="45"/>
      <c r="P260" s="45"/>
      <c r="Q260" s="45"/>
      <c r="R260" s="45"/>
      <c r="S260" s="45"/>
      <c r="T260" s="45"/>
      <c r="U260" s="45"/>
      <c r="V260" s="45"/>
      <c r="W260" s="45"/>
    </row>
    <row r="261" spans="1:23">
      <c r="A261" s="27" t="s">
        <v>100</v>
      </c>
      <c r="B261" t="s">
        <v>121</v>
      </c>
      <c r="C261" s="45"/>
      <c r="D261" s="45"/>
      <c r="E261" s="45"/>
      <c r="F261" s="45"/>
      <c r="G261" s="45"/>
      <c r="H261" s="45"/>
      <c r="I261" s="45"/>
      <c r="J261" s="45"/>
      <c r="K261" s="45"/>
      <c r="L261" s="45"/>
      <c r="M261" s="45"/>
      <c r="N261" s="45"/>
      <c r="O261" s="45"/>
      <c r="P261" s="45"/>
      <c r="Q261" s="45"/>
      <c r="R261" s="45"/>
      <c r="S261" s="45"/>
      <c r="T261" s="45"/>
      <c r="U261" s="45"/>
      <c r="V261" s="45"/>
      <c r="W261" s="45"/>
    </row>
    <row r="262" ht="15.6" spans="1:1">
      <c r="A262" s="5" t="s">
        <v>125</v>
      </c>
    </row>
    <row r="263" spans="1:23">
      <c r="A263" s="27" t="s">
        <v>96</v>
      </c>
      <c r="B263" t="s">
        <v>119</v>
      </c>
      <c r="C263" s="45"/>
      <c r="D263" s="45"/>
      <c r="E263" s="45"/>
      <c r="F263" s="45"/>
      <c r="G263" s="45"/>
      <c r="H263" s="45"/>
      <c r="I263" s="45"/>
      <c r="J263" s="45"/>
      <c r="K263" s="45"/>
      <c r="L263" s="45"/>
      <c r="M263" s="45"/>
      <c r="N263" s="45"/>
      <c r="O263" s="45"/>
      <c r="P263" s="45"/>
      <c r="Q263" s="45"/>
      <c r="R263" s="45"/>
      <c r="S263" s="45"/>
      <c r="T263" s="45"/>
      <c r="U263" s="45"/>
      <c r="V263" s="45"/>
      <c r="W263" s="45"/>
    </row>
    <row r="264" spans="1:23">
      <c r="A264" s="27" t="s">
        <v>98</v>
      </c>
      <c r="B264" t="s">
        <v>126</v>
      </c>
      <c r="C264" s="45"/>
      <c r="D264" s="45"/>
      <c r="E264" s="45"/>
      <c r="F264" s="45"/>
      <c r="G264" s="45"/>
      <c r="H264" s="45"/>
      <c r="I264" s="45"/>
      <c r="J264" s="45"/>
      <c r="K264" s="45"/>
      <c r="L264" s="45"/>
      <c r="M264" s="45"/>
      <c r="N264" s="45"/>
      <c r="O264" s="45"/>
      <c r="P264" s="45"/>
      <c r="Q264" s="45"/>
      <c r="R264" s="45"/>
      <c r="S264" s="45"/>
      <c r="T264" s="45"/>
      <c r="U264" s="45"/>
      <c r="V264" s="45"/>
      <c r="W264" s="45"/>
    </row>
    <row r="265" spans="1:23">
      <c r="A265" s="27" t="s">
        <v>100</v>
      </c>
      <c r="B265" t="s">
        <v>121</v>
      </c>
      <c r="C265" s="45"/>
      <c r="D265" s="45"/>
      <c r="E265" s="45"/>
      <c r="F265" s="45"/>
      <c r="G265" s="45"/>
      <c r="H265" s="45"/>
      <c r="I265" s="45"/>
      <c r="J265" s="45"/>
      <c r="K265" s="45"/>
      <c r="L265" s="45"/>
      <c r="M265" s="45"/>
      <c r="N265" s="45"/>
      <c r="O265" s="45"/>
      <c r="P265" s="45"/>
      <c r="Q265" s="45"/>
      <c r="R265" s="45"/>
      <c r="S265" s="45"/>
      <c r="T265" s="45"/>
      <c r="U265" s="45"/>
      <c r="V265" s="45"/>
      <c r="W265" s="45"/>
    </row>
    <row r="266" ht="15.6" spans="1:1">
      <c r="A266" s="5" t="s">
        <v>127</v>
      </c>
    </row>
    <row r="267" spans="1:23">
      <c r="A267" s="27" t="s">
        <v>96</v>
      </c>
      <c r="B267" t="s">
        <v>60</v>
      </c>
      <c r="C267" s="45"/>
      <c r="D267" s="45"/>
      <c r="E267" s="45"/>
      <c r="F267" s="45"/>
      <c r="G267" s="45"/>
      <c r="H267" s="45"/>
      <c r="I267" s="45"/>
      <c r="J267" s="45"/>
      <c r="K267" s="45"/>
      <c r="L267" s="45"/>
      <c r="M267" s="45"/>
      <c r="N267" s="45"/>
      <c r="O267" s="45"/>
      <c r="P267" s="45"/>
      <c r="Q267" s="45"/>
      <c r="R267" s="45"/>
      <c r="S267" s="45"/>
      <c r="T267" s="45"/>
      <c r="U267" s="45"/>
      <c r="V267" s="45"/>
      <c r="W267" s="45"/>
    </row>
    <row r="268" spans="1:23">
      <c r="A268" s="27" t="s">
        <v>98</v>
      </c>
      <c r="B268" t="s">
        <v>60</v>
      </c>
      <c r="C268" s="45"/>
      <c r="D268" s="45"/>
      <c r="E268" s="45"/>
      <c r="F268" s="45"/>
      <c r="G268" s="45"/>
      <c r="H268" s="45"/>
      <c r="I268" s="45"/>
      <c r="J268" s="45"/>
      <c r="K268" s="45"/>
      <c r="L268" s="45"/>
      <c r="M268" s="45"/>
      <c r="N268" s="45"/>
      <c r="O268" s="45"/>
      <c r="P268" s="45"/>
      <c r="Q268" s="45"/>
      <c r="R268" s="45"/>
      <c r="S268" s="45"/>
      <c r="T268" s="45"/>
      <c r="U268" s="45"/>
      <c r="V268" s="45"/>
      <c r="W268" s="45"/>
    </row>
    <row r="269" spans="1:23">
      <c r="A269" s="27" t="s">
        <v>100</v>
      </c>
      <c r="B269" t="s">
        <v>60</v>
      </c>
      <c r="C269" s="46"/>
      <c r="D269" s="46"/>
      <c r="E269" s="46"/>
      <c r="F269" s="46"/>
      <c r="G269" s="46"/>
      <c r="H269" s="46"/>
      <c r="I269" s="46"/>
      <c r="J269" s="46"/>
      <c r="K269" s="46"/>
      <c r="L269" s="46"/>
      <c r="M269" s="46"/>
      <c r="N269" s="46"/>
      <c r="O269" s="46"/>
      <c r="P269" s="46"/>
      <c r="Q269" s="46"/>
      <c r="R269" s="46"/>
      <c r="S269" s="46"/>
      <c r="T269" s="46"/>
      <c r="U269" s="46"/>
      <c r="V269" s="46"/>
      <c r="W269" s="46"/>
    </row>
    <row r="270" ht="15.6" spans="1:1">
      <c r="A270" s="5" t="s">
        <v>105</v>
      </c>
    </row>
    <row r="271" spans="1:23">
      <c r="A271" s="27" t="s">
        <v>96</v>
      </c>
      <c r="B271" t="s">
        <v>60</v>
      </c>
      <c r="C271" s="50"/>
      <c r="D271" s="50"/>
      <c r="E271" s="50"/>
      <c r="F271" s="50"/>
      <c r="G271" s="50"/>
      <c r="H271" s="50"/>
      <c r="I271" s="50"/>
      <c r="J271" s="50"/>
      <c r="K271" s="50"/>
      <c r="L271" s="50"/>
      <c r="M271" s="50"/>
      <c r="N271" s="50"/>
      <c r="O271" s="50"/>
      <c r="P271" s="50"/>
      <c r="Q271" s="50"/>
      <c r="R271" s="50"/>
      <c r="S271" s="50"/>
      <c r="T271" s="50"/>
      <c r="U271" s="50"/>
      <c r="V271" s="50"/>
      <c r="W271" s="50"/>
    </row>
    <row r="272" spans="1:23">
      <c r="A272" s="27" t="s">
        <v>98</v>
      </c>
      <c r="B272" t="s">
        <v>60</v>
      </c>
      <c r="C272" s="50"/>
      <c r="D272" s="50"/>
      <c r="E272" s="50"/>
      <c r="F272" s="50"/>
      <c r="G272" s="50"/>
      <c r="H272" s="50"/>
      <c r="I272" s="50"/>
      <c r="J272" s="50"/>
      <c r="K272" s="50"/>
      <c r="L272" s="50"/>
      <c r="M272" s="50"/>
      <c r="N272" s="50"/>
      <c r="O272" s="50"/>
      <c r="P272" s="50"/>
      <c r="Q272" s="50"/>
      <c r="R272" s="50"/>
      <c r="S272" s="50"/>
      <c r="T272" s="50"/>
      <c r="U272" s="50"/>
      <c r="V272" s="50"/>
      <c r="W272" s="50"/>
    </row>
    <row r="273" spans="1:23">
      <c r="A273" s="27" t="s">
        <v>100</v>
      </c>
      <c r="B273" t="s">
        <v>60</v>
      </c>
      <c r="C273" s="50"/>
      <c r="D273" s="50"/>
      <c r="E273" s="50"/>
      <c r="F273" s="50"/>
      <c r="G273" s="50"/>
      <c r="H273" s="50"/>
      <c r="I273" s="50"/>
      <c r="J273" s="50"/>
      <c r="K273" s="50"/>
      <c r="L273" s="50"/>
      <c r="M273" s="50"/>
      <c r="N273" s="50"/>
      <c r="O273" s="50"/>
      <c r="P273" s="50"/>
      <c r="Q273" s="50"/>
      <c r="R273" s="50"/>
      <c r="S273" s="50"/>
      <c r="T273" s="50"/>
      <c r="U273" s="50"/>
      <c r="V273" s="50"/>
      <c r="W273" s="50"/>
    </row>
    <row r="274" spans="1:23">
      <c r="A274" s="31" t="s">
        <v>107</v>
      </c>
      <c r="B274" s="32" t="s">
        <v>60</v>
      </c>
      <c r="C274" s="33"/>
      <c r="D274" s="33"/>
      <c r="E274" s="33"/>
      <c r="F274" s="33"/>
      <c r="G274" s="33"/>
      <c r="H274" s="33"/>
      <c r="I274" s="33"/>
      <c r="J274" s="33"/>
      <c r="K274" s="33"/>
      <c r="L274" s="33"/>
      <c r="M274" s="33"/>
      <c r="N274" s="33"/>
      <c r="O274" s="33"/>
      <c r="P274" s="33"/>
      <c r="Q274" s="33"/>
      <c r="R274" s="33"/>
      <c r="S274" s="33"/>
      <c r="T274" s="33"/>
      <c r="U274" s="33"/>
      <c r="V274" s="33"/>
      <c r="W274" s="33"/>
    </row>
    <row r="275" ht="15.6" spans="1:23">
      <c r="A275" s="25" t="s">
        <v>94</v>
      </c>
      <c r="C275" s="12"/>
      <c r="D275" s="12"/>
      <c r="E275" s="12"/>
      <c r="F275" s="12"/>
      <c r="G275" s="12"/>
      <c r="H275" s="12"/>
      <c r="I275" s="12"/>
      <c r="J275" s="12"/>
      <c r="K275" s="12"/>
      <c r="L275" s="12"/>
      <c r="M275" s="12"/>
      <c r="N275" s="12"/>
      <c r="O275" s="12"/>
      <c r="P275" s="12"/>
      <c r="Q275" s="12"/>
      <c r="R275" s="12"/>
      <c r="S275" s="12"/>
      <c r="T275" s="12"/>
      <c r="U275" s="12"/>
      <c r="V275" s="12"/>
      <c r="W275" s="12"/>
    </row>
    <row r="276" ht="15.6" spans="1:1">
      <c r="A276" s="5" t="s">
        <v>95</v>
      </c>
    </row>
    <row r="277" spans="1:23">
      <c r="A277" s="27" t="s">
        <v>96</v>
      </c>
      <c r="B277" t="s">
        <v>108</v>
      </c>
      <c r="C277" s="14"/>
      <c r="D277" s="14"/>
      <c r="E277" s="14"/>
      <c r="F277" s="14"/>
      <c r="G277" s="14"/>
      <c r="H277" s="14"/>
      <c r="I277" s="14"/>
      <c r="J277" s="14"/>
      <c r="K277" s="14"/>
      <c r="L277" s="14"/>
      <c r="M277" s="14"/>
      <c r="N277" s="14"/>
      <c r="O277" s="14"/>
      <c r="P277" s="14"/>
      <c r="Q277" s="14"/>
      <c r="R277" s="14"/>
      <c r="S277" s="14"/>
      <c r="T277" s="14"/>
      <c r="U277" s="14"/>
      <c r="V277" s="14"/>
      <c r="W277" s="14"/>
    </row>
    <row r="278" spans="1:23">
      <c r="A278" s="27" t="s">
        <v>98</v>
      </c>
      <c r="B278" t="s">
        <v>109</v>
      </c>
      <c r="C278" s="14"/>
      <c r="D278" s="14"/>
      <c r="E278" s="14"/>
      <c r="F278" s="14"/>
      <c r="G278" s="14"/>
      <c r="H278" s="14"/>
      <c r="I278" s="14"/>
      <c r="J278" s="14"/>
      <c r="K278" s="14"/>
      <c r="L278" s="14"/>
      <c r="M278" s="14"/>
      <c r="N278" s="14"/>
      <c r="O278" s="14"/>
      <c r="P278" s="14"/>
      <c r="Q278" s="14"/>
      <c r="R278" s="14"/>
      <c r="S278" s="14"/>
      <c r="T278" s="14"/>
      <c r="U278" s="14"/>
      <c r="V278" s="14"/>
      <c r="W278" s="14"/>
    </row>
    <row r="279" spans="1:23">
      <c r="A279" s="27" t="s">
        <v>100</v>
      </c>
      <c r="B279" t="s">
        <v>60</v>
      </c>
      <c r="C279" s="14"/>
      <c r="D279" s="14"/>
      <c r="E279" s="14"/>
      <c r="F279" s="14"/>
      <c r="G279" s="14"/>
      <c r="H279" s="14"/>
      <c r="I279" s="14"/>
      <c r="J279" s="14"/>
      <c r="K279" s="14"/>
      <c r="L279" s="14"/>
      <c r="M279" s="14"/>
      <c r="N279" s="14"/>
      <c r="O279" s="14"/>
      <c r="P279" s="14"/>
      <c r="Q279" s="14"/>
      <c r="R279" s="14"/>
      <c r="S279" s="14"/>
      <c r="T279" s="14"/>
      <c r="U279" s="14"/>
      <c r="V279" s="14"/>
      <c r="W279" s="14"/>
    </row>
    <row r="280" ht="15.6" spans="1:1">
      <c r="A280" s="5" t="s">
        <v>102</v>
      </c>
    </row>
    <row r="281" spans="1:23">
      <c r="A281" s="27" t="s">
        <v>96</v>
      </c>
      <c r="B281" t="s">
        <v>108</v>
      </c>
      <c r="C281" s="14"/>
      <c r="D281" s="14"/>
      <c r="E281" s="14"/>
      <c r="F281" s="14"/>
      <c r="G281" s="14"/>
      <c r="H281" s="14"/>
      <c r="I281" s="14"/>
      <c r="J281" s="14"/>
      <c r="K281" s="14"/>
      <c r="L281" s="14"/>
      <c r="M281" s="14"/>
      <c r="N281" s="14"/>
      <c r="O281" s="14"/>
      <c r="P281" s="14"/>
      <c r="Q281" s="14"/>
      <c r="R281" s="14"/>
      <c r="S281" s="14"/>
      <c r="T281" s="14"/>
      <c r="U281" s="14"/>
      <c r="V281" s="14"/>
      <c r="W281" s="14"/>
    </row>
    <row r="282" spans="1:23">
      <c r="A282" s="27" t="s">
        <v>98</v>
      </c>
      <c r="B282" t="s">
        <v>109</v>
      </c>
      <c r="C282" s="14"/>
      <c r="D282" s="14"/>
      <c r="E282" s="14"/>
      <c r="F282" s="14"/>
      <c r="G282" s="14"/>
      <c r="H282" s="14"/>
      <c r="I282" s="14"/>
      <c r="J282" s="14"/>
      <c r="K282" s="14"/>
      <c r="L282" s="14"/>
      <c r="M282" s="14"/>
      <c r="N282" s="14"/>
      <c r="O282" s="14"/>
      <c r="P282" s="14"/>
      <c r="Q282" s="14"/>
      <c r="R282" s="14"/>
      <c r="S282" s="14"/>
      <c r="T282" s="14"/>
      <c r="U282" s="14"/>
      <c r="V282" s="14"/>
      <c r="W282" s="14"/>
    </row>
    <row r="283" spans="1:23">
      <c r="A283" s="27" t="s">
        <v>100</v>
      </c>
      <c r="B283" t="s">
        <v>60</v>
      </c>
      <c r="C283" s="14"/>
      <c r="D283" s="14"/>
      <c r="E283" s="14"/>
      <c r="F283" s="14"/>
      <c r="G283" s="14"/>
      <c r="H283" s="14"/>
      <c r="I283" s="14"/>
      <c r="J283" s="14"/>
      <c r="K283" s="14"/>
      <c r="L283" s="14"/>
      <c r="M283" s="14"/>
      <c r="N283" s="14"/>
      <c r="O283" s="14"/>
      <c r="P283" s="14"/>
      <c r="Q283" s="14"/>
      <c r="R283" s="14"/>
      <c r="S283" s="14"/>
      <c r="T283" s="14"/>
      <c r="U283" s="14"/>
      <c r="V283" s="14"/>
      <c r="W283" s="14"/>
    </row>
    <row r="284" ht="15.6" spans="1:1">
      <c r="A284" s="5" t="s">
        <v>110</v>
      </c>
    </row>
    <row r="285" spans="1:23">
      <c r="A285" s="27" t="s">
        <v>96</v>
      </c>
      <c r="B285" t="s">
        <v>60</v>
      </c>
      <c r="C285" s="14"/>
      <c r="D285" s="14"/>
      <c r="E285" s="14"/>
      <c r="F285" s="14"/>
      <c r="G285" s="14"/>
      <c r="H285" s="14"/>
      <c r="I285" s="14"/>
      <c r="J285" s="14"/>
      <c r="K285" s="14"/>
      <c r="L285" s="14"/>
      <c r="M285" s="14"/>
      <c r="N285" s="14"/>
      <c r="O285" s="14"/>
      <c r="P285" s="14"/>
      <c r="Q285" s="14"/>
      <c r="R285" s="14"/>
      <c r="S285" s="14"/>
      <c r="T285" s="14"/>
      <c r="U285" s="14"/>
      <c r="V285" s="14"/>
      <c r="W285" s="14"/>
    </row>
    <row r="286" spans="1:23">
      <c r="A286" s="27" t="s">
        <v>98</v>
      </c>
      <c r="B286" t="s">
        <v>60</v>
      </c>
      <c r="C286" s="14"/>
      <c r="D286" s="14"/>
      <c r="E286" s="14"/>
      <c r="F286" s="14"/>
      <c r="G286" s="14"/>
      <c r="H286" s="14"/>
      <c r="I286" s="14"/>
      <c r="J286" s="14"/>
      <c r="K286" s="14"/>
      <c r="L286" s="14"/>
      <c r="M286" s="14"/>
      <c r="N286" s="14"/>
      <c r="O286" s="14"/>
      <c r="P286" s="14"/>
      <c r="Q286" s="14"/>
      <c r="R286" s="14"/>
      <c r="S286" s="14"/>
      <c r="T286" s="14"/>
      <c r="U286" s="14"/>
      <c r="V286" s="14"/>
      <c r="W286" s="14"/>
    </row>
    <row r="287" spans="1:23">
      <c r="A287" s="27" t="s">
        <v>100</v>
      </c>
      <c r="B287" t="s">
        <v>60</v>
      </c>
      <c r="C287" s="39"/>
      <c r="D287" s="39"/>
      <c r="E287" s="39"/>
      <c r="F287" s="39"/>
      <c r="G287" s="39"/>
      <c r="H287" s="39"/>
      <c r="I287" s="39"/>
      <c r="J287" s="39"/>
      <c r="K287" s="39"/>
      <c r="L287" s="39"/>
      <c r="M287" s="39"/>
      <c r="N287" s="39"/>
      <c r="O287" s="39"/>
      <c r="P287" s="39"/>
      <c r="Q287" s="39"/>
      <c r="R287" s="39"/>
      <c r="S287" s="39"/>
      <c r="T287" s="39"/>
      <c r="U287" s="39"/>
      <c r="V287" s="39"/>
      <c r="W287" s="39"/>
    </row>
    <row r="288" ht="15.6" spans="1:1">
      <c r="A288" s="5" t="s">
        <v>105</v>
      </c>
    </row>
    <row r="289" spans="1:23">
      <c r="A289" s="27" t="s">
        <v>96</v>
      </c>
      <c r="B289" t="s">
        <v>60</v>
      </c>
      <c r="C289" s="50"/>
      <c r="D289" s="50"/>
      <c r="E289" s="50"/>
      <c r="F289" s="50"/>
      <c r="G289" s="50"/>
      <c r="H289" s="50"/>
      <c r="I289" s="50"/>
      <c r="J289" s="50"/>
      <c r="K289" s="50"/>
      <c r="L289" s="50"/>
      <c r="M289" s="50"/>
      <c r="N289" s="50"/>
      <c r="O289" s="50"/>
      <c r="P289" s="50"/>
      <c r="Q289" s="50"/>
      <c r="R289" s="50"/>
      <c r="S289" s="50"/>
      <c r="T289" s="50"/>
      <c r="U289" s="50"/>
      <c r="V289" s="50"/>
      <c r="W289" s="50"/>
    </row>
    <row r="290" spans="1:23">
      <c r="A290" s="27" t="s">
        <v>98</v>
      </c>
      <c r="B290" t="s">
        <v>60</v>
      </c>
      <c r="C290" s="50"/>
      <c r="D290" s="50"/>
      <c r="E290" s="50"/>
      <c r="F290" s="50"/>
      <c r="G290" s="50"/>
      <c r="H290" s="50"/>
      <c r="I290" s="50"/>
      <c r="J290" s="50"/>
      <c r="K290" s="50"/>
      <c r="L290" s="50"/>
      <c r="M290" s="50"/>
      <c r="N290" s="50"/>
      <c r="O290" s="50"/>
      <c r="P290" s="50"/>
      <c r="Q290" s="50"/>
      <c r="R290" s="50"/>
      <c r="S290" s="50"/>
      <c r="T290" s="50"/>
      <c r="U290" s="50"/>
      <c r="V290" s="50"/>
      <c r="W290" s="50"/>
    </row>
    <row r="291" spans="1:23">
      <c r="A291" s="27" t="s">
        <v>100</v>
      </c>
      <c r="B291" t="s">
        <v>60</v>
      </c>
      <c r="C291" s="50"/>
      <c r="D291" s="50"/>
      <c r="E291" s="50"/>
      <c r="F291" s="50"/>
      <c r="G291" s="50"/>
      <c r="H291" s="50"/>
      <c r="I291" s="50"/>
      <c r="J291" s="50"/>
      <c r="K291" s="50"/>
      <c r="L291" s="50"/>
      <c r="M291" s="50"/>
      <c r="N291" s="50"/>
      <c r="O291" s="50"/>
      <c r="P291" s="50"/>
      <c r="Q291" s="50"/>
      <c r="R291" s="50"/>
      <c r="S291" s="50"/>
      <c r="T291" s="50"/>
      <c r="U291" s="50"/>
      <c r="V291" s="50"/>
      <c r="W291" s="50"/>
    </row>
    <row r="292" spans="1:23">
      <c r="A292" s="31" t="s">
        <v>107</v>
      </c>
      <c r="B292" s="32" t="s">
        <v>60</v>
      </c>
      <c r="C292" s="33"/>
      <c r="D292" s="33"/>
      <c r="E292" s="33"/>
      <c r="F292" s="33"/>
      <c r="G292" s="33"/>
      <c r="H292" s="33"/>
      <c r="I292" s="33"/>
      <c r="J292" s="33"/>
      <c r="K292" s="33"/>
      <c r="L292" s="33"/>
      <c r="M292" s="33"/>
      <c r="N292" s="33"/>
      <c r="O292" s="33"/>
      <c r="P292" s="33"/>
      <c r="Q292" s="33"/>
      <c r="R292" s="33"/>
      <c r="S292" s="33"/>
      <c r="T292" s="33"/>
      <c r="U292" s="33"/>
      <c r="V292" s="33"/>
      <c r="W292" s="33"/>
    </row>
    <row r="293" ht="15.6" spans="1:23">
      <c r="A293" s="25" t="s">
        <v>94</v>
      </c>
      <c r="C293" s="10">
        <v>0</v>
      </c>
      <c r="D293" s="10">
        <v>0</v>
      </c>
      <c r="E293" s="10">
        <v>0</v>
      </c>
      <c r="F293" s="10">
        <v>0</v>
      </c>
      <c r="G293" s="10">
        <v>0</v>
      </c>
      <c r="H293" s="10">
        <v>1</v>
      </c>
      <c r="I293" s="10">
        <v>0</v>
      </c>
      <c r="J293" s="10">
        <v>1</v>
      </c>
      <c r="K293" s="10">
        <v>1</v>
      </c>
      <c r="L293" s="10">
        <v>1</v>
      </c>
      <c r="M293" s="10">
        <v>0</v>
      </c>
      <c r="N293" s="10">
        <v>0</v>
      </c>
      <c r="O293" s="10">
        <v>0</v>
      </c>
      <c r="P293" s="10">
        <v>0</v>
      </c>
      <c r="Q293" s="10">
        <v>0</v>
      </c>
      <c r="R293" s="10">
        <v>1</v>
      </c>
      <c r="S293" s="10">
        <v>1</v>
      </c>
      <c r="T293" s="10">
        <v>0</v>
      </c>
      <c r="U293" s="10">
        <v>1</v>
      </c>
      <c r="V293" s="10">
        <v>0</v>
      </c>
      <c r="W293" s="10">
        <v>0</v>
      </c>
    </row>
    <row r="294" ht="15.6" spans="1:23">
      <c r="A294" s="25" t="s">
        <v>111</v>
      </c>
      <c r="B294" t="s">
        <v>112</v>
      </c>
      <c r="C294" s="40">
        <v>500</v>
      </c>
      <c r="D294" s="40">
        <v>500</v>
      </c>
      <c r="E294" s="40">
        <v>500</v>
      </c>
      <c r="F294" s="40">
        <v>500</v>
      </c>
      <c r="G294" s="40">
        <v>500</v>
      </c>
      <c r="H294" s="40">
        <v>500</v>
      </c>
      <c r="I294" s="40">
        <v>500</v>
      </c>
      <c r="J294" s="40">
        <v>500</v>
      </c>
      <c r="K294" s="40">
        <v>500</v>
      </c>
      <c r="L294" s="40">
        <v>500</v>
      </c>
      <c r="M294" s="40">
        <v>500</v>
      </c>
      <c r="N294" s="40">
        <v>500</v>
      </c>
      <c r="O294" s="40">
        <v>500</v>
      </c>
      <c r="P294" s="40">
        <v>500</v>
      </c>
      <c r="Q294" s="40">
        <v>500</v>
      </c>
      <c r="R294" s="40">
        <v>650</v>
      </c>
      <c r="S294" s="40">
        <v>407.500556717815</v>
      </c>
      <c r="T294" s="40">
        <v>500</v>
      </c>
      <c r="U294" s="40">
        <v>500</v>
      </c>
      <c r="V294" s="40">
        <v>500</v>
      </c>
      <c r="W294" s="40">
        <v>500</v>
      </c>
    </row>
    <row r="295" ht="15.6" spans="1:1">
      <c r="A295" s="5" t="s">
        <v>95</v>
      </c>
    </row>
    <row r="296" ht="15.6" spans="1:23">
      <c r="A296" s="27" t="s">
        <v>96</v>
      </c>
      <c r="B296" t="s">
        <v>108</v>
      </c>
      <c r="C296" s="28">
        <f t="shared" ref="C296:W296" si="20">125/651</f>
        <v>0.192012288786482</v>
      </c>
      <c r="D296" s="28">
        <f t="shared" si="20"/>
        <v>0.192012288786482</v>
      </c>
      <c r="E296" s="28">
        <f t="shared" si="20"/>
        <v>0.192012288786482</v>
      </c>
      <c r="F296" s="28">
        <f t="shared" si="20"/>
        <v>0.192012288786482</v>
      </c>
      <c r="G296" s="28">
        <f t="shared" si="20"/>
        <v>0.192012288786482</v>
      </c>
      <c r="H296" s="28">
        <f t="shared" si="20"/>
        <v>0.192012288786482</v>
      </c>
      <c r="I296" s="28">
        <f t="shared" si="20"/>
        <v>0.192012288786482</v>
      </c>
      <c r="J296" s="28">
        <f t="shared" si="20"/>
        <v>0.192012288786482</v>
      </c>
      <c r="K296" s="28">
        <f t="shared" si="20"/>
        <v>0.192012288786482</v>
      </c>
      <c r="L296" s="28">
        <f t="shared" si="20"/>
        <v>0.192012288786482</v>
      </c>
      <c r="M296" s="28">
        <f t="shared" si="20"/>
        <v>0.192012288786482</v>
      </c>
      <c r="N296" s="28">
        <f t="shared" si="20"/>
        <v>0.192012288786482</v>
      </c>
      <c r="O296" s="28">
        <f t="shared" si="20"/>
        <v>0.192012288786482</v>
      </c>
      <c r="P296" s="28">
        <f t="shared" si="20"/>
        <v>0.192012288786482</v>
      </c>
      <c r="Q296" s="28">
        <f t="shared" si="20"/>
        <v>0.192012288786482</v>
      </c>
      <c r="R296" s="28">
        <f t="shared" si="20"/>
        <v>0.192012288786482</v>
      </c>
      <c r="S296" s="28">
        <f t="shared" si="20"/>
        <v>0.192012288786482</v>
      </c>
      <c r="T296" s="28">
        <f t="shared" si="20"/>
        <v>0.192012288786482</v>
      </c>
      <c r="U296" s="28">
        <f t="shared" si="20"/>
        <v>0.192012288786482</v>
      </c>
      <c r="V296" s="28">
        <f t="shared" si="20"/>
        <v>0.192012288786482</v>
      </c>
      <c r="W296" s="28">
        <f t="shared" si="20"/>
        <v>0.192012288786482</v>
      </c>
    </row>
    <row r="297" ht="15.6" spans="1:23">
      <c r="A297" s="27" t="s">
        <v>98</v>
      </c>
      <c r="B297" t="s">
        <v>109</v>
      </c>
      <c r="C297" s="28">
        <f t="shared" ref="C297:W297" si="21">6/651</f>
        <v>0.00921658986175115</v>
      </c>
      <c r="D297" s="28">
        <f t="shared" si="21"/>
        <v>0.00921658986175115</v>
      </c>
      <c r="E297" s="28">
        <f t="shared" si="21"/>
        <v>0.00921658986175115</v>
      </c>
      <c r="F297" s="28">
        <f t="shared" si="21"/>
        <v>0.00921658986175115</v>
      </c>
      <c r="G297" s="28">
        <f t="shared" si="21"/>
        <v>0.00921658986175115</v>
      </c>
      <c r="H297" s="28">
        <f t="shared" si="21"/>
        <v>0.00921658986175115</v>
      </c>
      <c r="I297" s="28">
        <f t="shared" si="21"/>
        <v>0.00921658986175115</v>
      </c>
      <c r="J297" s="28">
        <f t="shared" si="21"/>
        <v>0.00921658986175115</v>
      </c>
      <c r="K297" s="28">
        <f t="shared" si="21"/>
        <v>0.00921658986175115</v>
      </c>
      <c r="L297" s="28">
        <f t="shared" si="21"/>
        <v>0.00921658986175115</v>
      </c>
      <c r="M297" s="28">
        <f t="shared" si="21"/>
        <v>0.00921658986175115</v>
      </c>
      <c r="N297" s="28">
        <f t="shared" si="21"/>
        <v>0.00921658986175115</v>
      </c>
      <c r="O297" s="28">
        <f t="shared" si="21"/>
        <v>0.00921658986175115</v>
      </c>
      <c r="P297" s="28">
        <f t="shared" si="21"/>
        <v>0.00921658986175115</v>
      </c>
      <c r="Q297" s="28">
        <f t="shared" si="21"/>
        <v>0.00921658986175115</v>
      </c>
      <c r="R297" s="28">
        <f t="shared" si="21"/>
        <v>0.00921658986175115</v>
      </c>
      <c r="S297" s="28">
        <f t="shared" si="21"/>
        <v>0.00921658986175115</v>
      </c>
      <c r="T297" s="28">
        <f t="shared" si="21"/>
        <v>0.00921658986175115</v>
      </c>
      <c r="U297" s="28">
        <f t="shared" si="21"/>
        <v>0.00921658986175115</v>
      </c>
      <c r="V297" s="28">
        <f t="shared" si="21"/>
        <v>0.00921658986175115</v>
      </c>
      <c r="W297" s="28">
        <f t="shared" si="21"/>
        <v>0.00921658986175115</v>
      </c>
    </row>
    <row r="298" ht="15.6" spans="1:23">
      <c r="A298" s="27" t="s">
        <v>100</v>
      </c>
      <c r="B298" t="s">
        <v>60</v>
      </c>
      <c r="C298" s="28">
        <f t="shared" ref="C298:W298" si="22">((71.58+12+145)*1.24)/651</f>
        <v>0.435390476190476</v>
      </c>
      <c r="D298" s="28">
        <f t="shared" si="22"/>
        <v>0.435390476190476</v>
      </c>
      <c r="E298" s="28">
        <f t="shared" si="22"/>
        <v>0.435390476190476</v>
      </c>
      <c r="F298" s="28">
        <f t="shared" si="22"/>
        <v>0.435390476190476</v>
      </c>
      <c r="G298" s="28">
        <f t="shared" si="22"/>
        <v>0.435390476190476</v>
      </c>
      <c r="H298" s="28">
        <f t="shared" si="22"/>
        <v>0.435390476190476</v>
      </c>
      <c r="I298" s="28">
        <f t="shared" si="22"/>
        <v>0.435390476190476</v>
      </c>
      <c r="J298" s="28">
        <f t="shared" si="22"/>
        <v>0.435390476190476</v>
      </c>
      <c r="K298" s="28">
        <f t="shared" si="22"/>
        <v>0.435390476190476</v>
      </c>
      <c r="L298" s="28">
        <f t="shared" si="22"/>
        <v>0.435390476190476</v>
      </c>
      <c r="M298" s="28">
        <f t="shared" si="22"/>
        <v>0.435390476190476</v>
      </c>
      <c r="N298" s="28">
        <f t="shared" si="22"/>
        <v>0.435390476190476</v>
      </c>
      <c r="O298" s="28">
        <f t="shared" si="22"/>
        <v>0.435390476190476</v>
      </c>
      <c r="P298" s="28">
        <f t="shared" si="22"/>
        <v>0.435390476190476</v>
      </c>
      <c r="Q298" s="28">
        <f t="shared" si="22"/>
        <v>0.435390476190476</v>
      </c>
      <c r="R298" s="28">
        <f t="shared" si="22"/>
        <v>0.435390476190476</v>
      </c>
      <c r="S298" s="28">
        <f t="shared" si="22"/>
        <v>0.435390476190476</v>
      </c>
      <c r="T298" s="28">
        <f t="shared" si="22"/>
        <v>0.435390476190476</v>
      </c>
      <c r="U298" s="28">
        <f t="shared" si="22"/>
        <v>0.435390476190476</v>
      </c>
      <c r="V298" s="28">
        <f t="shared" si="22"/>
        <v>0.435390476190476</v>
      </c>
      <c r="W298" s="28">
        <f t="shared" si="22"/>
        <v>0.435390476190476</v>
      </c>
    </row>
    <row r="299" ht="15.6" spans="1:1">
      <c r="A299" s="5" t="s">
        <v>102</v>
      </c>
    </row>
    <row r="300" spans="1:23">
      <c r="A300" s="27" t="s">
        <v>96</v>
      </c>
      <c r="B300" t="s">
        <v>108</v>
      </c>
      <c r="C300" s="14"/>
      <c r="D300" s="14"/>
      <c r="E300" s="14"/>
      <c r="F300" s="14"/>
      <c r="G300" s="14"/>
      <c r="H300" s="14"/>
      <c r="I300" s="14"/>
      <c r="J300" s="14"/>
      <c r="K300" s="14"/>
      <c r="L300" s="14"/>
      <c r="M300" s="14"/>
      <c r="N300" s="14"/>
      <c r="O300" s="14"/>
      <c r="P300" s="14"/>
      <c r="Q300" s="14"/>
      <c r="R300" s="14"/>
      <c r="S300" s="14"/>
      <c r="T300" s="14"/>
      <c r="U300" s="14"/>
      <c r="V300" s="14"/>
      <c r="W300" s="14"/>
    </row>
    <row r="301" spans="1:23">
      <c r="A301" s="27" t="s">
        <v>98</v>
      </c>
      <c r="B301" t="s">
        <v>109</v>
      </c>
      <c r="C301" s="14"/>
      <c r="D301" s="14"/>
      <c r="E301" s="14"/>
      <c r="F301" s="14"/>
      <c r="G301" s="14"/>
      <c r="H301" s="14"/>
      <c r="I301" s="14"/>
      <c r="J301" s="14"/>
      <c r="K301" s="14"/>
      <c r="L301" s="14"/>
      <c r="M301" s="14"/>
      <c r="N301" s="14"/>
      <c r="O301" s="14"/>
      <c r="P301" s="14"/>
      <c r="Q301" s="14"/>
      <c r="R301" s="14"/>
      <c r="S301" s="14"/>
      <c r="T301" s="14"/>
      <c r="U301" s="14"/>
      <c r="V301" s="14"/>
      <c r="W301" s="14"/>
    </row>
    <row r="302" spans="1:23">
      <c r="A302" s="27" t="s">
        <v>100</v>
      </c>
      <c r="B302" t="s">
        <v>60</v>
      </c>
      <c r="C302" s="14"/>
      <c r="D302" s="14"/>
      <c r="E302" s="14"/>
      <c r="F302" s="14"/>
      <c r="G302" s="14"/>
      <c r="H302" s="14"/>
      <c r="I302" s="14"/>
      <c r="J302" s="14"/>
      <c r="K302" s="14"/>
      <c r="L302" s="14"/>
      <c r="M302" s="14"/>
      <c r="N302" s="14"/>
      <c r="O302" s="14"/>
      <c r="P302" s="14"/>
      <c r="Q302" s="14"/>
      <c r="R302" s="14"/>
      <c r="S302" s="14"/>
      <c r="T302" s="14"/>
      <c r="U302" s="14"/>
      <c r="V302" s="14"/>
      <c r="W302" s="14"/>
    </row>
    <row r="303" ht="15.6" spans="1:1">
      <c r="A303" s="5" t="s">
        <v>110</v>
      </c>
    </row>
    <row r="304" spans="1:23">
      <c r="A304" s="27" t="s">
        <v>96</v>
      </c>
      <c r="B304" t="s">
        <v>60</v>
      </c>
      <c r="C304" s="14"/>
      <c r="D304" s="14"/>
      <c r="E304" s="14"/>
      <c r="F304" s="14"/>
      <c r="G304" s="14"/>
      <c r="H304" s="14"/>
      <c r="I304" s="14"/>
      <c r="J304" s="14"/>
      <c r="K304" s="14"/>
      <c r="L304" s="14"/>
      <c r="M304" s="14"/>
      <c r="N304" s="14"/>
      <c r="O304" s="14"/>
      <c r="P304" s="14"/>
      <c r="Q304" s="14"/>
      <c r="R304" s="14"/>
      <c r="S304" s="14"/>
      <c r="T304" s="14"/>
      <c r="U304" s="14"/>
      <c r="V304" s="14"/>
      <c r="W304" s="14"/>
    </row>
    <row r="305" spans="1:23">
      <c r="A305" s="27" t="s">
        <v>98</v>
      </c>
      <c r="B305" t="s">
        <v>60</v>
      </c>
      <c r="C305" s="14"/>
      <c r="D305" s="14"/>
      <c r="E305" s="14"/>
      <c r="F305" s="14"/>
      <c r="G305" s="14"/>
      <c r="H305" s="14"/>
      <c r="I305" s="14"/>
      <c r="J305" s="14"/>
      <c r="K305" s="14"/>
      <c r="L305" s="14"/>
      <c r="M305" s="14"/>
      <c r="N305" s="14"/>
      <c r="O305" s="14"/>
      <c r="P305" s="14"/>
      <c r="Q305" s="14"/>
      <c r="R305" s="14"/>
      <c r="S305" s="14"/>
      <c r="T305" s="14"/>
      <c r="U305" s="14"/>
      <c r="V305" s="14"/>
      <c r="W305" s="14"/>
    </row>
    <row r="306" spans="1:23">
      <c r="A306" s="27" t="s">
        <v>100</v>
      </c>
      <c r="B306" t="s">
        <v>60</v>
      </c>
      <c r="C306" s="39"/>
      <c r="D306" s="39"/>
      <c r="E306" s="39"/>
      <c r="F306" s="39"/>
      <c r="G306" s="39"/>
      <c r="H306" s="39"/>
      <c r="I306" s="39"/>
      <c r="J306" s="39"/>
      <c r="K306" s="39"/>
      <c r="L306" s="39"/>
      <c r="M306" s="39"/>
      <c r="N306" s="39"/>
      <c r="O306" s="39"/>
      <c r="P306" s="39"/>
      <c r="Q306" s="39"/>
      <c r="R306" s="39"/>
      <c r="S306" s="39"/>
      <c r="T306" s="39"/>
      <c r="U306" s="39"/>
      <c r="V306" s="39"/>
      <c r="W306" s="39"/>
    </row>
    <row r="307" ht="15.6" spans="1:1">
      <c r="A307" s="5" t="s">
        <v>105</v>
      </c>
    </row>
    <row r="308" spans="1:23">
      <c r="A308" s="27" t="s">
        <v>96</v>
      </c>
      <c r="B308" t="s">
        <v>60</v>
      </c>
      <c r="C308" s="50"/>
      <c r="D308" s="50"/>
      <c r="E308" s="50"/>
      <c r="F308" s="50"/>
      <c r="G308" s="50"/>
      <c r="H308" s="50"/>
      <c r="I308" s="50"/>
      <c r="J308" s="50"/>
      <c r="K308" s="50"/>
      <c r="L308" s="50"/>
      <c r="M308" s="50"/>
      <c r="N308" s="50"/>
      <c r="O308" s="50"/>
      <c r="P308" s="50"/>
      <c r="Q308" s="50"/>
      <c r="R308" s="50"/>
      <c r="S308" s="50"/>
      <c r="T308" s="50"/>
      <c r="U308" s="50"/>
      <c r="V308" s="50"/>
      <c r="W308" s="50"/>
    </row>
    <row r="309" spans="1:23">
      <c r="A309" s="27" t="s">
        <v>98</v>
      </c>
      <c r="B309" t="s">
        <v>60</v>
      </c>
      <c r="C309" s="50"/>
      <c r="D309" s="50"/>
      <c r="E309" s="50"/>
      <c r="F309" s="50"/>
      <c r="G309" s="50"/>
      <c r="H309" s="50"/>
      <c r="I309" s="50"/>
      <c r="J309" s="50"/>
      <c r="K309" s="50"/>
      <c r="L309" s="50"/>
      <c r="M309" s="50"/>
      <c r="N309" s="50"/>
      <c r="O309" s="50"/>
      <c r="P309" s="50"/>
      <c r="Q309" s="50"/>
      <c r="R309" s="50"/>
      <c r="S309" s="50"/>
      <c r="T309" s="50"/>
      <c r="U309" s="50"/>
      <c r="V309" s="50"/>
      <c r="W309" s="50"/>
    </row>
    <row r="310" spans="1:23">
      <c r="A310" s="27" t="s">
        <v>100</v>
      </c>
      <c r="B310" t="s">
        <v>60</v>
      </c>
      <c r="C310" s="50"/>
      <c r="D310" s="50"/>
      <c r="E310" s="50"/>
      <c r="F310" s="50"/>
      <c r="G310" s="50"/>
      <c r="H310" s="50"/>
      <c r="I310" s="50"/>
      <c r="J310" s="50"/>
      <c r="K310" s="50"/>
      <c r="L310" s="50"/>
      <c r="M310" s="50"/>
      <c r="N310" s="50"/>
      <c r="O310" s="50"/>
      <c r="P310" s="50"/>
      <c r="Q310" s="50"/>
      <c r="R310" s="50"/>
      <c r="S310" s="50"/>
      <c r="T310" s="50"/>
      <c r="U310" s="50"/>
      <c r="V310" s="50"/>
      <c r="W310" s="50"/>
    </row>
    <row r="311" spans="1:23">
      <c r="A311" s="31" t="s">
        <v>107</v>
      </c>
      <c r="B311" s="32" t="s">
        <v>60</v>
      </c>
      <c r="C311" s="33"/>
      <c r="D311" s="33"/>
      <c r="E311" s="33"/>
      <c r="F311" s="33"/>
      <c r="G311" s="33"/>
      <c r="H311" s="33"/>
      <c r="I311" s="33"/>
      <c r="J311" s="33"/>
      <c r="K311" s="33"/>
      <c r="L311" s="33"/>
      <c r="M311" s="33"/>
      <c r="N311" s="33"/>
      <c r="O311" s="33"/>
      <c r="P311" s="33"/>
      <c r="Q311" s="33"/>
      <c r="R311" s="33"/>
      <c r="S311" s="33"/>
      <c r="T311" s="33"/>
      <c r="U311" s="33"/>
      <c r="V311" s="33"/>
      <c r="W311" s="33"/>
    </row>
    <row r="312" ht="15.6" spans="1:1">
      <c r="A312" s="5" t="s">
        <v>105</v>
      </c>
    </row>
    <row r="313" ht="15.6" spans="1:23">
      <c r="A313" s="27" t="s">
        <v>96</v>
      </c>
      <c r="B313" t="s">
        <v>60</v>
      </c>
      <c r="C313" s="51"/>
      <c r="D313" s="51"/>
      <c r="E313" s="51"/>
      <c r="F313" s="51"/>
      <c r="G313" s="51"/>
      <c r="H313" s="51"/>
      <c r="I313" s="51"/>
      <c r="J313" s="51"/>
      <c r="K313" s="51"/>
      <c r="L313" s="51"/>
      <c r="M313" s="51"/>
      <c r="N313" s="51"/>
      <c r="O313" s="51"/>
      <c r="P313" s="51"/>
      <c r="Q313" s="51"/>
      <c r="R313" s="51"/>
      <c r="S313" s="51"/>
      <c r="T313" s="51"/>
      <c r="U313" s="51"/>
      <c r="V313" s="51"/>
      <c r="W313" s="51"/>
    </row>
    <row r="314" ht="15.6" spans="1:23">
      <c r="A314" s="27" t="s">
        <v>98</v>
      </c>
      <c r="B314" t="s">
        <v>60</v>
      </c>
      <c r="C314" s="51"/>
      <c r="D314" s="51"/>
      <c r="E314" s="51"/>
      <c r="F314" s="51"/>
      <c r="G314" s="51"/>
      <c r="H314" s="51"/>
      <c r="I314" s="51"/>
      <c r="J314" s="51"/>
      <c r="K314" s="51"/>
      <c r="L314" s="51"/>
      <c r="M314" s="51"/>
      <c r="N314" s="51"/>
      <c r="O314" s="51"/>
      <c r="P314" s="51"/>
      <c r="Q314" s="51"/>
      <c r="R314" s="51"/>
      <c r="S314" s="51"/>
      <c r="T314" s="51"/>
      <c r="U314" s="51"/>
      <c r="V314" s="51"/>
      <c r="W314" s="51"/>
    </row>
    <row r="315" ht="15.6" spans="1:23">
      <c r="A315" s="27" t="s">
        <v>100</v>
      </c>
      <c r="B315" t="s">
        <v>60</v>
      </c>
      <c r="C315" s="51"/>
      <c r="D315" s="51"/>
      <c r="E315" s="51"/>
      <c r="F315" s="51"/>
      <c r="G315" s="51"/>
      <c r="H315" s="51"/>
      <c r="I315" s="51"/>
      <c r="J315" s="51"/>
      <c r="K315" s="51"/>
      <c r="L315" s="51"/>
      <c r="M315" s="51"/>
      <c r="N315" s="51"/>
      <c r="O315" s="51"/>
      <c r="P315" s="51"/>
      <c r="Q315" s="51"/>
      <c r="R315" s="51"/>
      <c r="S315" s="51"/>
      <c r="T315" s="51"/>
      <c r="U315" s="51"/>
      <c r="V315" s="51"/>
      <c r="W315" s="51"/>
    </row>
    <row r="316" ht="15.6" spans="1:23">
      <c r="A316" s="27" t="s">
        <v>106</v>
      </c>
      <c r="B316" t="s">
        <v>60</v>
      </c>
      <c r="C316" s="51"/>
      <c r="D316" s="51"/>
      <c r="E316" s="51"/>
      <c r="F316" s="51"/>
      <c r="G316" s="51"/>
      <c r="H316" s="51"/>
      <c r="I316" s="51"/>
      <c r="J316" s="51"/>
      <c r="K316" s="51"/>
      <c r="L316" s="51"/>
      <c r="M316" s="51"/>
      <c r="N316" s="51"/>
      <c r="O316" s="51"/>
      <c r="P316" s="51"/>
      <c r="Q316" s="51"/>
      <c r="R316" s="51"/>
      <c r="S316" s="51"/>
      <c r="T316" s="51"/>
      <c r="U316" s="51"/>
      <c r="V316" s="51"/>
      <c r="W316" s="51"/>
    </row>
    <row r="317" spans="1:23">
      <c r="A317" s="31" t="s">
        <v>107</v>
      </c>
      <c r="B317" s="32" t="s">
        <v>60</v>
      </c>
      <c r="C317" s="33"/>
      <c r="D317" s="33"/>
      <c r="E317" s="33"/>
      <c r="F317" s="33"/>
      <c r="G317" s="33"/>
      <c r="H317" s="33"/>
      <c r="I317" s="33"/>
      <c r="J317" s="33"/>
      <c r="K317" s="33"/>
      <c r="L317" s="33"/>
      <c r="M317" s="33"/>
      <c r="N317" s="33"/>
      <c r="O317" s="33"/>
      <c r="P317" s="33"/>
      <c r="Q317" s="33"/>
      <c r="R317" s="33"/>
      <c r="S317" s="33"/>
      <c r="T317" s="33"/>
      <c r="U317" s="33"/>
      <c r="V317" s="33"/>
      <c r="W317" s="33"/>
    </row>
    <row r="318" ht="15.6" spans="1:23">
      <c r="A318" s="25" t="s">
        <v>94</v>
      </c>
      <c r="C318" s="10">
        <v>1</v>
      </c>
      <c r="D318" s="10">
        <v>1</v>
      </c>
      <c r="E318" s="10">
        <v>1</v>
      </c>
      <c r="F318" s="10">
        <v>1</v>
      </c>
      <c r="G318" s="10">
        <v>1</v>
      </c>
      <c r="H318" s="10">
        <v>1</v>
      </c>
      <c r="I318" s="10">
        <v>0</v>
      </c>
      <c r="J318" s="10">
        <v>0</v>
      </c>
      <c r="K318" s="10">
        <v>0</v>
      </c>
      <c r="L318" s="10">
        <v>0</v>
      </c>
      <c r="M318" s="10">
        <v>0</v>
      </c>
      <c r="N318" s="10">
        <v>0</v>
      </c>
      <c r="O318" s="10">
        <v>0</v>
      </c>
      <c r="P318" s="10">
        <v>0</v>
      </c>
      <c r="Q318" s="10">
        <v>0</v>
      </c>
      <c r="R318" s="10">
        <v>1</v>
      </c>
      <c r="S318" s="10">
        <v>1</v>
      </c>
      <c r="T318" s="10">
        <v>0</v>
      </c>
      <c r="U318" s="10">
        <v>1</v>
      </c>
      <c r="V318" s="10">
        <v>1</v>
      </c>
      <c r="W318" s="10">
        <v>1</v>
      </c>
    </row>
    <row r="319" ht="15.6" spans="1:23">
      <c r="A319" s="25" t="s">
        <v>111</v>
      </c>
      <c r="B319" t="s">
        <v>112</v>
      </c>
      <c r="C319" s="40">
        <v>400</v>
      </c>
      <c r="D319" s="40">
        <v>400</v>
      </c>
      <c r="E319" s="40">
        <v>400</v>
      </c>
      <c r="F319" s="40">
        <v>200</v>
      </c>
      <c r="G319" s="40">
        <v>200</v>
      </c>
      <c r="H319" s="40">
        <v>200</v>
      </c>
      <c r="I319" s="40">
        <v>200</v>
      </c>
      <c r="J319" s="40">
        <v>200</v>
      </c>
      <c r="K319" s="40">
        <v>200</v>
      </c>
      <c r="L319" s="40">
        <v>200</v>
      </c>
      <c r="M319" s="40">
        <v>200</v>
      </c>
      <c r="N319" s="40">
        <v>200</v>
      </c>
      <c r="O319" s="40">
        <v>200</v>
      </c>
      <c r="P319" s="40">
        <v>200</v>
      </c>
      <c r="Q319" s="40">
        <v>200</v>
      </c>
      <c r="R319" s="40">
        <v>200</v>
      </c>
      <c r="S319" s="40">
        <v>400</v>
      </c>
      <c r="T319" s="40">
        <v>200</v>
      </c>
      <c r="U319" s="40">
        <v>300</v>
      </c>
      <c r="V319" s="40">
        <v>200</v>
      </c>
      <c r="W319" s="40">
        <v>200</v>
      </c>
    </row>
    <row r="320" ht="15.6" spans="1:1">
      <c r="A320" s="5" t="s">
        <v>95</v>
      </c>
    </row>
    <row r="321" ht="15.6" spans="1:23">
      <c r="A321" s="27" t="s">
        <v>96</v>
      </c>
      <c r="B321" t="s">
        <v>108</v>
      </c>
      <c r="C321" s="28">
        <f t="shared" ref="C321:W321" si="23">15/200</f>
        <v>0.075</v>
      </c>
      <c r="D321" s="28">
        <f t="shared" si="23"/>
        <v>0.075</v>
      </c>
      <c r="E321" s="28">
        <f t="shared" si="23"/>
        <v>0.075</v>
      </c>
      <c r="F321" s="28">
        <f t="shared" si="23"/>
        <v>0.075</v>
      </c>
      <c r="G321" s="28">
        <f t="shared" si="23"/>
        <v>0.075</v>
      </c>
      <c r="H321" s="28">
        <f t="shared" si="23"/>
        <v>0.075</v>
      </c>
      <c r="I321" s="28">
        <f t="shared" si="23"/>
        <v>0.075</v>
      </c>
      <c r="J321" s="28">
        <f t="shared" si="23"/>
        <v>0.075</v>
      </c>
      <c r="K321" s="28">
        <f t="shared" si="23"/>
        <v>0.075</v>
      </c>
      <c r="L321" s="28">
        <f t="shared" si="23"/>
        <v>0.075</v>
      </c>
      <c r="M321" s="28">
        <f t="shared" si="23"/>
        <v>0.075</v>
      </c>
      <c r="N321" s="28">
        <f t="shared" si="23"/>
        <v>0.075</v>
      </c>
      <c r="O321" s="28">
        <f t="shared" si="23"/>
        <v>0.075</v>
      </c>
      <c r="P321" s="28">
        <f t="shared" si="23"/>
        <v>0.075</v>
      </c>
      <c r="Q321" s="28">
        <f t="shared" si="23"/>
        <v>0.075</v>
      </c>
      <c r="R321" s="28">
        <f t="shared" si="23"/>
        <v>0.075</v>
      </c>
      <c r="S321" s="28">
        <f t="shared" si="23"/>
        <v>0.075</v>
      </c>
      <c r="T321" s="28">
        <f t="shared" si="23"/>
        <v>0.075</v>
      </c>
      <c r="U321" s="28">
        <f t="shared" si="23"/>
        <v>0.075</v>
      </c>
      <c r="V321" s="28">
        <f t="shared" si="23"/>
        <v>0.075</v>
      </c>
      <c r="W321" s="28">
        <f t="shared" si="23"/>
        <v>0.075</v>
      </c>
    </row>
    <row r="322" ht="15.6" spans="1:23">
      <c r="A322" s="27" t="s">
        <v>98</v>
      </c>
      <c r="B322" t="s">
        <v>109</v>
      </c>
      <c r="C322" s="28">
        <f t="shared" ref="C322:W322" si="24">1.5/200</f>
        <v>0.0075</v>
      </c>
      <c r="D322" s="28">
        <f t="shared" si="24"/>
        <v>0.0075</v>
      </c>
      <c r="E322" s="28">
        <f t="shared" si="24"/>
        <v>0.0075</v>
      </c>
      <c r="F322" s="28">
        <f t="shared" si="24"/>
        <v>0.0075</v>
      </c>
      <c r="G322" s="28">
        <f t="shared" si="24"/>
        <v>0.0075</v>
      </c>
      <c r="H322" s="28">
        <f t="shared" si="24"/>
        <v>0.0075</v>
      </c>
      <c r="I322" s="28">
        <f t="shared" si="24"/>
        <v>0.0075</v>
      </c>
      <c r="J322" s="28">
        <f t="shared" si="24"/>
        <v>0.0075</v>
      </c>
      <c r="K322" s="28">
        <f t="shared" si="24"/>
        <v>0.0075</v>
      </c>
      <c r="L322" s="28">
        <f t="shared" si="24"/>
        <v>0.0075</v>
      </c>
      <c r="M322" s="28">
        <f t="shared" si="24"/>
        <v>0.0075</v>
      </c>
      <c r="N322" s="28">
        <f t="shared" si="24"/>
        <v>0.0075</v>
      </c>
      <c r="O322" s="28">
        <f t="shared" si="24"/>
        <v>0.0075</v>
      </c>
      <c r="P322" s="28">
        <f t="shared" si="24"/>
        <v>0.0075</v>
      </c>
      <c r="Q322" s="28">
        <f t="shared" si="24"/>
        <v>0.0075</v>
      </c>
      <c r="R322" s="28">
        <f t="shared" si="24"/>
        <v>0.0075</v>
      </c>
      <c r="S322" s="28">
        <f t="shared" si="24"/>
        <v>0.0075</v>
      </c>
      <c r="T322" s="28">
        <f t="shared" si="24"/>
        <v>0.0075</v>
      </c>
      <c r="U322" s="28">
        <f t="shared" si="24"/>
        <v>0.0075</v>
      </c>
      <c r="V322" s="28">
        <f t="shared" si="24"/>
        <v>0.0075</v>
      </c>
      <c r="W322" s="28">
        <f t="shared" si="24"/>
        <v>0.0075</v>
      </c>
    </row>
    <row r="323" ht="15.6" spans="1:23">
      <c r="A323" s="27" t="s">
        <v>100</v>
      </c>
      <c r="B323" t="s">
        <v>60</v>
      </c>
      <c r="C323" s="28">
        <f t="shared" ref="C323:W323" si="25">50/200</f>
        <v>0.25</v>
      </c>
      <c r="D323" s="28">
        <f t="shared" si="25"/>
        <v>0.25</v>
      </c>
      <c r="E323" s="28">
        <f t="shared" si="25"/>
        <v>0.25</v>
      </c>
      <c r="F323" s="28">
        <f t="shared" si="25"/>
        <v>0.25</v>
      </c>
      <c r="G323" s="28">
        <f t="shared" si="25"/>
        <v>0.25</v>
      </c>
      <c r="H323" s="28">
        <f t="shared" si="25"/>
        <v>0.25</v>
      </c>
      <c r="I323" s="28">
        <f t="shared" si="25"/>
        <v>0.25</v>
      </c>
      <c r="J323" s="28">
        <f t="shared" si="25"/>
        <v>0.25</v>
      </c>
      <c r="K323" s="28">
        <f t="shared" si="25"/>
        <v>0.25</v>
      </c>
      <c r="L323" s="28">
        <f t="shared" si="25"/>
        <v>0.25</v>
      </c>
      <c r="M323" s="28">
        <f t="shared" si="25"/>
        <v>0.25</v>
      </c>
      <c r="N323" s="28">
        <f t="shared" si="25"/>
        <v>0.25</v>
      </c>
      <c r="O323" s="28">
        <f t="shared" si="25"/>
        <v>0.25</v>
      </c>
      <c r="P323" s="28">
        <f t="shared" si="25"/>
        <v>0.25</v>
      </c>
      <c r="Q323" s="28">
        <f t="shared" si="25"/>
        <v>0.25</v>
      </c>
      <c r="R323" s="28">
        <f t="shared" si="25"/>
        <v>0.25</v>
      </c>
      <c r="S323" s="28">
        <f t="shared" si="25"/>
        <v>0.25</v>
      </c>
      <c r="T323" s="28">
        <f t="shared" si="25"/>
        <v>0.25</v>
      </c>
      <c r="U323" s="28">
        <f t="shared" si="25"/>
        <v>0.25</v>
      </c>
      <c r="V323" s="28">
        <f t="shared" si="25"/>
        <v>0.25</v>
      </c>
      <c r="W323" s="28">
        <f t="shared" si="25"/>
        <v>0.25</v>
      </c>
    </row>
    <row r="324" ht="15.6" spans="1:1">
      <c r="A324" s="5" t="s">
        <v>102</v>
      </c>
    </row>
    <row r="325" spans="1:23">
      <c r="A325" s="27" t="s">
        <v>96</v>
      </c>
      <c r="B325" t="s">
        <v>108</v>
      </c>
      <c r="C325" s="14"/>
      <c r="D325" s="14"/>
      <c r="E325" s="14"/>
      <c r="F325" s="14"/>
      <c r="G325" s="14"/>
      <c r="H325" s="14"/>
      <c r="I325" s="14"/>
      <c r="J325" s="14"/>
      <c r="K325" s="14"/>
      <c r="L325" s="14"/>
      <c r="M325" s="14"/>
      <c r="N325" s="14"/>
      <c r="O325" s="14"/>
      <c r="P325" s="14"/>
      <c r="Q325" s="14"/>
      <c r="R325" s="14"/>
      <c r="S325" s="14"/>
      <c r="T325" s="14"/>
      <c r="U325" s="14"/>
      <c r="V325" s="14"/>
      <c r="W325" s="14"/>
    </row>
    <row r="326" spans="1:23">
      <c r="A326" s="27" t="s">
        <v>98</v>
      </c>
      <c r="B326" t="s">
        <v>109</v>
      </c>
      <c r="C326" s="14"/>
      <c r="D326" s="14"/>
      <c r="E326" s="14"/>
      <c r="F326" s="14"/>
      <c r="G326" s="14"/>
      <c r="H326" s="14"/>
      <c r="I326" s="14"/>
      <c r="J326" s="14"/>
      <c r="K326" s="14"/>
      <c r="L326" s="14"/>
      <c r="M326" s="14"/>
      <c r="N326" s="14"/>
      <c r="O326" s="14"/>
      <c r="P326" s="14"/>
      <c r="Q326" s="14"/>
      <c r="R326" s="14"/>
      <c r="S326" s="14"/>
      <c r="T326" s="14"/>
      <c r="U326" s="14"/>
      <c r="V326" s="14"/>
      <c r="W326" s="14"/>
    </row>
    <row r="327" spans="1:23">
      <c r="A327" s="27" t="s">
        <v>100</v>
      </c>
      <c r="B327" t="s">
        <v>60</v>
      </c>
      <c r="C327" s="14"/>
      <c r="D327" s="14"/>
      <c r="E327" s="14"/>
      <c r="F327" s="14"/>
      <c r="G327" s="14"/>
      <c r="H327" s="14"/>
      <c r="I327" s="14"/>
      <c r="J327" s="14"/>
      <c r="K327" s="14"/>
      <c r="L327" s="14"/>
      <c r="M327" s="14"/>
      <c r="N327" s="14"/>
      <c r="O327" s="14"/>
      <c r="P327" s="14"/>
      <c r="Q327" s="14"/>
      <c r="R327" s="14"/>
      <c r="S327" s="14"/>
      <c r="T327" s="14"/>
      <c r="U327" s="14"/>
      <c r="V327" s="14"/>
      <c r="W327" s="14"/>
    </row>
    <row r="328" ht="15.6" spans="1:1">
      <c r="A328" s="5" t="s">
        <v>110</v>
      </c>
    </row>
    <row r="329" spans="1:23">
      <c r="A329" s="27" t="s">
        <v>96</v>
      </c>
      <c r="B329" t="s">
        <v>60</v>
      </c>
      <c r="C329" s="14"/>
      <c r="D329" s="14"/>
      <c r="E329" s="14"/>
      <c r="F329" s="14"/>
      <c r="G329" s="14"/>
      <c r="H329" s="14"/>
      <c r="I329" s="14"/>
      <c r="J329" s="14"/>
      <c r="K329" s="14"/>
      <c r="L329" s="14"/>
      <c r="M329" s="14"/>
      <c r="N329" s="14"/>
      <c r="O329" s="14"/>
      <c r="P329" s="14"/>
      <c r="Q329" s="14"/>
      <c r="R329" s="14"/>
      <c r="S329" s="14"/>
      <c r="T329" s="14"/>
      <c r="U329" s="14"/>
      <c r="V329" s="14"/>
      <c r="W329" s="14"/>
    </row>
    <row r="330" spans="1:23">
      <c r="A330" s="27" t="s">
        <v>98</v>
      </c>
      <c r="B330" t="s">
        <v>60</v>
      </c>
      <c r="C330" s="14"/>
      <c r="D330" s="14"/>
      <c r="E330" s="14"/>
      <c r="F330" s="14"/>
      <c r="G330" s="14"/>
      <c r="H330" s="14"/>
      <c r="I330" s="14"/>
      <c r="J330" s="14"/>
      <c r="K330" s="14"/>
      <c r="L330" s="14"/>
      <c r="M330" s="14"/>
      <c r="N330" s="14"/>
      <c r="O330" s="14"/>
      <c r="P330" s="14"/>
      <c r="Q330" s="14"/>
      <c r="R330" s="14"/>
      <c r="S330" s="14"/>
      <c r="T330" s="14"/>
      <c r="U330" s="14"/>
      <c r="V330" s="14"/>
      <c r="W330" s="14"/>
    </row>
    <row r="331" spans="1:23">
      <c r="A331" s="27" t="s">
        <v>100</v>
      </c>
      <c r="B331" t="s">
        <v>60</v>
      </c>
      <c r="C331" s="39"/>
      <c r="D331" s="39"/>
      <c r="E331" s="39"/>
      <c r="F331" s="39"/>
      <c r="G331" s="39"/>
      <c r="H331" s="39"/>
      <c r="I331" s="39"/>
      <c r="J331" s="39"/>
      <c r="K331" s="39"/>
      <c r="L331" s="39"/>
      <c r="M331" s="39"/>
      <c r="N331" s="39"/>
      <c r="O331" s="39"/>
      <c r="P331" s="39"/>
      <c r="Q331" s="39"/>
      <c r="R331" s="39"/>
      <c r="S331" s="39"/>
      <c r="T331" s="39"/>
      <c r="U331" s="39"/>
      <c r="V331" s="39"/>
      <c r="W331" s="39"/>
    </row>
    <row r="332" ht="15.6" spans="1:1">
      <c r="A332" s="5" t="s">
        <v>105</v>
      </c>
    </row>
    <row r="333" spans="1:23">
      <c r="A333" s="27" t="s">
        <v>96</v>
      </c>
      <c r="B333" t="s">
        <v>60</v>
      </c>
      <c r="C333" s="50"/>
      <c r="D333" s="50"/>
      <c r="E333" s="50"/>
      <c r="F333" s="50"/>
      <c r="G333" s="50"/>
      <c r="H333" s="50"/>
      <c r="I333" s="50"/>
      <c r="J333" s="50"/>
      <c r="K333" s="50"/>
      <c r="L333" s="50"/>
      <c r="M333" s="50"/>
      <c r="N333" s="50"/>
      <c r="O333" s="50"/>
      <c r="P333" s="50"/>
      <c r="Q333" s="50"/>
      <c r="R333" s="50"/>
      <c r="S333" s="50"/>
      <c r="T333" s="50"/>
      <c r="U333" s="50"/>
      <c r="V333" s="50"/>
      <c r="W333" s="50"/>
    </row>
    <row r="334" spans="1:23">
      <c r="A334" s="27" t="s">
        <v>98</v>
      </c>
      <c r="B334" t="s">
        <v>60</v>
      </c>
      <c r="C334" s="50"/>
      <c r="D334" s="50"/>
      <c r="E334" s="50"/>
      <c r="F334" s="50"/>
      <c r="G334" s="50"/>
      <c r="H334" s="50"/>
      <c r="I334" s="50"/>
      <c r="J334" s="50"/>
      <c r="K334" s="50"/>
      <c r="L334" s="50"/>
      <c r="M334" s="50"/>
      <c r="N334" s="50"/>
      <c r="O334" s="50"/>
      <c r="P334" s="50"/>
      <c r="Q334" s="50"/>
      <c r="R334" s="50"/>
      <c r="S334" s="50"/>
      <c r="T334" s="50"/>
      <c r="U334" s="50"/>
      <c r="V334" s="50"/>
      <c r="W334" s="50"/>
    </row>
    <row r="335" spans="1:23">
      <c r="A335" s="27" t="s">
        <v>100</v>
      </c>
      <c r="B335" t="s">
        <v>60</v>
      </c>
      <c r="C335" s="50"/>
      <c r="D335" s="50"/>
      <c r="E335" s="50"/>
      <c r="F335" s="50"/>
      <c r="G335" s="50"/>
      <c r="H335" s="50"/>
      <c r="I335" s="50"/>
      <c r="J335" s="50"/>
      <c r="K335" s="50"/>
      <c r="L335" s="50"/>
      <c r="M335" s="50"/>
      <c r="N335" s="50"/>
      <c r="O335" s="50"/>
      <c r="P335" s="50"/>
      <c r="Q335" s="50"/>
      <c r="R335" s="50"/>
      <c r="S335" s="50"/>
      <c r="T335" s="50"/>
      <c r="U335" s="50"/>
      <c r="V335" s="50"/>
      <c r="W335" s="50"/>
    </row>
    <row r="336" spans="1:23">
      <c r="A336" s="31" t="s">
        <v>107</v>
      </c>
      <c r="B336" s="32" t="s">
        <v>60</v>
      </c>
      <c r="C336" s="33"/>
      <c r="D336" s="33"/>
      <c r="E336" s="33"/>
      <c r="F336" s="33"/>
      <c r="G336" s="33"/>
      <c r="H336" s="33"/>
      <c r="I336" s="33"/>
      <c r="J336" s="33"/>
      <c r="K336" s="33"/>
      <c r="L336" s="33"/>
      <c r="M336" s="33"/>
      <c r="N336" s="33"/>
      <c r="O336" s="33"/>
      <c r="P336" s="33"/>
      <c r="Q336" s="33"/>
      <c r="R336" s="33"/>
      <c r="S336" s="33"/>
      <c r="T336" s="33"/>
      <c r="U336" s="33"/>
      <c r="V336" s="33"/>
      <c r="W336" s="33"/>
    </row>
    <row r="337" ht="15.6" spans="1:23">
      <c r="A337" s="25" t="s">
        <v>94</v>
      </c>
      <c r="C337" s="12"/>
      <c r="D337" s="12"/>
      <c r="E337" s="12"/>
      <c r="F337" s="12"/>
      <c r="G337" s="12"/>
      <c r="H337" s="12"/>
      <c r="I337" s="12"/>
      <c r="J337" s="12"/>
      <c r="K337" s="12"/>
      <c r="L337" s="12"/>
      <c r="M337" s="12"/>
      <c r="N337" s="12"/>
      <c r="O337" s="12"/>
      <c r="P337" s="12"/>
      <c r="Q337" s="12"/>
      <c r="R337" s="12"/>
      <c r="S337" s="12"/>
      <c r="T337" s="12"/>
      <c r="U337" s="12"/>
      <c r="V337" s="12"/>
      <c r="W337" s="12"/>
    </row>
    <row r="338" ht="15.6" spans="1:23">
      <c r="A338" s="25" t="s">
        <v>113</v>
      </c>
      <c r="B338" t="s">
        <v>114</v>
      </c>
      <c r="C338" s="40">
        <v>85</v>
      </c>
      <c r="D338" s="40">
        <v>100</v>
      </c>
      <c r="E338" s="40">
        <v>100</v>
      </c>
      <c r="F338" s="40">
        <v>85</v>
      </c>
      <c r="G338" s="40">
        <v>85</v>
      </c>
      <c r="H338" s="52">
        <v>40</v>
      </c>
      <c r="I338" s="40">
        <f t="shared" ref="I338:Q338" si="26">85*85%</f>
        <v>72.25</v>
      </c>
      <c r="J338" s="40">
        <f t="shared" si="26"/>
        <v>72.25</v>
      </c>
      <c r="K338" s="40">
        <f t="shared" si="26"/>
        <v>72.25</v>
      </c>
      <c r="L338" s="40">
        <f t="shared" si="26"/>
        <v>72.25</v>
      </c>
      <c r="M338" s="40">
        <f t="shared" si="26"/>
        <v>72.25</v>
      </c>
      <c r="N338" s="40">
        <f t="shared" si="26"/>
        <v>72.25</v>
      </c>
      <c r="O338" s="40">
        <f t="shared" si="26"/>
        <v>72.25</v>
      </c>
      <c r="P338" s="40">
        <f t="shared" si="26"/>
        <v>72.25</v>
      </c>
      <c r="Q338" s="40">
        <f t="shared" si="26"/>
        <v>72.25</v>
      </c>
      <c r="R338" s="40">
        <v>90</v>
      </c>
      <c r="S338" s="40">
        <v>100</v>
      </c>
      <c r="T338" s="40">
        <f>85*85%</f>
        <v>72.25</v>
      </c>
      <c r="U338" s="40">
        <f>85*85%</f>
        <v>72.25</v>
      </c>
      <c r="V338" s="40">
        <v>60</v>
      </c>
      <c r="W338" s="40">
        <v>60</v>
      </c>
    </row>
    <row r="339" ht="15.6" spans="1:23">
      <c r="A339" s="25" t="s">
        <v>115</v>
      </c>
      <c r="B339" t="s">
        <v>116</v>
      </c>
      <c r="C339" s="40">
        <v>5</v>
      </c>
      <c r="D339" s="40">
        <v>20</v>
      </c>
      <c r="E339" s="40">
        <v>5</v>
      </c>
      <c r="F339" s="40">
        <v>20</v>
      </c>
      <c r="G339" s="40">
        <v>20</v>
      </c>
      <c r="H339" s="40">
        <v>1</v>
      </c>
      <c r="I339" s="40">
        <v>10</v>
      </c>
      <c r="J339" s="40">
        <v>10</v>
      </c>
      <c r="K339" s="40">
        <v>10</v>
      </c>
      <c r="L339" s="40">
        <v>10</v>
      </c>
      <c r="M339" s="40">
        <v>10</v>
      </c>
      <c r="N339" s="40">
        <v>10</v>
      </c>
      <c r="O339" s="40">
        <v>10</v>
      </c>
      <c r="P339" s="40">
        <v>10</v>
      </c>
      <c r="Q339" s="40">
        <v>10</v>
      </c>
      <c r="R339" s="40">
        <v>1</v>
      </c>
      <c r="S339" s="40">
        <v>20</v>
      </c>
      <c r="T339" s="40">
        <v>10</v>
      </c>
      <c r="U339" s="40">
        <v>20</v>
      </c>
      <c r="V339" s="40">
        <v>2</v>
      </c>
      <c r="W339" s="40">
        <v>2</v>
      </c>
    </row>
    <row r="340" ht="15.6" spans="1:1">
      <c r="A340" s="5" t="s">
        <v>95</v>
      </c>
    </row>
    <row r="341" ht="15.6" spans="1:23">
      <c r="A341" s="27" t="s">
        <v>117</v>
      </c>
      <c r="B341" t="s">
        <v>118</v>
      </c>
      <c r="C341" s="42">
        <v>45</v>
      </c>
      <c r="D341" s="42">
        <v>45</v>
      </c>
      <c r="E341" s="42">
        <v>45</v>
      </c>
      <c r="F341" s="42">
        <v>45</v>
      </c>
      <c r="G341" s="42">
        <v>45</v>
      </c>
      <c r="H341" s="42">
        <v>45</v>
      </c>
      <c r="I341" s="42">
        <v>45</v>
      </c>
      <c r="J341" s="42">
        <v>45</v>
      </c>
      <c r="K341" s="42">
        <v>45</v>
      </c>
      <c r="L341" s="42">
        <v>45</v>
      </c>
      <c r="M341" s="42">
        <v>45</v>
      </c>
      <c r="N341" s="42">
        <v>45</v>
      </c>
      <c r="O341" s="42">
        <v>45</v>
      </c>
      <c r="P341" s="42">
        <v>45</v>
      </c>
      <c r="Q341" s="42">
        <v>45</v>
      </c>
      <c r="R341" s="42">
        <v>45</v>
      </c>
      <c r="S341" s="42">
        <v>45</v>
      </c>
      <c r="T341" s="42">
        <v>45</v>
      </c>
      <c r="U341" s="42">
        <v>45</v>
      </c>
      <c r="V341" s="42">
        <v>45</v>
      </c>
      <c r="W341" s="42">
        <v>45</v>
      </c>
    </row>
    <row r="342" ht="15.6" spans="1:23">
      <c r="A342" s="27" t="s">
        <v>96</v>
      </c>
      <c r="B342" t="s">
        <v>119</v>
      </c>
      <c r="C342" s="43">
        <v>0.01</v>
      </c>
      <c r="D342" s="43">
        <v>0.01</v>
      </c>
      <c r="E342" s="43">
        <v>0.01</v>
      </c>
      <c r="F342" s="43">
        <v>0.01</v>
      </c>
      <c r="G342" s="43">
        <v>0.01</v>
      </c>
      <c r="H342" s="43">
        <v>0.01</v>
      </c>
      <c r="I342" s="43">
        <v>0.01</v>
      </c>
      <c r="J342" s="43">
        <v>0.01</v>
      </c>
      <c r="K342" s="43">
        <v>0.01</v>
      </c>
      <c r="L342" s="43">
        <v>0.01</v>
      </c>
      <c r="M342" s="43">
        <v>0.01</v>
      </c>
      <c r="N342" s="43">
        <v>0.01</v>
      </c>
      <c r="O342" s="43">
        <v>0.01</v>
      </c>
      <c r="P342" s="43">
        <v>0.01</v>
      </c>
      <c r="Q342" s="43">
        <v>0.01</v>
      </c>
      <c r="R342" s="43">
        <v>0.01</v>
      </c>
      <c r="S342" s="43">
        <v>0.01</v>
      </c>
      <c r="T342" s="43">
        <v>0.01</v>
      </c>
      <c r="U342" s="43">
        <v>0.01</v>
      </c>
      <c r="V342" s="43">
        <v>0.01</v>
      </c>
      <c r="W342" s="43">
        <v>0.01</v>
      </c>
    </row>
    <row r="343" ht="15.6" spans="1:23">
      <c r="A343" s="27" t="s">
        <v>98</v>
      </c>
      <c r="B343" t="s">
        <v>120</v>
      </c>
      <c r="C343" s="43">
        <f t="shared" ref="C343:W343" si="27">1.5*2.7556/2</f>
        <v>2.0667</v>
      </c>
      <c r="D343" s="43">
        <f t="shared" si="27"/>
        <v>2.0667</v>
      </c>
      <c r="E343" s="43">
        <f t="shared" si="27"/>
        <v>2.0667</v>
      </c>
      <c r="F343" s="43">
        <f t="shared" si="27"/>
        <v>2.0667</v>
      </c>
      <c r="G343" s="43">
        <f t="shared" si="27"/>
        <v>2.0667</v>
      </c>
      <c r="H343" s="43">
        <f t="shared" si="27"/>
        <v>2.0667</v>
      </c>
      <c r="I343" s="43">
        <f t="shared" si="27"/>
        <v>2.0667</v>
      </c>
      <c r="J343" s="43">
        <f t="shared" si="27"/>
        <v>2.0667</v>
      </c>
      <c r="K343" s="43">
        <f t="shared" si="27"/>
        <v>2.0667</v>
      </c>
      <c r="L343" s="43">
        <f t="shared" si="27"/>
        <v>2.0667</v>
      </c>
      <c r="M343" s="43">
        <f t="shared" si="27"/>
        <v>2.0667</v>
      </c>
      <c r="N343" s="43">
        <f t="shared" si="27"/>
        <v>2.0667</v>
      </c>
      <c r="O343" s="43">
        <f t="shared" si="27"/>
        <v>2.0667</v>
      </c>
      <c r="P343" s="43">
        <f t="shared" si="27"/>
        <v>2.0667</v>
      </c>
      <c r="Q343" s="43">
        <f t="shared" si="27"/>
        <v>2.0667</v>
      </c>
      <c r="R343" s="43">
        <f t="shared" si="27"/>
        <v>2.0667</v>
      </c>
      <c r="S343" s="43">
        <f t="shared" si="27"/>
        <v>2.0667</v>
      </c>
      <c r="T343" s="43">
        <f t="shared" si="27"/>
        <v>2.0667</v>
      </c>
      <c r="U343" s="43">
        <f t="shared" si="27"/>
        <v>2.0667</v>
      </c>
      <c r="V343" s="43">
        <f t="shared" si="27"/>
        <v>2.0667</v>
      </c>
      <c r="W343" s="43">
        <f t="shared" si="27"/>
        <v>2.0667</v>
      </c>
    </row>
    <row r="344" ht="15.6" spans="1:23">
      <c r="A344" s="27" t="s">
        <v>100</v>
      </c>
      <c r="B344" t="s">
        <v>121</v>
      </c>
      <c r="C344" s="28">
        <v>0.5</v>
      </c>
      <c r="D344" s="28">
        <v>0.5</v>
      </c>
      <c r="E344" s="28">
        <v>0.5</v>
      </c>
      <c r="F344" s="28">
        <v>0.5</v>
      </c>
      <c r="G344" s="28">
        <v>0.5</v>
      </c>
      <c r="H344" s="28">
        <v>0.5</v>
      </c>
      <c r="I344" s="28">
        <v>0.5</v>
      </c>
      <c r="J344" s="28">
        <v>0.5</v>
      </c>
      <c r="K344" s="28">
        <v>0.5</v>
      </c>
      <c r="L344" s="28">
        <v>0.5</v>
      </c>
      <c r="M344" s="28">
        <v>0.5</v>
      </c>
      <c r="N344" s="28">
        <v>0.5</v>
      </c>
      <c r="O344" s="28">
        <v>0.5</v>
      </c>
      <c r="P344" s="28">
        <v>0.5</v>
      </c>
      <c r="Q344" s="28">
        <v>0.5</v>
      </c>
      <c r="R344" s="28">
        <v>0.5</v>
      </c>
      <c r="S344" s="28">
        <v>0.5</v>
      </c>
      <c r="T344" s="28">
        <v>0.5</v>
      </c>
      <c r="U344" s="28">
        <v>0.5</v>
      </c>
      <c r="V344" s="28">
        <v>0.5</v>
      </c>
      <c r="W344" s="28">
        <v>0.5</v>
      </c>
    </row>
    <row r="345" ht="15.6" spans="1:23">
      <c r="A345" s="27" t="s">
        <v>122</v>
      </c>
      <c r="B345" t="s">
        <v>45</v>
      </c>
      <c r="C345" s="44"/>
      <c r="D345" s="44"/>
      <c r="E345" s="44"/>
      <c r="F345" s="44"/>
      <c r="G345" s="44"/>
      <c r="H345" s="44"/>
      <c r="I345" s="44"/>
      <c r="J345" s="44"/>
      <c r="K345" s="44"/>
      <c r="L345" s="44"/>
      <c r="M345" s="44"/>
      <c r="N345" s="44"/>
      <c r="O345" s="44"/>
      <c r="P345" s="44"/>
      <c r="Q345" s="44"/>
      <c r="R345" s="44"/>
      <c r="S345" s="44"/>
      <c r="T345" s="44"/>
      <c r="U345" s="44"/>
      <c r="V345" s="44"/>
      <c r="W345" s="44"/>
    </row>
    <row r="346" ht="15.6" spans="1:23">
      <c r="A346" s="27" t="s">
        <v>123</v>
      </c>
      <c r="B346" s="9" t="s">
        <v>51</v>
      </c>
      <c r="C346" s="44"/>
      <c r="D346" s="44"/>
      <c r="E346" s="44"/>
      <c r="F346" s="44"/>
      <c r="G346" s="44"/>
      <c r="H346" s="44"/>
      <c r="I346" s="44"/>
      <c r="J346" s="44"/>
      <c r="K346" s="44"/>
      <c r="L346" s="44"/>
      <c r="M346" s="44"/>
      <c r="N346" s="44"/>
      <c r="O346" s="44"/>
      <c r="P346" s="44"/>
      <c r="Q346" s="44"/>
      <c r="R346" s="44"/>
      <c r="S346" s="44"/>
      <c r="T346" s="44"/>
      <c r="U346" s="44"/>
      <c r="V346" s="44"/>
      <c r="W346" s="44"/>
    </row>
    <row r="347" ht="15.6" spans="1:23">
      <c r="A347" s="27" t="s">
        <v>124</v>
      </c>
      <c r="B347" s="9" t="s">
        <v>51</v>
      </c>
      <c r="C347" s="44"/>
      <c r="D347" s="44"/>
      <c r="E347" s="44"/>
      <c r="F347" s="44"/>
      <c r="G347" s="44"/>
      <c r="H347" s="44"/>
      <c r="I347" s="44"/>
      <c r="J347" s="44"/>
      <c r="K347" s="44"/>
      <c r="L347" s="44"/>
      <c r="M347" s="44"/>
      <c r="N347" s="44"/>
      <c r="O347" s="44"/>
      <c r="P347" s="44"/>
      <c r="Q347" s="44"/>
      <c r="R347" s="44"/>
      <c r="S347" s="44"/>
      <c r="T347" s="44"/>
      <c r="U347" s="44"/>
      <c r="V347" s="44"/>
      <c r="W347" s="44"/>
    </row>
    <row r="348" ht="15.6" spans="1:1">
      <c r="A348" s="5" t="s">
        <v>102</v>
      </c>
    </row>
    <row r="349" spans="1:23">
      <c r="A349" s="27" t="s">
        <v>96</v>
      </c>
      <c r="B349" t="s">
        <v>119</v>
      </c>
      <c r="C349" s="45"/>
      <c r="D349" s="45"/>
      <c r="E349" s="45"/>
      <c r="F349" s="45"/>
      <c r="G349" s="45"/>
      <c r="H349" s="45"/>
      <c r="I349" s="45"/>
      <c r="J349" s="45"/>
      <c r="K349" s="45"/>
      <c r="L349" s="45"/>
      <c r="M349" s="45"/>
      <c r="N349" s="45"/>
      <c r="O349" s="45"/>
      <c r="P349" s="45"/>
      <c r="Q349" s="45"/>
      <c r="R349" s="45"/>
      <c r="S349" s="45"/>
      <c r="T349" s="45"/>
      <c r="U349" s="45"/>
      <c r="V349" s="45"/>
      <c r="W349" s="45"/>
    </row>
    <row r="350" spans="1:23">
      <c r="A350" s="27" t="s">
        <v>98</v>
      </c>
      <c r="B350" t="s">
        <v>120</v>
      </c>
      <c r="C350" s="45"/>
      <c r="D350" s="45"/>
      <c r="E350" s="45"/>
      <c r="F350" s="45"/>
      <c r="G350" s="45"/>
      <c r="H350" s="45"/>
      <c r="I350" s="45"/>
      <c r="J350" s="45"/>
      <c r="K350" s="45"/>
      <c r="L350" s="45"/>
      <c r="M350" s="45"/>
      <c r="N350" s="45"/>
      <c r="O350" s="45"/>
      <c r="P350" s="45"/>
      <c r="Q350" s="45"/>
      <c r="R350" s="45"/>
      <c r="S350" s="45"/>
      <c r="T350" s="45"/>
      <c r="U350" s="45"/>
      <c r="V350" s="45"/>
      <c r="W350" s="45"/>
    </row>
    <row r="351" spans="1:23">
      <c r="A351" s="27" t="s">
        <v>100</v>
      </c>
      <c r="B351" t="s">
        <v>121</v>
      </c>
      <c r="C351" s="45"/>
      <c r="D351" s="45"/>
      <c r="E351" s="45"/>
      <c r="F351" s="45"/>
      <c r="G351" s="45"/>
      <c r="H351" s="45"/>
      <c r="I351" s="45"/>
      <c r="J351" s="45"/>
      <c r="K351" s="45"/>
      <c r="L351" s="45"/>
      <c r="M351" s="45"/>
      <c r="N351" s="45"/>
      <c r="O351" s="45"/>
      <c r="P351" s="45"/>
      <c r="Q351" s="45"/>
      <c r="R351" s="45"/>
      <c r="S351" s="45"/>
      <c r="T351" s="45"/>
      <c r="U351" s="45"/>
      <c r="V351" s="45"/>
      <c r="W351" s="45"/>
    </row>
    <row r="352" ht="15.6" spans="1:1">
      <c r="A352" s="5" t="s">
        <v>125</v>
      </c>
    </row>
    <row r="353" spans="1:23">
      <c r="A353" s="27" t="s">
        <v>96</v>
      </c>
      <c r="B353" t="s">
        <v>119</v>
      </c>
      <c r="C353" s="45"/>
      <c r="D353" s="45"/>
      <c r="E353" s="45"/>
      <c r="F353" s="45"/>
      <c r="G353" s="45"/>
      <c r="H353" s="45"/>
      <c r="I353" s="45"/>
      <c r="J353" s="45"/>
      <c r="K353" s="45"/>
      <c r="L353" s="45"/>
      <c r="M353" s="45"/>
      <c r="N353" s="45"/>
      <c r="O353" s="45"/>
      <c r="P353" s="45"/>
      <c r="Q353" s="45"/>
      <c r="R353" s="45"/>
      <c r="S353" s="45"/>
      <c r="T353" s="45"/>
      <c r="U353" s="45"/>
      <c r="V353" s="45"/>
      <c r="W353" s="45"/>
    </row>
    <row r="354" spans="1:23">
      <c r="A354" s="27" t="s">
        <v>98</v>
      </c>
      <c r="B354" t="s">
        <v>126</v>
      </c>
      <c r="C354" s="45"/>
      <c r="D354" s="45"/>
      <c r="E354" s="45"/>
      <c r="F354" s="45"/>
      <c r="G354" s="45"/>
      <c r="H354" s="45"/>
      <c r="I354" s="45"/>
      <c r="J354" s="45"/>
      <c r="K354" s="45"/>
      <c r="L354" s="45"/>
      <c r="M354" s="45"/>
      <c r="N354" s="45"/>
      <c r="O354" s="45"/>
      <c r="P354" s="45"/>
      <c r="Q354" s="45"/>
      <c r="R354" s="45"/>
      <c r="S354" s="45"/>
      <c r="T354" s="45"/>
      <c r="U354" s="45"/>
      <c r="V354" s="45"/>
      <c r="W354" s="45"/>
    </row>
    <row r="355" spans="1:23">
      <c r="A355" s="27" t="s">
        <v>100</v>
      </c>
      <c r="B355" t="s">
        <v>121</v>
      </c>
      <c r="C355" s="45"/>
      <c r="D355" s="45"/>
      <c r="E355" s="45"/>
      <c r="F355" s="45"/>
      <c r="G355" s="45"/>
      <c r="H355" s="45"/>
      <c r="I355" s="45"/>
      <c r="J355" s="45"/>
      <c r="K355" s="45"/>
      <c r="L355" s="45"/>
      <c r="M355" s="45"/>
      <c r="N355" s="45"/>
      <c r="O355" s="45"/>
      <c r="P355" s="45"/>
      <c r="Q355" s="45"/>
      <c r="R355" s="45"/>
      <c r="S355" s="45"/>
      <c r="T355" s="45"/>
      <c r="U355" s="45"/>
      <c r="V355" s="45"/>
      <c r="W355" s="45"/>
    </row>
    <row r="356" ht="15.6" spans="1:1">
      <c r="A356" s="5" t="s">
        <v>127</v>
      </c>
    </row>
    <row r="357" spans="1:23">
      <c r="A357" s="27" t="s">
        <v>96</v>
      </c>
      <c r="B357" t="s">
        <v>60</v>
      </c>
      <c r="C357" s="45"/>
      <c r="D357" s="45"/>
      <c r="E357" s="45"/>
      <c r="F357" s="45"/>
      <c r="G357" s="45"/>
      <c r="H357" s="45"/>
      <c r="I357" s="45"/>
      <c r="J357" s="45"/>
      <c r="K357" s="45"/>
      <c r="L357" s="45"/>
      <c r="M357" s="45"/>
      <c r="N357" s="45"/>
      <c r="O357" s="45"/>
      <c r="P357" s="45"/>
      <c r="Q357" s="45"/>
      <c r="R357" s="45"/>
      <c r="S357" s="45"/>
      <c r="T357" s="45"/>
      <c r="U357" s="45"/>
      <c r="V357" s="45"/>
      <c r="W357" s="45"/>
    </row>
    <row r="358" spans="1:23">
      <c r="A358" s="27" t="s">
        <v>98</v>
      </c>
      <c r="B358" t="s">
        <v>60</v>
      </c>
      <c r="C358" s="45"/>
      <c r="D358" s="45"/>
      <c r="E358" s="45"/>
      <c r="F358" s="45"/>
      <c r="G358" s="45"/>
      <c r="H358" s="45"/>
      <c r="I358" s="45"/>
      <c r="J358" s="45"/>
      <c r="K358" s="45"/>
      <c r="L358" s="45"/>
      <c r="M358" s="45"/>
      <c r="N358" s="45"/>
      <c r="O358" s="45"/>
      <c r="P358" s="45"/>
      <c r="Q358" s="45"/>
      <c r="R358" s="45"/>
      <c r="S358" s="45"/>
      <c r="T358" s="45"/>
      <c r="U358" s="45"/>
      <c r="V358" s="45"/>
      <c r="W358" s="45"/>
    </row>
    <row r="359" spans="1:23">
      <c r="A359" s="27" t="s">
        <v>100</v>
      </c>
      <c r="B359" t="s">
        <v>60</v>
      </c>
      <c r="C359" s="46"/>
      <c r="D359" s="46"/>
      <c r="E359" s="46"/>
      <c r="F359" s="46"/>
      <c r="G359" s="46"/>
      <c r="H359" s="46"/>
      <c r="I359" s="46"/>
      <c r="J359" s="46"/>
      <c r="K359" s="46"/>
      <c r="L359" s="46"/>
      <c r="M359" s="46"/>
      <c r="N359" s="46"/>
      <c r="O359" s="46"/>
      <c r="P359" s="46"/>
      <c r="Q359" s="46"/>
      <c r="R359" s="46"/>
      <c r="S359" s="46"/>
      <c r="T359" s="46"/>
      <c r="U359" s="46"/>
      <c r="V359" s="46"/>
      <c r="W359" s="46"/>
    </row>
    <row r="360" ht="15.6" spans="1:1">
      <c r="A360" s="5" t="s">
        <v>105</v>
      </c>
    </row>
    <row r="361" spans="1:23">
      <c r="A361" s="27" t="s">
        <v>96</v>
      </c>
      <c r="B361" t="s">
        <v>60</v>
      </c>
      <c r="C361" s="50"/>
      <c r="D361" s="50"/>
      <c r="E361" s="50"/>
      <c r="F361" s="50"/>
      <c r="G361" s="50"/>
      <c r="H361" s="50"/>
      <c r="I361" s="50"/>
      <c r="J361" s="50"/>
      <c r="K361" s="50"/>
      <c r="L361" s="50"/>
      <c r="M361" s="50"/>
      <c r="N361" s="50"/>
      <c r="O361" s="50"/>
      <c r="P361" s="50"/>
      <c r="Q361" s="50"/>
      <c r="R361" s="50"/>
      <c r="S361" s="50"/>
      <c r="T361" s="50"/>
      <c r="U361" s="50"/>
      <c r="V361" s="50"/>
      <c r="W361" s="50"/>
    </row>
    <row r="362" spans="1:23">
      <c r="A362" s="27" t="s">
        <v>98</v>
      </c>
      <c r="B362" t="s">
        <v>60</v>
      </c>
      <c r="C362" s="50"/>
      <c r="D362" s="50"/>
      <c r="E362" s="50"/>
      <c r="F362" s="50"/>
      <c r="G362" s="50"/>
      <c r="H362" s="50"/>
      <c r="I362" s="50"/>
      <c r="J362" s="50"/>
      <c r="K362" s="50"/>
      <c r="L362" s="50"/>
      <c r="M362" s="50"/>
      <c r="N362" s="50"/>
      <c r="O362" s="50"/>
      <c r="P362" s="50"/>
      <c r="Q362" s="50"/>
      <c r="R362" s="50"/>
      <c r="S362" s="50"/>
      <c r="T362" s="50"/>
      <c r="U362" s="50"/>
      <c r="V362" s="50"/>
      <c r="W362" s="50"/>
    </row>
    <row r="363" spans="1:23">
      <c r="A363" s="27" t="s">
        <v>100</v>
      </c>
      <c r="B363" t="s">
        <v>60</v>
      </c>
      <c r="C363" s="50"/>
      <c r="D363" s="50"/>
      <c r="E363" s="50"/>
      <c r="F363" s="50"/>
      <c r="G363" s="50"/>
      <c r="H363" s="50"/>
      <c r="I363" s="50"/>
      <c r="J363" s="50"/>
      <c r="K363" s="50"/>
      <c r="L363" s="50"/>
      <c r="M363" s="50"/>
      <c r="N363" s="50"/>
      <c r="O363" s="50"/>
      <c r="P363" s="50"/>
      <c r="Q363" s="50"/>
      <c r="R363" s="50"/>
      <c r="S363" s="50"/>
      <c r="T363" s="50"/>
      <c r="U363" s="50"/>
      <c r="V363" s="50"/>
      <c r="W363" s="50"/>
    </row>
    <row r="364" spans="1:23">
      <c r="A364" s="31" t="s">
        <v>107</v>
      </c>
      <c r="B364" s="32" t="s">
        <v>60</v>
      </c>
      <c r="C364" s="33"/>
      <c r="D364" s="33"/>
      <c r="E364" s="33"/>
      <c r="F364" s="33"/>
      <c r="G364" s="33"/>
      <c r="H364" s="33"/>
      <c r="I364" s="33"/>
      <c r="J364" s="33"/>
      <c r="K364" s="33"/>
      <c r="L364" s="33"/>
      <c r="M364" s="33"/>
      <c r="N364" s="33"/>
      <c r="O364" s="33"/>
      <c r="P364" s="33"/>
      <c r="Q364" s="33"/>
      <c r="R364" s="33"/>
      <c r="S364" s="33"/>
      <c r="T364" s="33"/>
      <c r="U364" s="33"/>
      <c r="V364" s="33"/>
      <c r="W364" s="33"/>
    </row>
    <row r="365" ht="15.6" spans="1:1">
      <c r="A365" s="5" t="s">
        <v>129</v>
      </c>
    </row>
    <row r="366" spans="1:23">
      <c r="A366" s="27" t="s">
        <v>96</v>
      </c>
      <c r="B366" t="s">
        <v>60</v>
      </c>
      <c r="C366" s="14"/>
      <c r="D366" s="14"/>
      <c r="E366" s="14"/>
      <c r="F366" s="14"/>
      <c r="G366" s="14"/>
      <c r="H366" s="14"/>
      <c r="I366" s="14"/>
      <c r="J366" s="14"/>
      <c r="K366" s="14"/>
      <c r="L366" s="14"/>
      <c r="M366" s="14"/>
      <c r="N366" s="14"/>
      <c r="O366" s="14"/>
      <c r="P366" s="14"/>
      <c r="Q366" s="14"/>
      <c r="R366" s="14"/>
      <c r="S366" s="14"/>
      <c r="T366" s="14"/>
      <c r="U366" s="14"/>
      <c r="V366" s="14"/>
      <c r="W366" s="14"/>
    </row>
    <row r="367" spans="1:23">
      <c r="A367" s="27" t="s">
        <v>98</v>
      </c>
      <c r="B367" t="s">
        <v>60</v>
      </c>
      <c r="C367" s="14"/>
      <c r="D367" s="14"/>
      <c r="E367" s="14"/>
      <c r="F367" s="14"/>
      <c r="G367" s="14"/>
      <c r="H367" s="14"/>
      <c r="I367" s="14"/>
      <c r="J367" s="14"/>
      <c r="K367" s="14"/>
      <c r="L367" s="14"/>
      <c r="M367" s="14"/>
      <c r="N367" s="14"/>
      <c r="O367" s="14"/>
      <c r="P367" s="14"/>
      <c r="Q367" s="14"/>
      <c r="R367" s="14"/>
      <c r="S367" s="14"/>
      <c r="T367" s="14"/>
      <c r="U367" s="14"/>
      <c r="V367" s="14"/>
      <c r="W367" s="14"/>
    </row>
    <row r="368" spans="1:23">
      <c r="A368" s="27" t="s">
        <v>100</v>
      </c>
      <c r="B368" t="s">
        <v>60</v>
      </c>
      <c r="C368" s="14"/>
      <c r="D368" s="14"/>
      <c r="E368" s="14"/>
      <c r="F368" s="14"/>
      <c r="G368" s="14"/>
      <c r="H368" s="14"/>
      <c r="I368" s="14"/>
      <c r="J368" s="14"/>
      <c r="K368" s="14"/>
      <c r="L368" s="14"/>
      <c r="M368" s="14"/>
      <c r="N368" s="14"/>
      <c r="O368" s="14"/>
      <c r="P368" s="14"/>
      <c r="Q368" s="14"/>
      <c r="R368" s="14"/>
      <c r="S368" s="14"/>
      <c r="T368" s="14"/>
      <c r="U368" s="14"/>
      <c r="V368" s="14"/>
      <c r="W368" s="14"/>
    </row>
    <row r="369" spans="1:23">
      <c r="A369" s="31" t="s">
        <v>107</v>
      </c>
      <c r="B369" s="32" t="s">
        <v>60</v>
      </c>
      <c r="C369" s="33"/>
      <c r="D369" s="33"/>
      <c r="E369" s="33"/>
      <c r="F369" s="33"/>
      <c r="G369" s="33"/>
      <c r="H369" s="33"/>
      <c r="I369" s="33"/>
      <c r="J369" s="33"/>
      <c r="K369" s="33"/>
      <c r="L369" s="33"/>
      <c r="M369" s="33"/>
      <c r="N369" s="33"/>
      <c r="O369" s="33"/>
      <c r="P369" s="33"/>
      <c r="Q369" s="33"/>
      <c r="R369" s="33"/>
      <c r="S369" s="33"/>
      <c r="T369" s="33"/>
      <c r="U369" s="33"/>
      <c r="V369" s="33"/>
      <c r="W369" s="33"/>
    </row>
    <row r="370" ht="15.6" spans="1:23">
      <c r="A370" s="25" t="s">
        <v>94</v>
      </c>
      <c r="C370" s="10">
        <v>0</v>
      </c>
      <c r="D370" s="10">
        <v>0</v>
      </c>
      <c r="E370" s="10">
        <v>0</v>
      </c>
      <c r="F370" s="10">
        <v>0</v>
      </c>
      <c r="G370" s="10">
        <v>0</v>
      </c>
      <c r="H370" s="10">
        <v>0</v>
      </c>
      <c r="I370" s="10">
        <v>0</v>
      </c>
      <c r="J370" s="10">
        <v>0</v>
      </c>
      <c r="K370" s="10">
        <v>0</v>
      </c>
      <c r="L370" s="10">
        <v>0</v>
      </c>
      <c r="M370" s="10">
        <v>0</v>
      </c>
      <c r="N370" s="10">
        <v>0</v>
      </c>
      <c r="O370" s="10">
        <v>0</v>
      </c>
      <c r="P370" s="10">
        <v>0</v>
      </c>
      <c r="Q370" s="10">
        <v>0</v>
      </c>
      <c r="R370" s="10">
        <v>0</v>
      </c>
      <c r="S370" s="10">
        <v>0</v>
      </c>
      <c r="T370" s="10">
        <v>0</v>
      </c>
      <c r="U370" s="10">
        <v>0</v>
      </c>
      <c r="V370" s="10">
        <v>0</v>
      </c>
      <c r="W370" s="10">
        <v>0</v>
      </c>
    </row>
    <row r="371" ht="15.6" spans="1:23">
      <c r="A371" s="25" t="s">
        <v>111</v>
      </c>
      <c r="B371" t="s">
        <v>112</v>
      </c>
      <c r="C371" s="40">
        <v>200</v>
      </c>
      <c r="D371" s="40">
        <v>200</v>
      </c>
      <c r="E371" s="40">
        <v>200</v>
      </c>
      <c r="F371" s="40">
        <v>200</v>
      </c>
      <c r="G371" s="40">
        <v>200</v>
      </c>
      <c r="H371" s="40">
        <v>200</v>
      </c>
      <c r="I371" s="40">
        <v>200</v>
      </c>
      <c r="J371" s="40">
        <v>200</v>
      </c>
      <c r="K371" s="40">
        <v>200</v>
      </c>
      <c r="L371" s="40">
        <v>200</v>
      </c>
      <c r="M371" s="40">
        <v>200</v>
      </c>
      <c r="N371" s="40">
        <v>200</v>
      </c>
      <c r="O371" s="40">
        <v>200</v>
      </c>
      <c r="P371" s="40">
        <v>200</v>
      </c>
      <c r="Q371" s="40">
        <v>200</v>
      </c>
      <c r="R371" s="40">
        <v>200</v>
      </c>
      <c r="S371" s="40">
        <v>200</v>
      </c>
      <c r="T371" s="40">
        <v>200</v>
      </c>
      <c r="U371" s="40">
        <v>200</v>
      </c>
      <c r="V371" s="40">
        <v>200</v>
      </c>
      <c r="W371" s="40">
        <v>200</v>
      </c>
    </row>
    <row r="372" ht="15.6" spans="1:1">
      <c r="A372" s="5" t="s">
        <v>95</v>
      </c>
    </row>
    <row r="373" ht="15.6" spans="1:23">
      <c r="A373" s="27" t="s">
        <v>96</v>
      </c>
      <c r="B373" t="s">
        <v>108</v>
      </c>
      <c r="C373" s="28">
        <f t="shared" ref="C373:W373" si="28">15/200</f>
        <v>0.075</v>
      </c>
      <c r="D373" s="28">
        <f t="shared" si="28"/>
        <v>0.075</v>
      </c>
      <c r="E373" s="28">
        <f t="shared" si="28"/>
        <v>0.075</v>
      </c>
      <c r="F373" s="28">
        <f t="shared" si="28"/>
        <v>0.075</v>
      </c>
      <c r="G373" s="28">
        <f t="shared" si="28"/>
        <v>0.075</v>
      </c>
      <c r="H373" s="28">
        <f t="shared" si="28"/>
        <v>0.075</v>
      </c>
      <c r="I373" s="28">
        <f t="shared" si="28"/>
        <v>0.075</v>
      </c>
      <c r="J373" s="28">
        <f t="shared" si="28"/>
        <v>0.075</v>
      </c>
      <c r="K373" s="28">
        <f t="shared" si="28"/>
        <v>0.075</v>
      </c>
      <c r="L373" s="28">
        <f t="shared" si="28"/>
        <v>0.075</v>
      </c>
      <c r="M373" s="28">
        <f t="shared" si="28"/>
        <v>0.075</v>
      </c>
      <c r="N373" s="28">
        <f t="shared" si="28"/>
        <v>0.075</v>
      </c>
      <c r="O373" s="28">
        <f t="shared" si="28"/>
        <v>0.075</v>
      </c>
      <c r="P373" s="28">
        <f t="shared" si="28"/>
        <v>0.075</v>
      </c>
      <c r="Q373" s="28">
        <f t="shared" si="28"/>
        <v>0.075</v>
      </c>
      <c r="R373" s="28">
        <f t="shared" si="28"/>
        <v>0.075</v>
      </c>
      <c r="S373" s="28">
        <f t="shared" si="28"/>
        <v>0.075</v>
      </c>
      <c r="T373" s="28">
        <f t="shared" si="28"/>
        <v>0.075</v>
      </c>
      <c r="U373" s="28">
        <f t="shared" si="28"/>
        <v>0.075</v>
      </c>
      <c r="V373" s="28">
        <f t="shared" si="28"/>
        <v>0.075</v>
      </c>
      <c r="W373" s="28">
        <f t="shared" si="28"/>
        <v>0.075</v>
      </c>
    </row>
    <row r="374" ht="15.6" spans="1:23">
      <c r="A374" s="27" t="s">
        <v>98</v>
      </c>
      <c r="B374" t="s">
        <v>109</v>
      </c>
      <c r="C374" s="28">
        <f t="shared" ref="C374:W374" si="29">1.5/200</f>
        <v>0.0075</v>
      </c>
      <c r="D374" s="28">
        <f t="shared" si="29"/>
        <v>0.0075</v>
      </c>
      <c r="E374" s="28">
        <f t="shared" si="29"/>
        <v>0.0075</v>
      </c>
      <c r="F374" s="28">
        <f t="shared" si="29"/>
        <v>0.0075</v>
      </c>
      <c r="G374" s="28">
        <f t="shared" si="29"/>
        <v>0.0075</v>
      </c>
      <c r="H374" s="28">
        <f t="shared" si="29"/>
        <v>0.0075</v>
      </c>
      <c r="I374" s="28">
        <f t="shared" si="29"/>
        <v>0.0075</v>
      </c>
      <c r="J374" s="28">
        <f t="shared" si="29"/>
        <v>0.0075</v>
      </c>
      <c r="K374" s="28">
        <f t="shared" si="29"/>
        <v>0.0075</v>
      </c>
      <c r="L374" s="28">
        <f t="shared" si="29"/>
        <v>0.0075</v>
      </c>
      <c r="M374" s="28">
        <f t="shared" si="29"/>
        <v>0.0075</v>
      </c>
      <c r="N374" s="28">
        <f t="shared" si="29"/>
        <v>0.0075</v>
      </c>
      <c r="O374" s="28">
        <f t="shared" si="29"/>
        <v>0.0075</v>
      </c>
      <c r="P374" s="28">
        <f t="shared" si="29"/>
        <v>0.0075</v>
      </c>
      <c r="Q374" s="28">
        <f t="shared" si="29"/>
        <v>0.0075</v>
      </c>
      <c r="R374" s="28">
        <f t="shared" si="29"/>
        <v>0.0075</v>
      </c>
      <c r="S374" s="28">
        <f t="shared" si="29"/>
        <v>0.0075</v>
      </c>
      <c r="T374" s="28">
        <f t="shared" si="29"/>
        <v>0.0075</v>
      </c>
      <c r="U374" s="28">
        <f t="shared" si="29"/>
        <v>0.0075</v>
      </c>
      <c r="V374" s="28">
        <f t="shared" si="29"/>
        <v>0.0075</v>
      </c>
      <c r="W374" s="28">
        <f t="shared" si="29"/>
        <v>0.0075</v>
      </c>
    </row>
    <row r="375" ht="15.6" spans="1:23">
      <c r="A375" s="27" t="s">
        <v>100</v>
      </c>
      <c r="B375" t="s">
        <v>60</v>
      </c>
      <c r="C375" s="28">
        <f t="shared" ref="C375:W375" si="30">50/200</f>
        <v>0.25</v>
      </c>
      <c r="D375" s="28">
        <f t="shared" si="30"/>
        <v>0.25</v>
      </c>
      <c r="E375" s="28">
        <f t="shared" si="30"/>
        <v>0.25</v>
      </c>
      <c r="F375" s="28">
        <f t="shared" si="30"/>
        <v>0.25</v>
      </c>
      <c r="G375" s="28">
        <f t="shared" si="30"/>
        <v>0.25</v>
      </c>
      <c r="H375" s="28">
        <f t="shared" si="30"/>
        <v>0.25</v>
      </c>
      <c r="I375" s="28">
        <f t="shared" si="30"/>
        <v>0.25</v>
      </c>
      <c r="J375" s="28">
        <f t="shared" si="30"/>
        <v>0.25</v>
      </c>
      <c r="K375" s="28">
        <f t="shared" si="30"/>
        <v>0.25</v>
      </c>
      <c r="L375" s="28">
        <f t="shared" si="30"/>
        <v>0.25</v>
      </c>
      <c r="M375" s="28">
        <f t="shared" si="30"/>
        <v>0.25</v>
      </c>
      <c r="N375" s="28">
        <f t="shared" si="30"/>
        <v>0.25</v>
      </c>
      <c r="O375" s="28">
        <f t="shared" si="30"/>
        <v>0.25</v>
      </c>
      <c r="P375" s="28">
        <f t="shared" si="30"/>
        <v>0.25</v>
      </c>
      <c r="Q375" s="28">
        <f t="shared" si="30"/>
        <v>0.25</v>
      </c>
      <c r="R375" s="28">
        <f t="shared" si="30"/>
        <v>0.25</v>
      </c>
      <c r="S375" s="28">
        <f t="shared" si="30"/>
        <v>0.25</v>
      </c>
      <c r="T375" s="28">
        <f t="shared" si="30"/>
        <v>0.25</v>
      </c>
      <c r="U375" s="28">
        <f t="shared" si="30"/>
        <v>0.25</v>
      </c>
      <c r="V375" s="28">
        <f t="shared" si="30"/>
        <v>0.25</v>
      </c>
      <c r="W375" s="28">
        <f t="shared" si="30"/>
        <v>0.25</v>
      </c>
    </row>
    <row r="376" ht="15.6" spans="1:1">
      <c r="A376" s="5" t="s">
        <v>102</v>
      </c>
    </row>
    <row r="377" spans="1:23">
      <c r="A377" s="27" t="s">
        <v>96</v>
      </c>
      <c r="B377" t="s">
        <v>108</v>
      </c>
      <c r="C377" s="14"/>
      <c r="D377" s="14"/>
      <c r="E377" s="14"/>
      <c r="F377" s="14"/>
      <c r="G377" s="14"/>
      <c r="H377" s="14"/>
      <c r="I377" s="14"/>
      <c r="J377" s="14"/>
      <c r="K377" s="14"/>
      <c r="L377" s="14"/>
      <c r="M377" s="14"/>
      <c r="N377" s="14"/>
      <c r="O377" s="14"/>
      <c r="P377" s="14"/>
      <c r="Q377" s="14"/>
      <c r="R377" s="14"/>
      <c r="S377" s="14"/>
      <c r="T377" s="14"/>
      <c r="U377" s="14"/>
      <c r="V377" s="14"/>
      <c r="W377" s="14"/>
    </row>
    <row r="378" spans="1:23">
      <c r="A378" s="27" t="s">
        <v>98</v>
      </c>
      <c r="B378" t="s">
        <v>109</v>
      </c>
      <c r="C378" s="14"/>
      <c r="D378" s="14"/>
      <c r="E378" s="14"/>
      <c r="F378" s="14"/>
      <c r="G378" s="14"/>
      <c r="H378" s="14"/>
      <c r="I378" s="14"/>
      <c r="J378" s="14"/>
      <c r="K378" s="14"/>
      <c r="L378" s="14"/>
      <c r="M378" s="14"/>
      <c r="N378" s="14"/>
      <c r="O378" s="14"/>
      <c r="P378" s="14"/>
      <c r="Q378" s="14"/>
      <c r="R378" s="14"/>
      <c r="S378" s="14"/>
      <c r="T378" s="14"/>
      <c r="U378" s="14"/>
      <c r="V378" s="14"/>
      <c r="W378" s="14"/>
    </row>
    <row r="379" spans="1:23">
      <c r="A379" s="27" t="s">
        <v>100</v>
      </c>
      <c r="B379" t="s">
        <v>60</v>
      </c>
      <c r="C379" s="14"/>
      <c r="D379" s="14"/>
      <c r="E379" s="14"/>
      <c r="F379" s="14"/>
      <c r="G379" s="14"/>
      <c r="H379" s="14"/>
      <c r="I379" s="14"/>
      <c r="J379" s="14"/>
      <c r="K379" s="14"/>
      <c r="L379" s="14"/>
      <c r="M379" s="14"/>
      <c r="N379" s="14"/>
      <c r="O379" s="14"/>
      <c r="P379" s="14"/>
      <c r="Q379" s="14"/>
      <c r="R379" s="14"/>
      <c r="S379" s="14"/>
      <c r="T379" s="14"/>
      <c r="U379" s="14"/>
      <c r="V379" s="14"/>
      <c r="W379" s="14"/>
    </row>
    <row r="380" ht="15.6" spans="1:1">
      <c r="A380" s="5" t="s">
        <v>110</v>
      </c>
    </row>
    <row r="381" spans="1:23">
      <c r="A381" s="27" t="s">
        <v>96</v>
      </c>
      <c r="B381" t="s">
        <v>60</v>
      </c>
      <c r="C381" s="14"/>
      <c r="D381" s="14"/>
      <c r="E381" s="14"/>
      <c r="F381" s="14"/>
      <c r="G381" s="14"/>
      <c r="H381" s="14"/>
      <c r="I381" s="14"/>
      <c r="J381" s="14"/>
      <c r="K381" s="14"/>
      <c r="L381" s="14"/>
      <c r="M381" s="14"/>
      <c r="N381" s="14"/>
      <c r="O381" s="14"/>
      <c r="P381" s="14"/>
      <c r="Q381" s="14"/>
      <c r="R381" s="14"/>
      <c r="S381" s="14"/>
      <c r="T381" s="14"/>
      <c r="U381" s="14"/>
      <c r="V381" s="14"/>
      <c r="W381" s="14"/>
    </row>
    <row r="382" spans="1:23">
      <c r="A382" s="27" t="s">
        <v>98</v>
      </c>
      <c r="B382" t="s">
        <v>60</v>
      </c>
      <c r="C382" s="14"/>
      <c r="D382" s="14"/>
      <c r="E382" s="14"/>
      <c r="F382" s="14"/>
      <c r="G382" s="14"/>
      <c r="H382" s="14"/>
      <c r="I382" s="14"/>
      <c r="J382" s="14"/>
      <c r="K382" s="14"/>
      <c r="L382" s="14"/>
      <c r="M382" s="14"/>
      <c r="N382" s="14"/>
      <c r="O382" s="14"/>
      <c r="P382" s="14"/>
      <c r="Q382" s="14"/>
      <c r="R382" s="14"/>
      <c r="S382" s="14"/>
      <c r="T382" s="14"/>
      <c r="U382" s="14"/>
      <c r="V382" s="14"/>
      <c r="W382" s="14"/>
    </row>
    <row r="383" spans="1:23">
      <c r="A383" s="27" t="s">
        <v>100</v>
      </c>
      <c r="B383" t="s">
        <v>60</v>
      </c>
      <c r="C383" s="39"/>
      <c r="D383" s="39"/>
      <c r="E383" s="39"/>
      <c r="F383" s="39"/>
      <c r="G383" s="39"/>
      <c r="H383" s="39"/>
      <c r="I383" s="39"/>
      <c r="J383" s="39"/>
      <c r="K383" s="39"/>
      <c r="L383" s="39"/>
      <c r="M383" s="39"/>
      <c r="N383" s="39"/>
      <c r="O383" s="39"/>
      <c r="P383" s="39"/>
      <c r="Q383" s="39"/>
      <c r="R383" s="39"/>
      <c r="S383" s="39"/>
      <c r="T383" s="39"/>
      <c r="U383" s="39"/>
      <c r="V383" s="39"/>
      <c r="W383" s="39"/>
    </row>
    <row r="384" ht="15.6" spans="1:1">
      <c r="A384" s="5" t="s">
        <v>105</v>
      </c>
    </row>
    <row r="385" spans="1:23">
      <c r="A385" s="27" t="s">
        <v>96</v>
      </c>
      <c r="B385" t="s">
        <v>60</v>
      </c>
      <c r="C385" s="50"/>
      <c r="D385" s="50"/>
      <c r="E385" s="50"/>
      <c r="F385" s="50"/>
      <c r="G385" s="50"/>
      <c r="H385" s="50"/>
      <c r="I385" s="50"/>
      <c r="J385" s="50"/>
      <c r="K385" s="50"/>
      <c r="L385" s="50"/>
      <c r="M385" s="50"/>
      <c r="N385" s="50"/>
      <c r="O385" s="50"/>
      <c r="P385" s="50"/>
      <c r="Q385" s="50"/>
      <c r="R385" s="50"/>
      <c r="S385" s="50"/>
      <c r="T385" s="50"/>
      <c r="U385" s="50"/>
      <c r="V385" s="50"/>
      <c r="W385" s="50"/>
    </row>
    <row r="386" spans="1:23">
      <c r="A386" s="27" t="s">
        <v>98</v>
      </c>
      <c r="B386" t="s">
        <v>60</v>
      </c>
      <c r="C386" s="50"/>
      <c r="D386" s="50"/>
      <c r="E386" s="50"/>
      <c r="F386" s="50"/>
      <c r="G386" s="50"/>
      <c r="H386" s="50"/>
      <c r="I386" s="50"/>
      <c r="J386" s="50"/>
      <c r="K386" s="50"/>
      <c r="L386" s="50"/>
      <c r="M386" s="50"/>
      <c r="N386" s="50"/>
      <c r="O386" s="50"/>
      <c r="P386" s="50"/>
      <c r="Q386" s="50"/>
      <c r="R386" s="50"/>
      <c r="S386" s="50"/>
      <c r="T386" s="50"/>
      <c r="U386" s="50"/>
      <c r="V386" s="50"/>
      <c r="W386" s="50"/>
    </row>
    <row r="387" spans="1:23">
      <c r="A387" s="27" t="s">
        <v>100</v>
      </c>
      <c r="B387" t="s">
        <v>60</v>
      </c>
      <c r="C387" s="50"/>
      <c r="D387" s="50"/>
      <c r="E387" s="50"/>
      <c r="F387" s="50"/>
      <c r="G387" s="50"/>
      <c r="H387" s="50"/>
      <c r="I387" s="50"/>
      <c r="J387" s="50"/>
      <c r="K387" s="50"/>
      <c r="L387" s="50"/>
      <c r="M387" s="50"/>
      <c r="N387" s="50"/>
      <c r="O387" s="50"/>
      <c r="P387" s="50"/>
      <c r="Q387" s="50"/>
      <c r="R387" s="50"/>
      <c r="S387" s="50"/>
      <c r="T387" s="50"/>
      <c r="U387" s="50"/>
      <c r="V387" s="50"/>
      <c r="W387" s="50"/>
    </row>
    <row r="388" spans="1:23">
      <c r="A388" s="31" t="s">
        <v>107</v>
      </c>
      <c r="B388" s="32" t="s">
        <v>60</v>
      </c>
      <c r="C388" s="33"/>
      <c r="D388" s="33"/>
      <c r="E388" s="33"/>
      <c r="F388" s="33"/>
      <c r="G388" s="33"/>
      <c r="H388" s="33"/>
      <c r="I388" s="33"/>
      <c r="J388" s="33"/>
      <c r="K388" s="33"/>
      <c r="L388" s="33"/>
      <c r="M388" s="33"/>
      <c r="N388" s="33"/>
      <c r="O388" s="33"/>
      <c r="P388" s="33"/>
      <c r="Q388" s="33"/>
      <c r="R388" s="33"/>
      <c r="S388" s="33"/>
      <c r="T388" s="33"/>
      <c r="U388" s="33"/>
      <c r="V388" s="33"/>
      <c r="W388" s="33"/>
    </row>
    <row r="389" ht="15.6" spans="1:23">
      <c r="A389" s="25" t="s">
        <v>94</v>
      </c>
      <c r="C389" s="12"/>
      <c r="D389" s="12"/>
      <c r="E389" s="12"/>
      <c r="F389" s="12"/>
      <c r="G389" s="12"/>
      <c r="H389" s="12"/>
      <c r="I389" s="12"/>
      <c r="J389" s="12"/>
      <c r="K389" s="12"/>
      <c r="L389" s="12"/>
      <c r="M389" s="12"/>
      <c r="N389" s="12"/>
      <c r="O389" s="12"/>
      <c r="P389" s="12"/>
      <c r="Q389" s="12"/>
      <c r="R389" s="12"/>
      <c r="S389" s="12"/>
      <c r="T389" s="12"/>
      <c r="U389" s="12"/>
      <c r="V389" s="12"/>
      <c r="W389" s="12"/>
    </row>
    <row r="390" ht="15.6" spans="1:23">
      <c r="A390" s="25" t="s">
        <v>113</v>
      </c>
      <c r="B390" t="s">
        <v>114</v>
      </c>
      <c r="C390" s="40">
        <v>35</v>
      </c>
      <c r="D390" s="40">
        <v>35</v>
      </c>
      <c r="E390" s="40">
        <v>35</v>
      </c>
      <c r="F390" s="40">
        <v>35</v>
      </c>
      <c r="G390" s="40">
        <v>35</v>
      </c>
      <c r="H390" s="40">
        <v>40</v>
      </c>
      <c r="I390" s="40">
        <v>35</v>
      </c>
      <c r="J390" s="40">
        <v>35</v>
      </c>
      <c r="K390" s="40">
        <v>35</v>
      </c>
      <c r="L390" s="40">
        <v>35</v>
      </c>
      <c r="M390" s="40">
        <v>35</v>
      </c>
      <c r="N390" s="40">
        <v>35</v>
      </c>
      <c r="O390" s="40">
        <v>35</v>
      </c>
      <c r="P390" s="40">
        <v>35</v>
      </c>
      <c r="Q390" s="40">
        <v>35</v>
      </c>
      <c r="R390" s="40">
        <v>35</v>
      </c>
      <c r="S390" s="40">
        <v>35</v>
      </c>
      <c r="T390" s="40">
        <v>35</v>
      </c>
      <c r="U390" s="40">
        <v>35</v>
      </c>
      <c r="V390" s="40">
        <v>35</v>
      </c>
      <c r="W390" s="40">
        <v>35</v>
      </c>
    </row>
    <row r="391" ht="15.6" spans="1:23">
      <c r="A391" s="25" t="s">
        <v>115</v>
      </c>
      <c r="B391" t="s">
        <v>116</v>
      </c>
      <c r="C391" s="40">
        <v>50</v>
      </c>
      <c r="D391" s="40">
        <v>50</v>
      </c>
      <c r="E391" s="40">
        <v>50</v>
      </c>
      <c r="F391" s="40">
        <v>50</v>
      </c>
      <c r="G391" s="40">
        <v>50</v>
      </c>
      <c r="H391" s="40">
        <v>50</v>
      </c>
      <c r="I391" s="40">
        <v>50</v>
      </c>
      <c r="J391" s="40">
        <v>50</v>
      </c>
      <c r="K391" s="40">
        <v>50</v>
      </c>
      <c r="L391" s="40">
        <v>50</v>
      </c>
      <c r="M391" s="40">
        <v>50</v>
      </c>
      <c r="N391" s="40">
        <v>50</v>
      </c>
      <c r="O391" s="40">
        <v>50</v>
      </c>
      <c r="P391" s="40">
        <v>50</v>
      </c>
      <c r="Q391" s="40">
        <v>50</v>
      </c>
      <c r="R391" s="40">
        <v>50</v>
      </c>
      <c r="S391" s="40">
        <v>50</v>
      </c>
      <c r="T391" s="40">
        <v>50</v>
      </c>
      <c r="U391" s="40">
        <v>50</v>
      </c>
      <c r="V391" s="40">
        <v>50</v>
      </c>
      <c r="W391" s="40">
        <v>50</v>
      </c>
    </row>
    <row r="392" ht="15.6" spans="1:1">
      <c r="A392" s="5" t="s">
        <v>95</v>
      </c>
    </row>
    <row r="393" ht="15.6" spans="1:23">
      <c r="A393" s="27" t="s">
        <v>117</v>
      </c>
      <c r="B393" t="s">
        <v>118</v>
      </c>
      <c r="C393" s="42">
        <v>45</v>
      </c>
      <c r="D393" s="42">
        <v>45</v>
      </c>
      <c r="E393" s="42">
        <v>45</v>
      </c>
      <c r="F393" s="42">
        <v>45</v>
      </c>
      <c r="G393" s="42">
        <v>45</v>
      </c>
      <c r="H393" s="42">
        <v>45</v>
      </c>
      <c r="I393" s="42">
        <v>45</v>
      </c>
      <c r="J393" s="42">
        <v>45</v>
      </c>
      <c r="K393" s="42">
        <v>45</v>
      </c>
      <c r="L393" s="42">
        <v>45</v>
      </c>
      <c r="M393" s="42">
        <v>45</v>
      </c>
      <c r="N393" s="42">
        <v>45</v>
      </c>
      <c r="O393" s="42">
        <v>45</v>
      </c>
      <c r="P393" s="42">
        <v>45</v>
      </c>
      <c r="Q393" s="42">
        <v>45</v>
      </c>
      <c r="R393" s="42">
        <v>45</v>
      </c>
      <c r="S393" s="42">
        <v>45</v>
      </c>
      <c r="T393" s="42">
        <v>45</v>
      </c>
      <c r="U393" s="42">
        <v>45</v>
      </c>
      <c r="V393" s="42">
        <v>45</v>
      </c>
      <c r="W393" s="42">
        <v>45</v>
      </c>
    </row>
    <row r="394" ht="15.6" spans="1:23">
      <c r="A394" s="27" t="s">
        <v>96</v>
      </c>
      <c r="B394" t="s">
        <v>119</v>
      </c>
      <c r="C394" s="43">
        <v>0.01</v>
      </c>
      <c r="D394" s="43">
        <v>0.01</v>
      </c>
      <c r="E394" s="43">
        <v>0.01</v>
      </c>
      <c r="F394" s="43">
        <v>0.01</v>
      </c>
      <c r="G394" s="43">
        <v>0.01</v>
      </c>
      <c r="H394" s="43">
        <v>0.01</v>
      </c>
      <c r="I394" s="43">
        <v>0.01</v>
      </c>
      <c r="J394" s="43">
        <v>0.01</v>
      </c>
      <c r="K394" s="43">
        <v>0.01</v>
      </c>
      <c r="L394" s="43">
        <v>0.01</v>
      </c>
      <c r="M394" s="43">
        <v>0.01</v>
      </c>
      <c r="N394" s="43">
        <v>0.01</v>
      </c>
      <c r="O394" s="43">
        <v>0.01</v>
      </c>
      <c r="P394" s="43">
        <v>0.01</v>
      </c>
      <c r="Q394" s="43">
        <v>0.01</v>
      </c>
      <c r="R394" s="43">
        <v>0.01</v>
      </c>
      <c r="S394" s="43">
        <v>0.01</v>
      </c>
      <c r="T394" s="43">
        <v>0.01</v>
      </c>
      <c r="U394" s="43">
        <v>0.01</v>
      </c>
      <c r="V394" s="43">
        <v>0.01</v>
      </c>
      <c r="W394" s="43">
        <v>0.01</v>
      </c>
    </row>
    <row r="395" ht="15.6" spans="1:23">
      <c r="A395" s="27" t="s">
        <v>98</v>
      </c>
      <c r="B395" t="s">
        <v>120</v>
      </c>
      <c r="C395" s="43">
        <f t="shared" ref="C395:W395" si="31">1.5*2.7556/2</f>
        <v>2.0667</v>
      </c>
      <c r="D395" s="43">
        <f t="shared" si="31"/>
        <v>2.0667</v>
      </c>
      <c r="E395" s="43">
        <f t="shared" si="31"/>
        <v>2.0667</v>
      </c>
      <c r="F395" s="43">
        <f t="shared" si="31"/>
        <v>2.0667</v>
      </c>
      <c r="G395" s="43">
        <f t="shared" si="31"/>
        <v>2.0667</v>
      </c>
      <c r="H395" s="43">
        <f t="shared" si="31"/>
        <v>2.0667</v>
      </c>
      <c r="I395" s="43">
        <f t="shared" si="31"/>
        <v>2.0667</v>
      </c>
      <c r="J395" s="43">
        <f t="shared" si="31"/>
        <v>2.0667</v>
      </c>
      <c r="K395" s="43">
        <f t="shared" si="31"/>
        <v>2.0667</v>
      </c>
      <c r="L395" s="43">
        <f t="shared" si="31"/>
        <v>2.0667</v>
      </c>
      <c r="M395" s="43">
        <f t="shared" si="31"/>
        <v>2.0667</v>
      </c>
      <c r="N395" s="43">
        <f t="shared" si="31"/>
        <v>2.0667</v>
      </c>
      <c r="O395" s="43">
        <f t="shared" si="31"/>
        <v>2.0667</v>
      </c>
      <c r="P395" s="43">
        <f t="shared" si="31"/>
        <v>2.0667</v>
      </c>
      <c r="Q395" s="43">
        <f t="shared" si="31"/>
        <v>2.0667</v>
      </c>
      <c r="R395" s="43">
        <f t="shared" si="31"/>
        <v>2.0667</v>
      </c>
      <c r="S395" s="43">
        <f t="shared" si="31"/>
        <v>2.0667</v>
      </c>
      <c r="T395" s="43">
        <f t="shared" si="31"/>
        <v>2.0667</v>
      </c>
      <c r="U395" s="43">
        <f t="shared" si="31"/>
        <v>2.0667</v>
      </c>
      <c r="V395" s="43">
        <f t="shared" si="31"/>
        <v>2.0667</v>
      </c>
      <c r="W395" s="43">
        <f t="shared" si="31"/>
        <v>2.0667</v>
      </c>
    </row>
    <row r="396" ht="15.6" spans="1:23">
      <c r="A396" s="27" t="s">
        <v>100</v>
      </c>
      <c r="B396" t="s">
        <v>121</v>
      </c>
      <c r="C396" s="28">
        <v>0.5</v>
      </c>
      <c r="D396" s="28">
        <v>0.5</v>
      </c>
      <c r="E396" s="28">
        <v>0.5</v>
      </c>
      <c r="F396" s="28">
        <v>0.5</v>
      </c>
      <c r="G396" s="28">
        <v>0.5</v>
      </c>
      <c r="H396" s="28">
        <v>0.5</v>
      </c>
      <c r="I396" s="28">
        <v>0.5</v>
      </c>
      <c r="J396" s="28">
        <v>0.5</v>
      </c>
      <c r="K396" s="28">
        <v>0.5</v>
      </c>
      <c r="L396" s="28">
        <v>0.5</v>
      </c>
      <c r="M396" s="28">
        <v>0.5</v>
      </c>
      <c r="N396" s="28">
        <v>0.5</v>
      </c>
      <c r="O396" s="28">
        <v>0.5</v>
      </c>
      <c r="P396" s="28">
        <v>0.5</v>
      </c>
      <c r="Q396" s="28">
        <v>0.5</v>
      </c>
      <c r="R396" s="28">
        <v>0.5</v>
      </c>
      <c r="S396" s="28">
        <v>0.5</v>
      </c>
      <c r="T396" s="28">
        <v>0.5</v>
      </c>
      <c r="U396" s="28">
        <v>0.5</v>
      </c>
      <c r="V396" s="28">
        <v>0.5</v>
      </c>
      <c r="W396" s="28">
        <v>0.5</v>
      </c>
    </row>
    <row r="397" ht="15.6" spans="1:23">
      <c r="A397" s="27" t="s">
        <v>122</v>
      </c>
      <c r="B397" t="s">
        <v>45</v>
      </c>
      <c r="C397" s="44"/>
      <c r="D397" s="44"/>
      <c r="E397" s="44"/>
      <c r="F397" s="44"/>
      <c r="G397" s="44"/>
      <c r="H397" s="44"/>
      <c r="I397" s="44"/>
      <c r="J397" s="44"/>
      <c r="K397" s="44"/>
      <c r="L397" s="44"/>
      <c r="M397" s="44"/>
      <c r="N397" s="44"/>
      <c r="O397" s="44"/>
      <c r="P397" s="44"/>
      <c r="Q397" s="44"/>
      <c r="R397" s="44"/>
      <c r="S397" s="44"/>
      <c r="T397" s="44"/>
      <c r="U397" s="44"/>
      <c r="V397" s="44"/>
      <c r="W397" s="44"/>
    </row>
    <row r="398" ht="15.6" spans="1:23">
      <c r="A398" s="27" t="s">
        <v>123</v>
      </c>
      <c r="B398" s="9" t="s">
        <v>51</v>
      </c>
      <c r="C398" s="44"/>
      <c r="D398" s="44"/>
      <c r="E398" s="44"/>
      <c r="F398" s="44"/>
      <c r="G398" s="44"/>
      <c r="H398" s="44"/>
      <c r="I398" s="44"/>
      <c r="J398" s="44"/>
      <c r="K398" s="44"/>
      <c r="L398" s="44"/>
      <c r="M398" s="44"/>
      <c r="N398" s="44"/>
      <c r="O398" s="44"/>
      <c r="P398" s="44"/>
      <c r="Q398" s="44"/>
      <c r="R398" s="44"/>
      <c r="S398" s="44"/>
      <c r="T398" s="44"/>
      <c r="U398" s="44"/>
      <c r="V398" s="44"/>
      <c r="W398" s="44"/>
    </row>
    <row r="399" ht="15.6" spans="1:23">
      <c r="A399" s="27" t="s">
        <v>124</v>
      </c>
      <c r="B399" s="9" t="s">
        <v>51</v>
      </c>
      <c r="C399" s="44"/>
      <c r="D399" s="44"/>
      <c r="E399" s="44"/>
      <c r="F399" s="44"/>
      <c r="G399" s="44"/>
      <c r="H399" s="44"/>
      <c r="I399" s="44"/>
      <c r="J399" s="44"/>
      <c r="K399" s="44"/>
      <c r="L399" s="44"/>
      <c r="M399" s="44"/>
      <c r="N399" s="44"/>
      <c r="O399" s="44"/>
      <c r="P399" s="44"/>
      <c r="Q399" s="44"/>
      <c r="R399" s="44"/>
      <c r="S399" s="44"/>
      <c r="T399" s="44"/>
      <c r="U399" s="44"/>
      <c r="V399" s="44"/>
      <c r="W399" s="44"/>
    </row>
    <row r="400" ht="15.6" spans="1:1">
      <c r="A400" s="5" t="s">
        <v>102</v>
      </c>
    </row>
    <row r="401" spans="1:23">
      <c r="A401" s="27" t="s">
        <v>96</v>
      </c>
      <c r="B401" t="s">
        <v>119</v>
      </c>
      <c r="C401" s="45"/>
      <c r="D401" s="45"/>
      <c r="E401" s="45"/>
      <c r="F401" s="45"/>
      <c r="G401" s="45"/>
      <c r="H401" s="45"/>
      <c r="I401" s="45"/>
      <c r="J401" s="45"/>
      <c r="K401" s="45"/>
      <c r="L401" s="45"/>
      <c r="M401" s="45"/>
      <c r="N401" s="45"/>
      <c r="O401" s="45"/>
      <c r="P401" s="45"/>
      <c r="Q401" s="45"/>
      <c r="R401" s="45"/>
      <c r="S401" s="45"/>
      <c r="T401" s="45"/>
      <c r="U401" s="45"/>
      <c r="V401" s="45"/>
      <c r="W401" s="45"/>
    </row>
    <row r="402" spans="1:23">
      <c r="A402" s="27" t="s">
        <v>98</v>
      </c>
      <c r="B402" t="s">
        <v>120</v>
      </c>
      <c r="C402" s="45"/>
      <c r="D402" s="45"/>
      <c r="E402" s="45"/>
      <c r="F402" s="45"/>
      <c r="G402" s="45"/>
      <c r="H402" s="45"/>
      <c r="I402" s="45"/>
      <c r="J402" s="45"/>
      <c r="K402" s="45"/>
      <c r="L402" s="45"/>
      <c r="M402" s="45"/>
      <c r="N402" s="45"/>
      <c r="O402" s="45"/>
      <c r="P402" s="45"/>
      <c r="Q402" s="45"/>
      <c r="R402" s="45"/>
      <c r="S402" s="45"/>
      <c r="T402" s="45"/>
      <c r="U402" s="45"/>
      <c r="V402" s="45"/>
      <c r="W402" s="45"/>
    </row>
    <row r="403" spans="1:23">
      <c r="A403" s="27" t="s">
        <v>100</v>
      </c>
      <c r="B403" t="s">
        <v>121</v>
      </c>
      <c r="C403" s="45"/>
      <c r="D403" s="45"/>
      <c r="E403" s="45"/>
      <c r="F403" s="45"/>
      <c r="G403" s="45"/>
      <c r="H403" s="45"/>
      <c r="I403" s="45"/>
      <c r="J403" s="45"/>
      <c r="K403" s="45"/>
      <c r="L403" s="45"/>
      <c r="M403" s="45"/>
      <c r="N403" s="45"/>
      <c r="O403" s="45"/>
      <c r="P403" s="45"/>
      <c r="Q403" s="45"/>
      <c r="R403" s="45"/>
      <c r="S403" s="45"/>
      <c r="T403" s="45"/>
      <c r="U403" s="45"/>
      <c r="V403" s="45"/>
      <c r="W403" s="45"/>
    </row>
    <row r="404" ht="15.6" spans="1:1">
      <c r="A404" s="5" t="s">
        <v>125</v>
      </c>
    </row>
    <row r="405" spans="1:23">
      <c r="A405" s="27" t="s">
        <v>96</v>
      </c>
      <c r="B405" t="s">
        <v>119</v>
      </c>
      <c r="C405" s="45"/>
      <c r="D405" s="45"/>
      <c r="E405" s="45"/>
      <c r="F405" s="45"/>
      <c r="G405" s="45"/>
      <c r="H405" s="45"/>
      <c r="I405" s="45"/>
      <c r="J405" s="45"/>
      <c r="K405" s="45"/>
      <c r="L405" s="45"/>
      <c r="M405" s="45"/>
      <c r="N405" s="45"/>
      <c r="O405" s="45"/>
      <c r="P405" s="45"/>
      <c r="Q405" s="45"/>
      <c r="R405" s="45"/>
      <c r="S405" s="45"/>
      <c r="T405" s="45"/>
      <c r="U405" s="45"/>
      <c r="V405" s="45"/>
      <c r="W405" s="45"/>
    </row>
    <row r="406" spans="1:23">
      <c r="A406" s="27" t="s">
        <v>98</v>
      </c>
      <c r="B406" t="s">
        <v>126</v>
      </c>
      <c r="C406" s="45"/>
      <c r="D406" s="45"/>
      <c r="E406" s="45"/>
      <c r="F406" s="45"/>
      <c r="G406" s="45"/>
      <c r="H406" s="45"/>
      <c r="I406" s="45"/>
      <c r="J406" s="45"/>
      <c r="K406" s="45"/>
      <c r="L406" s="45"/>
      <c r="M406" s="45"/>
      <c r="N406" s="45"/>
      <c r="O406" s="45"/>
      <c r="P406" s="45"/>
      <c r="Q406" s="45"/>
      <c r="R406" s="45"/>
      <c r="S406" s="45"/>
      <c r="T406" s="45"/>
      <c r="U406" s="45"/>
      <c r="V406" s="45"/>
      <c r="W406" s="45"/>
    </row>
    <row r="407" spans="1:23">
      <c r="A407" s="27" t="s">
        <v>100</v>
      </c>
      <c r="B407" t="s">
        <v>121</v>
      </c>
      <c r="C407" s="45"/>
      <c r="D407" s="45"/>
      <c r="E407" s="45"/>
      <c r="F407" s="45"/>
      <c r="G407" s="45"/>
      <c r="H407" s="45"/>
      <c r="I407" s="45"/>
      <c r="J407" s="45"/>
      <c r="K407" s="45"/>
      <c r="L407" s="45"/>
      <c r="M407" s="45"/>
      <c r="N407" s="45"/>
      <c r="O407" s="45"/>
      <c r="P407" s="45"/>
      <c r="Q407" s="45"/>
      <c r="R407" s="45"/>
      <c r="S407" s="45"/>
      <c r="T407" s="45"/>
      <c r="U407" s="45"/>
      <c r="V407" s="45"/>
      <c r="W407" s="45"/>
    </row>
    <row r="408" ht="15.6" spans="1:1">
      <c r="A408" s="5" t="s">
        <v>127</v>
      </c>
    </row>
    <row r="409" spans="1:23">
      <c r="A409" s="27" t="s">
        <v>96</v>
      </c>
      <c r="B409" t="s">
        <v>60</v>
      </c>
      <c r="C409" s="45"/>
      <c r="D409" s="45"/>
      <c r="E409" s="45"/>
      <c r="F409" s="45"/>
      <c r="G409" s="45"/>
      <c r="H409" s="45"/>
      <c r="I409" s="45"/>
      <c r="J409" s="45"/>
      <c r="K409" s="45"/>
      <c r="L409" s="45"/>
      <c r="M409" s="45"/>
      <c r="N409" s="45"/>
      <c r="O409" s="45"/>
      <c r="P409" s="45"/>
      <c r="Q409" s="45"/>
      <c r="R409" s="45"/>
      <c r="S409" s="45"/>
      <c r="T409" s="45"/>
      <c r="U409" s="45"/>
      <c r="V409" s="45"/>
      <c r="W409" s="45"/>
    </row>
    <row r="410" spans="1:23">
      <c r="A410" s="27" t="s">
        <v>98</v>
      </c>
      <c r="B410" t="s">
        <v>60</v>
      </c>
      <c r="C410" s="45"/>
      <c r="D410" s="45"/>
      <c r="E410" s="45"/>
      <c r="F410" s="45"/>
      <c r="G410" s="45"/>
      <c r="H410" s="45"/>
      <c r="I410" s="45"/>
      <c r="J410" s="45"/>
      <c r="K410" s="45"/>
      <c r="L410" s="45"/>
      <c r="M410" s="45"/>
      <c r="N410" s="45"/>
      <c r="O410" s="45"/>
      <c r="P410" s="45"/>
      <c r="Q410" s="45"/>
      <c r="R410" s="45"/>
      <c r="S410" s="45"/>
      <c r="T410" s="45"/>
      <c r="U410" s="45"/>
      <c r="V410" s="45"/>
      <c r="W410" s="45"/>
    </row>
    <row r="411" spans="1:23">
      <c r="A411" s="27" t="s">
        <v>100</v>
      </c>
      <c r="B411" t="s">
        <v>60</v>
      </c>
      <c r="C411" s="46"/>
      <c r="D411" s="46"/>
      <c r="E411" s="46"/>
      <c r="F411" s="46"/>
      <c r="G411" s="46"/>
      <c r="H411" s="46"/>
      <c r="I411" s="46"/>
      <c r="J411" s="46"/>
      <c r="K411" s="46"/>
      <c r="L411" s="46"/>
      <c r="M411" s="46"/>
      <c r="N411" s="46"/>
      <c r="O411" s="46"/>
      <c r="P411" s="46"/>
      <c r="Q411" s="46"/>
      <c r="R411" s="46"/>
      <c r="S411" s="46"/>
      <c r="T411" s="46"/>
      <c r="U411" s="46"/>
      <c r="V411" s="46"/>
      <c r="W411" s="46"/>
    </row>
    <row r="412" ht="15.6" spans="1:1">
      <c r="A412" s="5" t="s">
        <v>105</v>
      </c>
    </row>
    <row r="413" spans="1:23">
      <c r="A413" s="27" t="s">
        <v>96</v>
      </c>
      <c r="B413" t="s">
        <v>60</v>
      </c>
      <c r="C413" s="50"/>
      <c r="D413" s="50"/>
      <c r="E413" s="50"/>
      <c r="F413" s="50"/>
      <c r="G413" s="50"/>
      <c r="H413" s="50"/>
      <c r="I413" s="50"/>
      <c r="J413" s="50"/>
      <c r="K413" s="50"/>
      <c r="L413" s="50"/>
      <c r="M413" s="50"/>
      <c r="N413" s="50"/>
      <c r="O413" s="50"/>
      <c r="P413" s="50"/>
      <c r="Q413" s="50"/>
      <c r="R413" s="50"/>
      <c r="S413" s="50"/>
      <c r="T413" s="50"/>
      <c r="U413" s="50"/>
      <c r="V413" s="50"/>
      <c r="W413" s="50"/>
    </row>
    <row r="414" spans="1:23">
      <c r="A414" s="27" t="s">
        <v>98</v>
      </c>
      <c r="B414" t="s">
        <v>60</v>
      </c>
      <c r="C414" s="50"/>
      <c r="D414" s="50"/>
      <c r="E414" s="50"/>
      <c r="F414" s="50"/>
      <c r="G414" s="50"/>
      <c r="H414" s="50"/>
      <c r="I414" s="50"/>
      <c r="J414" s="50"/>
      <c r="K414" s="50"/>
      <c r="L414" s="50"/>
      <c r="M414" s="50"/>
      <c r="N414" s="50"/>
      <c r="O414" s="50"/>
      <c r="P414" s="50"/>
      <c r="Q414" s="50"/>
      <c r="R414" s="50"/>
      <c r="S414" s="50"/>
      <c r="T414" s="50"/>
      <c r="U414" s="50"/>
      <c r="V414" s="50"/>
      <c r="W414" s="50"/>
    </row>
    <row r="415" spans="1:23">
      <c r="A415" s="27" t="s">
        <v>100</v>
      </c>
      <c r="B415" t="s">
        <v>60</v>
      </c>
      <c r="C415" s="50"/>
      <c r="D415" s="50"/>
      <c r="E415" s="50"/>
      <c r="F415" s="50"/>
      <c r="G415" s="50"/>
      <c r="H415" s="50"/>
      <c r="I415" s="50"/>
      <c r="J415" s="50"/>
      <c r="K415" s="50"/>
      <c r="L415" s="50"/>
      <c r="M415" s="50"/>
      <c r="N415" s="50"/>
      <c r="O415" s="50"/>
      <c r="P415" s="50"/>
      <c r="Q415" s="50"/>
      <c r="R415" s="50"/>
      <c r="S415" s="50"/>
      <c r="T415" s="50"/>
      <c r="U415" s="50"/>
      <c r="V415" s="50"/>
      <c r="W415" s="50"/>
    </row>
    <row r="416" spans="1:23">
      <c r="A416" s="31" t="s">
        <v>107</v>
      </c>
      <c r="B416" s="32" t="s">
        <v>60</v>
      </c>
      <c r="C416" s="33"/>
      <c r="D416" s="33"/>
      <c r="E416" s="33"/>
      <c r="F416" s="33"/>
      <c r="G416" s="33"/>
      <c r="H416" s="33"/>
      <c r="I416" s="33"/>
      <c r="J416" s="33"/>
      <c r="K416" s="33"/>
      <c r="L416" s="33"/>
      <c r="M416" s="33"/>
      <c r="N416" s="33"/>
      <c r="O416" s="33"/>
      <c r="P416" s="33"/>
      <c r="Q416" s="33"/>
      <c r="R416" s="33"/>
      <c r="S416" s="33"/>
      <c r="T416" s="33"/>
      <c r="U416" s="33"/>
      <c r="V416" s="33"/>
      <c r="W416" s="33"/>
    </row>
    <row r="417" ht="15.6" spans="1:1">
      <c r="A417" s="5" t="s">
        <v>130</v>
      </c>
    </row>
    <row r="418" spans="1:23">
      <c r="A418" s="27" t="s">
        <v>96</v>
      </c>
      <c r="B418" t="s">
        <v>60</v>
      </c>
      <c r="C418" s="14"/>
      <c r="D418" s="14"/>
      <c r="E418" s="14"/>
      <c r="F418" s="14"/>
      <c r="G418" s="14"/>
      <c r="H418" s="14"/>
      <c r="I418" s="14"/>
      <c r="J418" s="14"/>
      <c r="K418" s="14"/>
      <c r="L418" s="14"/>
      <c r="M418" s="14"/>
      <c r="N418" s="14"/>
      <c r="O418" s="14"/>
      <c r="P418" s="14"/>
      <c r="Q418" s="14"/>
      <c r="R418" s="14"/>
      <c r="S418" s="14"/>
      <c r="T418" s="14"/>
      <c r="U418" s="14"/>
      <c r="V418" s="14"/>
      <c r="W418" s="14"/>
    </row>
    <row r="419" spans="1:23">
      <c r="A419" s="27" t="s">
        <v>98</v>
      </c>
      <c r="B419" t="s">
        <v>60</v>
      </c>
      <c r="C419" s="14"/>
      <c r="D419" s="14"/>
      <c r="E419" s="14"/>
      <c r="F419" s="14"/>
      <c r="G419" s="14"/>
      <c r="H419" s="14"/>
      <c r="I419" s="14"/>
      <c r="J419" s="14"/>
      <c r="K419" s="14"/>
      <c r="L419" s="14"/>
      <c r="M419" s="14"/>
      <c r="N419" s="14"/>
      <c r="O419" s="14"/>
      <c r="P419" s="14"/>
      <c r="Q419" s="14"/>
      <c r="R419" s="14"/>
      <c r="S419" s="14"/>
      <c r="T419" s="14"/>
      <c r="U419" s="14"/>
      <c r="V419" s="14"/>
      <c r="W419" s="14"/>
    </row>
    <row r="420" spans="1:23">
      <c r="A420" s="27" t="s">
        <v>100</v>
      </c>
      <c r="B420" t="s">
        <v>60</v>
      </c>
      <c r="C420" s="14"/>
      <c r="D420" s="14"/>
      <c r="E420" s="14"/>
      <c r="F420" s="14"/>
      <c r="G420" s="14"/>
      <c r="H420" s="14"/>
      <c r="I420" s="14"/>
      <c r="J420" s="14"/>
      <c r="K420" s="14"/>
      <c r="L420" s="14"/>
      <c r="M420" s="14"/>
      <c r="N420" s="14"/>
      <c r="O420" s="14"/>
      <c r="P420" s="14"/>
      <c r="Q420" s="14"/>
      <c r="R420" s="14"/>
      <c r="S420" s="14"/>
      <c r="T420" s="14"/>
      <c r="U420" s="14"/>
      <c r="V420" s="14"/>
      <c r="W420" s="14"/>
    </row>
    <row r="421" spans="1:23">
      <c r="A421" s="31" t="s">
        <v>107</v>
      </c>
      <c r="B421" s="32" t="s">
        <v>60</v>
      </c>
      <c r="C421" s="33"/>
      <c r="D421" s="33"/>
      <c r="E421" s="33"/>
      <c r="F421" s="33"/>
      <c r="G421" s="33"/>
      <c r="H421" s="33"/>
      <c r="I421" s="33"/>
      <c r="J421" s="33"/>
      <c r="K421" s="33"/>
      <c r="L421" s="33"/>
      <c r="M421" s="33"/>
      <c r="N421" s="33"/>
      <c r="O421" s="33"/>
      <c r="P421" s="33"/>
      <c r="Q421" s="33"/>
      <c r="R421" s="33"/>
      <c r="S421" s="33"/>
      <c r="T421" s="33"/>
      <c r="U421" s="33"/>
      <c r="V421" s="33"/>
      <c r="W421" s="33"/>
    </row>
    <row r="422" ht="15.6" spans="1:23">
      <c r="A422" s="25" t="s">
        <v>94</v>
      </c>
      <c r="C422" s="10">
        <v>0</v>
      </c>
      <c r="D422" s="10">
        <v>0</v>
      </c>
      <c r="E422" s="10">
        <v>0</v>
      </c>
      <c r="F422" s="10">
        <v>0</v>
      </c>
      <c r="G422" s="10">
        <v>0</v>
      </c>
      <c r="H422" s="10">
        <v>0</v>
      </c>
      <c r="I422" s="10">
        <v>0</v>
      </c>
      <c r="J422" s="10">
        <v>0</v>
      </c>
      <c r="K422" s="10">
        <v>0</v>
      </c>
      <c r="L422" s="10">
        <v>0</v>
      </c>
      <c r="M422" s="10">
        <v>0</v>
      </c>
      <c r="N422" s="10">
        <v>0</v>
      </c>
      <c r="O422" s="10">
        <v>0</v>
      </c>
      <c r="P422" s="10">
        <v>0</v>
      </c>
      <c r="Q422" s="10">
        <v>0</v>
      </c>
      <c r="R422" s="10">
        <v>0</v>
      </c>
      <c r="S422" s="10">
        <v>0</v>
      </c>
      <c r="T422" s="10">
        <v>0</v>
      </c>
      <c r="U422" s="10">
        <v>0</v>
      </c>
      <c r="V422" s="10">
        <v>0</v>
      </c>
      <c r="W422" s="10">
        <v>0</v>
      </c>
    </row>
    <row r="423" ht="15.6" spans="1:23">
      <c r="A423" s="25" t="s">
        <v>111</v>
      </c>
      <c r="B423" t="s">
        <v>112</v>
      </c>
      <c r="C423" s="40">
        <v>200</v>
      </c>
      <c r="D423" s="40">
        <v>200</v>
      </c>
      <c r="E423" s="40">
        <v>200</v>
      </c>
      <c r="F423" s="40">
        <v>200</v>
      </c>
      <c r="G423" s="40">
        <v>200</v>
      </c>
      <c r="H423" s="40">
        <v>200</v>
      </c>
      <c r="I423" s="40">
        <v>200</v>
      </c>
      <c r="J423" s="40">
        <v>200</v>
      </c>
      <c r="K423" s="40">
        <v>200</v>
      </c>
      <c r="L423" s="40">
        <v>200</v>
      </c>
      <c r="M423" s="40">
        <v>200</v>
      </c>
      <c r="N423" s="40">
        <v>200</v>
      </c>
      <c r="O423" s="40">
        <v>200</v>
      </c>
      <c r="P423" s="40">
        <v>200</v>
      </c>
      <c r="Q423" s="40">
        <v>200</v>
      </c>
      <c r="R423" s="40">
        <v>200</v>
      </c>
      <c r="S423" s="40">
        <v>200</v>
      </c>
      <c r="T423" s="40">
        <v>200</v>
      </c>
      <c r="U423" s="40">
        <v>200</v>
      </c>
      <c r="V423" s="40">
        <v>200</v>
      </c>
      <c r="W423" s="40">
        <v>200</v>
      </c>
    </row>
    <row r="424" ht="15.6" spans="1:1">
      <c r="A424" s="5" t="s">
        <v>95</v>
      </c>
    </row>
    <row r="425" ht="15.6" spans="1:23">
      <c r="A425" s="27" t="s">
        <v>96</v>
      </c>
      <c r="B425" t="s">
        <v>108</v>
      </c>
      <c r="C425" s="28">
        <f t="shared" ref="C425:W425" si="32">15/200</f>
        <v>0.075</v>
      </c>
      <c r="D425" s="28">
        <f t="shared" si="32"/>
        <v>0.075</v>
      </c>
      <c r="E425" s="28">
        <f t="shared" si="32"/>
        <v>0.075</v>
      </c>
      <c r="F425" s="28">
        <f t="shared" si="32"/>
        <v>0.075</v>
      </c>
      <c r="G425" s="28">
        <f t="shared" si="32"/>
        <v>0.075</v>
      </c>
      <c r="H425" s="28">
        <f t="shared" si="32"/>
        <v>0.075</v>
      </c>
      <c r="I425" s="28">
        <f t="shared" si="32"/>
        <v>0.075</v>
      </c>
      <c r="J425" s="28">
        <f t="shared" si="32"/>
        <v>0.075</v>
      </c>
      <c r="K425" s="28">
        <f t="shared" si="32"/>
        <v>0.075</v>
      </c>
      <c r="L425" s="28">
        <f t="shared" si="32"/>
        <v>0.075</v>
      </c>
      <c r="M425" s="28">
        <f t="shared" si="32"/>
        <v>0.075</v>
      </c>
      <c r="N425" s="28">
        <f t="shared" si="32"/>
        <v>0.075</v>
      </c>
      <c r="O425" s="28">
        <f t="shared" si="32"/>
        <v>0.075</v>
      </c>
      <c r="P425" s="28">
        <f t="shared" si="32"/>
        <v>0.075</v>
      </c>
      <c r="Q425" s="28">
        <f t="shared" si="32"/>
        <v>0.075</v>
      </c>
      <c r="R425" s="28">
        <f t="shared" si="32"/>
        <v>0.075</v>
      </c>
      <c r="S425" s="28">
        <f t="shared" si="32"/>
        <v>0.075</v>
      </c>
      <c r="T425" s="28">
        <f t="shared" si="32"/>
        <v>0.075</v>
      </c>
      <c r="U425" s="28">
        <f t="shared" si="32"/>
        <v>0.075</v>
      </c>
      <c r="V425" s="28">
        <f t="shared" si="32"/>
        <v>0.075</v>
      </c>
      <c r="W425" s="28">
        <f t="shared" si="32"/>
        <v>0.075</v>
      </c>
    </row>
    <row r="426" ht="15.6" spans="1:23">
      <c r="A426" s="27" t="s">
        <v>98</v>
      </c>
      <c r="B426" t="s">
        <v>109</v>
      </c>
      <c r="C426" s="28">
        <f t="shared" ref="C426:W426" si="33">1.5/200</f>
        <v>0.0075</v>
      </c>
      <c r="D426" s="28">
        <f t="shared" si="33"/>
        <v>0.0075</v>
      </c>
      <c r="E426" s="28">
        <f t="shared" si="33"/>
        <v>0.0075</v>
      </c>
      <c r="F426" s="28">
        <f t="shared" si="33"/>
        <v>0.0075</v>
      </c>
      <c r="G426" s="28">
        <f t="shared" si="33"/>
        <v>0.0075</v>
      </c>
      <c r="H426" s="28">
        <f t="shared" si="33"/>
        <v>0.0075</v>
      </c>
      <c r="I426" s="28">
        <f t="shared" si="33"/>
        <v>0.0075</v>
      </c>
      <c r="J426" s="28">
        <f t="shared" si="33"/>
        <v>0.0075</v>
      </c>
      <c r="K426" s="28">
        <f t="shared" si="33"/>
        <v>0.0075</v>
      </c>
      <c r="L426" s="28">
        <f t="shared" si="33"/>
        <v>0.0075</v>
      </c>
      <c r="M426" s="28">
        <f t="shared" si="33"/>
        <v>0.0075</v>
      </c>
      <c r="N426" s="28">
        <f t="shared" si="33"/>
        <v>0.0075</v>
      </c>
      <c r="O426" s="28">
        <f t="shared" si="33"/>
        <v>0.0075</v>
      </c>
      <c r="P426" s="28">
        <f t="shared" si="33"/>
        <v>0.0075</v>
      </c>
      <c r="Q426" s="28">
        <f t="shared" si="33"/>
        <v>0.0075</v>
      </c>
      <c r="R426" s="28">
        <f t="shared" si="33"/>
        <v>0.0075</v>
      </c>
      <c r="S426" s="28">
        <f t="shared" si="33"/>
        <v>0.0075</v>
      </c>
      <c r="T426" s="28">
        <f t="shared" si="33"/>
        <v>0.0075</v>
      </c>
      <c r="U426" s="28">
        <f t="shared" si="33"/>
        <v>0.0075</v>
      </c>
      <c r="V426" s="28">
        <f t="shared" si="33"/>
        <v>0.0075</v>
      </c>
      <c r="W426" s="28">
        <f t="shared" si="33"/>
        <v>0.0075</v>
      </c>
    </row>
    <row r="427" ht="15.6" spans="1:23">
      <c r="A427" s="27" t="s">
        <v>100</v>
      </c>
      <c r="B427" t="s">
        <v>60</v>
      </c>
      <c r="C427" s="28">
        <f t="shared" ref="C427:W427" si="34">50/200</f>
        <v>0.25</v>
      </c>
      <c r="D427" s="28">
        <f t="shared" si="34"/>
        <v>0.25</v>
      </c>
      <c r="E427" s="28">
        <f t="shared" si="34"/>
        <v>0.25</v>
      </c>
      <c r="F427" s="28">
        <f t="shared" si="34"/>
        <v>0.25</v>
      </c>
      <c r="G427" s="28">
        <f t="shared" si="34"/>
        <v>0.25</v>
      </c>
      <c r="H427" s="28">
        <f t="shared" si="34"/>
        <v>0.25</v>
      </c>
      <c r="I427" s="28">
        <f t="shared" si="34"/>
        <v>0.25</v>
      </c>
      <c r="J427" s="28">
        <f t="shared" si="34"/>
        <v>0.25</v>
      </c>
      <c r="K427" s="28">
        <f t="shared" si="34"/>
        <v>0.25</v>
      </c>
      <c r="L427" s="28">
        <f t="shared" si="34"/>
        <v>0.25</v>
      </c>
      <c r="M427" s="28">
        <f t="shared" si="34"/>
        <v>0.25</v>
      </c>
      <c r="N427" s="28">
        <f t="shared" si="34"/>
        <v>0.25</v>
      </c>
      <c r="O427" s="28">
        <f t="shared" si="34"/>
        <v>0.25</v>
      </c>
      <c r="P427" s="28">
        <f t="shared" si="34"/>
        <v>0.25</v>
      </c>
      <c r="Q427" s="28">
        <f t="shared" si="34"/>
        <v>0.25</v>
      </c>
      <c r="R427" s="28">
        <f t="shared" si="34"/>
        <v>0.25</v>
      </c>
      <c r="S427" s="28">
        <f t="shared" si="34"/>
        <v>0.25</v>
      </c>
      <c r="T427" s="28">
        <f t="shared" si="34"/>
        <v>0.25</v>
      </c>
      <c r="U427" s="28">
        <f t="shared" si="34"/>
        <v>0.25</v>
      </c>
      <c r="V427" s="28">
        <f t="shared" si="34"/>
        <v>0.25</v>
      </c>
      <c r="W427" s="28">
        <f t="shared" si="34"/>
        <v>0.25</v>
      </c>
    </row>
    <row r="428" ht="15.6" spans="1:1">
      <c r="A428" s="5" t="s">
        <v>102</v>
      </c>
    </row>
    <row r="429" spans="1:23">
      <c r="A429" s="27" t="s">
        <v>96</v>
      </c>
      <c r="B429" t="s">
        <v>108</v>
      </c>
      <c r="C429" s="14"/>
      <c r="D429" s="14"/>
      <c r="E429" s="14"/>
      <c r="F429" s="14"/>
      <c r="G429" s="14"/>
      <c r="H429" s="14"/>
      <c r="I429" s="14"/>
      <c r="J429" s="14"/>
      <c r="K429" s="14"/>
      <c r="L429" s="14"/>
      <c r="M429" s="14"/>
      <c r="N429" s="14"/>
      <c r="O429" s="14"/>
      <c r="P429" s="14"/>
      <c r="Q429" s="14"/>
      <c r="R429" s="14"/>
      <c r="S429" s="14"/>
      <c r="T429" s="14"/>
      <c r="U429" s="14"/>
      <c r="V429" s="14"/>
      <c r="W429" s="14"/>
    </row>
    <row r="430" spans="1:23">
      <c r="A430" s="27" t="s">
        <v>98</v>
      </c>
      <c r="B430" t="s">
        <v>109</v>
      </c>
      <c r="C430" s="14"/>
      <c r="D430" s="14"/>
      <c r="E430" s="14"/>
      <c r="F430" s="14"/>
      <c r="G430" s="14"/>
      <c r="H430" s="14"/>
      <c r="I430" s="14"/>
      <c r="J430" s="14"/>
      <c r="K430" s="14"/>
      <c r="L430" s="14"/>
      <c r="M430" s="14"/>
      <c r="N430" s="14"/>
      <c r="O430" s="14"/>
      <c r="P430" s="14"/>
      <c r="Q430" s="14"/>
      <c r="R430" s="14"/>
      <c r="S430" s="14"/>
      <c r="T430" s="14"/>
      <c r="U430" s="14"/>
      <c r="V430" s="14"/>
      <c r="W430" s="14"/>
    </row>
    <row r="431" spans="1:23">
      <c r="A431" s="27" t="s">
        <v>100</v>
      </c>
      <c r="B431" t="s">
        <v>60</v>
      </c>
      <c r="C431" s="14"/>
      <c r="D431" s="14"/>
      <c r="E431" s="14"/>
      <c r="F431" s="14"/>
      <c r="G431" s="14"/>
      <c r="H431" s="14"/>
      <c r="I431" s="14"/>
      <c r="J431" s="14"/>
      <c r="K431" s="14"/>
      <c r="L431" s="14"/>
      <c r="M431" s="14"/>
      <c r="N431" s="14"/>
      <c r="O431" s="14"/>
      <c r="P431" s="14"/>
      <c r="Q431" s="14"/>
      <c r="R431" s="14"/>
      <c r="S431" s="14"/>
      <c r="T431" s="14"/>
      <c r="U431" s="14"/>
      <c r="V431" s="14"/>
      <c r="W431" s="14"/>
    </row>
    <row r="432" ht="15.6" spans="1:1">
      <c r="A432" s="5" t="s">
        <v>110</v>
      </c>
    </row>
    <row r="433" spans="1:23">
      <c r="A433" s="27" t="s">
        <v>96</v>
      </c>
      <c r="B433" t="s">
        <v>60</v>
      </c>
      <c r="C433" s="14"/>
      <c r="D433" s="14"/>
      <c r="E433" s="14"/>
      <c r="F433" s="14"/>
      <c r="G433" s="14"/>
      <c r="H433" s="14"/>
      <c r="I433" s="14"/>
      <c r="J433" s="14"/>
      <c r="K433" s="14"/>
      <c r="L433" s="14"/>
      <c r="M433" s="14"/>
      <c r="N433" s="14"/>
      <c r="O433" s="14"/>
      <c r="P433" s="14"/>
      <c r="Q433" s="14"/>
      <c r="R433" s="14"/>
      <c r="S433" s="14"/>
      <c r="T433" s="14"/>
      <c r="U433" s="14"/>
      <c r="V433" s="14"/>
      <c r="W433" s="14"/>
    </row>
    <row r="434" spans="1:23">
      <c r="A434" s="27" t="s">
        <v>98</v>
      </c>
      <c r="B434" t="s">
        <v>60</v>
      </c>
      <c r="C434" s="14"/>
      <c r="D434" s="14"/>
      <c r="E434" s="14"/>
      <c r="F434" s="14"/>
      <c r="G434" s="14"/>
      <c r="H434" s="14"/>
      <c r="I434" s="14"/>
      <c r="J434" s="14"/>
      <c r="K434" s="14"/>
      <c r="L434" s="14"/>
      <c r="M434" s="14"/>
      <c r="N434" s="14"/>
      <c r="O434" s="14"/>
      <c r="P434" s="14"/>
      <c r="Q434" s="14"/>
      <c r="R434" s="14"/>
      <c r="S434" s="14"/>
      <c r="T434" s="14"/>
      <c r="U434" s="14"/>
      <c r="V434" s="14"/>
      <c r="W434" s="14"/>
    </row>
    <row r="435" spans="1:23">
      <c r="A435" s="27" t="s">
        <v>100</v>
      </c>
      <c r="B435" t="s">
        <v>60</v>
      </c>
      <c r="C435" s="39"/>
      <c r="D435" s="39"/>
      <c r="E435" s="39"/>
      <c r="F435" s="39"/>
      <c r="G435" s="39"/>
      <c r="H435" s="39"/>
      <c r="I435" s="39"/>
      <c r="J435" s="39"/>
      <c r="K435" s="39"/>
      <c r="L435" s="39"/>
      <c r="M435" s="39"/>
      <c r="N435" s="39"/>
      <c r="O435" s="39"/>
      <c r="P435" s="39"/>
      <c r="Q435" s="39"/>
      <c r="R435" s="39"/>
      <c r="S435" s="39"/>
      <c r="T435" s="39"/>
      <c r="U435" s="39"/>
      <c r="V435" s="39"/>
      <c r="W435" s="39"/>
    </row>
    <row r="436" ht="15.6" spans="1:1">
      <c r="A436" s="5" t="s">
        <v>105</v>
      </c>
    </row>
    <row r="437" spans="1:23">
      <c r="A437" s="27" t="s">
        <v>96</v>
      </c>
      <c r="B437" t="s">
        <v>60</v>
      </c>
      <c r="C437" s="50"/>
      <c r="D437" s="50"/>
      <c r="E437" s="50"/>
      <c r="F437" s="50"/>
      <c r="G437" s="50"/>
      <c r="H437" s="50"/>
      <c r="I437" s="50"/>
      <c r="J437" s="50"/>
      <c r="K437" s="50"/>
      <c r="L437" s="50"/>
      <c r="M437" s="50"/>
      <c r="N437" s="50"/>
      <c r="O437" s="50"/>
      <c r="P437" s="50"/>
      <c r="Q437" s="50"/>
      <c r="R437" s="50"/>
      <c r="S437" s="50"/>
      <c r="T437" s="50"/>
      <c r="U437" s="50"/>
      <c r="V437" s="50"/>
      <c r="W437" s="50"/>
    </row>
    <row r="438" spans="1:23">
      <c r="A438" s="27" t="s">
        <v>98</v>
      </c>
      <c r="B438" t="s">
        <v>60</v>
      </c>
      <c r="C438" s="50"/>
      <c r="D438" s="50"/>
      <c r="E438" s="50"/>
      <c r="F438" s="50"/>
      <c r="G438" s="50"/>
      <c r="H438" s="50"/>
      <c r="I438" s="50"/>
      <c r="J438" s="50"/>
      <c r="K438" s="50"/>
      <c r="L438" s="50"/>
      <c r="M438" s="50"/>
      <c r="N438" s="50"/>
      <c r="O438" s="50"/>
      <c r="P438" s="50"/>
      <c r="Q438" s="50"/>
      <c r="R438" s="50"/>
      <c r="S438" s="50"/>
      <c r="T438" s="50"/>
      <c r="U438" s="50"/>
      <c r="V438" s="50"/>
      <c r="W438" s="50"/>
    </row>
    <row r="439" spans="1:23">
      <c r="A439" s="27" t="s">
        <v>100</v>
      </c>
      <c r="B439" t="s">
        <v>60</v>
      </c>
      <c r="C439" s="50"/>
      <c r="D439" s="50"/>
      <c r="E439" s="50"/>
      <c r="F439" s="50"/>
      <c r="G439" s="50"/>
      <c r="H439" s="50"/>
      <c r="I439" s="50"/>
      <c r="J439" s="50"/>
      <c r="K439" s="50"/>
      <c r="L439" s="50"/>
      <c r="M439" s="50"/>
      <c r="N439" s="50"/>
      <c r="O439" s="50"/>
      <c r="P439" s="50"/>
      <c r="Q439" s="50"/>
      <c r="R439" s="50"/>
      <c r="S439" s="50"/>
      <c r="T439" s="50"/>
      <c r="U439" s="50"/>
      <c r="V439" s="50"/>
      <c r="W439" s="50"/>
    </row>
    <row r="440" spans="1:23">
      <c r="A440" s="31" t="s">
        <v>107</v>
      </c>
      <c r="B440" s="32" t="s">
        <v>60</v>
      </c>
      <c r="C440" s="33"/>
      <c r="D440" s="33"/>
      <c r="E440" s="33"/>
      <c r="F440" s="33"/>
      <c r="G440" s="33"/>
      <c r="H440" s="33"/>
      <c r="I440" s="33"/>
      <c r="J440" s="33"/>
      <c r="K440" s="33"/>
      <c r="L440" s="33"/>
      <c r="M440" s="33"/>
      <c r="N440" s="33"/>
      <c r="O440" s="33"/>
      <c r="P440" s="33"/>
      <c r="Q440" s="33"/>
      <c r="R440" s="33"/>
      <c r="S440" s="33"/>
      <c r="T440" s="33"/>
      <c r="U440" s="33"/>
      <c r="V440" s="33"/>
      <c r="W440" s="33"/>
    </row>
    <row r="441" ht="15.6" spans="1:23">
      <c r="A441" s="25" t="s">
        <v>94</v>
      </c>
      <c r="C441" s="12"/>
      <c r="D441" s="12"/>
      <c r="E441" s="12"/>
      <c r="F441" s="12"/>
      <c r="G441" s="12"/>
      <c r="H441" s="12"/>
      <c r="I441" s="12"/>
      <c r="J441" s="12"/>
      <c r="K441" s="12"/>
      <c r="L441" s="12"/>
      <c r="M441" s="12"/>
      <c r="N441" s="12"/>
      <c r="O441" s="12"/>
      <c r="P441" s="12"/>
      <c r="Q441" s="12"/>
      <c r="R441" s="12"/>
      <c r="S441" s="12"/>
      <c r="T441" s="12"/>
      <c r="U441" s="12"/>
      <c r="V441" s="12"/>
      <c r="W441" s="12"/>
    </row>
    <row r="442" ht="15.6" spans="1:23">
      <c r="A442" s="25" t="s">
        <v>113</v>
      </c>
      <c r="B442" t="s">
        <v>114</v>
      </c>
      <c r="C442" s="40">
        <v>35</v>
      </c>
      <c r="D442" s="40">
        <v>35</v>
      </c>
      <c r="E442" s="40">
        <v>35</v>
      </c>
      <c r="F442" s="40">
        <v>35</v>
      </c>
      <c r="G442" s="40">
        <v>35</v>
      </c>
      <c r="H442" s="40">
        <v>35</v>
      </c>
      <c r="I442" s="40">
        <v>35</v>
      </c>
      <c r="J442" s="40">
        <v>35</v>
      </c>
      <c r="K442" s="40">
        <v>35</v>
      </c>
      <c r="L442" s="40">
        <v>35</v>
      </c>
      <c r="M442" s="40">
        <v>35</v>
      </c>
      <c r="N442" s="40">
        <v>35</v>
      </c>
      <c r="O442" s="40">
        <v>35</v>
      </c>
      <c r="P442" s="40">
        <v>35</v>
      </c>
      <c r="Q442" s="40">
        <v>35</v>
      </c>
      <c r="R442" s="40">
        <v>35</v>
      </c>
      <c r="S442" s="40">
        <v>35</v>
      </c>
      <c r="T442" s="40">
        <v>35</v>
      </c>
      <c r="U442" s="40">
        <v>35</v>
      </c>
      <c r="V442" s="40">
        <v>35</v>
      </c>
      <c r="W442" s="40">
        <v>35</v>
      </c>
    </row>
    <row r="443" ht="15.6" spans="1:23">
      <c r="A443" s="25" t="s">
        <v>115</v>
      </c>
      <c r="B443" t="s">
        <v>116</v>
      </c>
      <c r="C443" s="40">
        <v>50</v>
      </c>
      <c r="D443" s="40">
        <v>50</v>
      </c>
      <c r="E443" s="40">
        <v>50</v>
      </c>
      <c r="F443" s="40">
        <v>50</v>
      </c>
      <c r="G443" s="40">
        <v>50</v>
      </c>
      <c r="H443" s="40">
        <v>50</v>
      </c>
      <c r="I443" s="40">
        <v>50</v>
      </c>
      <c r="J443" s="40">
        <v>50</v>
      </c>
      <c r="K443" s="40">
        <v>50</v>
      </c>
      <c r="L443" s="40">
        <v>50</v>
      </c>
      <c r="M443" s="40">
        <v>50</v>
      </c>
      <c r="N443" s="40">
        <v>50</v>
      </c>
      <c r="O443" s="40">
        <v>50</v>
      </c>
      <c r="P443" s="40">
        <v>50</v>
      </c>
      <c r="Q443" s="40">
        <v>50</v>
      </c>
      <c r="R443" s="40">
        <v>50</v>
      </c>
      <c r="S443" s="40">
        <v>50</v>
      </c>
      <c r="T443" s="40">
        <v>50</v>
      </c>
      <c r="U443" s="40">
        <v>50</v>
      </c>
      <c r="V443" s="40">
        <v>50</v>
      </c>
      <c r="W443" s="40">
        <v>50</v>
      </c>
    </row>
    <row r="444" ht="15.6" spans="1:1">
      <c r="A444" s="5" t="s">
        <v>95</v>
      </c>
    </row>
    <row r="445" ht="15.6" spans="1:23">
      <c r="A445" s="27" t="s">
        <v>117</v>
      </c>
      <c r="B445" t="s">
        <v>118</v>
      </c>
      <c r="C445" s="42">
        <v>45</v>
      </c>
      <c r="D445" s="42">
        <v>45</v>
      </c>
      <c r="E445" s="42">
        <v>45</v>
      </c>
      <c r="F445" s="42">
        <v>45</v>
      </c>
      <c r="G445" s="42">
        <v>45</v>
      </c>
      <c r="H445" s="42">
        <v>45</v>
      </c>
      <c r="I445" s="42">
        <v>45</v>
      </c>
      <c r="J445" s="42">
        <v>45</v>
      </c>
      <c r="K445" s="42">
        <v>45</v>
      </c>
      <c r="L445" s="42">
        <v>45</v>
      </c>
      <c r="M445" s="42">
        <v>45</v>
      </c>
      <c r="N445" s="42">
        <v>45</v>
      </c>
      <c r="O445" s="42">
        <v>45</v>
      </c>
      <c r="P445" s="42">
        <v>45</v>
      </c>
      <c r="Q445" s="42">
        <v>45</v>
      </c>
      <c r="R445" s="42">
        <v>45</v>
      </c>
      <c r="S445" s="42">
        <v>45</v>
      </c>
      <c r="T445" s="42">
        <v>45</v>
      </c>
      <c r="U445" s="42">
        <v>45</v>
      </c>
      <c r="V445" s="42">
        <v>45</v>
      </c>
      <c r="W445" s="42">
        <v>45</v>
      </c>
    </row>
    <row r="446" ht="15.6" spans="1:23">
      <c r="A446" s="27" t="s">
        <v>96</v>
      </c>
      <c r="B446" t="s">
        <v>119</v>
      </c>
      <c r="C446" s="43">
        <v>0.01</v>
      </c>
      <c r="D446" s="43">
        <v>0.01</v>
      </c>
      <c r="E446" s="43">
        <v>0.01</v>
      </c>
      <c r="F446" s="43">
        <v>0.01</v>
      </c>
      <c r="G446" s="43">
        <v>0.01</v>
      </c>
      <c r="H446" s="43">
        <v>0.01</v>
      </c>
      <c r="I446" s="43">
        <v>0.01</v>
      </c>
      <c r="J446" s="43">
        <v>0.01</v>
      </c>
      <c r="K446" s="43">
        <v>0.01</v>
      </c>
      <c r="L446" s="43">
        <v>0.01</v>
      </c>
      <c r="M446" s="43">
        <v>0.01</v>
      </c>
      <c r="N446" s="43">
        <v>0.01</v>
      </c>
      <c r="O446" s="43">
        <v>0.01</v>
      </c>
      <c r="P446" s="43">
        <v>0.01</v>
      </c>
      <c r="Q446" s="43">
        <v>0.01</v>
      </c>
      <c r="R446" s="43">
        <v>0.01</v>
      </c>
      <c r="S446" s="43">
        <v>0.01</v>
      </c>
      <c r="T446" s="43">
        <v>0.01</v>
      </c>
      <c r="U446" s="43">
        <v>0.01</v>
      </c>
      <c r="V446" s="43">
        <v>0.01</v>
      </c>
      <c r="W446" s="43">
        <v>0.01</v>
      </c>
    </row>
    <row r="447" ht="15.6" spans="1:23">
      <c r="A447" s="27" t="s">
        <v>98</v>
      </c>
      <c r="B447" t="s">
        <v>120</v>
      </c>
      <c r="C447" s="43">
        <f t="shared" ref="C447:W447" si="35">1.5*2.7556/2</f>
        <v>2.0667</v>
      </c>
      <c r="D447" s="43">
        <f t="shared" si="35"/>
        <v>2.0667</v>
      </c>
      <c r="E447" s="43">
        <f t="shared" si="35"/>
        <v>2.0667</v>
      </c>
      <c r="F447" s="43">
        <f t="shared" si="35"/>
        <v>2.0667</v>
      </c>
      <c r="G447" s="43">
        <f t="shared" si="35"/>
        <v>2.0667</v>
      </c>
      <c r="H447" s="43">
        <f t="shared" si="35"/>
        <v>2.0667</v>
      </c>
      <c r="I447" s="43">
        <f t="shared" si="35"/>
        <v>2.0667</v>
      </c>
      <c r="J447" s="43">
        <f t="shared" si="35"/>
        <v>2.0667</v>
      </c>
      <c r="K447" s="43">
        <f t="shared" si="35"/>
        <v>2.0667</v>
      </c>
      <c r="L447" s="43">
        <f t="shared" si="35"/>
        <v>2.0667</v>
      </c>
      <c r="M447" s="43">
        <f t="shared" si="35"/>
        <v>2.0667</v>
      </c>
      <c r="N447" s="43">
        <f t="shared" si="35"/>
        <v>2.0667</v>
      </c>
      <c r="O447" s="43">
        <f t="shared" si="35"/>
        <v>2.0667</v>
      </c>
      <c r="P447" s="43">
        <f t="shared" si="35"/>
        <v>2.0667</v>
      </c>
      <c r="Q447" s="43">
        <f t="shared" si="35"/>
        <v>2.0667</v>
      </c>
      <c r="R447" s="43">
        <f t="shared" si="35"/>
        <v>2.0667</v>
      </c>
      <c r="S447" s="43">
        <f t="shared" si="35"/>
        <v>2.0667</v>
      </c>
      <c r="T447" s="43">
        <f t="shared" si="35"/>
        <v>2.0667</v>
      </c>
      <c r="U447" s="43">
        <f t="shared" si="35"/>
        <v>2.0667</v>
      </c>
      <c r="V447" s="43">
        <f t="shared" si="35"/>
        <v>2.0667</v>
      </c>
      <c r="W447" s="43">
        <f t="shared" si="35"/>
        <v>2.0667</v>
      </c>
    </row>
    <row r="448" ht="15.6" spans="1:23">
      <c r="A448" s="27" t="s">
        <v>100</v>
      </c>
      <c r="B448" t="s">
        <v>121</v>
      </c>
      <c r="C448" s="28">
        <v>0.5</v>
      </c>
      <c r="D448" s="28">
        <v>0.5</v>
      </c>
      <c r="E448" s="28">
        <v>0.5</v>
      </c>
      <c r="F448" s="28">
        <v>0.5</v>
      </c>
      <c r="G448" s="28">
        <v>0.5</v>
      </c>
      <c r="H448" s="28">
        <v>0.5</v>
      </c>
      <c r="I448" s="28">
        <v>0.5</v>
      </c>
      <c r="J448" s="28">
        <v>0.5</v>
      </c>
      <c r="K448" s="28">
        <v>0.5</v>
      </c>
      <c r="L448" s="28">
        <v>0.5</v>
      </c>
      <c r="M448" s="28">
        <v>0.5</v>
      </c>
      <c r="N448" s="28">
        <v>0.5</v>
      </c>
      <c r="O448" s="28">
        <v>0.5</v>
      </c>
      <c r="P448" s="28">
        <v>0.5</v>
      </c>
      <c r="Q448" s="28">
        <v>0.5</v>
      </c>
      <c r="R448" s="28">
        <v>0.5</v>
      </c>
      <c r="S448" s="28">
        <v>0.5</v>
      </c>
      <c r="T448" s="28">
        <v>0.5</v>
      </c>
      <c r="U448" s="28">
        <v>0.5</v>
      </c>
      <c r="V448" s="28">
        <v>0.5</v>
      </c>
      <c r="W448" s="28">
        <v>0.5</v>
      </c>
    </row>
    <row r="449" ht="15.6" spans="1:23">
      <c r="A449" s="27" t="s">
        <v>122</v>
      </c>
      <c r="B449" t="s">
        <v>45</v>
      </c>
      <c r="C449" s="44"/>
      <c r="D449" s="44"/>
      <c r="E449" s="44"/>
      <c r="F449" s="44"/>
      <c r="G449" s="44"/>
      <c r="H449" s="44"/>
      <c r="I449" s="44"/>
      <c r="J449" s="44"/>
      <c r="K449" s="44"/>
      <c r="L449" s="44"/>
      <c r="M449" s="44"/>
      <c r="N449" s="44"/>
      <c r="O449" s="44"/>
      <c r="P449" s="44"/>
      <c r="Q449" s="44"/>
      <c r="R449" s="44"/>
      <c r="S449" s="44"/>
      <c r="T449" s="44"/>
      <c r="U449" s="44"/>
      <c r="V449" s="44"/>
      <c r="W449" s="44"/>
    </row>
    <row r="450" ht="15.6" spans="1:23">
      <c r="A450" s="27" t="s">
        <v>123</v>
      </c>
      <c r="B450" s="9" t="s">
        <v>51</v>
      </c>
      <c r="C450" s="44"/>
      <c r="D450" s="44"/>
      <c r="E450" s="44"/>
      <c r="F450" s="44"/>
      <c r="G450" s="44"/>
      <c r="H450" s="44"/>
      <c r="I450" s="44"/>
      <c r="J450" s="44"/>
      <c r="K450" s="44"/>
      <c r="L450" s="44"/>
      <c r="M450" s="44"/>
      <c r="N450" s="44"/>
      <c r="O450" s="44"/>
      <c r="P450" s="44"/>
      <c r="Q450" s="44"/>
      <c r="R450" s="44"/>
      <c r="S450" s="44"/>
      <c r="T450" s="44"/>
      <c r="U450" s="44"/>
      <c r="V450" s="44"/>
      <c r="W450" s="44"/>
    </row>
    <row r="451" ht="15.6" spans="1:23">
      <c r="A451" s="27" t="s">
        <v>124</v>
      </c>
      <c r="B451" s="9" t="s">
        <v>51</v>
      </c>
      <c r="C451" s="44"/>
      <c r="D451" s="44"/>
      <c r="E451" s="44"/>
      <c r="F451" s="44"/>
      <c r="G451" s="44"/>
      <c r="H451" s="44"/>
      <c r="I451" s="44"/>
      <c r="J451" s="44"/>
      <c r="K451" s="44"/>
      <c r="L451" s="44"/>
      <c r="M451" s="44"/>
      <c r="N451" s="44"/>
      <c r="O451" s="44"/>
      <c r="P451" s="44"/>
      <c r="Q451" s="44"/>
      <c r="R451" s="44"/>
      <c r="S451" s="44"/>
      <c r="T451" s="44"/>
      <c r="U451" s="44"/>
      <c r="V451" s="44"/>
      <c r="W451" s="44"/>
    </row>
    <row r="452" ht="15.6" spans="1:1">
      <c r="A452" s="5" t="s">
        <v>102</v>
      </c>
    </row>
    <row r="453" spans="1:23">
      <c r="A453" s="27" t="s">
        <v>96</v>
      </c>
      <c r="B453" t="s">
        <v>119</v>
      </c>
      <c r="C453" s="45"/>
      <c r="D453" s="45"/>
      <c r="E453" s="45"/>
      <c r="F453" s="45"/>
      <c r="G453" s="45"/>
      <c r="H453" s="45"/>
      <c r="I453" s="45"/>
      <c r="J453" s="45"/>
      <c r="K453" s="45"/>
      <c r="L453" s="45"/>
      <c r="M453" s="45"/>
      <c r="N453" s="45"/>
      <c r="O453" s="45"/>
      <c r="P453" s="45"/>
      <c r="Q453" s="45"/>
      <c r="R453" s="45"/>
      <c r="S453" s="45"/>
      <c r="T453" s="45"/>
      <c r="U453" s="45"/>
      <c r="V453" s="45"/>
      <c r="W453" s="45"/>
    </row>
    <row r="454" spans="1:23">
      <c r="A454" s="27" t="s">
        <v>98</v>
      </c>
      <c r="B454" t="s">
        <v>120</v>
      </c>
      <c r="C454" s="45"/>
      <c r="D454" s="45"/>
      <c r="E454" s="45"/>
      <c r="F454" s="45"/>
      <c r="G454" s="45"/>
      <c r="H454" s="45"/>
      <c r="I454" s="45"/>
      <c r="J454" s="45"/>
      <c r="K454" s="45"/>
      <c r="L454" s="45"/>
      <c r="M454" s="45"/>
      <c r="N454" s="45"/>
      <c r="O454" s="45"/>
      <c r="P454" s="45"/>
      <c r="Q454" s="45"/>
      <c r="R454" s="45"/>
      <c r="S454" s="45"/>
      <c r="T454" s="45"/>
      <c r="U454" s="45"/>
      <c r="V454" s="45"/>
      <c r="W454" s="45"/>
    </row>
    <row r="455" spans="1:23">
      <c r="A455" s="27" t="s">
        <v>100</v>
      </c>
      <c r="B455" t="s">
        <v>121</v>
      </c>
      <c r="C455" s="45"/>
      <c r="D455" s="45"/>
      <c r="E455" s="45"/>
      <c r="F455" s="45"/>
      <c r="G455" s="45"/>
      <c r="H455" s="45"/>
      <c r="I455" s="45"/>
      <c r="J455" s="45"/>
      <c r="K455" s="45"/>
      <c r="L455" s="45"/>
      <c r="M455" s="45"/>
      <c r="N455" s="45"/>
      <c r="O455" s="45"/>
      <c r="P455" s="45"/>
      <c r="Q455" s="45"/>
      <c r="R455" s="45"/>
      <c r="S455" s="45"/>
      <c r="T455" s="45"/>
      <c r="U455" s="45"/>
      <c r="V455" s="45"/>
      <c r="W455" s="45"/>
    </row>
    <row r="456" ht="15.6" spans="1:1">
      <c r="A456" s="5" t="s">
        <v>125</v>
      </c>
    </row>
    <row r="457" spans="1:23">
      <c r="A457" s="27" t="s">
        <v>96</v>
      </c>
      <c r="B457" t="s">
        <v>119</v>
      </c>
      <c r="C457" s="45"/>
      <c r="D457" s="45"/>
      <c r="E457" s="45"/>
      <c r="F457" s="45"/>
      <c r="G457" s="45"/>
      <c r="H457" s="45"/>
      <c r="I457" s="45"/>
      <c r="J457" s="45"/>
      <c r="K457" s="45"/>
      <c r="L457" s="45"/>
      <c r="M457" s="45"/>
      <c r="N457" s="45"/>
      <c r="O457" s="45"/>
      <c r="P457" s="45"/>
      <c r="Q457" s="45"/>
      <c r="R457" s="45"/>
      <c r="S457" s="45"/>
      <c r="T457" s="45"/>
      <c r="U457" s="45"/>
      <c r="V457" s="45"/>
      <c r="W457" s="45"/>
    </row>
    <row r="458" spans="1:23">
      <c r="A458" s="27" t="s">
        <v>98</v>
      </c>
      <c r="B458" t="s">
        <v>126</v>
      </c>
      <c r="C458" s="45"/>
      <c r="D458" s="45"/>
      <c r="E458" s="45"/>
      <c r="F458" s="45"/>
      <c r="G458" s="45"/>
      <c r="H458" s="45"/>
      <c r="I458" s="45"/>
      <c r="J458" s="45"/>
      <c r="K458" s="45"/>
      <c r="L458" s="45"/>
      <c r="M458" s="45"/>
      <c r="N458" s="45"/>
      <c r="O458" s="45"/>
      <c r="P458" s="45"/>
      <c r="Q458" s="45"/>
      <c r="R458" s="45"/>
      <c r="S458" s="45"/>
      <c r="T458" s="45"/>
      <c r="U458" s="45"/>
      <c r="V458" s="45"/>
      <c r="W458" s="45"/>
    </row>
    <row r="459" spans="1:23">
      <c r="A459" s="27" t="s">
        <v>100</v>
      </c>
      <c r="B459" t="s">
        <v>121</v>
      </c>
      <c r="C459" s="45"/>
      <c r="D459" s="45"/>
      <c r="E459" s="45"/>
      <c r="F459" s="45"/>
      <c r="G459" s="45"/>
      <c r="H459" s="45"/>
      <c r="I459" s="45"/>
      <c r="J459" s="45"/>
      <c r="K459" s="45"/>
      <c r="L459" s="45"/>
      <c r="M459" s="45"/>
      <c r="N459" s="45"/>
      <c r="O459" s="45"/>
      <c r="P459" s="45"/>
      <c r="Q459" s="45"/>
      <c r="R459" s="45"/>
      <c r="S459" s="45"/>
      <c r="T459" s="45"/>
      <c r="U459" s="45"/>
      <c r="V459" s="45"/>
      <c r="W459" s="45"/>
    </row>
    <row r="460" ht="15.6" spans="1:1">
      <c r="A460" s="5" t="s">
        <v>127</v>
      </c>
    </row>
    <row r="461" spans="1:23">
      <c r="A461" s="27" t="s">
        <v>96</v>
      </c>
      <c r="B461" t="s">
        <v>60</v>
      </c>
      <c r="C461" s="45"/>
      <c r="D461" s="45"/>
      <c r="E461" s="45"/>
      <c r="F461" s="45"/>
      <c r="G461" s="45"/>
      <c r="H461" s="45"/>
      <c r="I461" s="45"/>
      <c r="J461" s="45"/>
      <c r="K461" s="45"/>
      <c r="L461" s="45"/>
      <c r="M461" s="45"/>
      <c r="N461" s="45"/>
      <c r="O461" s="45"/>
      <c r="P461" s="45"/>
      <c r="Q461" s="45"/>
      <c r="R461" s="45"/>
      <c r="S461" s="45"/>
      <c r="T461" s="45"/>
      <c r="U461" s="45"/>
      <c r="V461" s="45"/>
      <c r="W461" s="45"/>
    </row>
    <row r="462" spans="1:23">
      <c r="A462" s="27" t="s">
        <v>98</v>
      </c>
      <c r="B462" t="s">
        <v>60</v>
      </c>
      <c r="C462" s="45"/>
      <c r="D462" s="45"/>
      <c r="E462" s="45"/>
      <c r="F462" s="45"/>
      <c r="G462" s="45"/>
      <c r="H462" s="45"/>
      <c r="I462" s="45"/>
      <c r="J462" s="45"/>
      <c r="K462" s="45"/>
      <c r="L462" s="45"/>
      <c r="M462" s="45"/>
      <c r="N462" s="45"/>
      <c r="O462" s="45"/>
      <c r="P462" s="45"/>
      <c r="Q462" s="45"/>
      <c r="R462" s="45"/>
      <c r="S462" s="45"/>
      <c r="T462" s="45"/>
      <c r="U462" s="45"/>
      <c r="V462" s="45"/>
      <c r="W462" s="45"/>
    </row>
    <row r="463" spans="1:23">
      <c r="A463" s="27" t="s">
        <v>100</v>
      </c>
      <c r="B463" t="s">
        <v>60</v>
      </c>
      <c r="C463" s="46"/>
      <c r="D463" s="46"/>
      <c r="E463" s="46"/>
      <c r="F463" s="46"/>
      <c r="G463" s="46"/>
      <c r="H463" s="46"/>
      <c r="I463" s="46"/>
      <c r="J463" s="46"/>
      <c r="K463" s="46"/>
      <c r="L463" s="46"/>
      <c r="M463" s="46"/>
      <c r="N463" s="46"/>
      <c r="O463" s="46"/>
      <c r="P463" s="46"/>
      <c r="Q463" s="46"/>
      <c r="R463" s="46"/>
      <c r="S463" s="46"/>
      <c r="T463" s="46"/>
      <c r="U463" s="46"/>
      <c r="V463" s="46"/>
      <c r="W463" s="46"/>
    </row>
    <row r="464" ht="15.6" spans="1:1">
      <c r="A464" s="5" t="s">
        <v>105</v>
      </c>
    </row>
    <row r="465" spans="1:23">
      <c r="A465" s="27" t="s">
        <v>96</v>
      </c>
      <c r="B465" t="s">
        <v>60</v>
      </c>
      <c r="C465" s="50"/>
      <c r="D465" s="50"/>
      <c r="E465" s="50"/>
      <c r="F465" s="50"/>
      <c r="G465" s="50"/>
      <c r="H465" s="50"/>
      <c r="I465" s="50"/>
      <c r="J465" s="50"/>
      <c r="K465" s="50"/>
      <c r="L465" s="50"/>
      <c r="M465" s="50"/>
      <c r="N465" s="50"/>
      <c r="O465" s="50"/>
      <c r="P465" s="50"/>
      <c r="Q465" s="50"/>
      <c r="R465" s="50"/>
      <c r="S465" s="50"/>
      <c r="T465" s="50"/>
      <c r="U465" s="50"/>
      <c r="V465" s="50"/>
      <c r="W465" s="50"/>
    </row>
    <row r="466" spans="1:23">
      <c r="A466" s="27" t="s">
        <v>98</v>
      </c>
      <c r="B466" t="s">
        <v>60</v>
      </c>
      <c r="C466" s="50"/>
      <c r="D466" s="50"/>
      <c r="E466" s="50"/>
      <c r="F466" s="50"/>
      <c r="G466" s="50"/>
      <c r="H466" s="50"/>
      <c r="I466" s="50"/>
      <c r="J466" s="50"/>
      <c r="K466" s="50"/>
      <c r="L466" s="50"/>
      <c r="M466" s="50"/>
      <c r="N466" s="50"/>
      <c r="O466" s="50"/>
      <c r="P466" s="50"/>
      <c r="Q466" s="50"/>
      <c r="R466" s="50"/>
      <c r="S466" s="50"/>
      <c r="T466" s="50"/>
      <c r="U466" s="50"/>
      <c r="V466" s="50"/>
      <c r="W466" s="50"/>
    </row>
    <row r="467" spans="1:23">
      <c r="A467" s="27" t="s">
        <v>100</v>
      </c>
      <c r="B467" t="s">
        <v>60</v>
      </c>
      <c r="C467" s="50"/>
      <c r="D467" s="50"/>
      <c r="E467" s="50"/>
      <c r="F467" s="50"/>
      <c r="G467" s="50"/>
      <c r="H467" s="50"/>
      <c r="I467" s="50"/>
      <c r="J467" s="50"/>
      <c r="K467" s="50"/>
      <c r="L467" s="50"/>
      <c r="M467" s="50"/>
      <c r="N467" s="50"/>
      <c r="O467" s="50"/>
      <c r="P467" s="50"/>
      <c r="Q467" s="50"/>
      <c r="R467" s="50"/>
      <c r="S467" s="50"/>
      <c r="T467" s="50"/>
      <c r="U467" s="50"/>
      <c r="V467" s="50"/>
      <c r="W467" s="50"/>
    </row>
    <row r="468" spans="1:23">
      <c r="A468" s="31" t="s">
        <v>107</v>
      </c>
      <c r="B468" s="32" t="s">
        <v>60</v>
      </c>
      <c r="C468" s="33"/>
      <c r="D468" s="33"/>
      <c r="E468" s="33"/>
      <c r="F468" s="33"/>
      <c r="G468" s="33"/>
      <c r="H468" s="33"/>
      <c r="I468" s="33"/>
      <c r="J468" s="33"/>
      <c r="K468" s="33"/>
      <c r="L468" s="33"/>
      <c r="M468" s="33"/>
      <c r="N468" s="33"/>
      <c r="O468" s="33"/>
      <c r="P468" s="33"/>
      <c r="Q468" s="33"/>
      <c r="R468" s="33"/>
      <c r="S468" s="33"/>
      <c r="T468" s="33"/>
      <c r="U468" s="33"/>
      <c r="V468" s="33"/>
      <c r="W468" s="33"/>
    </row>
    <row r="469" ht="15.6" spans="1:1">
      <c r="A469" s="5" t="s">
        <v>131</v>
      </c>
    </row>
    <row r="470" spans="1:23">
      <c r="A470" s="27" t="s">
        <v>96</v>
      </c>
      <c r="B470" t="s">
        <v>60</v>
      </c>
      <c r="C470" s="14"/>
      <c r="D470" s="14"/>
      <c r="E470" s="14"/>
      <c r="F470" s="14"/>
      <c r="G470" s="14"/>
      <c r="H470" s="14"/>
      <c r="I470" s="14"/>
      <c r="J470" s="14"/>
      <c r="K470" s="14"/>
      <c r="L470" s="14"/>
      <c r="M470" s="14"/>
      <c r="N470" s="14"/>
      <c r="O470" s="14"/>
      <c r="P470" s="14"/>
      <c r="Q470" s="14"/>
      <c r="R470" s="14"/>
      <c r="S470" s="14"/>
      <c r="T470" s="14"/>
      <c r="U470" s="14"/>
      <c r="V470" s="14"/>
      <c r="W470" s="14"/>
    </row>
    <row r="471" spans="1:23">
      <c r="A471" s="27" t="s">
        <v>98</v>
      </c>
      <c r="B471" t="s">
        <v>60</v>
      </c>
      <c r="C471" s="14"/>
      <c r="D471" s="14"/>
      <c r="E471" s="14"/>
      <c r="F471" s="14"/>
      <c r="G471" s="14"/>
      <c r="H471" s="14"/>
      <c r="I471" s="14"/>
      <c r="J471" s="14"/>
      <c r="K471" s="14"/>
      <c r="L471" s="14"/>
      <c r="M471" s="14"/>
      <c r="N471" s="14"/>
      <c r="O471" s="14"/>
      <c r="P471" s="14"/>
      <c r="Q471" s="14"/>
      <c r="R471" s="14"/>
      <c r="S471" s="14"/>
      <c r="T471" s="14"/>
      <c r="U471" s="14"/>
      <c r="V471" s="14"/>
      <c r="W471" s="14"/>
    </row>
    <row r="472" spans="1:23">
      <c r="A472" s="27" t="s">
        <v>100</v>
      </c>
      <c r="B472" t="s">
        <v>60</v>
      </c>
      <c r="C472" s="14"/>
      <c r="D472" s="14"/>
      <c r="E472" s="14"/>
      <c r="F472" s="14"/>
      <c r="G472" s="14"/>
      <c r="H472" s="14"/>
      <c r="I472" s="14"/>
      <c r="J472" s="14"/>
      <c r="K472" s="14"/>
      <c r="L472" s="14"/>
      <c r="M472" s="14"/>
      <c r="N472" s="14"/>
      <c r="O472" s="14"/>
      <c r="P472" s="14"/>
      <c r="Q472" s="14"/>
      <c r="R472" s="14"/>
      <c r="S472" s="14"/>
      <c r="T472" s="14"/>
      <c r="U472" s="14"/>
      <c r="V472" s="14"/>
      <c r="W472" s="14"/>
    </row>
    <row r="473" spans="1:23">
      <c r="A473" s="31" t="s">
        <v>107</v>
      </c>
      <c r="B473" s="32" t="s">
        <v>60</v>
      </c>
      <c r="C473" s="33"/>
      <c r="D473" s="33"/>
      <c r="E473" s="33"/>
      <c r="F473" s="33"/>
      <c r="G473" s="33"/>
      <c r="H473" s="33"/>
      <c r="I473" s="33"/>
      <c r="J473" s="33"/>
      <c r="K473" s="33"/>
      <c r="L473" s="33"/>
      <c r="M473" s="33"/>
      <c r="N473" s="33"/>
      <c r="O473" s="33"/>
      <c r="P473" s="33"/>
      <c r="Q473" s="33"/>
      <c r="R473" s="33"/>
      <c r="S473" s="33"/>
      <c r="T473" s="33"/>
      <c r="U473" s="33"/>
      <c r="V473" s="33"/>
      <c r="W473" s="33"/>
    </row>
    <row r="474" ht="15.6" spans="1:1">
      <c r="A474" s="5" t="s">
        <v>105</v>
      </c>
    </row>
    <row r="475" spans="1:23">
      <c r="A475" s="27" t="s">
        <v>96</v>
      </c>
      <c r="B475" t="s">
        <v>60</v>
      </c>
      <c r="C475" s="39"/>
      <c r="D475" s="39"/>
      <c r="E475" s="39"/>
      <c r="F475" s="39"/>
      <c r="G475" s="39"/>
      <c r="H475" s="39"/>
      <c r="I475" s="39"/>
      <c r="J475" s="39"/>
      <c r="K475" s="39"/>
      <c r="L475" s="39"/>
      <c r="M475" s="39"/>
      <c r="N475" s="39"/>
      <c r="O475" s="39"/>
      <c r="P475" s="39"/>
      <c r="Q475" s="39"/>
      <c r="R475" s="39"/>
      <c r="S475" s="39"/>
      <c r="T475" s="39"/>
      <c r="U475" s="39"/>
      <c r="V475" s="39"/>
      <c r="W475" s="39"/>
    </row>
    <row r="476" spans="1:23">
      <c r="A476" s="27" t="s">
        <v>98</v>
      </c>
      <c r="B476" t="s">
        <v>60</v>
      </c>
      <c r="C476" s="39"/>
      <c r="D476" s="39"/>
      <c r="E476" s="39"/>
      <c r="F476" s="39"/>
      <c r="G476" s="39"/>
      <c r="H476" s="39"/>
      <c r="I476" s="39"/>
      <c r="J476" s="39"/>
      <c r="K476" s="39"/>
      <c r="L476" s="39"/>
      <c r="M476" s="39"/>
      <c r="N476" s="39"/>
      <c r="O476" s="39"/>
      <c r="P476" s="39"/>
      <c r="Q476" s="39"/>
      <c r="R476" s="39"/>
      <c r="S476" s="39"/>
      <c r="T476" s="39"/>
      <c r="U476" s="39"/>
      <c r="V476" s="39"/>
      <c r="W476" s="39"/>
    </row>
    <row r="477" spans="1:23">
      <c r="A477" s="27" t="s">
        <v>100</v>
      </c>
      <c r="B477" t="s">
        <v>60</v>
      </c>
      <c r="C477" s="39"/>
      <c r="D477" s="39"/>
      <c r="E477" s="39"/>
      <c r="F477" s="39"/>
      <c r="G477" s="39"/>
      <c r="H477" s="39"/>
      <c r="I477" s="39"/>
      <c r="J477" s="39"/>
      <c r="K477" s="39"/>
      <c r="L477" s="39"/>
      <c r="M477" s="39"/>
      <c r="N477" s="39"/>
      <c r="O477" s="39"/>
      <c r="P477" s="39"/>
      <c r="Q477" s="39"/>
      <c r="R477" s="39"/>
      <c r="S477" s="39"/>
      <c r="T477" s="39"/>
      <c r="U477" s="39"/>
      <c r="V477" s="39"/>
      <c r="W477" s="39"/>
    </row>
    <row r="478" spans="1:23">
      <c r="A478" s="27" t="s">
        <v>106</v>
      </c>
      <c r="B478" t="s">
        <v>60</v>
      </c>
      <c r="C478" s="53">
        <v>0</v>
      </c>
      <c r="D478" s="53">
        <v>0</v>
      </c>
      <c r="E478" s="53">
        <v>0</v>
      </c>
      <c r="F478" s="53">
        <v>0</v>
      </c>
      <c r="G478" s="53">
        <v>0</v>
      </c>
      <c r="H478" s="53">
        <v>0</v>
      </c>
      <c r="I478" s="53">
        <v>0</v>
      </c>
      <c r="J478" s="53">
        <v>0</v>
      </c>
      <c r="K478" s="53">
        <v>0</v>
      </c>
      <c r="L478" s="53">
        <v>0</v>
      </c>
      <c r="M478" s="53">
        <v>0</v>
      </c>
      <c r="N478" s="53">
        <v>0</v>
      </c>
      <c r="O478" s="53">
        <v>0</v>
      </c>
      <c r="P478" s="53">
        <v>0</v>
      </c>
      <c r="Q478" s="53">
        <v>0</v>
      </c>
      <c r="R478" s="53">
        <v>0</v>
      </c>
      <c r="S478" s="53">
        <v>0</v>
      </c>
      <c r="T478" s="53">
        <v>0</v>
      </c>
      <c r="U478" s="53">
        <v>0</v>
      </c>
      <c r="V478" s="53">
        <v>0</v>
      </c>
      <c r="W478" s="53">
        <v>0</v>
      </c>
    </row>
    <row r="479" spans="1:23">
      <c r="A479" s="31" t="s">
        <v>107</v>
      </c>
      <c r="B479" s="32" t="s">
        <v>60</v>
      </c>
      <c r="C479" s="33"/>
      <c r="D479" s="33"/>
      <c r="E479" s="33"/>
      <c r="F479" s="33"/>
      <c r="G479" s="33"/>
      <c r="H479" s="33"/>
      <c r="I479" s="33"/>
      <c r="J479" s="33"/>
      <c r="K479" s="33"/>
      <c r="L479" s="33"/>
      <c r="M479" s="33"/>
      <c r="N479" s="33"/>
      <c r="O479" s="33"/>
      <c r="P479" s="33"/>
      <c r="Q479" s="33"/>
      <c r="R479" s="33"/>
      <c r="S479" s="33"/>
      <c r="T479" s="33"/>
      <c r="U479" s="33"/>
      <c r="V479" s="33"/>
      <c r="W479" s="33"/>
    </row>
    <row r="480" ht="15.6" spans="1:23">
      <c r="A480" s="25" t="s">
        <v>94</v>
      </c>
      <c r="C480" s="10">
        <v>1</v>
      </c>
      <c r="D480" s="10">
        <v>1</v>
      </c>
      <c r="E480" s="10">
        <v>1</v>
      </c>
      <c r="F480" s="10">
        <v>1</v>
      </c>
      <c r="G480" s="10">
        <v>1</v>
      </c>
      <c r="H480" s="10">
        <v>1</v>
      </c>
      <c r="I480" s="10">
        <v>0</v>
      </c>
      <c r="J480" s="10">
        <v>1</v>
      </c>
      <c r="K480" s="10">
        <v>0</v>
      </c>
      <c r="L480" s="10">
        <v>0</v>
      </c>
      <c r="M480" s="10">
        <v>0</v>
      </c>
      <c r="N480" s="10">
        <v>0</v>
      </c>
      <c r="O480" s="10">
        <v>0</v>
      </c>
      <c r="P480" s="10">
        <v>0</v>
      </c>
      <c r="Q480" s="10">
        <v>0</v>
      </c>
      <c r="R480" s="10">
        <v>1</v>
      </c>
      <c r="S480" s="10">
        <v>1</v>
      </c>
      <c r="T480" s="10">
        <v>0</v>
      </c>
      <c r="U480" s="10">
        <v>1</v>
      </c>
      <c r="V480" s="10">
        <v>0</v>
      </c>
      <c r="W480" s="10">
        <v>1</v>
      </c>
    </row>
    <row r="481" ht="15.6" spans="1:23">
      <c r="A481" s="25" t="s">
        <v>111</v>
      </c>
      <c r="B481" t="s">
        <v>112</v>
      </c>
      <c r="C481" s="40">
        <v>400</v>
      </c>
      <c r="D481" s="40">
        <v>400</v>
      </c>
      <c r="E481" s="40">
        <v>400</v>
      </c>
      <c r="F481" s="40">
        <v>400</v>
      </c>
      <c r="G481" s="40">
        <v>400</v>
      </c>
      <c r="H481" s="40">
        <v>200</v>
      </c>
      <c r="I481" s="40">
        <v>400</v>
      </c>
      <c r="J481" s="40">
        <v>200</v>
      </c>
      <c r="K481" s="40">
        <v>400</v>
      </c>
      <c r="L481" s="40">
        <v>400</v>
      </c>
      <c r="M481" s="40">
        <v>400</v>
      </c>
      <c r="N481" s="40">
        <v>400</v>
      </c>
      <c r="O481" s="40">
        <v>400</v>
      </c>
      <c r="P481" s="40">
        <v>400</v>
      </c>
      <c r="Q481" s="40">
        <v>400</v>
      </c>
      <c r="R481" s="40">
        <v>200</v>
      </c>
      <c r="S481" s="40">
        <v>400</v>
      </c>
      <c r="T481" s="40">
        <v>400</v>
      </c>
      <c r="U481" s="40">
        <v>400</v>
      </c>
      <c r="V481" s="40">
        <v>400</v>
      </c>
      <c r="W481" s="40">
        <v>400</v>
      </c>
    </row>
    <row r="482" ht="15.6" spans="1:1">
      <c r="A482" s="5" t="s">
        <v>95</v>
      </c>
    </row>
    <row r="483" ht="15.6" spans="1:23">
      <c r="A483" s="27" t="s">
        <v>96</v>
      </c>
      <c r="B483" t="s">
        <v>108</v>
      </c>
      <c r="C483" s="28">
        <f t="shared" ref="C483:W483" si="36">15/200</f>
        <v>0.075</v>
      </c>
      <c r="D483" s="28">
        <f t="shared" si="36"/>
        <v>0.075</v>
      </c>
      <c r="E483" s="28">
        <f t="shared" si="36"/>
        <v>0.075</v>
      </c>
      <c r="F483" s="28">
        <f t="shared" si="36"/>
        <v>0.075</v>
      </c>
      <c r="G483" s="28">
        <f t="shared" si="36"/>
        <v>0.075</v>
      </c>
      <c r="H483" s="28">
        <f t="shared" si="36"/>
        <v>0.075</v>
      </c>
      <c r="I483" s="28">
        <f t="shared" si="36"/>
        <v>0.075</v>
      </c>
      <c r="J483" s="28">
        <f t="shared" si="36"/>
        <v>0.075</v>
      </c>
      <c r="K483" s="28">
        <f t="shared" si="36"/>
        <v>0.075</v>
      </c>
      <c r="L483" s="28">
        <f t="shared" si="36"/>
        <v>0.075</v>
      </c>
      <c r="M483" s="28">
        <f t="shared" si="36"/>
        <v>0.075</v>
      </c>
      <c r="N483" s="28">
        <f t="shared" si="36"/>
        <v>0.075</v>
      </c>
      <c r="O483" s="28">
        <f t="shared" si="36"/>
        <v>0.075</v>
      </c>
      <c r="P483" s="28">
        <f t="shared" si="36"/>
        <v>0.075</v>
      </c>
      <c r="Q483" s="28">
        <f t="shared" si="36"/>
        <v>0.075</v>
      </c>
      <c r="R483" s="28">
        <f t="shared" si="36"/>
        <v>0.075</v>
      </c>
      <c r="S483" s="28">
        <f t="shared" si="36"/>
        <v>0.075</v>
      </c>
      <c r="T483" s="28">
        <f t="shared" si="36"/>
        <v>0.075</v>
      </c>
      <c r="U483" s="28">
        <f t="shared" si="36"/>
        <v>0.075</v>
      </c>
      <c r="V483" s="28">
        <f t="shared" si="36"/>
        <v>0.075</v>
      </c>
      <c r="W483" s="28">
        <f t="shared" si="36"/>
        <v>0.075</v>
      </c>
    </row>
    <row r="484" ht="15.6" spans="1:23">
      <c r="A484" s="27" t="s">
        <v>98</v>
      </c>
      <c r="B484" t="s">
        <v>109</v>
      </c>
      <c r="C484" s="28">
        <f t="shared" ref="C484:W484" si="37">1.5/200</f>
        <v>0.0075</v>
      </c>
      <c r="D484" s="28">
        <f t="shared" si="37"/>
        <v>0.0075</v>
      </c>
      <c r="E484" s="28">
        <f t="shared" si="37"/>
        <v>0.0075</v>
      </c>
      <c r="F484" s="28">
        <f t="shared" si="37"/>
        <v>0.0075</v>
      </c>
      <c r="G484" s="28">
        <f t="shared" si="37"/>
        <v>0.0075</v>
      </c>
      <c r="H484" s="28">
        <f t="shared" si="37"/>
        <v>0.0075</v>
      </c>
      <c r="I484" s="28">
        <f t="shared" si="37"/>
        <v>0.0075</v>
      </c>
      <c r="J484" s="28">
        <f t="shared" si="37"/>
        <v>0.0075</v>
      </c>
      <c r="K484" s="28">
        <f t="shared" si="37"/>
        <v>0.0075</v>
      </c>
      <c r="L484" s="28">
        <f t="shared" si="37"/>
        <v>0.0075</v>
      </c>
      <c r="M484" s="28">
        <f t="shared" si="37"/>
        <v>0.0075</v>
      </c>
      <c r="N484" s="28">
        <f t="shared" si="37"/>
        <v>0.0075</v>
      </c>
      <c r="O484" s="28">
        <f t="shared" si="37"/>
        <v>0.0075</v>
      </c>
      <c r="P484" s="28">
        <f t="shared" si="37"/>
        <v>0.0075</v>
      </c>
      <c r="Q484" s="28">
        <f t="shared" si="37"/>
        <v>0.0075</v>
      </c>
      <c r="R484" s="28">
        <f t="shared" si="37"/>
        <v>0.0075</v>
      </c>
      <c r="S484" s="28">
        <f t="shared" si="37"/>
        <v>0.0075</v>
      </c>
      <c r="T484" s="28">
        <f t="shared" si="37"/>
        <v>0.0075</v>
      </c>
      <c r="U484" s="28">
        <f t="shared" si="37"/>
        <v>0.0075</v>
      </c>
      <c r="V484" s="28">
        <f t="shared" si="37"/>
        <v>0.0075</v>
      </c>
      <c r="W484" s="28">
        <f t="shared" si="37"/>
        <v>0.0075</v>
      </c>
    </row>
    <row r="485" ht="15.6" spans="1:23">
      <c r="A485" s="27" t="s">
        <v>100</v>
      </c>
      <c r="B485" t="s">
        <v>60</v>
      </c>
      <c r="C485" s="28">
        <f t="shared" ref="C485:W485" si="38">50/200</f>
        <v>0.25</v>
      </c>
      <c r="D485" s="28">
        <f t="shared" si="38"/>
        <v>0.25</v>
      </c>
      <c r="E485" s="28">
        <f t="shared" si="38"/>
        <v>0.25</v>
      </c>
      <c r="F485" s="28">
        <f t="shared" si="38"/>
        <v>0.25</v>
      </c>
      <c r="G485" s="28">
        <f t="shared" si="38"/>
        <v>0.25</v>
      </c>
      <c r="H485" s="28">
        <f t="shared" si="38"/>
        <v>0.25</v>
      </c>
      <c r="I485" s="28">
        <f t="shared" si="38"/>
        <v>0.25</v>
      </c>
      <c r="J485" s="28">
        <f t="shared" si="38"/>
        <v>0.25</v>
      </c>
      <c r="K485" s="28">
        <f t="shared" si="38"/>
        <v>0.25</v>
      </c>
      <c r="L485" s="28">
        <f t="shared" si="38"/>
        <v>0.25</v>
      </c>
      <c r="M485" s="28">
        <f t="shared" si="38"/>
        <v>0.25</v>
      </c>
      <c r="N485" s="28">
        <f t="shared" si="38"/>
        <v>0.25</v>
      </c>
      <c r="O485" s="28">
        <f t="shared" si="38"/>
        <v>0.25</v>
      </c>
      <c r="P485" s="28">
        <f t="shared" si="38"/>
        <v>0.25</v>
      </c>
      <c r="Q485" s="28">
        <f t="shared" si="38"/>
        <v>0.25</v>
      </c>
      <c r="R485" s="28">
        <f t="shared" si="38"/>
        <v>0.25</v>
      </c>
      <c r="S485" s="28">
        <f t="shared" si="38"/>
        <v>0.25</v>
      </c>
      <c r="T485" s="28">
        <f t="shared" si="38"/>
        <v>0.25</v>
      </c>
      <c r="U485" s="28">
        <f t="shared" si="38"/>
        <v>0.25</v>
      </c>
      <c r="V485" s="28">
        <f t="shared" si="38"/>
        <v>0.25</v>
      </c>
      <c r="W485" s="28">
        <f t="shared" si="38"/>
        <v>0.25</v>
      </c>
    </row>
    <row r="486" ht="15.6" spans="1:1">
      <c r="A486" s="5" t="s">
        <v>102</v>
      </c>
    </row>
    <row r="487" spans="1:23">
      <c r="A487" s="27" t="s">
        <v>96</v>
      </c>
      <c r="B487" t="s">
        <v>108</v>
      </c>
      <c r="C487" s="14"/>
      <c r="D487" s="14"/>
      <c r="E487" s="14"/>
      <c r="F487" s="14"/>
      <c r="G487" s="14"/>
      <c r="H487" s="14"/>
      <c r="I487" s="14"/>
      <c r="J487" s="14"/>
      <c r="K487" s="14"/>
      <c r="L487" s="14"/>
      <c r="M487" s="14"/>
      <c r="N487" s="14"/>
      <c r="O487" s="14"/>
      <c r="P487" s="14"/>
      <c r="Q487" s="14"/>
      <c r="R487" s="14"/>
      <c r="S487" s="14"/>
      <c r="T487" s="14"/>
      <c r="U487" s="14"/>
      <c r="V487" s="14"/>
      <c r="W487" s="14"/>
    </row>
    <row r="488" spans="1:23">
      <c r="A488" s="27" t="s">
        <v>98</v>
      </c>
      <c r="B488" t="s">
        <v>109</v>
      </c>
      <c r="C488" s="14"/>
      <c r="D488" s="14"/>
      <c r="E488" s="14"/>
      <c r="F488" s="14"/>
      <c r="G488" s="14"/>
      <c r="H488" s="14"/>
      <c r="I488" s="14"/>
      <c r="J488" s="14"/>
      <c r="K488" s="14"/>
      <c r="L488" s="14"/>
      <c r="M488" s="14"/>
      <c r="N488" s="14"/>
      <c r="O488" s="14"/>
      <c r="P488" s="14"/>
      <c r="Q488" s="14"/>
      <c r="R488" s="14"/>
      <c r="S488" s="14"/>
      <c r="T488" s="14"/>
      <c r="U488" s="14"/>
      <c r="V488" s="14"/>
      <c r="W488" s="14"/>
    </row>
    <row r="489" spans="1:23">
      <c r="A489" s="27" t="s">
        <v>100</v>
      </c>
      <c r="B489" t="s">
        <v>60</v>
      </c>
      <c r="C489" s="14"/>
      <c r="D489" s="14"/>
      <c r="E489" s="14"/>
      <c r="F489" s="14"/>
      <c r="G489" s="14"/>
      <c r="H489" s="14"/>
      <c r="I489" s="14"/>
      <c r="J489" s="14"/>
      <c r="K489" s="14"/>
      <c r="L489" s="14"/>
      <c r="M489" s="14"/>
      <c r="N489" s="14"/>
      <c r="O489" s="14"/>
      <c r="P489" s="14"/>
      <c r="Q489" s="14"/>
      <c r="R489" s="14"/>
      <c r="S489" s="14"/>
      <c r="T489" s="14"/>
      <c r="U489" s="14"/>
      <c r="V489" s="14"/>
      <c r="W489" s="14"/>
    </row>
    <row r="490" ht="15.6" spans="1:1">
      <c r="A490" s="5" t="s">
        <v>110</v>
      </c>
    </row>
    <row r="491" spans="1:23">
      <c r="A491" s="27" t="s">
        <v>96</v>
      </c>
      <c r="B491" t="s">
        <v>60</v>
      </c>
      <c r="C491" s="14"/>
      <c r="D491" s="14"/>
      <c r="E491" s="14"/>
      <c r="F491" s="14"/>
      <c r="G491" s="14"/>
      <c r="H491" s="14"/>
      <c r="I491" s="14"/>
      <c r="J491" s="14"/>
      <c r="K491" s="14"/>
      <c r="L491" s="14"/>
      <c r="M491" s="14"/>
      <c r="N491" s="14"/>
      <c r="O491" s="14"/>
      <c r="P491" s="14"/>
      <c r="Q491" s="14"/>
      <c r="R491" s="14"/>
      <c r="S491" s="14"/>
      <c r="T491" s="14"/>
      <c r="U491" s="14"/>
      <c r="V491" s="14"/>
      <c r="W491" s="14"/>
    </row>
    <row r="492" spans="1:23">
      <c r="A492" s="27" t="s">
        <v>98</v>
      </c>
      <c r="B492" t="s">
        <v>60</v>
      </c>
      <c r="C492" s="14"/>
      <c r="D492" s="14"/>
      <c r="E492" s="14"/>
      <c r="F492" s="14"/>
      <c r="G492" s="14"/>
      <c r="H492" s="14"/>
      <c r="I492" s="14"/>
      <c r="J492" s="14"/>
      <c r="K492" s="14"/>
      <c r="L492" s="14"/>
      <c r="M492" s="14"/>
      <c r="N492" s="14"/>
      <c r="O492" s="14"/>
      <c r="P492" s="14"/>
      <c r="Q492" s="14"/>
      <c r="R492" s="14"/>
      <c r="S492" s="14"/>
      <c r="T492" s="14"/>
      <c r="U492" s="14"/>
      <c r="V492" s="14"/>
      <c r="W492" s="14"/>
    </row>
    <row r="493" spans="1:23">
      <c r="A493" s="27" t="s">
        <v>100</v>
      </c>
      <c r="B493" t="s">
        <v>60</v>
      </c>
      <c r="C493" s="39"/>
      <c r="D493" s="39"/>
      <c r="E493" s="39"/>
      <c r="F493" s="39"/>
      <c r="G493" s="39"/>
      <c r="H493" s="39"/>
      <c r="I493" s="39"/>
      <c r="J493" s="39"/>
      <c r="K493" s="39"/>
      <c r="L493" s="39"/>
      <c r="M493" s="39"/>
      <c r="N493" s="39"/>
      <c r="O493" s="39"/>
      <c r="P493" s="39"/>
      <c r="Q493" s="39"/>
      <c r="R493" s="39"/>
      <c r="S493" s="39"/>
      <c r="T493" s="39"/>
      <c r="U493" s="39"/>
      <c r="V493" s="39"/>
      <c r="W493" s="39"/>
    </row>
    <row r="494" ht="15.6" spans="1:1">
      <c r="A494" s="5" t="s">
        <v>105</v>
      </c>
    </row>
    <row r="495" spans="1:23">
      <c r="A495" s="27" t="s">
        <v>96</v>
      </c>
      <c r="B495" t="s">
        <v>60</v>
      </c>
      <c r="C495" s="14"/>
      <c r="D495" s="14"/>
      <c r="E495" s="14"/>
      <c r="F495" s="14"/>
      <c r="G495" s="14"/>
      <c r="H495" s="14"/>
      <c r="I495" s="14"/>
      <c r="J495" s="14"/>
      <c r="K495" s="14"/>
      <c r="L495" s="14"/>
      <c r="M495" s="14"/>
      <c r="N495" s="14"/>
      <c r="O495" s="14"/>
      <c r="P495" s="14"/>
      <c r="Q495" s="14"/>
      <c r="R495" s="14"/>
      <c r="S495" s="14"/>
      <c r="T495" s="14"/>
      <c r="U495" s="14"/>
      <c r="V495" s="14"/>
      <c r="W495" s="14"/>
    </row>
    <row r="496" spans="1:23">
      <c r="A496" s="27" t="s">
        <v>98</v>
      </c>
      <c r="B496" t="s">
        <v>60</v>
      </c>
      <c r="C496" s="14"/>
      <c r="D496" s="14"/>
      <c r="E496" s="14"/>
      <c r="F496" s="14"/>
      <c r="G496" s="14"/>
      <c r="H496" s="14"/>
      <c r="I496" s="14"/>
      <c r="J496" s="14"/>
      <c r="K496" s="14"/>
      <c r="L496" s="14"/>
      <c r="M496" s="14"/>
      <c r="N496" s="14"/>
      <c r="O496" s="14"/>
      <c r="P496" s="14"/>
      <c r="Q496" s="14"/>
      <c r="R496" s="14"/>
      <c r="S496" s="14"/>
      <c r="T496" s="14"/>
      <c r="U496" s="14"/>
      <c r="V496" s="14"/>
      <c r="W496" s="14"/>
    </row>
    <row r="497" spans="1:23">
      <c r="A497" s="27" t="s">
        <v>100</v>
      </c>
      <c r="B497" t="s">
        <v>60</v>
      </c>
      <c r="C497" s="14"/>
      <c r="D497" s="14"/>
      <c r="E497" s="14"/>
      <c r="F497" s="14"/>
      <c r="G497" s="14"/>
      <c r="H497" s="14"/>
      <c r="I497" s="14"/>
      <c r="J497" s="14"/>
      <c r="K497" s="14"/>
      <c r="L497" s="14"/>
      <c r="M497" s="14"/>
      <c r="N497" s="14"/>
      <c r="O497" s="14"/>
      <c r="P497" s="14"/>
      <c r="Q497" s="14"/>
      <c r="R497" s="14"/>
      <c r="S497" s="14"/>
      <c r="T497" s="14"/>
      <c r="U497" s="14"/>
      <c r="V497" s="14"/>
      <c r="W497" s="14"/>
    </row>
    <row r="498" spans="1:23">
      <c r="A498" s="31" t="s">
        <v>107</v>
      </c>
      <c r="B498" s="32" t="s">
        <v>60</v>
      </c>
      <c r="C498" s="33"/>
      <c r="D498" s="33"/>
      <c r="E498" s="33"/>
      <c r="F498" s="33"/>
      <c r="G498" s="33"/>
      <c r="H498" s="33"/>
      <c r="I498" s="33"/>
      <c r="J498" s="33"/>
      <c r="K498" s="33"/>
      <c r="L498" s="33"/>
      <c r="M498" s="33"/>
      <c r="N498" s="33"/>
      <c r="O498" s="33"/>
      <c r="P498" s="33"/>
      <c r="Q498" s="33"/>
      <c r="R498" s="33"/>
      <c r="S498" s="33"/>
      <c r="T498" s="33"/>
      <c r="U498" s="33"/>
      <c r="V498" s="33"/>
      <c r="W498" s="33"/>
    </row>
    <row r="499" ht="15.6" spans="1:23">
      <c r="A499" s="25" t="s">
        <v>94</v>
      </c>
      <c r="C499" s="12"/>
      <c r="D499" s="12"/>
      <c r="E499" s="12"/>
      <c r="F499" s="12"/>
      <c r="G499" s="12"/>
      <c r="H499" s="12"/>
      <c r="I499" s="12"/>
      <c r="J499" s="12"/>
      <c r="K499" s="12"/>
      <c r="L499" s="12"/>
      <c r="M499" s="12"/>
      <c r="N499" s="12"/>
      <c r="O499" s="12"/>
      <c r="P499" s="12"/>
      <c r="Q499" s="12"/>
      <c r="R499" s="12"/>
      <c r="S499" s="12"/>
      <c r="T499" s="12"/>
      <c r="U499" s="12"/>
      <c r="V499" s="12"/>
      <c r="W499" s="12"/>
    </row>
    <row r="500" ht="15.6" spans="1:23">
      <c r="A500" s="25" t="s">
        <v>113</v>
      </c>
      <c r="B500" t="s">
        <v>114</v>
      </c>
      <c r="C500" s="40">
        <v>85</v>
      </c>
      <c r="D500" s="40">
        <v>100</v>
      </c>
      <c r="E500" s="40">
        <v>100</v>
      </c>
      <c r="F500" s="40">
        <v>100</v>
      </c>
      <c r="G500" s="40">
        <v>100</v>
      </c>
      <c r="H500" s="40">
        <v>40</v>
      </c>
      <c r="I500" s="40">
        <v>85</v>
      </c>
      <c r="J500" s="40">
        <v>35</v>
      </c>
      <c r="K500" s="40">
        <v>85</v>
      </c>
      <c r="L500" s="40">
        <v>85</v>
      </c>
      <c r="M500" s="40">
        <v>85</v>
      </c>
      <c r="N500" s="40">
        <v>85</v>
      </c>
      <c r="O500" s="40">
        <v>85</v>
      </c>
      <c r="P500" s="40">
        <v>85</v>
      </c>
      <c r="Q500" s="40">
        <v>85</v>
      </c>
      <c r="R500" s="40">
        <v>90</v>
      </c>
      <c r="S500" s="40">
        <v>100</v>
      </c>
      <c r="T500" s="40">
        <v>85</v>
      </c>
      <c r="U500" s="40">
        <v>85</v>
      </c>
      <c r="V500" s="40">
        <v>85</v>
      </c>
      <c r="W500" s="40">
        <v>85</v>
      </c>
    </row>
    <row r="501" ht="15.6" spans="1:23">
      <c r="A501" s="25" t="s">
        <v>115</v>
      </c>
      <c r="B501" t="s">
        <v>116</v>
      </c>
      <c r="C501" s="41">
        <v>5</v>
      </c>
      <c r="D501" s="41">
        <v>5</v>
      </c>
      <c r="E501" s="41">
        <v>5</v>
      </c>
      <c r="F501" s="41">
        <v>5</v>
      </c>
      <c r="G501" s="41">
        <v>5</v>
      </c>
      <c r="H501" s="41">
        <v>5</v>
      </c>
      <c r="I501" s="41">
        <v>5</v>
      </c>
      <c r="J501" s="41">
        <v>1</v>
      </c>
      <c r="K501" s="41">
        <v>5</v>
      </c>
      <c r="L501" s="41">
        <v>5</v>
      </c>
      <c r="M501" s="41">
        <v>5</v>
      </c>
      <c r="N501" s="41">
        <v>5</v>
      </c>
      <c r="O501" s="41">
        <v>5</v>
      </c>
      <c r="P501" s="41">
        <v>5</v>
      </c>
      <c r="Q501" s="41">
        <v>5</v>
      </c>
      <c r="R501" s="41">
        <v>5</v>
      </c>
      <c r="S501" s="41">
        <v>5</v>
      </c>
      <c r="T501" s="41">
        <v>5</v>
      </c>
      <c r="U501" s="41">
        <v>5</v>
      </c>
      <c r="V501" s="41">
        <v>5</v>
      </c>
      <c r="W501" s="41">
        <v>5</v>
      </c>
    </row>
    <row r="502" ht="15.6" spans="1:1">
      <c r="A502" s="5" t="s">
        <v>95</v>
      </c>
    </row>
    <row r="503" ht="15.6" spans="1:23">
      <c r="A503" s="27" t="s">
        <v>117</v>
      </c>
      <c r="B503" t="s">
        <v>118</v>
      </c>
      <c r="C503" s="42">
        <v>45</v>
      </c>
      <c r="D503" s="42">
        <v>45</v>
      </c>
      <c r="E503" s="42">
        <v>45</v>
      </c>
      <c r="F503" s="42">
        <v>45</v>
      </c>
      <c r="G503" s="42">
        <v>45</v>
      </c>
      <c r="H503" s="42">
        <v>45</v>
      </c>
      <c r="I503" s="42">
        <v>45</v>
      </c>
      <c r="J503" s="42">
        <v>45</v>
      </c>
      <c r="K503" s="42">
        <v>45</v>
      </c>
      <c r="L503" s="42">
        <v>45</v>
      </c>
      <c r="M503" s="42">
        <v>45</v>
      </c>
      <c r="N503" s="42">
        <v>45</v>
      </c>
      <c r="O503" s="42">
        <v>45</v>
      </c>
      <c r="P503" s="42">
        <v>45</v>
      </c>
      <c r="Q503" s="42">
        <v>45</v>
      </c>
      <c r="R503" s="42">
        <v>45</v>
      </c>
      <c r="S503" s="42">
        <v>45</v>
      </c>
      <c r="T503" s="42">
        <v>45</v>
      </c>
      <c r="U503" s="42">
        <v>45</v>
      </c>
      <c r="V503" s="42">
        <v>45</v>
      </c>
      <c r="W503" s="42">
        <v>45</v>
      </c>
    </row>
    <row r="504" ht="15.6" spans="1:23">
      <c r="A504" s="27" t="s">
        <v>96</v>
      </c>
      <c r="B504" t="s">
        <v>119</v>
      </c>
      <c r="C504" s="43">
        <v>0.01</v>
      </c>
      <c r="D504" s="43">
        <v>0.01</v>
      </c>
      <c r="E504" s="43">
        <v>0.01</v>
      </c>
      <c r="F504" s="43">
        <v>0.01</v>
      </c>
      <c r="G504" s="43">
        <v>0.01</v>
      </c>
      <c r="H504" s="43">
        <v>0.01</v>
      </c>
      <c r="I504" s="43">
        <v>0.01</v>
      </c>
      <c r="J504" s="43">
        <v>0.01</v>
      </c>
      <c r="K504" s="43">
        <v>0.01</v>
      </c>
      <c r="L504" s="43">
        <v>0.01</v>
      </c>
      <c r="M504" s="43">
        <v>0.01</v>
      </c>
      <c r="N504" s="43">
        <v>0.01</v>
      </c>
      <c r="O504" s="43">
        <v>0.01</v>
      </c>
      <c r="P504" s="43">
        <v>0.01</v>
      </c>
      <c r="Q504" s="43">
        <v>0.01</v>
      </c>
      <c r="R504" s="43">
        <v>0.01</v>
      </c>
      <c r="S504" s="43">
        <v>0.01</v>
      </c>
      <c r="T504" s="43">
        <v>0.01</v>
      </c>
      <c r="U504" s="43">
        <v>0.01</v>
      </c>
      <c r="V504" s="43">
        <v>0.01</v>
      </c>
      <c r="W504" s="43">
        <v>0.01</v>
      </c>
    </row>
    <row r="505" ht="15.6" spans="1:23">
      <c r="A505" s="27" t="s">
        <v>98</v>
      </c>
      <c r="B505" t="s">
        <v>120</v>
      </c>
      <c r="C505" s="43">
        <f t="shared" ref="C505:W505" si="39">1.5*2.7556/2</f>
        <v>2.0667</v>
      </c>
      <c r="D505" s="43">
        <f t="shared" si="39"/>
        <v>2.0667</v>
      </c>
      <c r="E505" s="43">
        <f t="shared" si="39"/>
        <v>2.0667</v>
      </c>
      <c r="F505" s="43">
        <f t="shared" si="39"/>
        <v>2.0667</v>
      </c>
      <c r="G505" s="43">
        <f t="shared" si="39"/>
        <v>2.0667</v>
      </c>
      <c r="H505" s="43">
        <f t="shared" si="39"/>
        <v>2.0667</v>
      </c>
      <c r="I505" s="43">
        <f t="shared" si="39"/>
        <v>2.0667</v>
      </c>
      <c r="J505" s="43">
        <f t="shared" si="39"/>
        <v>2.0667</v>
      </c>
      <c r="K505" s="43">
        <f t="shared" si="39"/>
        <v>2.0667</v>
      </c>
      <c r="L505" s="43">
        <f t="shared" si="39"/>
        <v>2.0667</v>
      </c>
      <c r="M505" s="43">
        <f t="shared" si="39"/>
        <v>2.0667</v>
      </c>
      <c r="N505" s="43">
        <f t="shared" si="39"/>
        <v>2.0667</v>
      </c>
      <c r="O505" s="43">
        <f t="shared" si="39"/>
        <v>2.0667</v>
      </c>
      <c r="P505" s="43">
        <f t="shared" si="39"/>
        <v>2.0667</v>
      </c>
      <c r="Q505" s="43">
        <f t="shared" si="39"/>
        <v>2.0667</v>
      </c>
      <c r="R505" s="43">
        <f t="shared" si="39"/>
        <v>2.0667</v>
      </c>
      <c r="S505" s="43">
        <f t="shared" si="39"/>
        <v>2.0667</v>
      </c>
      <c r="T505" s="43">
        <f t="shared" si="39"/>
        <v>2.0667</v>
      </c>
      <c r="U505" s="43">
        <f t="shared" si="39"/>
        <v>2.0667</v>
      </c>
      <c r="V505" s="43">
        <f t="shared" si="39"/>
        <v>2.0667</v>
      </c>
      <c r="W505" s="43">
        <f t="shared" si="39"/>
        <v>2.0667</v>
      </c>
    </row>
    <row r="506" ht="15.6" spans="1:23">
      <c r="A506" s="27" t="s">
        <v>100</v>
      </c>
      <c r="B506" t="s">
        <v>121</v>
      </c>
      <c r="C506" s="28">
        <v>0.5</v>
      </c>
      <c r="D506" s="28">
        <v>0.5</v>
      </c>
      <c r="E506" s="28">
        <v>0.5</v>
      </c>
      <c r="F506" s="28">
        <v>0.5</v>
      </c>
      <c r="G506" s="28">
        <v>0.5</v>
      </c>
      <c r="H506" s="28">
        <v>0.5</v>
      </c>
      <c r="I506" s="28">
        <v>0.5</v>
      </c>
      <c r="J506" s="28">
        <v>0.5</v>
      </c>
      <c r="K506" s="28">
        <v>0.5</v>
      </c>
      <c r="L506" s="28">
        <v>0.5</v>
      </c>
      <c r="M506" s="28">
        <v>0.5</v>
      </c>
      <c r="N506" s="28">
        <v>0.5</v>
      </c>
      <c r="O506" s="28">
        <v>0.5</v>
      </c>
      <c r="P506" s="28">
        <v>0.5</v>
      </c>
      <c r="Q506" s="28">
        <v>0.5</v>
      </c>
      <c r="R506" s="28">
        <v>0.5</v>
      </c>
      <c r="S506" s="28">
        <v>0.5</v>
      </c>
      <c r="T506" s="28">
        <v>0.5</v>
      </c>
      <c r="U506" s="28">
        <v>0.5</v>
      </c>
      <c r="V506" s="28">
        <v>0.5</v>
      </c>
      <c r="W506" s="28">
        <v>0.5</v>
      </c>
    </row>
    <row r="507" ht="15.6" spans="1:23">
      <c r="A507" s="27" t="s">
        <v>122</v>
      </c>
      <c r="B507" t="s">
        <v>45</v>
      </c>
      <c r="C507" s="44"/>
      <c r="D507" s="44"/>
      <c r="E507" s="44"/>
      <c r="F507" s="44"/>
      <c r="G507" s="44"/>
      <c r="H507" s="44"/>
      <c r="I507" s="44"/>
      <c r="J507" s="44"/>
      <c r="K507" s="44"/>
      <c r="L507" s="44"/>
      <c r="M507" s="44"/>
      <c r="N507" s="44"/>
      <c r="O507" s="44"/>
      <c r="P507" s="44"/>
      <c r="Q507" s="44"/>
      <c r="R507" s="44"/>
      <c r="S507" s="44"/>
      <c r="T507" s="44"/>
      <c r="U507" s="44"/>
      <c r="V507" s="44"/>
      <c r="W507" s="44"/>
    </row>
    <row r="508" ht="15.6" spans="1:23">
      <c r="A508" s="27" t="s">
        <v>123</v>
      </c>
      <c r="B508" s="9" t="s">
        <v>51</v>
      </c>
      <c r="C508" s="44"/>
      <c r="D508" s="44"/>
      <c r="E508" s="44"/>
      <c r="F508" s="44"/>
      <c r="G508" s="44"/>
      <c r="H508" s="44"/>
      <c r="I508" s="44"/>
      <c r="J508" s="44"/>
      <c r="K508" s="44"/>
      <c r="L508" s="44"/>
      <c r="M508" s="44"/>
      <c r="N508" s="44"/>
      <c r="O508" s="44"/>
      <c r="P508" s="44"/>
      <c r="Q508" s="44"/>
      <c r="R508" s="44"/>
      <c r="S508" s="44"/>
      <c r="T508" s="44"/>
      <c r="U508" s="44"/>
      <c r="V508" s="44"/>
      <c r="W508" s="44"/>
    </row>
    <row r="509" ht="15.6" spans="1:23">
      <c r="A509" s="27" t="s">
        <v>124</v>
      </c>
      <c r="B509" s="9" t="s">
        <v>51</v>
      </c>
      <c r="C509" s="44"/>
      <c r="D509" s="44"/>
      <c r="E509" s="44"/>
      <c r="F509" s="44"/>
      <c r="G509" s="44"/>
      <c r="H509" s="44"/>
      <c r="I509" s="44"/>
      <c r="J509" s="44"/>
      <c r="K509" s="44"/>
      <c r="L509" s="44"/>
      <c r="M509" s="44"/>
      <c r="N509" s="44"/>
      <c r="O509" s="44"/>
      <c r="P509" s="44"/>
      <c r="Q509" s="44"/>
      <c r="R509" s="44"/>
      <c r="S509" s="44"/>
      <c r="T509" s="44"/>
      <c r="U509" s="44"/>
      <c r="V509" s="44"/>
      <c r="W509" s="44"/>
    </row>
    <row r="510" ht="15.6" spans="1:1">
      <c r="A510" s="5" t="s">
        <v>102</v>
      </c>
    </row>
    <row r="511" spans="1:23">
      <c r="A511" s="27" t="s">
        <v>96</v>
      </c>
      <c r="B511" t="s">
        <v>119</v>
      </c>
      <c r="C511" s="45"/>
      <c r="D511" s="45"/>
      <c r="E511" s="45"/>
      <c r="F511" s="45"/>
      <c r="G511" s="45"/>
      <c r="H511" s="45"/>
      <c r="I511" s="45"/>
      <c r="J511" s="45"/>
      <c r="K511" s="45"/>
      <c r="L511" s="45"/>
      <c r="M511" s="45"/>
      <c r="N511" s="45"/>
      <c r="O511" s="45"/>
      <c r="P511" s="45"/>
      <c r="Q511" s="45"/>
      <c r="R511" s="45"/>
      <c r="S511" s="45"/>
      <c r="T511" s="45"/>
      <c r="U511" s="45"/>
      <c r="V511" s="45"/>
      <c r="W511" s="45"/>
    </row>
    <row r="512" spans="1:23">
      <c r="A512" s="27" t="s">
        <v>98</v>
      </c>
      <c r="B512" t="s">
        <v>120</v>
      </c>
      <c r="C512" s="45"/>
      <c r="D512" s="45"/>
      <c r="E512" s="45"/>
      <c r="F512" s="45"/>
      <c r="G512" s="45"/>
      <c r="H512" s="45"/>
      <c r="I512" s="45"/>
      <c r="J512" s="45"/>
      <c r="K512" s="45"/>
      <c r="L512" s="45"/>
      <c r="M512" s="45"/>
      <c r="N512" s="45"/>
      <c r="O512" s="45"/>
      <c r="P512" s="45"/>
      <c r="Q512" s="45"/>
      <c r="R512" s="45"/>
      <c r="S512" s="45"/>
      <c r="T512" s="45"/>
      <c r="U512" s="45"/>
      <c r="V512" s="45"/>
      <c r="W512" s="45"/>
    </row>
    <row r="513" spans="1:23">
      <c r="A513" s="27" t="s">
        <v>100</v>
      </c>
      <c r="B513" t="s">
        <v>121</v>
      </c>
      <c r="C513" s="45"/>
      <c r="D513" s="45"/>
      <c r="E513" s="45"/>
      <c r="F513" s="45"/>
      <c r="G513" s="45"/>
      <c r="H513" s="45"/>
      <c r="I513" s="45"/>
      <c r="J513" s="45"/>
      <c r="K513" s="45"/>
      <c r="L513" s="45"/>
      <c r="M513" s="45"/>
      <c r="N513" s="45"/>
      <c r="O513" s="45"/>
      <c r="P513" s="45"/>
      <c r="Q513" s="45"/>
      <c r="R513" s="45"/>
      <c r="S513" s="45"/>
      <c r="T513" s="45"/>
      <c r="U513" s="45"/>
      <c r="V513" s="45"/>
      <c r="W513" s="45"/>
    </row>
    <row r="514" ht="15.6" spans="1:1">
      <c r="A514" s="5" t="s">
        <v>125</v>
      </c>
    </row>
    <row r="515" spans="1:23">
      <c r="A515" s="27" t="s">
        <v>96</v>
      </c>
      <c r="B515" t="s">
        <v>119</v>
      </c>
      <c r="C515" s="45"/>
      <c r="D515" s="45"/>
      <c r="E515" s="45"/>
      <c r="F515" s="45"/>
      <c r="G515" s="45"/>
      <c r="H515" s="45"/>
      <c r="I515" s="45"/>
      <c r="J515" s="45"/>
      <c r="K515" s="45"/>
      <c r="L515" s="45"/>
      <c r="M515" s="45"/>
      <c r="N515" s="45"/>
      <c r="O515" s="45"/>
      <c r="P515" s="45"/>
      <c r="Q515" s="45"/>
      <c r="R515" s="45"/>
      <c r="S515" s="45"/>
      <c r="T515" s="45"/>
      <c r="U515" s="45"/>
      <c r="V515" s="45"/>
      <c r="W515" s="45"/>
    </row>
    <row r="516" spans="1:23">
      <c r="A516" s="27" t="s">
        <v>98</v>
      </c>
      <c r="B516" t="s">
        <v>126</v>
      </c>
      <c r="C516" s="45"/>
      <c r="D516" s="45"/>
      <c r="E516" s="45"/>
      <c r="F516" s="45"/>
      <c r="G516" s="45"/>
      <c r="H516" s="45"/>
      <c r="I516" s="45"/>
      <c r="J516" s="45"/>
      <c r="K516" s="45"/>
      <c r="L516" s="45"/>
      <c r="M516" s="45"/>
      <c r="N516" s="45"/>
      <c r="O516" s="45"/>
      <c r="P516" s="45"/>
      <c r="Q516" s="45"/>
      <c r="R516" s="45"/>
      <c r="S516" s="45"/>
      <c r="T516" s="45"/>
      <c r="U516" s="45"/>
      <c r="V516" s="45"/>
      <c r="W516" s="45"/>
    </row>
    <row r="517" spans="1:23">
      <c r="A517" s="27" t="s">
        <v>100</v>
      </c>
      <c r="B517" t="s">
        <v>121</v>
      </c>
      <c r="C517" s="45"/>
      <c r="D517" s="45"/>
      <c r="E517" s="45"/>
      <c r="F517" s="45"/>
      <c r="G517" s="45"/>
      <c r="H517" s="45"/>
      <c r="I517" s="45"/>
      <c r="J517" s="45"/>
      <c r="K517" s="45"/>
      <c r="L517" s="45"/>
      <c r="M517" s="45"/>
      <c r="N517" s="45"/>
      <c r="O517" s="45"/>
      <c r="P517" s="45"/>
      <c r="Q517" s="45"/>
      <c r="R517" s="45"/>
      <c r="S517" s="45"/>
      <c r="T517" s="45"/>
      <c r="U517" s="45"/>
      <c r="V517" s="45"/>
      <c r="W517" s="45"/>
    </row>
    <row r="518" ht="15.6" spans="1:1">
      <c r="A518" s="5" t="s">
        <v>127</v>
      </c>
    </row>
    <row r="519" spans="1:23">
      <c r="A519" s="27" t="s">
        <v>96</v>
      </c>
      <c r="B519" t="s">
        <v>60</v>
      </c>
      <c r="C519" s="45"/>
      <c r="D519" s="45"/>
      <c r="E519" s="45"/>
      <c r="F519" s="45"/>
      <c r="G519" s="45"/>
      <c r="H519" s="45"/>
      <c r="I519" s="45"/>
      <c r="J519" s="45"/>
      <c r="K519" s="45"/>
      <c r="L519" s="45"/>
      <c r="M519" s="45"/>
      <c r="N519" s="45"/>
      <c r="O519" s="45"/>
      <c r="P519" s="45"/>
      <c r="Q519" s="45"/>
      <c r="R519" s="45"/>
      <c r="S519" s="45"/>
      <c r="T519" s="45"/>
      <c r="U519" s="45"/>
      <c r="V519" s="45"/>
      <c r="W519" s="45"/>
    </row>
    <row r="520" spans="1:23">
      <c r="A520" s="27" t="s">
        <v>98</v>
      </c>
      <c r="B520" t="s">
        <v>60</v>
      </c>
      <c r="C520" s="45"/>
      <c r="D520" s="45"/>
      <c r="E520" s="45"/>
      <c r="F520" s="45"/>
      <c r="G520" s="45"/>
      <c r="H520" s="45"/>
      <c r="I520" s="45"/>
      <c r="J520" s="45"/>
      <c r="K520" s="45"/>
      <c r="L520" s="45"/>
      <c r="M520" s="45"/>
      <c r="N520" s="45"/>
      <c r="O520" s="45"/>
      <c r="P520" s="45"/>
      <c r="Q520" s="45"/>
      <c r="R520" s="45"/>
      <c r="S520" s="45"/>
      <c r="T520" s="45"/>
      <c r="U520" s="45"/>
      <c r="V520" s="45"/>
      <c r="W520" s="45"/>
    </row>
    <row r="521" spans="1:23">
      <c r="A521" s="27" t="s">
        <v>100</v>
      </c>
      <c r="B521" t="s">
        <v>60</v>
      </c>
      <c r="C521" s="46"/>
      <c r="D521" s="46"/>
      <c r="E521" s="46"/>
      <c r="F521" s="46"/>
      <c r="G521" s="46"/>
      <c r="H521" s="46"/>
      <c r="I521" s="46"/>
      <c r="J521" s="46"/>
      <c r="K521" s="46"/>
      <c r="L521" s="46"/>
      <c r="M521" s="46"/>
      <c r="N521" s="46"/>
      <c r="O521" s="46"/>
      <c r="P521" s="46"/>
      <c r="Q521" s="46"/>
      <c r="R521" s="46"/>
      <c r="S521" s="46"/>
      <c r="T521" s="46"/>
      <c r="U521" s="46"/>
      <c r="V521" s="46"/>
      <c r="W521" s="46"/>
    </row>
    <row r="522" ht="15.6" spans="1:1">
      <c r="A522" s="5" t="s">
        <v>105</v>
      </c>
    </row>
    <row r="523" spans="1:23">
      <c r="A523" s="27" t="s">
        <v>96</v>
      </c>
      <c r="B523" t="s">
        <v>60</v>
      </c>
      <c r="C523" s="14"/>
      <c r="D523" s="14"/>
      <c r="E523" s="14"/>
      <c r="F523" s="14"/>
      <c r="G523" s="14"/>
      <c r="H523" s="14"/>
      <c r="I523" s="14"/>
      <c r="J523" s="14"/>
      <c r="K523" s="14"/>
      <c r="L523" s="14"/>
      <c r="M523" s="14"/>
      <c r="N523" s="14"/>
      <c r="O523" s="14"/>
      <c r="P523" s="14"/>
      <c r="Q523" s="14"/>
      <c r="R523" s="14"/>
      <c r="S523" s="14"/>
      <c r="T523" s="14"/>
      <c r="U523" s="14"/>
      <c r="V523" s="14"/>
      <c r="W523" s="14"/>
    </row>
    <row r="524" spans="1:23">
      <c r="A524" s="27" t="s">
        <v>98</v>
      </c>
      <c r="B524" t="s">
        <v>60</v>
      </c>
      <c r="C524" s="14"/>
      <c r="D524" s="14"/>
      <c r="E524" s="14"/>
      <c r="F524" s="14"/>
      <c r="G524" s="14"/>
      <c r="H524" s="14"/>
      <c r="I524" s="14"/>
      <c r="J524" s="14"/>
      <c r="K524" s="14"/>
      <c r="L524" s="14"/>
      <c r="M524" s="14"/>
      <c r="N524" s="14"/>
      <c r="O524" s="14"/>
      <c r="P524" s="14"/>
      <c r="Q524" s="14"/>
      <c r="R524" s="14"/>
      <c r="S524" s="14"/>
      <c r="T524" s="14"/>
      <c r="U524" s="14"/>
      <c r="V524" s="14"/>
      <c r="W524" s="14"/>
    </row>
    <row r="525" spans="1:23">
      <c r="A525" s="27" t="s">
        <v>100</v>
      </c>
      <c r="B525" t="s">
        <v>60</v>
      </c>
      <c r="C525" s="14"/>
      <c r="D525" s="14"/>
      <c r="E525" s="14"/>
      <c r="F525" s="14"/>
      <c r="G525" s="14"/>
      <c r="H525" s="14"/>
      <c r="I525" s="14"/>
      <c r="J525" s="14"/>
      <c r="K525" s="14"/>
      <c r="L525" s="14"/>
      <c r="M525" s="14"/>
      <c r="N525" s="14"/>
      <c r="O525" s="14"/>
      <c r="P525" s="14"/>
      <c r="Q525" s="14"/>
      <c r="R525" s="14"/>
      <c r="S525" s="14"/>
      <c r="T525" s="14"/>
      <c r="U525" s="14"/>
      <c r="V525" s="14"/>
      <c r="W525" s="14"/>
    </row>
    <row r="526" spans="1:23">
      <c r="A526" s="31" t="s">
        <v>107</v>
      </c>
      <c r="B526" s="32" t="s">
        <v>60</v>
      </c>
      <c r="C526" s="33"/>
      <c r="D526" s="33"/>
      <c r="E526" s="33"/>
      <c r="F526" s="33"/>
      <c r="G526" s="33"/>
      <c r="H526" s="33"/>
      <c r="I526" s="33"/>
      <c r="J526" s="33"/>
      <c r="K526" s="33"/>
      <c r="L526" s="33"/>
      <c r="M526" s="33"/>
      <c r="N526" s="33"/>
      <c r="O526" s="33"/>
      <c r="P526" s="33"/>
      <c r="Q526" s="33"/>
      <c r="R526" s="33"/>
      <c r="S526" s="33"/>
      <c r="T526" s="33"/>
      <c r="U526" s="33"/>
      <c r="V526" s="33"/>
      <c r="W526" s="33"/>
    </row>
    <row r="527" ht="15.6" spans="1:1">
      <c r="A527" s="5" t="s">
        <v>105</v>
      </c>
    </row>
    <row r="528" spans="1:23">
      <c r="A528" s="27" t="s">
        <v>96</v>
      </c>
      <c r="B528" t="s">
        <v>60</v>
      </c>
      <c r="C528" s="50"/>
      <c r="D528" s="50"/>
      <c r="E528" s="50"/>
      <c r="F528" s="50"/>
      <c r="G528" s="50"/>
      <c r="H528" s="50"/>
      <c r="I528" s="50"/>
      <c r="J528" s="50"/>
      <c r="K528" s="50"/>
      <c r="L528" s="50"/>
      <c r="M528" s="50"/>
      <c r="N528" s="50"/>
      <c r="O528" s="50"/>
      <c r="P528" s="50"/>
      <c r="Q528" s="50"/>
      <c r="R528" s="50"/>
      <c r="S528" s="50"/>
      <c r="T528" s="50"/>
      <c r="U528" s="50"/>
      <c r="V528" s="50"/>
      <c r="W528" s="50"/>
    </row>
    <row r="529" spans="1:23">
      <c r="A529" s="27" t="s">
        <v>98</v>
      </c>
      <c r="B529" t="s">
        <v>60</v>
      </c>
      <c r="C529" s="50"/>
      <c r="D529" s="50"/>
      <c r="E529" s="50"/>
      <c r="F529" s="50"/>
      <c r="G529" s="50"/>
      <c r="H529" s="50"/>
      <c r="I529" s="50"/>
      <c r="J529" s="50"/>
      <c r="K529" s="50"/>
      <c r="L529" s="50"/>
      <c r="M529" s="50"/>
      <c r="N529" s="50"/>
      <c r="O529" s="50"/>
      <c r="P529" s="50"/>
      <c r="Q529" s="50"/>
      <c r="R529" s="50"/>
      <c r="S529" s="50"/>
      <c r="T529" s="50"/>
      <c r="U529" s="50"/>
      <c r="V529" s="50"/>
      <c r="W529" s="50"/>
    </row>
    <row r="530" spans="1:23">
      <c r="A530" s="27" t="s">
        <v>100</v>
      </c>
      <c r="B530" t="s">
        <v>60</v>
      </c>
      <c r="C530" s="50"/>
      <c r="D530" s="50"/>
      <c r="E530" s="50"/>
      <c r="F530" s="50"/>
      <c r="G530" s="50"/>
      <c r="H530" s="50"/>
      <c r="I530" s="50"/>
      <c r="J530" s="50"/>
      <c r="K530" s="50"/>
      <c r="L530" s="50"/>
      <c r="M530" s="50"/>
      <c r="N530" s="50"/>
      <c r="O530" s="50"/>
      <c r="P530" s="50"/>
      <c r="Q530" s="50"/>
      <c r="R530" s="50"/>
      <c r="S530" s="50"/>
      <c r="T530" s="50"/>
      <c r="U530" s="50"/>
      <c r="V530" s="50"/>
      <c r="W530" s="50"/>
    </row>
    <row r="531" spans="1:23">
      <c r="A531" s="27" t="s">
        <v>106</v>
      </c>
      <c r="B531" t="s">
        <v>60</v>
      </c>
      <c r="C531" s="50"/>
      <c r="D531" s="50"/>
      <c r="E531" s="50"/>
      <c r="F531" s="50"/>
      <c r="G531" s="50"/>
      <c r="H531" s="50"/>
      <c r="I531" s="50"/>
      <c r="J531" s="50"/>
      <c r="K531" s="50"/>
      <c r="L531" s="50"/>
      <c r="M531" s="50"/>
      <c r="N531" s="50"/>
      <c r="O531" s="50"/>
      <c r="P531" s="50"/>
      <c r="Q531" s="50"/>
      <c r="R531" s="50"/>
      <c r="S531" s="50"/>
      <c r="T531" s="50"/>
      <c r="U531" s="50"/>
      <c r="V531" s="50"/>
      <c r="W531" s="50"/>
    </row>
    <row r="532" spans="1:23">
      <c r="A532" s="31" t="s">
        <v>107</v>
      </c>
      <c r="B532" s="32" t="s">
        <v>60</v>
      </c>
      <c r="C532" s="33"/>
      <c r="D532" s="33"/>
      <c r="E532" s="33"/>
      <c r="F532" s="33"/>
      <c r="G532" s="33"/>
      <c r="H532" s="33"/>
      <c r="I532" s="33"/>
      <c r="J532" s="33"/>
      <c r="K532" s="33"/>
      <c r="L532" s="33"/>
      <c r="M532" s="33"/>
      <c r="N532" s="33"/>
      <c r="O532" s="33"/>
      <c r="P532" s="33"/>
      <c r="Q532" s="33"/>
      <c r="R532" s="33"/>
      <c r="S532" s="33"/>
      <c r="T532" s="33"/>
      <c r="U532" s="33"/>
      <c r="V532" s="33"/>
      <c r="W532" s="33"/>
    </row>
    <row r="533" ht="15.6" spans="1:1">
      <c r="A533" s="5" t="s">
        <v>105</v>
      </c>
    </row>
    <row r="534" spans="1:23">
      <c r="A534" s="27" t="s">
        <v>96</v>
      </c>
      <c r="B534" t="s">
        <v>60</v>
      </c>
      <c r="C534" s="14"/>
      <c r="D534" s="14"/>
      <c r="E534" s="14"/>
      <c r="F534" s="14"/>
      <c r="G534" s="14"/>
      <c r="H534" s="14"/>
      <c r="I534" s="14"/>
      <c r="J534" s="14"/>
      <c r="K534" s="14"/>
      <c r="L534" s="14"/>
      <c r="M534" s="14"/>
      <c r="N534" s="14"/>
      <c r="O534" s="14"/>
      <c r="P534" s="14"/>
      <c r="Q534" s="14"/>
      <c r="R534" s="14"/>
      <c r="S534" s="14"/>
      <c r="T534" s="14"/>
      <c r="U534" s="14"/>
      <c r="V534" s="14"/>
      <c r="W534" s="14"/>
    </row>
    <row r="535" spans="1:23">
      <c r="A535" s="27" t="s">
        <v>98</v>
      </c>
      <c r="B535" t="s">
        <v>60</v>
      </c>
      <c r="C535" s="14"/>
      <c r="D535" s="14"/>
      <c r="E535" s="14"/>
      <c r="F535" s="14"/>
      <c r="G535" s="14"/>
      <c r="H535" s="14"/>
      <c r="I535" s="14"/>
      <c r="J535" s="14"/>
      <c r="K535" s="14"/>
      <c r="L535" s="14"/>
      <c r="M535" s="14"/>
      <c r="N535" s="14"/>
      <c r="O535" s="14"/>
      <c r="P535" s="14"/>
      <c r="Q535" s="14"/>
      <c r="R535" s="14"/>
      <c r="S535" s="14"/>
      <c r="T535" s="14"/>
      <c r="U535" s="14"/>
      <c r="V535" s="14"/>
      <c r="W535" s="14"/>
    </row>
    <row r="536" spans="1:23">
      <c r="A536" s="27" t="s">
        <v>100</v>
      </c>
      <c r="B536" t="s">
        <v>60</v>
      </c>
      <c r="C536" s="14"/>
      <c r="D536" s="14"/>
      <c r="E536" s="14"/>
      <c r="F536" s="14"/>
      <c r="G536" s="14"/>
      <c r="H536" s="14"/>
      <c r="I536" s="14"/>
      <c r="J536" s="14"/>
      <c r="K536" s="14"/>
      <c r="L536" s="14"/>
      <c r="M536" s="14"/>
      <c r="N536" s="14"/>
      <c r="O536" s="14"/>
      <c r="P536" s="14"/>
      <c r="Q536" s="14"/>
      <c r="R536" s="14"/>
      <c r="S536" s="14"/>
      <c r="T536" s="14"/>
      <c r="U536" s="14"/>
      <c r="V536" s="14"/>
      <c r="W536" s="14"/>
    </row>
    <row r="537" spans="1:23">
      <c r="A537" s="27" t="s">
        <v>106</v>
      </c>
      <c r="B537" t="s">
        <v>60</v>
      </c>
      <c r="C537" s="53">
        <v>0</v>
      </c>
      <c r="D537" s="53">
        <v>0</v>
      </c>
      <c r="E537" s="53">
        <v>0</v>
      </c>
      <c r="F537" s="53">
        <v>0</v>
      </c>
      <c r="G537" s="53">
        <v>0</v>
      </c>
      <c r="H537" s="53">
        <v>0</v>
      </c>
      <c r="I537" s="53">
        <v>0</v>
      </c>
      <c r="J537" s="53">
        <v>0</v>
      </c>
      <c r="K537" s="53">
        <v>0</v>
      </c>
      <c r="L537" s="53">
        <v>0</v>
      </c>
      <c r="M537" s="53">
        <v>0</v>
      </c>
      <c r="N537" s="53">
        <v>0</v>
      </c>
      <c r="O537" s="53">
        <v>0</v>
      </c>
      <c r="P537" s="53">
        <v>0</v>
      </c>
      <c r="Q537" s="53">
        <v>0</v>
      </c>
      <c r="R537" s="53">
        <v>0</v>
      </c>
      <c r="S537" s="53">
        <v>0</v>
      </c>
      <c r="T537" s="53">
        <v>0</v>
      </c>
      <c r="U537" s="53">
        <v>0</v>
      </c>
      <c r="V537" s="53">
        <v>0</v>
      </c>
      <c r="W537" s="53">
        <v>0</v>
      </c>
    </row>
    <row r="538" spans="1:23">
      <c r="A538" s="31" t="s">
        <v>107</v>
      </c>
      <c r="B538" s="32" t="s">
        <v>60</v>
      </c>
      <c r="C538" s="33"/>
      <c r="D538" s="33"/>
      <c r="E538" s="33"/>
      <c r="F538" s="33"/>
      <c r="G538" s="33"/>
      <c r="H538" s="33"/>
      <c r="I538" s="33"/>
      <c r="J538" s="33"/>
      <c r="K538" s="33"/>
      <c r="L538" s="33"/>
      <c r="M538" s="33"/>
      <c r="N538" s="33"/>
      <c r="O538" s="33"/>
      <c r="P538" s="33"/>
      <c r="Q538" s="33"/>
      <c r="R538" s="33"/>
      <c r="S538" s="33"/>
      <c r="T538" s="33"/>
      <c r="U538" s="33"/>
      <c r="V538" s="33"/>
      <c r="W538" s="33"/>
    </row>
    <row r="539" ht="15.6" spans="1:1">
      <c r="A539" s="5" t="s">
        <v>105</v>
      </c>
    </row>
    <row r="540" spans="1:23">
      <c r="A540" s="27" t="s">
        <v>96</v>
      </c>
      <c r="B540" t="s">
        <v>60</v>
      </c>
      <c r="C540" s="39"/>
      <c r="D540" s="39"/>
      <c r="E540" s="39"/>
      <c r="F540" s="39"/>
      <c r="G540" s="39"/>
      <c r="H540" s="39"/>
      <c r="I540" s="39"/>
      <c r="J540" s="39"/>
      <c r="K540" s="39"/>
      <c r="L540" s="39"/>
      <c r="M540" s="39"/>
      <c r="N540" s="39"/>
      <c r="O540" s="39"/>
      <c r="P540" s="39"/>
      <c r="Q540" s="39"/>
      <c r="R540" s="39"/>
      <c r="S540" s="39"/>
      <c r="T540" s="39"/>
      <c r="U540" s="39"/>
      <c r="V540" s="39"/>
      <c r="W540" s="39"/>
    </row>
    <row r="541" spans="1:23">
      <c r="A541" s="27" t="s">
        <v>98</v>
      </c>
      <c r="B541" t="s">
        <v>60</v>
      </c>
      <c r="C541" s="39"/>
      <c r="D541" s="39"/>
      <c r="E541" s="39"/>
      <c r="F541" s="39"/>
      <c r="G541" s="39"/>
      <c r="H541" s="39"/>
      <c r="I541" s="39"/>
      <c r="J541" s="39"/>
      <c r="K541" s="39"/>
      <c r="L541" s="39"/>
      <c r="M541" s="39"/>
      <c r="N541" s="39"/>
      <c r="O541" s="39"/>
      <c r="P541" s="39"/>
      <c r="Q541" s="39"/>
      <c r="R541" s="39"/>
      <c r="S541" s="39"/>
      <c r="T541" s="39"/>
      <c r="U541" s="39"/>
      <c r="V541" s="39"/>
      <c r="W541" s="39"/>
    </row>
    <row r="542" spans="1:23">
      <c r="A542" s="27" t="s">
        <v>100</v>
      </c>
      <c r="B542" t="s">
        <v>60</v>
      </c>
      <c r="C542" s="39"/>
      <c r="D542" s="39"/>
      <c r="E542" s="39"/>
      <c r="F542" s="39"/>
      <c r="G542" s="39"/>
      <c r="H542" s="39"/>
      <c r="I542" s="39"/>
      <c r="J542" s="39"/>
      <c r="K542" s="39"/>
      <c r="L542" s="39"/>
      <c r="M542" s="39"/>
      <c r="N542" s="39"/>
      <c r="O542" s="39"/>
      <c r="P542" s="39"/>
      <c r="Q542" s="39"/>
      <c r="R542" s="39"/>
      <c r="S542" s="39"/>
      <c r="T542" s="39"/>
      <c r="U542" s="39"/>
      <c r="V542" s="39"/>
      <c r="W542" s="39"/>
    </row>
    <row r="543" spans="1:23">
      <c r="A543" s="27" t="s">
        <v>106</v>
      </c>
      <c r="B543" t="s">
        <v>60</v>
      </c>
      <c r="C543" s="39"/>
      <c r="D543" s="39"/>
      <c r="E543" s="39"/>
      <c r="F543" s="39"/>
      <c r="G543" s="39"/>
      <c r="H543" s="39"/>
      <c r="I543" s="39"/>
      <c r="J543" s="39"/>
      <c r="K543" s="39"/>
      <c r="L543" s="39"/>
      <c r="M543" s="39"/>
      <c r="N543" s="39"/>
      <c r="O543" s="39"/>
      <c r="P543" s="39"/>
      <c r="Q543" s="39"/>
      <c r="R543" s="39"/>
      <c r="S543" s="39"/>
      <c r="T543" s="39"/>
      <c r="U543" s="39"/>
      <c r="V543" s="39"/>
      <c r="W543" s="39"/>
    </row>
    <row r="544" spans="1:23">
      <c r="A544" s="27" t="s">
        <v>132</v>
      </c>
      <c r="B544" t="s">
        <v>60</v>
      </c>
      <c r="C544" s="29"/>
      <c r="D544" s="29"/>
      <c r="E544" s="29"/>
      <c r="F544" s="29"/>
      <c r="G544" s="29"/>
      <c r="H544" s="29"/>
      <c r="I544" s="29"/>
      <c r="J544" s="29"/>
      <c r="K544" s="29"/>
      <c r="L544" s="29"/>
      <c r="M544" s="29"/>
      <c r="N544" s="29"/>
      <c r="O544" s="29"/>
      <c r="P544" s="29"/>
      <c r="Q544" s="29"/>
      <c r="R544" s="29"/>
      <c r="S544" s="29"/>
      <c r="T544" s="29"/>
      <c r="U544" s="29"/>
      <c r="V544" s="29"/>
      <c r="W544" s="29"/>
    </row>
    <row r="545" spans="1:23">
      <c r="A545" s="27" t="s">
        <v>133</v>
      </c>
      <c r="B545" t="s">
        <v>60</v>
      </c>
      <c r="C545" s="29"/>
      <c r="D545" s="29"/>
      <c r="E545" s="29"/>
      <c r="F545" s="29"/>
      <c r="G545" s="29"/>
      <c r="H545" s="29"/>
      <c r="I545" s="29"/>
      <c r="J545" s="29"/>
      <c r="K545" s="29"/>
      <c r="L545" s="29"/>
      <c r="M545" s="29"/>
      <c r="N545" s="29"/>
      <c r="O545" s="29"/>
      <c r="P545" s="29"/>
      <c r="Q545" s="29"/>
      <c r="R545" s="29"/>
      <c r="S545" s="29"/>
      <c r="T545" s="29"/>
      <c r="U545" s="29"/>
      <c r="V545" s="29"/>
      <c r="W545" s="29"/>
    </row>
    <row r="546" spans="1:23">
      <c r="A546" s="31" t="s">
        <v>107</v>
      </c>
      <c r="B546" s="32" t="s">
        <v>60</v>
      </c>
      <c r="C546" s="33"/>
      <c r="D546" s="33"/>
      <c r="E546" s="33"/>
      <c r="F546" s="33"/>
      <c r="G546" s="33"/>
      <c r="H546" s="33"/>
      <c r="I546" s="33"/>
      <c r="J546" s="33"/>
      <c r="K546" s="33"/>
      <c r="L546" s="33"/>
      <c r="M546" s="33"/>
      <c r="N546" s="33"/>
      <c r="O546" s="33"/>
      <c r="P546" s="33"/>
      <c r="Q546" s="33"/>
      <c r="R546" s="33"/>
      <c r="S546" s="33"/>
      <c r="T546" s="33"/>
      <c r="U546" s="33"/>
      <c r="V546" s="33"/>
      <c r="W546" s="33"/>
    </row>
    <row r="547" ht="15.6" spans="1:23">
      <c r="A547" s="54" t="s">
        <v>134</v>
      </c>
      <c r="C547" s="21" t="s">
        <v>86</v>
      </c>
      <c r="D547" s="21" t="s">
        <v>86</v>
      </c>
      <c r="E547" s="21" t="s">
        <v>86</v>
      </c>
      <c r="F547" s="21" t="s">
        <v>86</v>
      </c>
      <c r="G547" s="21" t="s">
        <v>86</v>
      </c>
      <c r="H547" s="21" t="s">
        <v>87</v>
      </c>
      <c r="I547" s="21" t="s">
        <v>86</v>
      </c>
      <c r="J547" s="21" t="s">
        <v>86</v>
      </c>
      <c r="K547" s="21" t="s">
        <v>86</v>
      </c>
      <c r="L547" s="21" t="s">
        <v>86</v>
      </c>
      <c r="M547" s="21" t="s">
        <v>86</v>
      </c>
      <c r="N547" s="21" t="s">
        <v>86</v>
      </c>
      <c r="O547" s="21" t="s">
        <v>86</v>
      </c>
      <c r="P547" s="21" t="s">
        <v>86</v>
      </c>
      <c r="Q547" s="21" t="s">
        <v>86</v>
      </c>
      <c r="R547" s="21" t="s">
        <v>86</v>
      </c>
      <c r="S547" s="21" t="s">
        <v>87</v>
      </c>
      <c r="T547" s="21" t="s">
        <v>86</v>
      </c>
      <c r="U547" s="21" t="s">
        <v>86</v>
      </c>
      <c r="V547" s="21" t="s">
        <v>86</v>
      </c>
      <c r="W547" s="21" t="s">
        <v>86</v>
      </c>
    </row>
    <row r="548" ht="15.6" spans="3:23">
      <c r="C548" s="24"/>
      <c r="D548" s="24"/>
      <c r="E548" s="24"/>
      <c r="F548" s="24"/>
      <c r="G548" s="24"/>
      <c r="H548" s="24"/>
      <c r="I548" s="24"/>
      <c r="J548" s="24"/>
      <c r="K548" s="24"/>
      <c r="L548" s="24"/>
      <c r="M548" s="24"/>
      <c r="N548" s="24"/>
      <c r="O548" s="24"/>
      <c r="P548" s="24"/>
      <c r="Q548" s="24"/>
      <c r="R548" s="24"/>
      <c r="S548" s="24"/>
      <c r="T548" s="24"/>
      <c r="U548" s="24"/>
      <c r="V548" s="24"/>
      <c r="W548" s="24"/>
    </row>
    <row r="549" ht="15.6" spans="1:23">
      <c r="A549" s="25" t="s">
        <v>94</v>
      </c>
      <c r="C549" s="10">
        <v>0</v>
      </c>
      <c r="D549" s="10">
        <v>0</v>
      </c>
      <c r="E549" s="10">
        <v>0</v>
      </c>
      <c r="F549" s="10">
        <v>0</v>
      </c>
      <c r="G549" s="10">
        <v>0</v>
      </c>
      <c r="H549" s="10">
        <v>1</v>
      </c>
      <c r="I549" s="10">
        <v>1</v>
      </c>
      <c r="J549" s="10">
        <v>1</v>
      </c>
      <c r="K549" s="10">
        <v>1</v>
      </c>
      <c r="L549" s="10">
        <v>1</v>
      </c>
      <c r="M549" s="10">
        <v>1</v>
      </c>
      <c r="N549" s="10">
        <v>1</v>
      </c>
      <c r="O549" s="10">
        <v>1</v>
      </c>
      <c r="P549" s="10">
        <v>1</v>
      </c>
      <c r="Q549" s="10">
        <v>1</v>
      </c>
      <c r="R549" s="10">
        <v>1</v>
      </c>
      <c r="S549" s="10">
        <v>1</v>
      </c>
      <c r="T549" s="10">
        <v>1</v>
      </c>
      <c r="U549" s="10">
        <v>0</v>
      </c>
      <c r="V549" s="10">
        <v>1</v>
      </c>
      <c r="W549" s="10">
        <v>1</v>
      </c>
    </row>
    <row r="550" ht="15.6" spans="1:23">
      <c r="A550" s="25" t="s">
        <v>111</v>
      </c>
      <c r="B550" t="s">
        <v>112</v>
      </c>
      <c r="C550" s="40">
        <v>200</v>
      </c>
      <c r="D550" s="40">
        <v>200</v>
      </c>
      <c r="E550" s="40">
        <v>200</v>
      </c>
      <c r="F550" s="40">
        <v>200</v>
      </c>
      <c r="G550" s="40">
        <v>200</v>
      </c>
      <c r="H550" s="40">
        <v>200</v>
      </c>
      <c r="I550" s="40">
        <v>100</v>
      </c>
      <c r="J550" s="40">
        <v>200</v>
      </c>
      <c r="K550" s="40">
        <v>75</v>
      </c>
      <c r="L550" s="40">
        <v>75</v>
      </c>
      <c r="M550" s="40">
        <v>75</v>
      </c>
      <c r="N550" s="40">
        <v>75</v>
      </c>
      <c r="O550" s="40">
        <v>75</v>
      </c>
      <c r="P550" s="40">
        <v>75</v>
      </c>
      <c r="Q550" s="40">
        <v>75</v>
      </c>
      <c r="R550" s="40">
        <v>200</v>
      </c>
      <c r="S550" s="40">
        <v>200</v>
      </c>
      <c r="T550" s="40">
        <v>75</v>
      </c>
      <c r="U550" s="40">
        <v>75</v>
      </c>
      <c r="V550" s="40">
        <v>200</v>
      </c>
      <c r="W550" s="40">
        <v>200</v>
      </c>
    </row>
    <row r="551" ht="15.6" spans="1:1">
      <c r="A551" s="5" t="s">
        <v>95</v>
      </c>
    </row>
    <row r="552" ht="15.6" spans="1:23">
      <c r="A552" s="27" t="s">
        <v>96</v>
      </c>
      <c r="B552" t="s">
        <v>108</v>
      </c>
      <c r="C552" s="28">
        <f t="shared" ref="C552:W552" si="40">15/200</f>
        <v>0.075</v>
      </c>
      <c r="D552" s="28">
        <f t="shared" si="40"/>
        <v>0.075</v>
      </c>
      <c r="E552" s="28">
        <f t="shared" si="40"/>
        <v>0.075</v>
      </c>
      <c r="F552" s="28">
        <f t="shared" si="40"/>
        <v>0.075</v>
      </c>
      <c r="G552" s="28">
        <f t="shared" si="40"/>
        <v>0.075</v>
      </c>
      <c r="H552" s="28">
        <f t="shared" si="40"/>
        <v>0.075</v>
      </c>
      <c r="I552" s="28">
        <f t="shared" si="40"/>
        <v>0.075</v>
      </c>
      <c r="J552" s="28">
        <f t="shared" si="40"/>
        <v>0.075</v>
      </c>
      <c r="K552" s="28">
        <f t="shared" si="40"/>
        <v>0.075</v>
      </c>
      <c r="L552" s="28">
        <f t="shared" si="40"/>
        <v>0.075</v>
      </c>
      <c r="M552" s="28">
        <f t="shared" si="40"/>
        <v>0.075</v>
      </c>
      <c r="N552" s="28">
        <f t="shared" si="40"/>
        <v>0.075</v>
      </c>
      <c r="O552" s="28">
        <f t="shared" si="40"/>
        <v>0.075</v>
      </c>
      <c r="P552" s="28">
        <f t="shared" si="40"/>
        <v>0.075</v>
      </c>
      <c r="Q552" s="28">
        <f t="shared" si="40"/>
        <v>0.075</v>
      </c>
      <c r="R552" s="28">
        <f t="shared" si="40"/>
        <v>0.075</v>
      </c>
      <c r="S552" s="28">
        <f t="shared" si="40"/>
        <v>0.075</v>
      </c>
      <c r="T552" s="28">
        <f t="shared" si="40"/>
        <v>0.075</v>
      </c>
      <c r="U552" s="28">
        <f t="shared" si="40"/>
        <v>0.075</v>
      </c>
      <c r="V552" s="28">
        <f t="shared" si="40"/>
        <v>0.075</v>
      </c>
      <c r="W552" s="28">
        <f t="shared" si="40"/>
        <v>0.075</v>
      </c>
    </row>
    <row r="553" ht="15.6" spans="1:23">
      <c r="A553" s="27" t="s">
        <v>98</v>
      </c>
      <c r="B553" t="s">
        <v>109</v>
      </c>
      <c r="C553" s="28">
        <f t="shared" ref="C553:W553" si="41">1.5/200</f>
        <v>0.0075</v>
      </c>
      <c r="D553" s="28">
        <f t="shared" si="41"/>
        <v>0.0075</v>
      </c>
      <c r="E553" s="28">
        <f t="shared" si="41"/>
        <v>0.0075</v>
      </c>
      <c r="F553" s="28">
        <f t="shared" si="41"/>
        <v>0.0075</v>
      </c>
      <c r="G553" s="28">
        <f t="shared" si="41"/>
        <v>0.0075</v>
      </c>
      <c r="H553" s="28">
        <f t="shared" si="41"/>
        <v>0.0075</v>
      </c>
      <c r="I553" s="28">
        <f t="shared" si="41"/>
        <v>0.0075</v>
      </c>
      <c r="J553" s="28">
        <f t="shared" si="41"/>
        <v>0.0075</v>
      </c>
      <c r="K553" s="28">
        <f t="shared" si="41"/>
        <v>0.0075</v>
      </c>
      <c r="L553" s="28">
        <f t="shared" si="41"/>
        <v>0.0075</v>
      </c>
      <c r="M553" s="28">
        <f t="shared" si="41"/>
        <v>0.0075</v>
      </c>
      <c r="N553" s="28">
        <f t="shared" si="41"/>
        <v>0.0075</v>
      </c>
      <c r="O553" s="28">
        <f t="shared" si="41"/>
        <v>0.0075</v>
      </c>
      <c r="P553" s="28">
        <f t="shared" si="41"/>
        <v>0.0075</v>
      </c>
      <c r="Q553" s="28">
        <f t="shared" si="41"/>
        <v>0.0075</v>
      </c>
      <c r="R553" s="28">
        <f t="shared" si="41"/>
        <v>0.0075</v>
      </c>
      <c r="S553" s="28">
        <f t="shared" si="41"/>
        <v>0.0075</v>
      </c>
      <c r="T553" s="28">
        <f t="shared" si="41"/>
        <v>0.0075</v>
      </c>
      <c r="U553" s="28">
        <f t="shared" si="41"/>
        <v>0.0075</v>
      </c>
      <c r="V553" s="28">
        <f t="shared" si="41"/>
        <v>0.0075</v>
      </c>
      <c r="W553" s="28">
        <f t="shared" si="41"/>
        <v>0.0075</v>
      </c>
    </row>
    <row r="554" ht="15.6" spans="1:23">
      <c r="A554" s="27" t="s">
        <v>100</v>
      </c>
      <c r="B554" t="s">
        <v>60</v>
      </c>
      <c r="C554" s="28">
        <f t="shared" ref="C554:W554" si="42">50/200</f>
        <v>0.25</v>
      </c>
      <c r="D554" s="28">
        <f t="shared" si="42"/>
        <v>0.25</v>
      </c>
      <c r="E554" s="28">
        <f t="shared" si="42"/>
        <v>0.25</v>
      </c>
      <c r="F554" s="28">
        <f t="shared" si="42"/>
        <v>0.25</v>
      </c>
      <c r="G554" s="28">
        <f t="shared" si="42"/>
        <v>0.25</v>
      </c>
      <c r="H554" s="28">
        <f t="shared" si="42"/>
        <v>0.25</v>
      </c>
      <c r="I554" s="28">
        <f t="shared" si="42"/>
        <v>0.25</v>
      </c>
      <c r="J554" s="28">
        <f t="shared" si="42"/>
        <v>0.25</v>
      </c>
      <c r="K554" s="28">
        <f t="shared" si="42"/>
        <v>0.25</v>
      </c>
      <c r="L554" s="28">
        <f t="shared" si="42"/>
        <v>0.25</v>
      </c>
      <c r="M554" s="28">
        <f t="shared" si="42"/>
        <v>0.25</v>
      </c>
      <c r="N554" s="28">
        <f t="shared" si="42"/>
        <v>0.25</v>
      </c>
      <c r="O554" s="28">
        <f t="shared" si="42"/>
        <v>0.25</v>
      </c>
      <c r="P554" s="28">
        <f t="shared" si="42"/>
        <v>0.25</v>
      </c>
      <c r="Q554" s="28">
        <f t="shared" si="42"/>
        <v>0.25</v>
      </c>
      <c r="R554" s="28">
        <f t="shared" si="42"/>
        <v>0.25</v>
      </c>
      <c r="S554" s="28">
        <f t="shared" si="42"/>
        <v>0.25</v>
      </c>
      <c r="T554" s="28">
        <f t="shared" si="42"/>
        <v>0.25</v>
      </c>
      <c r="U554" s="28">
        <f t="shared" si="42"/>
        <v>0.25</v>
      </c>
      <c r="V554" s="28">
        <f t="shared" si="42"/>
        <v>0.25</v>
      </c>
      <c r="W554" s="28">
        <f t="shared" si="42"/>
        <v>0.25</v>
      </c>
    </row>
    <row r="555" ht="15.6" spans="1:1">
      <c r="A555" s="5" t="s">
        <v>102</v>
      </c>
    </row>
    <row r="556" spans="1:23">
      <c r="A556" s="27" t="s">
        <v>96</v>
      </c>
      <c r="B556" t="s">
        <v>108</v>
      </c>
      <c r="C556" s="14"/>
      <c r="D556" s="14"/>
      <c r="E556" s="14"/>
      <c r="F556" s="14"/>
      <c r="G556" s="14"/>
      <c r="H556" s="14"/>
      <c r="I556" s="14"/>
      <c r="J556" s="14"/>
      <c r="K556" s="14"/>
      <c r="L556" s="14"/>
      <c r="M556" s="14"/>
      <c r="N556" s="14"/>
      <c r="O556" s="14"/>
      <c r="P556" s="14"/>
      <c r="Q556" s="14"/>
      <c r="R556" s="14"/>
      <c r="S556" s="14"/>
      <c r="T556" s="14"/>
      <c r="U556" s="14"/>
      <c r="V556" s="14"/>
      <c r="W556" s="14"/>
    </row>
    <row r="557" spans="1:23">
      <c r="A557" s="27" t="s">
        <v>98</v>
      </c>
      <c r="B557" t="s">
        <v>109</v>
      </c>
      <c r="C557" s="14"/>
      <c r="D557" s="14"/>
      <c r="E557" s="14"/>
      <c r="F557" s="14"/>
      <c r="G557" s="14"/>
      <c r="H557" s="14"/>
      <c r="I557" s="14"/>
      <c r="J557" s="14"/>
      <c r="K557" s="14"/>
      <c r="L557" s="14"/>
      <c r="M557" s="14"/>
      <c r="N557" s="14"/>
      <c r="O557" s="14"/>
      <c r="P557" s="14"/>
      <c r="Q557" s="14"/>
      <c r="R557" s="14"/>
      <c r="S557" s="14"/>
      <c r="T557" s="14"/>
      <c r="U557" s="14"/>
      <c r="V557" s="14"/>
      <c r="W557" s="14"/>
    </row>
    <row r="558" spans="1:23">
      <c r="A558" s="27" t="s">
        <v>100</v>
      </c>
      <c r="B558" t="s">
        <v>60</v>
      </c>
      <c r="C558" s="14"/>
      <c r="D558" s="14"/>
      <c r="E558" s="14"/>
      <c r="F558" s="14"/>
      <c r="G558" s="14"/>
      <c r="H558" s="14"/>
      <c r="I558" s="14"/>
      <c r="J558" s="14"/>
      <c r="K558" s="14"/>
      <c r="L558" s="14"/>
      <c r="M558" s="14"/>
      <c r="N558" s="14"/>
      <c r="O558" s="14"/>
      <c r="P558" s="14"/>
      <c r="Q558" s="14"/>
      <c r="R558" s="14"/>
      <c r="S558" s="14"/>
      <c r="T558" s="14"/>
      <c r="U558" s="14"/>
      <c r="V558" s="14"/>
      <c r="W558" s="14"/>
    </row>
    <row r="559" ht="15.6" spans="1:1">
      <c r="A559" s="5" t="s">
        <v>110</v>
      </c>
    </row>
    <row r="560" spans="1:23">
      <c r="A560" s="27" t="s">
        <v>96</v>
      </c>
      <c r="B560" t="s">
        <v>60</v>
      </c>
      <c r="C560" s="14"/>
      <c r="D560" s="14"/>
      <c r="E560" s="14"/>
      <c r="F560" s="14"/>
      <c r="G560" s="14"/>
      <c r="H560" s="14"/>
      <c r="I560" s="14"/>
      <c r="J560" s="14"/>
      <c r="K560" s="14"/>
      <c r="L560" s="14"/>
      <c r="M560" s="14"/>
      <c r="N560" s="14"/>
      <c r="O560" s="14"/>
      <c r="P560" s="14"/>
      <c r="Q560" s="14"/>
      <c r="R560" s="14"/>
      <c r="S560" s="14"/>
      <c r="T560" s="14"/>
      <c r="U560" s="14"/>
      <c r="V560" s="14"/>
      <c r="W560" s="14"/>
    </row>
    <row r="561" spans="1:23">
      <c r="A561" s="27" t="s">
        <v>98</v>
      </c>
      <c r="B561" t="s">
        <v>60</v>
      </c>
      <c r="C561" s="14"/>
      <c r="D561" s="14"/>
      <c r="E561" s="14"/>
      <c r="F561" s="14"/>
      <c r="G561" s="14"/>
      <c r="H561" s="14"/>
      <c r="I561" s="14"/>
      <c r="J561" s="14"/>
      <c r="K561" s="14"/>
      <c r="L561" s="14"/>
      <c r="M561" s="14"/>
      <c r="N561" s="14"/>
      <c r="O561" s="14"/>
      <c r="P561" s="14"/>
      <c r="Q561" s="14"/>
      <c r="R561" s="14"/>
      <c r="S561" s="14"/>
      <c r="T561" s="14"/>
      <c r="U561" s="14"/>
      <c r="V561" s="14"/>
      <c r="W561" s="14"/>
    </row>
    <row r="562" spans="1:23">
      <c r="A562" s="27" t="s">
        <v>100</v>
      </c>
      <c r="B562" t="s">
        <v>60</v>
      </c>
      <c r="C562" s="39"/>
      <c r="D562" s="39"/>
      <c r="E562" s="39"/>
      <c r="F562" s="39"/>
      <c r="G562" s="39"/>
      <c r="H562" s="39"/>
      <c r="I562" s="39"/>
      <c r="J562" s="39"/>
      <c r="K562" s="39"/>
      <c r="L562" s="39"/>
      <c r="M562" s="39"/>
      <c r="N562" s="39"/>
      <c r="O562" s="39"/>
      <c r="P562" s="39"/>
      <c r="Q562" s="39"/>
      <c r="R562" s="39"/>
      <c r="S562" s="39"/>
      <c r="T562" s="39"/>
      <c r="U562" s="39"/>
      <c r="V562" s="39"/>
      <c r="W562" s="39"/>
    </row>
    <row r="563" ht="15.6" spans="1:1">
      <c r="A563" s="5" t="s">
        <v>105</v>
      </c>
    </row>
    <row r="564" spans="1:23">
      <c r="A564" s="27" t="s">
        <v>96</v>
      </c>
      <c r="B564" t="s">
        <v>60</v>
      </c>
      <c r="C564" s="50"/>
      <c r="D564" s="50"/>
      <c r="E564" s="50"/>
      <c r="F564" s="50"/>
      <c r="G564" s="50"/>
      <c r="H564" s="50"/>
      <c r="I564" s="50"/>
      <c r="J564" s="50"/>
      <c r="K564" s="50"/>
      <c r="L564" s="50"/>
      <c r="M564" s="50"/>
      <c r="N564" s="50"/>
      <c r="O564" s="50"/>
      <c r="P564" s="50"/>
      <c r="Q564" s="50"/>
      <c r="R564" s="50"/>
      <c r="S564" s="50"/>
      <c r="T564" s="50"/>
      <c r="U564" s="50"/>
      <c r="V564" s="50"/>
      <c r="W564" s="50"/>
    </row>
    <row r="565" spans="1:23">
      <c r="A565" s="27" t="s">
        <v>98</v>
      </c>
      <c r="B565" t="s">
        <v>60</v>
      </c>
      <c r="C565" s="50"/>
      <c r="D565" s="50"/>
      <c r="E565" s="50"/>
      <c r="F565" s="50"/>
      <c r="G565" s="50"/>
      <c r="H565" s="50"/>
      <c r="I565" s="50"/>
      <c r="J565" s="50"/>
      <c r="K565" s="50"/>
      <c r="L565" s="50"/>
      <c r="M565" s="50"/>
      <c r="N565" s="50"/>
      <c r="O565" s="50"/>
      <c r="P565" s="50"/>
      <c r="Q565" s="50"/>
      <c r="R565" s="50"/>
      <c r="S565" s="50"/>
      <c r="T565" s="50"/>
      <c r="U565" s="50"/>
      <c r="V565" s="50"/>
      <c r="W565" s="50"/>
    </row>
    <row r="566" spans="1:23">
      <c r="A566" s="27" t="s">
        <v>100</v>
      </c>
      <c r="B566" t="s">
        <v>60</v>
      </c>
      <c r="C566" s="50"/>
      <c r="D566" s="50"/>
      <c r="E566" s="50"/>
      <c r="F566" s="50"/>
      <c r="G566" s="50"/>
      <c r="H566" s="50"/>
      <c r="I566" s="50"/>
      <c r="J566" s="50"/>
      <c r="K566" s="50"/>
      <c r="L566" s="50"/>
      <c r="M566" s="50"/>
      <c r="N566" s="50"/>
      <c r="O566" s="50"/>
      <c r="P566" s="50"/>
      <c r="Q566" s="50"/>
      <c r="R566" s="50"/>
      <c r="S566" s="50"/>
      <c r="T566" s="50"/>
      <c r="U566" s="50"/>
      <c r="V566" s="50"/>
      <c r="W566" s="50"/>
    </row>
    <row r="567" spans="1:23">
      <c r="A567" s="31" t="s">
        <v>107</v>
      </c>
      <c r="B567" s="32" t="s">
        <v>60</v>
      </c>
      <c r="C567" s="33"/>
      <c r="D567" s="33"/>
      <c r="E567" s="33"/>
      <c r="F567" s="33"/>
      <c r="G567" s="33"/>
      <c r="H567" s="33"/>
      <c r="I567" s="33"/>
      <c r="J567" s="33"/>
      <c r="K567" s="33"/>
      <c r="L567" s="33"/>
      <c r="M567" s="33"/>
      <c r="N567" s="33"/>
      <c r="O567" s="33"/>
      <c r="P567" s="33"/>
      <c r="Q567" s="33"/>
      <c r="R567" s="33"/>
      <c r="S567" s="33"/>
      <c r="T567" s="33"/>
      <c r="U567" s="33"/>
      <c r="V567" s="33"/>
      <c r="W567" s="33"/>
    </row>
    <row r="568" ht="15.6" spans="1:23">
      <c r="A568" s="25" t="s">
        <v>94</v>
      </c>
      <c r="C568" s="12"/>
      <c r="D568" s="12"/>
      <c r="E568" s="12"/>
      <c r="F568" s="12"/>
      <c r="G568" s="12"/>
      <c r="H568" s="12"/>
      <c r="I568" s="12"/>
      <c r="J568" s="12"/>
      <c r="K568" s="12"/>
      <c r="L568" s="12"/>
      <c r="M568" s="12"/>
      <c r="N568" s="12"/>
      <c r="O568" s="12"/>
      <c r="P568" s="12"/>
      <c r="Q568" s="12"/>
      <c r="R568" s="12"/>
      <c r="S568" s="12"/>
      <c r="T568" s="12"/>
      <c r="U568" s="12"/>
      <c r="V568" s="12"/>
      <c r="W568" s="12"/>
    </row>
    <row r="569" ht="15.6" spans="1:23">
      <c r="A569" s="25" t="s">
        <v>113</v>
      </c>
      <c r="B569" t="s">
        <v>114</v>
      </c>
      <c r="C569" s="40">
        <v>35</v>
      </c>
      <c r="D569" s="40">
        <v>100</v>
      </c>
      <c r="E569" s="40">
        <v>100</v>
      </c>
      <c r="F569" s="40">
        <v>60</v>
      </c>
      <c r="G569" s="40">
        <v>60</v>
      </c>
      <c r="H569" s="40">
        <v>40</v>
      </c>
      <c r="I569" s="40">
        <v>40</v>
      </c>
      <c r="J569" s="40">
        <v>35</v>
      </c>
      <c r="K569" s="40">
        <v>35</v>
      </c>
      <c r="L569" s="40">
        <v>35</v>
      </c>
      <c r="M569" s="40">
        <v>35</v>
      </c>
      <c r="N569" s="40">
        <v>35</v>
      </c>
      <c r="O569" s="40">
        <v>35</v>
      </c>
      <c r="P569" s="40">
        <v>35</v>
      </c>
      <c r="Q569" s="40">
        <v>35</v>
      </c>
      <c r="R569" s="40">
        <v>90</v>
      </c>
      <c r="S569" s="40">
        <v>200</v>
      </c>
      <c r="T569" s="40">
        <v>35</v>
      </c>
      <c r="U569" s="40">
        <v>35</v>
      </c>
      <c r="V569" s="40">
        <v>60</v>
      </c>
      <c r="W569" s="40">
        <v>60</v>
      </c>
    </row>
    <row r="570" ht="15.6" spans="1:23">
      <c r="A570" s="25" t="s">
        <v>115</v>
      </c>
      <c r="B570" t="s">
        <v>116</v>
      </c>
      <c r="C570" s="40">
        <v>50</v>
      </c>
      <c r="D570" s="40">
        <v>20</v>
      </c>
      <c r="E570" s="40">
        <v>5</v>
      </c>
      <c r="F570" s="40">
        <v>20</v>
      </c>
      <c r="G570" s="40">
        <v>20</v>
      </c>
      <c r="H570" s="40">
        <v>18.5</v>
      </c>
      <c r="I570" s="40">
        <v>40</v>
      </c>
      <c r="J570" s="40">
        <v>62</v>
      </c>
      <c r="K570" s="40">
        <v>40</v>
      </c>
      <c r="L570" s="40">
        <v>35</v>
      </c>
      <c r="M570" s="40">
        <v>80</v>
      </c>
      <c r="N570" s="40">
        <v>25</v>
      </c>
      <c r="O570" s="40">
        <v>56</v>
      </c>
      <c r="P570" s="40">
        <v>75</v>
      </c>
      <c r="Q570" s="40">
        <v>15</v>
      </c>
      <c r="R570" s="55">
        <v>45</v>
      </c>
      <c r="S570" s="40">
        <v>90</v>
      </c>
      <c r="T570" s="40">
        <v>60</v>
      </c>
      <c r="U570" s="40">
        <v>56</v>
      </c>
      <c r="V570" s="40">
        <v>95</v>
      </c>
      <c r="W570" s="40">
        <v>100</v>
      </c>
    </row>
    <row r="571" ht="15.6" spans="1:1">
      <c r="A571" s="5" t="s">
        <v>95</v>
      </c>
    </row>
    <row r="572" ht="15.6" spans="1:23">
      <c r="A572" s="27" t="s">
        <v>117</v>
      </c>
      <c r="B572" t="s">
        <v>118</v>
      </c>
      <c r="C572" s="42">
        <v>45</v>
      </c>
      <c r="D572" s="42">
        <v>45</v>
      </c>
      <c r="E572" s="42">
        <v>45</v>
      </c>
      <c r="F572" s="42">
        <v>45</v>
      </c>
      <c r="G572" s="42">
        <v>45</v>
      </c>
      <c r="H572" s="42">
        <v>45</v>
      </c>
      <c r="I572" s="42">
        <v>45</v>
      </c>
      <c r="J572" s="42">
        <v>45</v>
      </c>
      <c r="K572" s="42">
        <v>45</v>
      </c>
      <c r="L572" s="42">
        <v>45</v>
      </c>
      <c r="M572" s="42">
        <v>45</v>
      </c>
      <c r="N572" s="42">
        <v>45</v>
      </c>
      <c r="O572" s="42">
        <v>45</v>
      </c>
      <c r="P572" s="42">
        <v>45</v>
      </c>
      <c r="Q572" s="42">
        <v>45</v>
      </c>
      <c r="R572" s="42">
        <v>45</v>
      </c>
      <c r="S572" s="42">
        <v>45</v>
      </c>
      <c r="T572" s="42">
        <v>45</v>
      </c>
      <c r="U572" s="42">
        <v>45</v>
      </c>
      <c r="V572" s="42">
        <v>45</v>
      </c>
      <c r="W572" s="42">
        <v>45</v>
      </c>
    </row>
    <row r="573" ht="15.6" spans="1:23">
      <c r="A573" s="27" t="s">
        <v>96</v>
      </c>
      <c r="B573" t="s">
        <v>119</v>
      </c>
      <c r="C573" s="43">
        <v>0.01</v>
      </c>
      <c r="D573" s="43">
        <v>0.01</v>
      </c>
      <c r="E573" s="43">
        <v>0.01</v>
      </c>
      <c r="F573" s="43">
        <v>0.01</v>
      </c>
      <c r="G573" s="43">
        <v>0.01</v>
      </c>
      <c r="H573" s="43">
        <v>0.01</v>
      </c>
      <c r="I573" s="43">
        <v>0.01</v>
      </c>
      <c r="J573" s="43">
        <v>0.01</v>
      </c>
      <c r="K573" s="43">
        <v>0.01</v>
      </c>
      <c r="L573" s="43">
        <v>0.01</v>
      </c>
      <c r="M573" s="43">
        <v>0.01</v>
      </c>
      <c r="N573" s="43">
        <v>0.01</v>
      </c>
      <c r="O573" s="43">
        <v>0.01</v>
      </c>
      <c r="P573" s="43">
        <v>0.01</v>
      </c>
      <c r="Q573" s="43">
        <v>0.01</v>
      </c>
      <c r="R573" s="43">
        <v>0.01</v>
      </c>
      <c r="S573" s="43">
        <v>0.01</v>
      </c>
      <c r="T573" s="43">
        <v>0.01</v>
      </c>
      <c r="U573" s="43">
        <v>0.01</v>
      </c>
      <c r="V573" s="43">
        <v>0.01</v>
      </c>
      <c r="W573" s="43">
        <v>0.01</v>
      </c>
    </row>
    <row r="574" ht="15.6" spans="1:23">
      <c r="A574" s="27" t="s">
        <v>98</v>
      </c>
      <c r="B574" t="s">
        <v>120</v>
      </c>
      <c r="C574" s="43">
        <f t="shared" ref="C574:W574" si="43">1.5*2.7556/2</f>
        <v>2.0667</v>
      </c>
      <c r="D574" s="43">
        <f t="shared" si="43"/>
        <v>2.0667</v>
      </c>
      <c r="E574" s="43">
        <f t="shared" si="43"/>
        <v>2.0667</v>
      </c>
      <c r="F574" s="43">
        <f t="shared" si="43"/>
        <v>2.0667</v>
      </c>
      <c r="G574" s="43">
        <f t="shared" si="43"/>
        <v>2.0667</v>
      </c>
      <c r="H574" s="43">
        <f t="shared" si="43"/>
        <v>2.0667</v>
      </c>
      <c r="I574" s="43">
        <f t="shared" si="43"/>
        <v>2.0667</v>
      </c>
      <c r="J574" s="43">
        <f t="shared" si="43"/>
        <v>2.0667</v>
      </c>
      <c r="K574" s="43">
        <f t="shared" si="43"/>
        <v>2.0667</v>
      </c>
      <c r="L574" s="43">
        <f t="shared" si="43"/>
        <v>2.0667</v>
      </c>
      <c r="M574" s="43">
        <f t="shared" si="43"/>
        <v>2.0667</v>
      </c>
      <c r="N574" s="43">
        <f t="shared" si="43"/>
        <v>2.0667</v>
      </c>
      <c r="O574" s="43">
        <f t="shared" si="43"/>
        <v>2.0667</v>
      </c>
      <c r="P574" s="43">
        <f t="shared" si="43"/>
        <v>2.0667</v>
      </c>
      <c r="Q574" s="43">
        <f t="shared" si="43"/>
        <v>2.0667</v>
      </c>
      <c r="R574" s="43">
        <f t="shared" si="43"/>
        <v>2.0667</v>
      </c>
      <c r="S574" s="43">
        <f t="shared" si="43"/>
        <v>2.0667</v>
      </c>
      <c r="T574" s="43">
        <f t="shared" si="43"/>
        <v>2.0667</v>
      </c>
      <c r="U574" s="43">
        <f t="shared" si="43"/>
        <v>2.0667</v>
      </c>
      <c r="V574" s="43">
        <f t="shared" si="43"/>
        <v>2.0667</v>
      </c>
      <c r="W574" s="43">
        <f t="shared" si="43"/>
        <v>2.0667</v>
      </c>
    </row>
    <row r="575" ht="15.6" spans="1:23">
      <c r="A575" s="27" t="s">
        <v>100</v>
      </c>
      <c r="B575" t="s">
        <v>121</v>
      </c>
      <c r="C575" s="28">
        <v>0.5</v>
      </c>
      <c r="D575" s="28">
        <v>0.5</v>
      </c>
      <c r="E575" s="28">
        <v>0.5</v>
      </c>
      <c r="F575" s="28">
        <v>0.5</v>
      </c>
      <c r="G575" s="28">
        <v>0.5</v>
      </c>
      <c r="H575" s="28">
        <v>0.5</v>
      </c>
      <c r="I575" s="28">
        <v>0.5</v>
      </c>
      <c r="J575" s="28">
        <v>0.5</v>
      </c>
      <c r="K575" s="28">
        <v>0.5</v>
      </c>
      <c r="L575" s="28">
        <v>0.5</v>
      </c>
      <c r="M575" s="28">
        <v>0.5</v>
      </c>
      <c r="N575" s="28">
        <v>0.5</v>
      </c>
      <c r="O575" s="28">
        <v>0.5</v>
      </c>
      <c r="P575" s="28">
        <v>0.5</v>
      </c>
      <c r="Q575" s="28">
        <v>0.5</v>
      </c>
      <c r="R575" s="28">
        <v>0.5</v>
      </c>
      <c r="S575" s="28">
        <v>0.5</v>
      </c>
      <c r="T575" s="28">
        <v>0.5</v>
      </c>
      <c r="U575" s="28">
        <v>0.5</v>
      </c>
      <c r="V575" s="28">
        <v>0.5</v>
      </c>
      <c r="W575" s="28">
        <v>0.5</v>
      </c>
    </row>
    <row r="576" ht="15.6" spans="1:23">
      <c r="A576" s="27" t="s">
        <v>122</v>
      </c>
      <c r="B576" t="s">
        <v>45</v>
      </c>
      <c r="C576" s="44"/>
      <c r="D576" s="44"/>
      <c r="E576" s="44"/>
      <c r="F576" s="44"/>
      <c r="G576" s="44"/>
      <c r="H576" s="44"/>
      <c r="I576" s="44"/>
      <c r="J576" s="44"/>
      <c r="K576" s="44"/>
      <c r="L576" s="44"/>
      <c r="M576" s="44"/>
      <c r="N576" s="44"/>
      <c r="O576" s="44"/>
      <c r="P576" s="44"/>
      <c r="Q576" s="44"/>
      <c r="R576" s="44"/>
      <c r="S576" s="44"/>
      <c r="T576" s="44"/>
      <c r="U576" s="44"/>
      <c r="V576" s="44"/>
      <c r="W576" s="44"/>
    </row>
    <row r="577" ht="15.6" spans="1:23">
      <c r="A577" s="27" t="s">
        <v>123</v>
      </c>
      <c r="B577" s="9" t="s">
        <v>51</v>
      </c>
      <c r="C577" s="44"/>
      <c r="D577" s="44"/>
      <c r="E577" s="44"/>
      <c r="F577" s="44"/>
      <c r="G577" s="44"/>
      <c r="H577" s="44"/>
      <c r="I577" s="44"/>
      <c r="J577" s="44"/>
      <c r="K577" s="44"/>
      <c r="L577" s="44"/>
      <c r="M577" s="44"/>
      <c r="N577" s="44"/>
      <c r="O577" s="44"/>
      <c r="P577" s="44"/>
      <c r="Q577" s="44"/>
      <c r="R577" s="44"/>
      <c r="S577" s="44"/>
      <c r="T577" s="44"/>
      <c r="U577" s="44"/>
      <c r="V577" s="44"/>
      <c r="W577" s="44"/>
    </row>
    <row r="578" ht="15.6" spans="1:23">
      <c r="A578" s="27" t="s">
        <v>124</v>
      </c>
      <c r="B578" s="9" t="s">
        <v>51</v>
      </c>
      <c r="C578" s="44"/>
      <c r="D578" s="44"/>
      <c r="E578" s="44"/>
      <c r="F578" s="44"/>
      <c r="G578" s="44"/>
      <c r="H578" s="44"/>
      <c r="I578" s="44"/>
      <c r="J578" s="44"/>
      <c r="K578" s="44"/>
      <c r="L578" s="44"/>
      <c r="M578" s="44"/>
      <c r="N578" s="44"/>
      <c r="O578" s="44"/>
      <c r="P578" s="44"/>
      <c r="Q578" s="44"/>
      <c r="R578" s="44"/>
      <c r="S578" s="44"/>
      <c r="T578" s="44"/>
      <c r="U578" s="44"/>
      <c r="V578" s="44"/>
      <c r="W578" s="44"/>
    </row>
    <row r="579" ht="15.6" spans="1:1">
      <c r="A579" s="5" t="s">
        <v>102</v>
      </c>
    </row>
    <row r="580" spans="1:23">
      <c r="A580" s="27" t="s">
        <v>96</v>
      </c>
      <c r="B580" t="s">
        <v>119</v>
      </c>
      <c r="C580" s="45"/>
      <c r="D580" s="45"/>
      <c r="E580" s="45"/>
      <c r="F580" s="45"/>
      <c r="G580" s="45"/>
      <c r="H580" s="45"/>
      <c r="I580" s="45"/>
      <c r="J580" s="45"/>
      <c r="K580" s="45"/>
      <c r="L580" s="45"/>
      <c r="M580" s="45"/>
      <c r="N580" s="45"/>
      <c r="O580" s="45"/>
      <c r="P580" s="45"/>
      <c r="Q580" s="45"/>
      <c r="R580" s="45"/>
      <c r="S580" s="45"/>
      <c r="T580" s="45"/>
      <c r="U580" s="45"/>
      <c r="V580" s="45"/>
      <c r="W580" s="45"/>
    </row>
    <row r="581" spans="1:23">
      <c r="A581" s="27" t="s">
        <v>98</v>
      </c>
      <c r="B581" t="s">
        <v>120</v>
      </c>
      <c r="C581" s="45"/>
      <c r="D581" s="45"/>
      <c r="E581" s="45"/>
      <c r="F581" s="45"/>
      <c r="G581" s="45"/>
      <c r="H581" s="45"/>
      <c r="I581" s="45"/>
      <c r="J581" s="45"/>
      <c r="K581" s="45"/>
      <c r="L581" s="45"/>
      <c r="M581" s="45"/>
      <c r="N581" s="45"/>
      <c r="O581" s="45"/>
      <c r="P581" s="45"/>
      <c r="Q581" s="45"/>
      <c r="R581" s="45"/>
      <c r="S581" s="45"/>
      <c r="T581" s="45"/>
      <c r="U581" s="45"/>
      <c r="V581" s="45"/>
      <c r="W581" s="45"/>
    </row>
    <row r="582" spans="1:23">
      <c r="A582" s="27" t="s">
        <v>100</v>
      </c>
      <c r="B582" t="s">
        <v>121</v>
      </c>
      <c r="C582" s="45"/>
      <c r="D582" s="45"/>
      <c r="E582" s="45"/>
      <c r="F582" s="45"/>
      <c r="G582" s="45"/>
      <c r="H582" s="45"/>
      <c r="I582" s="45"/>
      <c r="J582" s="45"/>
      <c r="K582" s="45"/>
      <c r="L582" s="45"/>
      <c r="M582" s="45"/>
      <c r="N582" s="45"/>
      <c r="O582" s="45"/>
      <c r="P582" s="45"/>
      <c r="Q582" s="45"/>
      <c r="R582" s="45"/>
      <c r="S582" s="45"/>
      <c r="T582" s="45"/>
      <c r="U582" s="45"/>
      <c r="V582" s="45"/>
      <c r="W582" s="45"/>
    </row>
    <row r="583" ht="15.6" spans="1:1">
      <c r="A583" s="5" t="s">
        <v>125</v>
      </c>
    </row>
    <row r="584" spans="1:23">
      <c r="A584" s="27" t="s">
        <v>96</v>
      </c>
      <c r="B584" t="s">
        <v>119</v>
      </c>
      <c r="C584" s="45"/>
      <c r="D584" s="45"/>
      <c r="E584" s="45"/>
      <c r="F584" s="45"/>
      <c r="G584" s="45"/>
      <c r="H584" s="45"/>
      <c r="I584" s="45"/>
      <c r="J584" s="45"/>
      <c r="K584" s="45"/>
      <c r="L584" s="45"/>
      <c r="M584" s="45"/>
      <c r="N584" s="45"/>
      <c r="O584" s="45"/>
      <c r="P584" s="45"/>
      <c r="Q584" s="45"/>
      <c r="R584" s="45"/>
      <c r="S584" s="45"/>
      <c r="T584" s="45"/>
      <c r="U584" s="45"/>
      <c r="V584" s="45"/>
      <c r="W584" s="45"/>
    </row>
    <row r="585" spans="1:23">
      <c r="A585" s="27" t="s">
        <v>98</v>
      </c>
      <c r="B585" t="s">
        <v>126</v>
      </c>
      <c r="C585" s="45"/>
      <c r="D585" s="45"/>
      <c r="E585" s="45"/>
      <c r="F585" s="45"/>
      <c r="G585" s="45"/>
      <c r="H585" s="45"/>
      <c r="I585" s="45"/>
      <c r="J585" s="45"/>
      <c r="K585" s="45"/>
      <c r="L585" s="45"/>
      <c r="M585" s="45"/>
      <c r="N585" s="45"/>
      <c r="O585" s="45"/>
      <c r="P585" s="45"/>
      <c r="Q585" s="45"/>
      <c r="R585" s="45"/>
      <c r="S585" s="45"/>
      <c r="T585" s="45"/>
      <c r="U585" s="45"/>
      <c r="V585" s="45"/>
      <c r="W585" s="45"/>
    </row>
    <row r="586" spans="1:23">
      <c r="A586" s="27" t="s">
        <v>100</v>
      </c>
      <c r="B586" t="s">
        <v>121</v>
      </c>
      <c r="C586" s="45"/>
      <c r="D586" s="45"/>
      <c r="E586" s="45"/>
      <c r="F586" s="45"/>
      <c r="G586" s="45"/>
      <c r="H586" s="45"/>
      <c r="I586" s="45"/>
      <c r="J586" s="45"/>
      <c r="K586" s="45"/>
      <c r="L586" s="45"/>
      <c r="M586" s="45"/>
      <c r="N586" s="45"/>
      <c r="O586" s="45"/>
      <c r="P586" s="45"/>
      <c r="Q586" s="45"/>
      <c r="R586" s="45"/>
      <c r="S586" s="45"/>
      <c r="T586" s="45"/>
      <c r="U586" s="45"/>
      <c r="V586" s="45"/>
      <c r="W586" s="45"/>
    </row>
    <row r="587" ht="15.6" spans="1:1">
      <c r="A587" s="5" t="s">
        <v>127</v>
      </c>
    </row>
    <row r="588" spans="1:23">
      <c r="A588" s="27" t="s">
        <v>96</v>
      </c>
      <c r="B588" t="s">
        <v>60</v>
      </c>
      <c r="C588" s="45"/>
      <c r="D588" s="45"/>
      <c r="E588" s="45"/>
      <c r="F588" s="45"/>
      <c r="G588" s="45"/>
      <c r="H588" s="45"/>
      <c r="I588" s="45"/>
      <c r="J588" s="45"/>
      <c r="K588" s="45"/>
      <c r="L588" s="45"/>
      <c r="M588" s="45"/>
      <c r="N588" s="45"/>
      <c r="O588" s="45"/>
      <c r="P588" s="45"/>
      <c r="Q588" s="45"/>
      <c r="R588" s="45"/>
      <c r="S588" s="45"/>
      <c r="T588" s="45"/>
      <c r="U588" s="45"/>
      <c r="V588" s="45"/>
      <c r="W588" s="45"/>
    </row>
    <row r="589" spans="1:23">
      <c r="A589" s="27" t="s">
        <v>98</v>
      </c>
      <c r="B589" t="s">
        <v>60</v>
      </c>
      <c r="C589" s="45"/>
      <c r="D589" s="45"/>
      <c r="E589" s="45"/>
      <c r="F589" s="45"/>
      <c r="G589" s="45"/>
      <c r="H589" s="45"/>
      <c r="I589" s="45"/>
      <c r="J589" s="45"/>
      <c r="K589" s="45"/>
      <c r="L589" s="45"/>
      <c r="M589" s="45"/>
      <c r="N589" s="45"/>
      <c r="O589" s="45"/>
      <c r="P589" s="45"/>
      <c r="Q589" s="45"/>
      <c r="R589" s="45"/>
      <c r="S589" s="45"/>
      <c r="T589" s="45"/>
      <c r="U589" s="45"/>
      <c r="V589" s="45"/>
      <c r="W589" s="45"/>
    </row>
    <row r="590" spans="1:23">
      <c r="A590" s="27" t="s">
        <v>100</v>
      </c>
      <c r="B590" t="s">
        <v>60</v>
      </c>
      <c r="C590" s="46"/>
      <c r="D590" s="46"/>
      <c r="E590" s="46"/>
      <c r="F590" s="46"/>
      <c r="G590" s="46"/>
      <c r="H590" s="46"/>
      <c r="I590" s="46"/>
      <c r="J590" s="46"/>
      <c r="K590" s="46"/>
      <c r="L590" s="46"/>
      <c r="M590" s="46"/>
      <c r="N590" s="46"/>
      <c r="O590" s="46"/>
      <c r="P590" s="46"/>
      <c r="Q590" s="46"/>
      <c r="R590" s="46"/>
      <c r="S590" s="46"/>
      <c r="T590" s="46"/>
      <c r="U590" s="46"/>
      <c r="V590" s="46"/>
      <c r="W590" s="46"/>
    </row>
    <row r="591" ht="15.6" spans="1:1">
      <c r="A591" s="5" t="s">
        <v>105</v>
      </c>
    </row>
    <row r="592" spans="1:23">
      <c r="A592" s="27" t="s">
        <v>96</v>
      </c>
      <c r="B592" t="s">
        <v>60</v>
      </c>
      <c r="C592" s="50"/>
      <c r="D592" s="50"/>
      <c r="E592" s="50"/>
      <c r="F592" s="50"/>
      <c r="G592" s="50"/>
      <c r="H592" s="50"/>
      <c r="I592" s="50"/>
      <c r="J592" s="50"/>
      <c r="K592" s="50"/>
      <c r="L592" s="50"/>
      <c r="M592" s="50"/>
      <c r="N592" s="50"/>
      <c r="O592" s="50"/>
      <c r="P592" s="50"/>
      <c r="Q592" s="50"/>
      <c r="R592" s="50"/>
      <c r="S592" s="50"/>
      <c r="T592" s="50"/>
      <c r="U592" s="50"/>
      <c r="V592" s="50"/>
      <c r="W592" s="50"/>
    </row>
    <row r="593" spans="1:23">
      <c r="A593" s="27" t="s">
        <v>98</v>
      </c>
      <c r="B593" t="s">
        <v>60</v>
      </c>
      <c r="C593" s="50"/>
      <c r="D593" s="50"/>
      <c r="E593" s="50"/>
      <c r="F593" s="50"/>
      <c r="G593" s="50"/>
      <c r="H593" s="50"/>
      <c r="I593" s="50"/>
      <c r="J593" s="50"/>
      <c r="K593" s="50"/>
      <c r="L593" s="50"/>
      <c r="M593" s="50"/>
      <c r="N593" s="50"/>
      <c r="O593" s="50"/>
      <c r="P593" s="50"/>
      <c r="Q593" s="50"/>
      <c r="R593" s="50"/>
      <c r="S593" s="50"/>
      <c r="T593" s="50"/>
      <c r="U593" s="50"/>
      <c r="V593" s="50"/>
      <c r="W593" s="50"/>
    </row>
    <row r="594" spans="1:23">
      <c r="A594" s="27" t="s">
        <v>100</v>
      </c>
      <c r="B594" t="s">
        <v>60</v>
      </c>
      <c r="C594" s="50"/>
      <c r="D594" s="50"/>
      <c r="E594" s="50"/>
      <c r="F594" s="50"/>
      <c r="G594" s="50"/>
      <c r="H594" s="50"/>
      <c r="I594" s="50"/>
      <c r="J594" s="50"/>
      <c r="K594" s="50"/>
      <c r="L594" s="50"/>
      <c r="M594" s="50"/>
      <c r="N594" s="50"/>
      <c r="O594" s="50"/>
      <c r="P594" s="50"/>
      <c r="Q594" s="50"/>
      <c r="R594" s="50"/>
      <c r="S594" s="50"/>
      <c r="T594" s="50"/>
      <c r="U594" s="50"/>
      <c r="V594" s="50"/>
      <c r="W594" s="50"/>
    </row>
    <row r="595" spans="1:23">
      <c r="A595" s="31" t="s">
        <v>107</v>
      </c>
      <c r="B595" s="32" t="s">
        <v>60</v>
      </c>
      <c r="C595" s="33"/>
      <c r="D595" s="33"/>
      <c r="E595" s="33"/>
      <c r="F595" s="33"/>
      <c r="G595" s="33"/>
      <c r="H595" s="33"/>
      <c r="I595" s="33"/>
      <c r="J595" s="33"/>
      <c r="K595" s="33"/>
      <c r="L595" s="33"/>
      <c r="M595" s="33"/>
      <c r="N595" s="33"/>
      <c r="O595" s="33"/>
      <c r="P595" s="33"/>
      <c r="Q595" s="33"/>
      <c r="R595" s="33"/>
      <c r="S595" s="33"/>
      <c r="T595" s="33"/>
      <c r="U595" s="33"/>
      <c r="V595" s="33"/>
      <c r="W595" s="33"/>
    </row>
    <row r="596" ht="15.6" spans="1:1">
      <c r="A596" s="5" t="s">
        <v>129</v>
      </c>
    </row>
    <row r="597" spans="1:23">
      <c r="A597" s="27" t="s">
        <v>96</v>
      </c>
      <c r="B597" t="s">
        <v>60</v>
      </c>
      <c r="C597" s="14"/>
      <c r="D597" s="14"/>
      <c r="E597" s="14"/>
      <c r="F597" s="14"/>
      <c r="G597" s="14"/>
      <c r="H597" s="14"/>
      <c r="I597" s="14"/>
      <c r="J597" s="14"/>
      <c r="K597" s="14"/>
      <c r="L597" s="14"/>
      <c r="M597" s="14"/>
      <c r="N597" s="14"/>
      <c r="O597" s="14"/>
      <c r="P597" s="14"/>
      <c r="Q597" s="14"/>
      <c r="R597" s="14"/>
      <c r="S597" s="14"/>
      <c r="T597" s="14"/>
      <c r="U597" s="14"/>
      <c r="V597" s="14"/>
      <c r="W597" s="14"/>
    </row>
    <row r="598" spans="1:23">
      <c r="A598" s="27" t="s">
        <v>98</v>
      </c>
      <c r="B598" t="s">
        <v>60</v>
      </c>
      <c r="C598" s="14"/>
      <c r="D598" s="14"/>
      <c r="E598" s="14"/>
      <c r="F598" s="14"/>
      <c r="G598" s="14"/>
      <c r="H598" s="14"/>
      <c r="I598" s="14"/>
      <c r="J598" s="14"/>
      <c r="K598" s="14"/>
      <c r="L598" s="14"/>
      <c r="M598" s="14"/>
      <c r="N598" s="14"/>
      <c r="O598" s="14"/>
      <c r="P598" s="14"/>
      <c r="Q598" s="14"/>
      <c r="R598" s="14"/>
      <c r="S598" s="14"/>
      <c r="T598" s="14"/>
      <c r="U598" s="14"/>
      <c r="V598" s="14"/>
      <c r="W598" s="14"/>
    </row>
    <row r="599" spans="1:23">
      <c r="A599" s="27" t="s">
        <v>100</v>
      </c>
      <c r="B599" t="s">
        <v>60</v>
      </c>
      <c r="C599" s="14"/>
      <c r="D599" s="14"/>
      <c r="E599" s="14"/>
      <c r="F599" s="14"/>
      <c r="G599" s="14"/>
      <c r="H599" s="14"/>
      <c r="I599" s="14"/>
      <c r="J599" s="14"/>
      <c r="K599" s="14"/>
      <c r="L599" s="14"/>
      <c r="M599" s="14"/>
      <c r="N599" s="14"/>
      <c r="O599" s="14"/>
      <c r="P599" s="14"/>
      <c r="Q599" s="14"/>
      <c r="R599" s="14"/>
      <c r="S599" s="14"/>
      <c r="T599" s="14"/>
      <c r="U599" s="14"/>
      <c r="V599" s="14"/>
      <c r="W599" s="14"/>
    </row>
    <row r="600" spans="1:23">
      <c r="A600" s="31" t="s">
        <v>107</v>
      </c>
      <c r="B600" s="32" t="s">
        <v>60</v>
      </c>
      <c r="C600" s="33"/>
      <c r="D600" s="33"/>
      <c r="E600" s="33"/>
      <c r="F600" s="33"/>
      <c r="G600" s="33"/>
      <c r="H600" s="33"/>
      <c r="I600" s="33"/>
      <c r="J600" s="33"/>
      <c r="K600" s="33"/>
      <c r="L600" s="33"/>
      <c r="M600" s="33"/>
      <c r="N600" s="33"/>
      <c r="O600" s="33"/>
      <c r="P600" s="33"/>
      <c r="Q600" s="33"/>
      <c r="R600" s="33"/>
      <c r="S600" s="33"/>
      <c r="T600" s="33"/>
      <c r="U600" s="33"/>
      <c r="V600" s="33"/>
      <c r="W600" s="33"/>
    </row>
    <row r="601" ht="15.6" spans="1:23">
      <c r="A601" s="25" t="s">
        <v>94</v>
      </c>
      <c r="C601" s="10">
        <v>0</v>
      </c>
      <c r="D601" s="10">
        <v>0</v>
      </c>
      <c r="E601" s="10">
        <v>0</v>
      </c>
      <c r="F601" s="10">
        <v>0</v>
      </c>
      <c r="G601" s="10">
        <v>0</v>
      </c>
      <c r="H601" s="10">
        <v>0</v>
      </c>
      <c r="I601" s="10">
        <v>0</v>
      </c>
      <c r="J601" s="10">
        <v>0</v>
      </c>
      <c r="K601" s="10">
        <v>0</v>
      </c>
      <c r="L601" s="10">
        <v>0</v>
      </c>
      <c r="M601" s="10">
        <v>0</v>
      </c>
      <c r="N601" s="10">
        <v>0</v>
      </c>
      <c r="O601" s="10">
        <v>0</v>
      </c>
      <c r="P601" s="10">
        <v>0</v>
      </c>
      <c r="Q601" s="10">
        <v>0</v>
      </c>
      <c r="R601" s="10">
        <v>0</v>
      </c>
      <c r="S601" s="10">
        <v>0</v>
      </c>
      <c r="T601" s="10">
        <v>0</v>
      </c>
      <c r="U601" s="10">
        <v>0</v>
      </c>
      <c r="V601" s="10">
        <v>0</v>
      </c>
      <c r="W601" s="10">
        <v>0</v>
      </c>
    </row>
    <row r="602" ht="15.6" spans="1:23">
      <c r="A602" s="25" t="s">
        <v>111</v>
      </c>
      <c r="B602" t="s">
        <v>112</v>
      </c>
      <c r="C602" s="40">
        <v>200</v>
      </c>
      <c r="D602" s="40">
        <v>200</v>
      </c>
      <c r="E602" s="40">
        <v>200</v>
      </c>
      <c r="F602" s="40">
        <v>200</v>
      </c>
      <c r="G602" s="40">
        <v>200</v>
      </c>
      <c r="H602" s="40">
        <v>200</v>
      </c>
      <c r="I602" s="40">
        <v>200</v>
      </c>
      <c r="J602" s="40">
        <v>200</v>
      </c>
      <c r="K602" s="40">
        <v>200</v>
      </c>
      <c r="L602" s="40">
        <v>200</v>
      </c>
      <c r="M602" s="40">
        <v>200</v>
      </c>
      <c r="N602" s="40">
        <v>200</v>
      </c>
      <c r="O602" s="40">
        <v>200</v>
      </c>
      <c r="P602" s="40">
        <v>200</v>
      </c>
      <c r="Q602" s="40">
        <v>200</v>
      </c>
      <c r="R602" s="40">
        <v>200</v>
      </c>
      <c r="S602" s="40">
        <v>200</v>
      </c>
      <c r="T602" s="40">
        <v>200</v>
      </c>
      <c r="U602" s="40">
        <v>200</v>
      </c>
      <c r="V602" s="40">
        <v>200</v>
      </c>
      <c r="W602" s="40">
        <v>200</v>
      </c>
    </row>
    <row r="603" ht="15.6" spans="1:1">
      <c r="A603" s="5" t="s">
        <v>95</v>
      </c>
    </row>
    <row r="604" ht="15.6" spans="1:23">
      <c r="A604" s="27" t="s">
        <v>96</v>
      </c>
      <c r="B604" t="s">
        <v>108</v>
      </c>
      <c r="C604" s="28">
        <f t="shared" ref="C604:W604" si="44">15/200</f>
        <v>0.075</v>
      </c>
      <c r="D604" s="28">
        <f t="shared" si="44"/>
        <v>0.075</v>
      </c>
      <c r="E604" s="28">
        <f t="shared" si="44"/>
        <v>0.075</v>
      </c>
      <c r="F604" s="28">
        <f t="shared" si="44"/>
        <v>0.075</v>
      </c>
      <c r="G604" s="28">
        <f t="shared" si="44"/>
        <v>0.075</v>
      </c>
      <c r="H604" s="28">
        <f t="shared" si="44"/>
        <v>0.075</v>
      </c>
      <c r="I604" s="28">
        <f t="shared" si="44"/>
        <v>0.075</v>
      </c>
      <c r="J604" s="28">
        <f t="shared" si="44"/>
        <v>0.075</v>
      </c>
      <c r="K604" s="28">
        <f t="shared" si="44"/>
        <v>0.075</v>
      </c>
      <c r="L604" s="28">
        <f t="shared" si="44"/>
        <v>0.075</v>
      </c>
      <c r="M604" s="28">
        <f t="shared" si="44"/>
        <v>0.075</v>
      </c>
      <c r="N604" s="28">
        <f t="shared" si="44"/>
        <v>0.075</v>
      </c>
      <c r="O604" s="28">
        <f t="shared" si="44"/>
        <v>0.075</v>
      </c>
      <c r="P604" s="28">
        <f t="shared" si="44"/>
        <v>0.075</v>
      </c>
      <c r="Q604" s="28">
        <f t="shared" si="44"/>
        <v>0.075</v>
      </c>
      <c r="R604" s="28">
        <f t="shared" si="44"/>
        <v>0.075</v>
      </c>
      <c r="S604" s="28">
        <f t="shared" si="44"/>
        <v>0.075</v>
      </c>
      <c r="T604" s="28">
        <f t="shared" si="44"/>
        <v>0.075</v>
      </c>
      <c r="U604" s="28">
        <f t="shared" si="44"/>
        <v>0.075</v>
      </c>
      <c r="V604" s="28">
        <f t="shared" si="44"/>
        <v>0.075</v>
      </c>
      <c r="W604" s="28">
        <f t="shared" si="44"/>
        <v>0.075</v>
      </c>
    </row>
    <row r="605" ht="15.6" spans="1:23">
      <c r="A605" s="27" t="s">
        <v>98</v>
      </c>
      <c r="B605" t="s">
        <v>109</v>
      </c>
      <c r="C605" s="28">
        <f t="shared" ref="C605:W605" si="45">1.5/200</f>
        <v>0.0075</v>
      </c>
      <c r="D605" s="28">
        <f t="shared" si="45"/>
        <v>0.0075</v>
      </c>
      <c r="E605" s="28">
        <f t="shared" si="45"/>
        <v>0.0075</v>
      </c>
      <c r="F605" s="28">
        <f t="shared" si="45"/>
        <v>0.0075</v>
      </c>
      <c r="G605" s="28">
        <f t="shared" si="45"/>
        <v>0.0075</v>
      </c>
      <c r="H605" s="28">
        <f t="shared" si="45"/>
        <v>0.0075</v>
      </c>
      <c r="I605" s="28">
        <f t="shared" si="45"/>
        <v>0.0075</v>
      </c>
      <c r="J605" s="28">
        <f t="shared" si="45"/>
        <v>0.0075</v>
      </c>
      <c r="K605" s="28">
        <f t="shared" si="45"/>
        <v>0.0075</v>
      </c>
      <c r="L605" s="28">
        <f t="shared" si="45"/>
        <v>0.0075</v>
      </c>
      <c r="M605" s="28">
        <f t="shared" si="45"/>
        <v>0.0075</v>
      </c>
      <c r="N605" s="28">
        <f t="shared" si="45"/>
        <v>0.0075</v>
      </c>
      <c r="O605" s="28">
        <f t="shared" si="45"/>
        <v>0.0075</v>
      </c>
      <c r="P605" s="28">
        <f t="shared" si="45"/>
        <v>0.0075</v>
      </c>
      <c r="Q605" s="28">
        <f t="shared" si="45"/>
        <v>0.0075</v>
      </c>
      <c r="R605" s="28">
        <f t="shared" si="45"/>
        <v>0.0075</v>
      </c>
      <c r="S605" s="28">
        <f t="shared" si="45"/>
        <v>0.0075</v>
      </c>
      <c r="T605" s="28">
        <f t="shared" si="45"/>
        <v>0.0075</v>
      </c>
      <c r="U605" s="28">
        <f t="shared" si="45"/>
        <v>0.0075</v>
      </c>
      <c r="V605" s="28">
        <f t="shared" si="45"/>
        <v>0.0075</v>
      </c>
      <c r="W605" s="28">
        <f t="shared" si="45"/>
        <v>0.0075</v>
      </c>
    </row>
    <row r="606" ht="15.6" spans="1:23">
      <c r="A606" s="27" t="s">
        <v>100</v>
      </c>
      <c r="B606" t="s">
        <v>60</v>
      </c>
      <c r="C606" s="28">
        <f t="shared" ref="C606:W606" si="46">50/200</f>
        <v>0.25</v>
      </c>
      <c r="D606" s="28">
        <f t="shared" si="46"/>
        <v>0.25</v>
      </c>
      <c r="E606" s="28">
        <f t="shared" si="46"/>
        <v>0.25</v>
      </c>
      <c r="F606" s="28">
        <f t="shared" si="46"/>
        <v>0.25</v>
      </c>
      <c r="G606" s="28">
        <f t="shared" si="46"/>
        <v>0.25</v>
      </c>
      <c r="H606" s="28">
        <f t="shared" si="46"/>
        <v>0.25</v>
      </c>
      <c r="I606" s="28">
        <f t="shared" si="46"/>
        <v>0.25</v>
      </c>
      <c r="J606" s="28">
        <f t="shared" si="46"/>
        <v>0.25</v>
      </c>
      <c r="K606" s="28">
        <f t="shared" si="46"/>
        <v>0.25</v>
      </c>
      <c r="L606" s="28">
        <f t="shared" si="46"/>
        <v>0.25</v>
      </c>
      <c r="M606" s="28">
        <f t="shared" si="46"/>
        <v>0.25</v>
      </c>
      <c r="N606" s="28">
        <f t="shared" si="46"/>
        <v>0.25</v>
      </c>
      <c r="O606" s="28">
        <f t="shared" si="46"/>
        <v>0.25</v>
      </c>
      <c r="P606" s="28">
        <f t="shared" si="46"/>
        <v>0.25</v>
      </c>
      <c r="Q606" s="28">
        <f t="shared" si="46"/>
        <v>0.25</v>
      </c>
      <c r="R606" s="28">
        <f t="shared" si="46"/>
        <v>0.25</v>
      </c>
      <c r="S606" s="28">
        <f t="shared" si="46"/>
        <v>0.25</v>
      </c>
      <c r="T606" s="28">
        <f t="shared" si="46"/>
        <v>0.25</v>
      </c>
      <c r="U606" s="28">
        <f t="shared" si="46"/>
        <v>0.25</v>
      </c>
      <c r="V606" s="28">
        <f t="shared" si="46"/>
        <v>0.25</v>
      </c>
      <c r="W606" s="28">
        <f t="shared" si="46"/>
        <v>0.25</v>
      </c>
    </row>
    <row r="607" ht="15.6" spans="1:1">
      <c r="A607" s="5" t="s">
        <v>102</v>
      </c>
    </row>
    <row r="608" spans="1:23">
      <c r="A608" s="27" t="s">
        <v>96</v>
      </c>
      <c r="B608" t="s">
        <v>108</v>
      </c>
      <c r="C608" s="14"/>
      <c r="D608" s="14"/>
      <c r="E608" s="14"/>
      <c r="F608" s="14"/>
      <c r="G608" s="14"/>
      <c r="H608" s="14"/>
      <c r="I608" s="14"/>
      <c r="J608" s="14"/>
      <c r="K608" s="14"/>
      <c r="L608" s="14"/>
      <c r="M608" s="14"/>
      <c r="N608" s="14"/>
      <c r="O608" s="14"/>
      <c r="P608" s="14"/>
      <c r="Q608" s="14"/>
      <c r="R608" s="14"/>
      <c r="S608" s="14"/>
      <c r="T608" s="14"/>
      <c r="U608" s="14"/>
      <c r="V608" s="14"/>
      <c r="W608" s="14"/>
    </row>
    <row r="609" spans="1:23">
      <c r="A609" s="27" t="s">
        <v>98</v>
      </c>
      <c r="B609" t="s">
        <v>109</v>
      </c>
      <c r="C609" s="14"/>
      <c r="D609" s="14"/>
      <c r="E609" s="14"/>
      <c r="F609" s="14"/>
      <c r="G609" s="14"/>
      <c r="H609" s="14"/>
      <c r="I609" s="14"/>
      <c r="J609" s="14"/>
      <c r="K609" s="14"/>
      <c r="L609" s="14"/>
      <c r="M609" s="14"/>
      <c r="N609" s="14"/>
      <c r="O609" s="14"/>
      <c r="P609" s="14"/>
      <c r="Q609" s="14"/>
      <c r="R609" s="14"/>
      <c r="S609" s="14"/>
      <c r="T609" s="14"/>
      <c r="U609" s="14"/>
      <c r="V609" s="14"/>
      <c r="W609" s="14"/>
    </row>
    <row r="610" spans="1:23">
      <c r="A610" s="27" t="s">
        <v>100</v>
      </c>
      <c r="B610" t="s">
        <v>60</v>
      </c>
      <c r="C610" s="14"/>
      <c r="D610" s="14"/>
      <c r="E610" s="14"/>
      <c r="F610" s="14"/>
      <c r="G610" s="14"/>
      <c r="H610" s="14"/>
      <c r="I610" s="14"/>
      <c r="J610" s="14"/>
      <c r="K610" s="14"/>
      <c r="L610" s="14"/>
      <c r="M610" s="14"/>
      <c r="N610" s="14"/>
      <c r="O610" s="14"/>
      <c r="P610" s="14"/>
      <c r="Q610" s="14"/>
      <c r="R610" s="14"/>
      <c r="S610" s="14"/>
      <c r="T610" s="14"/>
      <c r="U610" s="14"/>
      <c r="V610" s="14"/>
      <c r="W610" s="14"/>
    </row>
    <row r="611" ht="15.6" spans="1:1">
      <c r="A611" s="5" t="s">
        <v>110</v>
      </c>
    </row>
    <row r="612" spans="1:23">
      <c r="A612" s="27" t="s">
        <v>96</v>
      </c>
      <c r="B612" t="s">
        <v>60</v>
      </c>
      <c r="C612" s="14"/>
      <c r="D612" s="14"/>
      <c r="E612" s="14"/>
      <c r="F612" s="14"/>
      <c r="G612" s="14"/>
      <c r="H612" s="14"/>
      <c r="I612" s="14"/>
      <c r="J612" s="14"/>
      <c r="K612" s="14"/>
      <c r="L612" s="14"/>
      <c r="M612" s="14"/>
      <c r="N612" s="14"/>
      <c r="O612" s="14"/>
      <c r="P612" s="14"/>
      <c r="Q612" s="14"/>
      <c r="R612" s="14"/>
      <c r="S612" s="14"/>
      <c r="T612" s="14"/>
      <c r="U612" s="14"/>
      <c r="V612" s="14"/>
      <c r="W612" s="14"/>
    </row>
    <row r="613" spans="1:23">
      <c r="A613" s="27" t="s">
        <v>98</v>
      </c>
      <c r="B613" t="s">
        <v>60</v>
      </c>
      <c r="C613" s="14"/>
      <c r="D613" s="14"/>
      <c r="E613" s="14"/>
      <c r="F613" s="14"/>
      <c r="G613" s="14"/>
      <c r="H613" s="14"/>
      <c r="I613" s="14"/>
      <c r="J613" s="14"/>
      <c r="K613" s="14"/>
      <c r="L613" s="14"/>
      <c r="M613" s="14"/>
      <c r="N613" s="14"/>
      <c r="O613" s="14"/>
      <c r="P613" s="14"/>
      <c r="Q613" s="14"/>
      <c r="R613" s="14"/>
      <c r="S613" s="14"/>
      <c r="T613" s="14"/>
      <c r="U613" s="14"/>
      <c r="V613" s="14"/>
      <c r="W613" s="14"/>
    </row>
    <row r="614" spans="1:23">
      <c r="A614" s="27" t="s">
        <v>100</v>
      </c>
      <c r="B614" t="s">
        <v>60</v>
      </c>
      <c r="C614" s="39"/>
      <c r="D614" s="39"/>
      <c r="E614" s="39"/>
      <c r="F614" s="39"/>
      <c r="G614" s="39"/>
      <c r="H614" s="39"/>
      <c r="I614" s="39"/>
      <c r="J614" s="39"/>
      <c r="K614" s="39"/>
      <c r="L614" s="39"/>
      <c r="M614" s="39"/>
      <c r="N614" s="39"/>
      <c r="O614" s="39"/>
      <c r="P614" s="39"/>
      <c r="Q614" s="39"/>
      <c r="R614" s="39"/>
      <c r="S614" s="39"/>
      <c r="T614" s="39"/>
      <c r="U614" s="39"/>
      <c r="V614" s="39"/>
      <c r="W614" s="39"/>
    </row>
    <row r="615" ht="15.6" spans="1:1">
      <c r="A615" s="5" t="s">
        <v>105</v>
      </c>
    </row>
    <row r="616" spans="1:23">
      <c r="A616" s="27" t="s">
        <v>96</v>
      </c>
      <c r="B616" t="s">
        <v>60</v>
      </c>
      <c r="C616" s="50"/>
      <c r="D616" s="50"/>
      <c r="E616" s="50"/>
      <c r="F616" s="50"/>
      <c r="G616" s="50"/>
      <c r="H616" s="50"/>
      <c r="I616" s="50"/>
      <c r="J616" s="50"/>
      <c r="K616" s="50"/>
      <c r="L616" s="50"/>
      <c r="M616" s="50"/>
      <c r="N616" s="50"/>
      <c r="O616" s="50"/>
      <c r="P616" s="50"/>
      <c r="Q616" s="50"/>
      <c r="R616" s="50"/>
      <c r="S616" s="50"/>
      <c r="T616" s="50"/>
      <c r="U616" s="50"/>
      <c r="V616" s="50"/>
      <c r="W616" s="50"/>
    </row>
    <row r="617" spans="1:23">
      <c r="A617" s="27" t="s">
        <v>98</v>
      </c>
      <c r="B617" t="s">
        <v>60</v>
      </c>
      <c r="C617" s="50"/>
      <c r="D617" s="50"/>
      <c r="E617" s="50"/>
      <c r="F617" s="50"/>
      <c r="G617" s="50"/>
      <c r="H617" s="50"/>
      <c r="I617" s="50"/>
      <c r="J617" s="50"/>
      <c r="K617" s="50"/>
      <c r="L617" s="50"/>
      <c r="M617" s="50"/>
      <c r="N617" s="50"/>
      <c r="O617" s="50"/>
      <c r="P617" s="50"/>
      <c r="Q617" s="50"/>
      <c r="R617" s="50"/>
      <c r="S617" s="50"/>
      <c r="T617" s="50"/>
      <c r="U617" s="50"/>
      <c r="V617" s="50"/>
      <c r="W617" s="50"/>
    </row>
    <row r="618" spans="1:23">
      <c r="A618" s="27" t="s">
        <v>100</v>
      </c>
      <c r="B618" t="s">
        <v>60</v>
      </c>
      <c r="C618" s="50"/>
      <c r="D618" s="50"/>
      <c r="E618" s="50"/>
      <c r="F618" s="50"/>
      <c r="G618" s="50"/>
      <c r="H618" s="50"/>
      <c r="I618" s="50"/>
      <c r="J618" s="50"/>
      <c r="K618" s="50"/>
      <c r="L618" s="50"/>
      <c r="M618" s="50"/>
      <c r="N618" s="50"/>
      <c r="O618" s="50"/>
      <c r="P618" s="50"/>
      <c r="Q618" s="50"/>
      <c r="R618" s="50"/>
      <c r="S618" s="50"/>
      <c r="T618" s="50"/>
      <c r="U618" s="50"/>
      <c r="V618" s="50"/>
      <c r="W618" s="50"/>
    </row>
    <row r="619" spans="1:23">
      <c r="A619" s="31" t="s">
        <v>107</v>
      </c>
      <c r="B619" s="32" t="s">
        <v>60</v>
      </c>
      <c r="C619" s="33"/>
      <c r="D619" s="33"/>
      <c r="E619" s="33"/>
      <c r="F619" s="33"/>
      <c r="G619" s="33"/>
      <c r="H619" s="33"/>
      <c r="I619" s="33"/>
      <c r="J619" s="33"/>
      <c r="K619" s="33"/>
      <c r="L619" s="33"/>
      <c r="M619" s="33"/>
      <c r="N619" s="33"/>
      <c r="O619" s="33"/>
      <c r="P619" s="33"/>
      <c r="Q619" s="33"/>
      <c r="R619" s="33"/>
      <c r="S619" s="33"/>
      <c r="T619" s="33"/>
      <c r="U619" s="33"/>
      <c r="V619" s="33"/>
      <c r="W619" s="33"/>
    </row>
    <row r="620" ht="15.6" spans="1:23">
      <c r="A620" s="25" t="s">
        <v>94</v>
      </c>
      <c r="C620" s="12"/>
      <c r="D620" s="12"/>
      <c r="E620" s="12"/>
      <c r="F620" s="12"/>
      <c r="G620" s="12"/>
      <c r="H620" s="12"/>
      <c r="I620" s="12"/>
      <c r="J620" s="12"/>
      <c r="K620" s="12"/>
      <c r="L620" s="12"/>
      <c r="M620" s="12"/>
      <c r="N620" s="12"/>
      <c r="O620" s="12"/>
      <c r="P620" s="12"/>
      <c r="Q620" s="12"/>
      <c r="R620" s="12"/>
      <c r="S620" s="12"/>
      <c r="T620" s="12"/>
      <c r="U620" s="12"/>
      <c r="V620" s="12"/>
      <c r="W620" s="12"/>
    </row>
    <row r="621" ht="15.6" spans="1:23">
      <c r="A621" s="25" t="s">
        <v>113</v>
      </c>
      <c r="B621" t="s">
        <v>114</v>
      </c>
      <c r="C621" s="40">
        <v>35</v>
      </c>
      <c r="D621" s="40">
        <v>35</v>
      </c>
      <c r="E621" s="40">
        <v>35</v>
      </c>
      <c r="F621" s="40">
        <v>35</v>
      </c>
      <c r="G621" s="40">
        <v>35</v>
      </c>
      <c r="H621" s="40">
        <v>35</v>
      </c>
      <c r="I621" s="40">
        <v>35</v>
      </c>
      <c r="J621" s="40">
        <v>35</v>
      </c>
      <c r="K621" s="40">
        <v>35</v>
      </c>
      <c r="L621" s="40">
        <v>35</v>
      </c>
      <c r="M621" s="40">
        <v>35</v>
      </c>
      <c r="N621" s="40">
        <v>35</v>
      </c>
      <c r="O621" s="40">
        <v>35</v>
      </c>
      <c r="P621" s="40">
        <v>35</v>
      </c>
      <c r="Q621" s="40">
        <v>35</v>
      </c>
      <c r="R621" s="40">
        <v>35</v>
      </c>
      <c r="S621" s="40">
        <v>35</v>
      </c>
      <c r="T621" s="40">
        <v>35</v>
      </c>
      <c r="U621" s="40">
        <v>35</v>
      </c>
      <c r="V621" s="40">
        <v>35</v>
      </c>
      <c r="W621" s="40">
        <v>35</v>
      </c>
    </row>
    <row r="622" ht="15.6" spans="1:23">
      <c r="A622" s="25" t="s">
        <v>115</v>
      </c>
      <c r="B622" t="s">
        <v>116</v>
      </c>
      <c r="C622" s="40">
        <v>50</v>
      </c>
      <c r="D622" s="40">
        <v>50</v>
      </c>
      <c r="E622" s="40">
        <v>50</v>
      </c>
      <c r="F622" s="40">
        <v>50</v>
      </c>
      <c r="G622" s="40">
        <v>50</v>
      </c>
      <c r="H622" s="40">
        <v>50</v>
      </c>
      <c r="I622" s="40">
        <v>50</v>
      </c>
      <c r="J622" s="40">
        <v>50</v>
      </c>
      <c r="K622" s="40">
        <v>50</v>
      </c>
      <c r="L622" s="40">
        <v>50</v>
      </c>
      <c r="M622" s="40">
        <v>50</v>
      </c>
      <c r="N622" s="40">
        <v>50</v>
      </c>
      <c r="O622" s="40">
        <v>50</v>
      </c>
      <c r="P622" s="40">
        <v>50</v>
      </c>
      <c r="Q622" s="40">
        <v>50</v>
      </c>
      <c r="R622" s="40">
        <v>50</v>
      </c>
      <c r="S622" s="40">
        <v>50</v>
      </c>
      <c r="T622" s="40">
        <v>50</v>
      </c>
      <c r="U622" s="40">
        <v>50</v>
      </c>
      <c r="V622" s="40">
        <v>50</v>
      </c>
      <c r="W622" s="40">
        <v>50</v>
      </c>
    </row>
    <row r="623" ht="15.6" spans="1:1">
      <c r="A623" s="5" t="s">
        <v>95</v>
      </c>
    </row>
    <row r="624" ht="15.6" spans="1:23">
      <c r="A624" s="27" t="s">
        <v>117</v>
      </c>
      <c r="B624" t="s">
        <v>118</v>
      </c>
      <c r="C624" s="42">
        <v>45</v>
      </c>
      <c r="D624" s="42">
        <v>45</v>
      </c>
      <c r="E624" s="42">
        <v>45</v>
      </c>
      <c r="F624" s="42">
        <v>45</v>
      </c>
      <c r="G624" s="42">
        <v>45</v>
      </c>
      <c r="H624" s="42">
        <v>45</v>
      </c>
      <c r="I624" s="42">
        <v>45</v>
      </c>
      <c r="J624" s="42">
        <v>45</v>
      </c>
      <c r="K624" s="42">
        <v>45</v>
      </c>
      <c r="L624" s="42">
        <v>45</v>
      </c>
      <c r="M624" s="42">
        <v>45</v>
      </c>
      <c r="N624" s="42">
        <v>45</v>
      </c>
      <c r="O624" s="42">
        <v>45</v>
      </c>
      <c r="P624" s="42">
        <v>45</v>
      </c>
      <c r="Q624" s="42">
        <v>45</v>
      </c>
      <c r="R624" s="42">
        <v>45</v>
      </c>
      <c r="S624" s="42">
        <v>45</v>
      </c>
      <c r="T624" s="42">
        <v>45</v>
      </c>
      <c r="U624" s="42">
        <v>45</v>
      </c>
      <c r="V624" s="42">
        <v>45</v>
      </c>
      <c r="W624" s="42">
        <v>45</v>
      </c>
    </row>
    <row r="625" ht="15.6" spans="1:23">
      <c r="A625" s="27" t="s">
        <v>96</v>
      </c>
      <c r="B625" t="s">
        <v>119</v>
      </c>
      <c r="C625" s="43">
        <v>0.01</v>
      </c>
      <c r="D625" s="43">
        <v>0.01</v>
      </c>
      <c r="E625" s="43">
        <v>0.01</v>
      </c>
      <c r="F625" s="43">
        <v>0.01</v>
      </c>
      <c r="G625" s="43">
        <v>0.01</v>
      </c>
      <c r="H625" s="43">
        <v>0.01</v>
      </c>
      <c r="I625" s="43">
        <v>0.01</v>
      </c>
      <c r="J625" s="43">
        <v>0.01</v>
      </c>
      <c r="K625" s="43">
        <v>0.01</v>
      </c>
      <c r="L625" s="43">
        <v>0.01</v>
      </c>
      <c r="M625" s="43">
        <v>0.01</v>
      </c>
      <c r="N625" s="43">
        <v>0.01</v>
      </c>
      <c r="O625" s="43">
        <v>0.01</v>
      </c>
      <c r="P625" s="43">
        <v>0.01</v>
      </c>
      <c r="Q625" s="43">
        <v>0.01</v>
      </c>
      <c r="R625" s="43">
        <v>0.01</v>
      </c>
      <c r="S625" s="43">
        <v>0.01</v>
      </c>
      <c r="T625" s="43">
        <v>0.01</v>
      </c>
      <c r="U625" s="43">
        <v>0.01</v>
      </c>
      <c r="V625" s="43">
        <v>0.01</v>
      </c>
      <c r="W625" s="43">
        <v>0.01</v>
      </c>
    </row>
    <row r="626" ht="15.6" spans="1:23">
      <c r="A626" s="27" t="s">
        <v>98</v>
      </c>
      <c r="B626" t="s">
        <v>120</v>
      </c>
      <c r="C626" s="43">
        <f t="shared" ref="C626:W626" si="47">1.5*2.7556/2</f>
        <v>2.0667</v>
      </c>
      <c r="D626" s="43">
        <f t="shared" si="47"/>
        <v>2.0667</v>
      </c>
      <c r="E626" s="43">
        <f t="shared" si="47"/>
        <v>2.0667</v>
      </c>
      <c r="F626" s="43">
        <f t="shared" si="47"/>
        <v>2.0667</v>
      </c>
      <c r="G626" s="43">
        <f t="shared" si="47"/>
        <v>2.0667</v>
      </c>
      <c r="H626" s="43">
        <f t="shared" si="47"/>
        <v>2.0667</v>
      </c>
      <c r="I626" s="43">
        <f t="shared" si="47"/>
        <v>2.0667</v>
      </c>
      <c r="J626" s="43">
        <f t="shared" si="47"/>
        <v>2.0667</v>
      </c>
      <c r="K626" s="43">
        <f t="shared" si="47"/>
        <v>2.0667</v>
      </c>
      <c r="L626" s="43">
        <f t="shared" si="47"/>
        <v>2.0667</v>
      </c>
      <c r="M626" s="43">
        <f t="shared" si="47"/>
        <v>2.0667</v>
      </c>
      <c r="N626" s="43">
        <f t="shared" si="47"/>
        <v>2.0667</v>
      </c>
      <c r="O626" s="43">
        <f t="shared" si="47"/>
        <v>2.0667</v>
      </c>
      <c r="P626" s="43">
        <f t="shared" si="47"/>
        <v>2.0667</v>
      </c>
      <c r="Q626" s="43">
        <f t="shared" si="47"/>
        <v>2.0667</v>
      </c>
      <c r="R626" s="43">
        <f t="shared" si="47"/>
        <v>2.0667</v>
      </c>
      <c r="S626" s="43">
        <f t="shared" si="47"/>
        <v>2.0667</v>
      </c>
      <c r="T626" s="43">
        <f t="shared" si="47"/>
        <v>2.0667</v>
      </c>
      <c r="U626" s="43">
        <f t="shared" si="47"/>
        <v>2.0667</v>
      </c>
      <c r="V626" s="43">
        <f t="shared" si="47"/>
        <v>2.0667</v>
      </c>
      <c r="W626" s="43">
        <f t="shared" si="47"/>
        <v>2.0667</v>
      </c>
    </row>
    <row r="627" ht="15.6" spans="1:23">
      <c r="A627" s="27" t="s">
        <v>100</v>
      </c>
      <c r="B627" t="s">
        <v>121</v>
      </c>
      <c r="C627" s="28">
        <v>0.5</v>
      </c>
      <c r="D627" s="28">
        <v>0.5</v>
      </c>
      <c r="E627" s="28">
        <v>0.5</v>
      </c>
      <c r="F627" s="28">
        <v>0.5</v>
      </c>
      <c r="G627" s="28">
        <v>0.5</v>
      </c>
      <c r="H627" s="28">
        <v>0.5</v>
      </c>
      <c r="I627" s="28">
        <v>0.5</v>
      </c>
      <c r="J627" s="28">
        <v>0.5</v>
      </c>
      <c r="K627" s="28">
        <v>0.5</v>
      </c>
      <c r="L627" s="28">
        <v>0.5</v>
      </c>
      <c r="M627" s="28">
        <v>0.5</v>
      </c>
      <c r="N627" s="28">
        <v>0.5</v>
      </c>
      <c r="O627" s="28">
        <v>0.5</v>
      </c>
      <c r="P627" s="28">
        <v>0.5</v>
      </c>
      <c r="Q627" s="28">
        <v>0.5</v>
      </c>
      <c r="R627" s="28">
        <v>0.5</v>
      </c>
      <c r="S627" s="28">
        <v>0.5</v>
      </c>
      <c r="T627" s="28">
        <v>0.5</v>
      </c>
      <c r="U627" s="28">
        <v>0.5</v>
      </c>
      <c r="V627" s="28">
        <v>0.5</v>
      </c>
      <c r="W627" s="28">
        <v>0.5</v>
      </c>
    </row>
    <row r="628" ht="15.6" spans="1:23">
      <c r="A628" s="27" t="s">
        <v>122</v>
      </c>
      <c r="B628" t="s">
        <v>45</v>
      </c>
      <c r="C628" s="44"/>
      <c r="D628" s="44"/>
      <c r="E628" s="44"/>
      <c r="F628" s="44"/>
      <c r="G628" s="44"/>
      <c r="H628" s="44"/>
      <c r="I628" s="44"/>
      <c r="J628" s="44"/>
      <c r="K628" s="44"/>
      <c r="L628" s="44"/>
      <c r="M628" s="44"/>
      <c r="N628" s="44"/>
      <c r="O628" s="44"/>
      <c r="P628" s="44"/>
      <c r="Q628" s="44"/>
      <c r="R628" s="44"/>
      <c r="S628" s="44"/>
      <c r="T628" s="44"/>
      <c r="U628" s="44"/>
      <c r="V628" s="44"/>
      <c r="W628" s="44"/>
    </row>
    <row r="629" ht="15.6" spans="1:23">
      <c r="A629" s="27" t="s">
        <v>123</v>
      </c>
      <c r="B629" s="9" t="s">
        <v>51</v>
      </c>
      <c r="C629" s="44"/>
      <c r="D629" s="44"/>
      <c r="E629" s="44"/>
      <c r="F629" s="44"/>
      <c r="G629" s="44"/>
      <c r="H629" s="44"/>
      <c r="I629" s="44"/>
      <c r="J629" s="44"/>
      <c r="K629" s="44"/>
      <c r="L629" s="44"/>
      <c r="M629" s="44"/>
      <c r="N629" s="44"/>
      <c r="O629" s="44"/>
      <c r="P629" s="44"/>
      <c r="Q629" s="44"/>
      <c r="R629" s="44"/>
      <c r="S629" s="44"/>
      <c r="T629" s="44"/>
      <c r="U629" s="44"/>
      <c r="V629" s="44"/>
      <c r="W629" s="44"/>
    </row>
    <row r="630" ht="15.6" spans="1:23">
      <c r="A630" s="27" t="s">
        <v>124</v>
      </c>
      <c r="B630" s="9" t="s">
        <v>51</v>
      </c>
      <c r="C630" s="44"/>
      <c r="D630" s="44"/>
      <c r="E630" s="44"/>
      <c r="F630" s="44"/>
      <c r="G630" s="44"/>
      <c r="H630" s="44"/>
      <c r="I630" s="44"/>
      <c r="J630" s="44"/>
      <c r="K630" s="44"/>
      <c r="L630" s="44"/>
      <c r="M630" s="44"/>
      <c r="N630" s="44"/>
      <c r="O630" s="44"/>
      <c r="P630" s="44"/>
      <c r="Q630" s="44"/>
      <c r="R630" s="44"/>
      <c r="S630" s="44"/>
      <c r="T630" s="44"/>
      <c r="U630" s="44"/>
      <c r="V630" s="44"/>
      <c r="W630" s="44"/>
    </row>
    <row r="631" ht="15.6" spans="1:1">
      <c r="A631" s="5" t="s">
        <v>102</v>
      </c>
    </row>
    <row r="632" spans="1:23">
      <c r="A632" s="27" t="s">
        <v>96</v>
      </c>
      <c r="B632" t="s">
        <v>119</v>
      </c>
      <c r="C632" s="45"/>
      <c r="D632" s="45"/>
      <c r="E632" s="45"/>
      <c r="F632" s="45"/>
      <c r="G632" s="45"/>
      <c r="H632" s="45"/>
      <c r="I632" s="45"/>
      <c r="J632" s="45"/>
      <c r="K632" s="45"/>
      <c r="L632" s="45"/>
      <c r="M632" s="45"/>
      <c r="N632" s="45"/>
      <c r="O632" s="45"/>
      <c r="P632" s="45"/>
      <c r="Q632" s="45"/>
      <c r="R632" s="45"/>
      <c r="S632" s="45"/>
      <c r="T632" s="45"/>
      <c r="U632" s="45"/>
      <c r="V632" s="45"/>
      <c r="W632" s="45"/>
    </row>
    <row r="633" spans="1:23">
      <c r="A633" s="27" t="s">
        <v>98</v>
      </c>
      <c r="B633" t="s">
        <v>120</v>
      </c>
      <c r="C633" s="45"/>
      <c r="D633" s="45"/>
      <c r="E633" s="45"/>
      <c r="F633" s="45"/>
      <c r="G633" s="45"/>
      <c r="H633" s="45"/>
      <c r="I633" s="45"/>
      <c r="J633" s="45"/>
      <c r="K633" s="45"/>
      <c r="L633" s="45"/>
      <c r="M633" s="45"/>
      <c r="N633" s="45"/>
      <c r="O633" s="45"/>
      <c r="P633" s="45"/>
      <c r="Q633" s="45"/>
      <c r="R633" s="45"/>
      <c r="S633" s="45"/>
      <c r="T633" s="45"/>
      <c r="U633" s="45"/>
      <c r="V633" s="45"/>
      <c r="W633" s="45"/>
    </row>
    <row r="634" spans="1:23">
      <c r="A634" s="27" t="s">
        <v>100</v>
      </c>
      <c r="B634" t="s">
        <v>121</v>
      </c>
      <c r="C634" s="45"/>
      <c r="D634" s="45"/>
      <c r="E634" s="45"/>
      <c r="F634" s="45"/>
      <c r="G634" s="45"/>
      <c r="H634" s="45"/>
      <c r="I634" s="45"/>
      <c r="J634" s="45"/>
      <c r="K634" s="45"/>
      <c r="L634" s="45"/>
      <c r="M634" s="45"/>
      <c r="N634" s="45"/>
      <c r="O634" s="45"/>
      <c r="P634" s="45"/>
      <c r="Q634" s="45"/>
      <c r="R634" s="45"/>
      <c r="S634" s="45"/>
      <c r="T634" s="45"/>
      <c r="U634" s="45"/>
      <c r="V634" s="45"/>
      <c r="W634" s="45"/>
    </row>
    <row r="635" ht="15.6" spans="1:1">
      <c r="A635" s="5" t="s">
        <v>125</v>
      </c>
    </row>
    <row r="636" spans="1:23">
      <c r="A636" s="27" t="s">
        <v>96</v>
      </c>
      <c r="B636" t="s">
        <v>119</v>
      </c>
      <c r="C636" s="45"/>
      <c r="D636" s="45"/>
      <c r="E636" s="45"/>
      <c r="F636" s="45"/>
      <c r="G636" s="45"/>
      <c r="H636" s="45"/>
      <c r="I636" s="45"/>
      <c r="J636" s="45"/>
      <c r="K636" s="45"/>
      <c r="L636" s="45"/>
      <c r="M636" s="45"/>
      <c r="N636" s="45"/>
      <c r="O636" s="45"/>
      <c r="P636" s="45"/>
      <c r="Q636" s="45"/>
      <c r="R636" s="45"/>
      <c r="S636" s="45"/>
      <c r="T636" s="45"/>
      <c r="U636" s="45"/>
      <c r="V636" s="45"/>
      <c r="W636" s="45"/>
    </row>
    <row r="637" spans="1:23">
      <c r="A637" s="27" t="s">
        <v>98</v>
      </c>
      <c r="B637" t="s">
        <v>126</v>
      </c>
      <c r="C637" s="45"/>
      <c r="D637" s="45"/>
      <c r="E637" s="45"/>
      <c r="F637" s="45"/>
      <c r="G637" s="45"/>
      <c r="H637" s="45"/>
      <c r="I637" s="45"/>
      <c r="J637" s="45"/>
      <c r="K637" s="45"/>
      <c r="L637" s="45"/>
      <c r="M637" s="45"/>
      <c r="N637" s="45"/>
      <c r="O637" s="45"/>
      <c r="P637" s="45"/>
      <c r="Q637" s="45"/>
      <c r="R637" s="45"/>
      <c r="S637" s="45"/>
      <c r="T637" s="45"/>
      <c r="U637" s="45"/>
      <c r="V637" s="45"/>
      <c r="W637" s="45"/>
    </row>
    <row r="638" spans="1:23">
      <c r="A638" s="27" t="s">
        <v>100</v>
      </c>
      <c r="B638" t="s">
        <v>121</v>
      </c>
      <c r="C638" s="45"/>
      <c r="D638" s="45"/>
      <c r="E638" s="45"/>
      <c r="F638" s="45"/>
      <c r="G638" s="45"/>
      <c r="H638" s="45"/>
      <c r="I638" s="45"/>
      <c r="J638" s="45"/>
      <c r="K638" s="45"/>
      <c r="L638" s="45"/>
      <c r="M638" s="45"/>
      <c r="N638" s="45"/>
      <c r="O638" s="45"/>
      <c r="P638" s="45"/>
      <c r="Q638" s="45"/>
      <c r="R638" s="45"/>
      <c r="S638" s="45"/>
      <c r="T638" s="45"/>
      <c r="U638" s="45"/>
      <c r="V638" s="45"/>
      <c r="W638" s="45"/>
    </row>
    <row r="639" ht="15.6" spans="1:1">
      <c r="A639" s="5" t="s">
        <v>127</v>
      </c>
    </row>
    <row r="640" spans="1:23">
      <c r="A640" s="27" t="s">
        <v>96</v>
      </c>
      <c r="B640" t="s">
        <v>60</v>
      </c>
      <c r="C640" s="45"/>
      <c r="D640" s="45"/>
      <c r="E640" s="45"/>
      <c r="F640" s="45"/>
      <c r="G640" s="45"/>
      <c r="H640" s="45"/>
      <c r="I640" s="45"/>
      <c r="J640" s="45"/>
      <c r="K640" s="45"/>
      <c r="L640" s="45"/>
      <c r="M640" s="45"/>
      <c r="N640" s="45"/>
      <c r="O640" s="45"/>
      <c r="P640" s="45"/>
      <c r="Q640" s="45"/>
      <c r="R640" s="45"/>
      <c r="S640" s="45"/>
      <c r="T640" s="45"/>
      <c r="U640" s="45"/>
      <c r="V640" s="45"/>
      <c r="W640" s="45"/>
    </row>
    <row r="641" spans="1:23">
      <c r="A641" s="27" t="s">
        <v>98</v>
      </c>
      <c r="B641" t="s">
        <v>60</v>
      </c>
      <c r="C641" s="45"/>
      <c r="D641" s="45"/>
      <c r="E641" s="45"/>
      <c r="F641" s="45"/>
      <c r="G641" s="45"/>
      <c r="H641" s="45"/>
      <c r="I641" s="45"/>
      <c r="J641" s="45"/>
      <c r="K641" s="45"/>
      <c r="L641" s="45"/>
      <c r="M641" s="45"/>
      <c r="N641" s="45"/>
      <c r="O641" s="45"/>
      <c r="P641" s="45"/>
      <c r="Q641" s="45"/>
      <c r="R641" s="45"/>
      <c r="S641" s="45"/>
      <c r="T641" s="45"/>
      <c r="U641" s="45"/>
      <c r="V641" s="45"/>
      <c r="W641" s="45"/>
    </row>
    <row r="642" spans="1:23">
      <c r="A642" s="27" t="s">
        <v>100</v>
      </c>
      <c r="B642" t="s">
        <v>60</v>
      </c>
      <c r="C642" s="46"/>
      <c r="D642" s="46"/>
      <c r="E642" s="46"/>
      <c r="F642" s="46"/>
      <c r="G642" s="46"/>
      <c r="H642" s="46"/>
      <c r="I642" s="46"/>
      <c r="J642" s="46"/>
      <c r="K642" s="46"/>
      <c r="L642" s="46"/>
      <c r="M642" s="46"/>
      <c r="N642" s="46"/>
      <c r="O642" s="46"/>
      <c r="P642" s="46"/>
      <c r="Q642" s="46"/>
      <c r="R642" s="46"/>
      <c r="S642" s="46"/>
      <c r="T642" s="46"/>
      <c r="U642" s="46"/>
      <c r="V642" s="46"/>
      <c r="W642" s="46"/>
    </row>
    <row r="643" ht="15.6" spans="1:1">
      <c r="A643" s="5" t="s">
        <v>105</v>
      </c>
    </row>
    <row r="644" spans="1:23">
      <c r="A644" s="27" t="s">
        <v>96</v>
      </c>
      <c r="B644" t="s">
        <v>60</v>
      </c>
      <c r="C644" s="50"/>
      <c r="D644" s="50"/>
      <c r="E644" s="50"/>
      <c r="F644" s="50"/>
      <c r="G644" s="50"/>
      <c r="H644" s="50"/>
      <c r="I644" s="50"/>
      <c r="J644" s="50"/>
      <c r="K644" s="50"/>
      <c r="L644" s="50"/>
      <c r="M644" s="50"/>
      <c r="N644" s="50"/>
      <c r="O644" s="50"/>
      <c r="P644" s="50"/>
      <c r="Q644" s="50"/>
      <c r="R644" s="50"/>
      <c r="S644" s="50"/>
      <c r="T644" s="50"/>
      <c r="U644" s="50"/>
      <c r="V644" s="50"/>
      <c r="W644" s="50"/>
    </row>
    <row r="645" spans="1:23">
      <c r="A645" s="27" t="s">
        <v>98</v>
      </c>
      <c r="B645" t="s">
        <v>60</v>
      </c>
      <c r="C645" s="50"/>
      <c r="D645" s="50"/>
      <c r="E645" s="50"/>
      <c r="F645" s="50"/>
      <c r="G645" s="50"/>
      <c r="H645" s="50"/>
      <c r="I645" s="50"/>
      <c r="J645" s="50"/>
      <c r="K645" s="50"/>
      <c r="L645" s="50"/>
      <c r="M645" s="50"/>
      <c r="N645" s="50"/>
      <c r="O645" s="50"/>
      <c r="P645" s="50"/>
      <c r="Q645" s="50"/>
      <c r="R645" s="50"/>
      <c r="S645" s="50"/>
      <c r="T645" s="50"/>
      <c r="U645" s="50"/>
      <c r="V645" s="50"/>
      <c r="W645" s="50"/>
    </row>
    <row r="646" spans="1:23">
      <c r="A646" s="27" t="s">
        <v>100</v>
      </c>
      <c r="B646" t="s">
        <v>60</v>
      </c>
      <c r="C646" s="50"/>
      <c r="D646" s="50"/>
      <c r="E646" s="50"/>
      <c r="F646" s="50"/>
      <c r="G646" s="50"/>
      <c r="H646" s="50"/>
      <c r="I646" s="50"/>
      <c r="J646" s="50"/>
      <c r="K646" s="50"/>
      <c r="L646" s="50"/>
      <c r="M646" s="50"/>
      <c r="N646" s="50"/>
      <c r="O646" s="50"/>
      <c r="P646" s="50"/>
      <c r="Q646" s="50"/>
      <c r="R646" s="50"/>
      <c r="S646" s="50"/>
      <c r="T646" s="50"/>
      <c r="U646" s="50"/>
      <c r="V646" s="50"/>
      <c r="W646" s="50"/>
    </row>
    <row r="647" spans="1:23">
      <c r="A647" s="31" t="s">
        <v>107</v>
      </c>
      <c r="B647" s="32" t="s">
        <v>60</v>
      </c>
      <c r="C647" s="33"/>
      <c r="D647" s="33"/>
      <c r="E647" s="33"/>
      <c r="F647" s="33"/>
      <c r="G647" s="33"/>
      <c r="H647" s="33"/>
      <c r="I647" s="33"/>
      <c r="J647" s="33"/>
      <c r="K647" s="33"/>
      <c r="L647" s="33"/>
      <c r="M647" s="33"/>
      <c r="N647" s="33"/>
      <c r="O647" s="33"/>
      <c r="P647" s="33"/>
      <c r="Q647" s="33"/>
      <c r="R647" s="33"/>
      <c r="S647" s="33"/>
      <c r="T647" s="33"/>
      <c r="U647" s="33"/>
      <c r="V647" s="33"/>
      <c r="W647" s="33"/>
    </row>
    <row r="648" ht="15.6" spans="1:1">
      <c r="A648" s="5" t="s">
        <v>130</v>
      </c>
    </row>
    <row r="649" spans="1:23">
      <c r="A649" s="27" t="s">
        <v>96</v>
      </c>
      <c r="B649" t="s">
        <v>60</v>
      </c>
      <c r="C649" s="14"/>
      <c r="D649" s="14"/>
      <c r="E649" s="14"/>
      <c r="F649" s="14"/>
      <c r="G649" s="14"/>
      <c r="H649" s="14"/>
      <c r="I649" s="14"/>
      <c r="J649" s="14"/>
      <c r="K649" s="14"/>
      <c r="L649" s="14"/>
      <c r="M649" s="14"/>
      <c r="N649" s="14"/>
      <c r="O649" s="14"/>
      <c r="P649" s="14"/>
      <c r="Q649" s="14"/>
      <c r="R649" s="14"/>
      <c r="S649" s="14"/>
      <c r="T649" s="14"/>
      <c r="U649" s="14"/>
      <c r="V649" s="14"/>
      <c r="W649" s="14"/>
    </row>
    <row r="650" spans="1:23">
      <c r="A650" s="27" t="s">
        <v>98</v>
      </c>
      <c r="B650" t="s">
        <v>60</v>
      </c>
      <c r="C650" s="14"/>
      <c r="D650" s="14"/>
      <c r="E650" s="14"/>
      <c r="F650" s="14"/>
      <c r="G650" s="14"/>
      <c r="H650" s="14"/>
      <c r="I650" s="14"/>
      <c r="J650" s="14"/>
      <c r="K650" s="14"/>
      <c r="L650" s="14"/>
      <c r="M650" s="14"/>
      <c r="N650" s="14"/>
      <c r="O650" s="14"/>
      <c r="P650" s="14"/>
      <c r="Q650" s="14"/>
      <c r="R650" s="14"/>
      <c r="S650" s="14"/>
      <c r="T650" s="14"/>
      <c r="U650" s="14"/>
      <c r="V650" s="14"/>
      <c r="W650" s="14"/>
    </row>
    <row r="651" spans="1:23">
      <c r="A651" s="27" t="s">
        <v>100</v>
      </c>
      <c r="B651" t="s">
        <v>60</v>
      </c>
      <c r="C651" s="14"/>
      <c r="D651" s="14"/>
      <c r="E651" s="14"/>
      <c r="F651" s="14"/>
      <c r="G651" s="14"/>
      <c r="H651" s="14"/>
      <c r="I651" s="14"/>
      <c r="J651" s="14"/>
      <c r="K651" s="14"/>
      <c r="L651" s="14"/>
      <c r="M651" s="14"/>
      <c r="N651" s="14"/>
      <c r="O651" s="14"/>
      <c r="P651" s="14"/>
      <c r="Q651" s="14"/>
      <c r="R651" s="14"/>
      <c r="S651" s="14"/>
      <c r="T651" s="14"/>
      <c r="U651" s="14"/>
      <c r="V651" s="14"/>
      <c r="W651" s="14"/>
    </row>
    <row r="652" spans="1:23">
      <c r="A652" s="31" t="s">
        <v>107</v>
      </c>
      <c r="B652" s="32" t="s">
        <v>60</v>
      </c>
      <c r="C652" s="33"/>
      <c r="D652" s="33"/>
      <c r="E652" s="33"/>
      <c r="F652" s="33"/>
      <c r="G652" s="33"/>
      <c r="H652" s="33"/>
      <c r="I652" s="33"/>
      <c r="J652" s="33"/>
      <c r="K652" s="33"/>
      <c r="L652" s="33"/>
      <c r="M652" s="33"/>
      <c r="N652" s="33"/>
      <c r="O652" s="33"/>
      <c r="P652" s="33"/>
      <c r="Q652" s="33"/>
      <c r="R652" s="33"/>
      <c r="S652" s="33"/>
      <c r="T652" s="33"/>
      <c r="U652" s="33"/>
      <c r="V652" s="33"/>
      <c r="W652" s="33"/>
    </row>
    <row r="653" ht="15.6" spans="1:23">
      <c r="A653" s="25" t="s">
        <v>94</v>
      </c>
      <c r="C653" s="10">
        <v>0</v>
      </c>
      <c r="D653" s="10">
        <v>0</v>
      </c>
      <c r="E653" s="10">
        <v>0</v>
      </c>
      <c r="F653" s="10">
        <v>0</v>
      </c>
      <c r="G653" s="10">
        <v>0</v>
      </c>
      <c r="H653" s="10">
        <v>0</v>
      </c>
      <c r="I653" s="10">
        <v>0</v>
      </c>
      <c r="J653" s="10">
        <v>0</v>
      </c>
      <c r="K653" s="10">
        <v>0</v>
      </c>
      <c r="L653" s="10">
        <v>0</v>
      </c>
      <c r="M653" s="10">
        <v>0</v>
      </c>
      <c r="N653" s="10">
        <v>0</v>
      </c>
      <c r="O653" s="10">
        <v>0</v>
      </c>
      <c r="P653" s="10">
        <v>0</v>
      </c>
      <c r="Q653" s="10">
        <v>0</v>
      </c>
      <c r="R653" s="10">
        <v>0</v>
      </c>
      <c r="S653" s="10">
        <v>0</v>
      </c>
      <c r="T653" s="10">
        <v>0</v>
      </c>
      <c r="U653" s="10">
        <v>0</v>
      </c>
      <c r="V653" s="10">
        <v>0</v>
      </c>
      <c r="W653" s="10">
        <v>0</v>
      </c>
    </row>
    <row r="654" ht="15.6" spans="1:23">
      <c r="A654" s="25" t="s">
        <v>111</v>
      </c>
      <c r="B654" t="s">
        <v>112</v>
      </c>
      <c r="C654" s="40">
        <v>200</v>
      </c>
      <c r="D654" s="40">
        <v>200</v>
      </c>
      <c r="E654" s="40">
        <v>200</v>
      </c>
      <c r="F654" s="40">
        <v>200</v>
      </c>
      <c r="G654" s="40">
        <v>200</v>
      </c>
      <c r="H654" s="40">
        <v>200</v>
      </c>
      <c r="I654" s="40">
        <v>200</v>
      </c>
      <c r="J654" s="40">
        <v>200</v>
      </c>
      <c r="K654" s="40">
        <v>200</v>
      </c>
      <c r="L654" s="40">
        <v>200</v>
      </c>
      <c r="M654" s="40">
        <v>200</v>
      </c>
      <c r="N654" s="40">
        <v>200</v>
      </c>
      <c r="O654" s="40">
        <v>200</v>
      </c>
      <c r="P654" s="40">
        <v>200</v>
      </c>
      <c r="Q654" s="40">
        <v>200</v>
      </c>
      <c r="R654" s="40">
        <v>200</v>
      </c>
      <c r="S654" s="40">
        <v>200</v>
      </c>
      <c r="T654" s="40">
        <v>200</v>
      </c>
      <c r="U654" s="40">
        <v>200</v>
      </c>
      <c r="V654" s="40">
        <v>200</v>
      </c>
      <c r="W654" s="40">
        <v>200</v>
      </c>
    </row>
    <row r="655" ht="15.6" spans="1:1">
      <c r="A655" s="5" t="s">
        <v>95</v>
      </c>
    </row>
    <row r="656" ht="15.6" spans="1:23">
      <c r="A656" s="27" t="s">
        <v>96</v>
      </c>
      <c r="B656" t="s">
        <v>108</v>
      </c>
      <c r="C656" s="28">
        <f t="shared" ref="C656:W656" si="48">15/200</f>
        <v>0.075</v>
      </c>
      <c r="D656" s="28">
        <f t="shared" si="48"/>
        <v>0.075</v>
      </c>
      <c r="E656" s="28">
        <f t="shared" si="48"/>
        <v>0.075</v>
      </c>
      <c r="F656" s="28">
        <f t="shared" si="48"/>
        <v>0.075</v>
      </c>
      <c r="G656" s="28">
        <f t="shared" si="48"/>
        <v>0.075</v>
      </c>
      <c r="H656" s="28">
        <f t="shared" si="48"/>
        <v>0.075</v>
      </c>
      <c r="I656" s="28">
        <f t="shared" si="48"/>
        <v>0.075</v>
      </c>
      <c r="J656" s="28">
        <f t="shared" si="48"/>
        <v>0.075</v>
      </c>
      <c r="K656" s="28">
        <f t="shared" si="48"/>
        <v>0.075</v>
      </c>
      <c r="L656" s="28">
        <f t="shared" si="48"/>
        <v>0.075</v>
      </c>
      <c r="M656" s="28">
        <f t="shared" si="48"/>
        <v>0.075</v>
      </c>
      <c r="N656" s="28">
        <f t="shared" si="48"/>
        <v>0.075</v>
      </c>
      <c r="O656" s="28">
        <f t="shared" si="48"/>
        <v>0.075</v>
      </c>
      <c r="P656" s="28">
        <f t="shared" si="48"/>
        <v>0.075</v>
      </c>
      <c r="Q656" s="28">
        <f t="shared" si="48"/>
        <v>0.075</v>
      </c>
      <c r="R656" s="28">
        <f t="shared" si="48"/>
        <v>0.075</v>
      </c>
      <c r="S656" s="28">
        <f t="shared" si="48"/>
        <v>0.075</v>
      </c>
      <c r="T656" s="28">
        <f t="shared" si="48"/>
        <v>0.075</v>
      </c>
      <c r="U656" s="28">
        <f t="shared" si="48"/>
        <v>0.075</v>
      </c>
      <c r="V656" s="28">
        <f t="shared" si="48"/>
        <v>0.075</v>
      </c>
      <c r="W656" s="28">
        <f t="shared" si="48"/>
        <v>0.075</v>
      </c>
    </row>
    <row r="657" ht="15.6" spans="1:23">
      <c r="A657" s="27" t="s">
        <v>98</v>
      </c>
      <c r="B657" t="s">
        <v>109</v>
      </c>
      <c r="C657" s="28">
        <f t="shared" ref="C657:W657" si="49">1.5/200</f>
        <v>0.0075</v>
      </c>
      <c r="D657" s="28">
        <f t="shared" si="49"/>
        <v>0.0075</v>
      </c>
      <c r="E657" s="28">
        <f t="shared" si="49"/>
        <v>0.0075</v>
      </c>
      <c r="F657" s="28">
        <f t="shared" si="49"/>
        <v>0.0075</v>
      </c>
      <c r="G657" s="28">
        <f t="shared" si="49"/>
        <v>0.0075</v>
      </c>
      <c r="H657" s="28">
        <f t="shared" si="49"/>
        <v>0.0075</v>
      </c>
      <c r="I657" s="28">
        <f t="shared" si="49"/>
        <v>0.0075</v>
      </c>
      <c r="J657" s="28">
        <f t="shared" si="49"/>
        <v>0.0075</v>
      </c>
      <c r="K657" s="28">
        <f t="shared" si="49"/>
        <v>0.0075</v>
      </c>
      <c r="L657" s="28">
        <f t="shared" si="49"/>
        <v>0.0075</v>
      </c>
      <c r="M657" s="28">
        <f t="shared" si="49"/>
        <v>0.0075</v>
      </c>
      <c r="N657" s="28">
        <f t="shared" si="49"/>
        <v>0.0075</v>
      </c>
      <c r="O657" s="28">
        <f t="shared" si="49"/>
        <v>0.0075</v>
      </c>
      <c r="P657" s="28">
        <f t="shared" si="49"/>
        <v>0.0075</v>
      </c>
      <c r="Q657" s="28">
        <f t="shared" si="49"/>
        <v>0.0075</v>
      </c>
      <c r="R657" s="28">
        <f t="shared" si="49"/>
        <v>0.0075</v>
      </c>
      <c r="S657" s="28">
        <f t="shared" si="49"/>
        <v>0.0075</v>
      </c>
      <c r="T657" s="28">
        <f t="shared" si="49"/>
        <v>0.0075</v>
      </c>
      <c r="U657" s="28">
        <f t="shared" si="49"/>
        <v>0.0075</v>
      </c>
      <c r="V657" s="28">
        <f t="shared" si="49"/>
        <v>0.0075</v>
      </c>
      <c r="W657" s="28">
        <f t="shared" si="49"/>
        <v>0.0075</v>
      </c>
    </row>
    <row r="658" ht="15.6" spans="1:23">
      <c r="A658" s="27" t="s">
        <v>100</v>
      </c>
      <c r="B658" t="s">
        <v>60</v>
      </c>
      <c r="C658" s="28">
        <f t="shared" ref="C658:W658" si="50">50/200</f>
        <v>0.25</v>
      </c>
      <c r="D658" s="28">
        <f t="shared" si="50"/>
        <v>0.25</v>
      </c>
      <c r="E658" s="28">
        <f t="shared" si="50"/>
        <v>0.25</v>
      </c>
      <c r="F658" s="28">
        <f t="shared" si="50"/>
        <v>0.25</v>
      </c>
      <c r="G658" s="28">
        <f t="shared" si="50"/>
        <v>0.25</v>
      </c>
      <c r="H658" s="28">
        <f t="shared" si="50"/>
        <v>0.25</v>
      </c>
      <c r="I658" s="28">
        <f t="shared" si="50"/>
        <v>0.25</v>
      </c>
      <c r="J658" s="28">
        <f t="shared" si="50"/>
        <v>0.25</v>
      </c>
      <c r="K658" s="28">
        <f t="shared" si="50"/>
        <v>0.25</v>
      </c>
      <c r="L658" s="28">
        <f t="shared" si="50"/>
        <v>0.25</v>
      </c>
      <c r="M658" s="28">
        <f t="shared" si="50"/>
        <v>0.25</v>
      </c>
      <c r="N658" s="28">
        <f t="shared" si="50"/>
        <v>0.25</v>
      </c>
      <c r="O658" s="28">
        <f t="shared" si="50"/>
        <v>0.25</v>
      </c>
      <c r="P658" s="28">
        <f t="shared" si="50"/>
        <v>0.25</v>
      </c>
      <c r="Q658" s="28">
        <f t="shared" si="50"/>
        <v>0.25</v>
      </c>
      <c r="R658" s="28">
        <f t="shared" si="50"/>
        <v>0.25</v>
      </c>
      <c r="S658" s="28">
        <f t="shared" si="50"/>
        <v>0.25</v>
      </c>
      <c r="T658" s="28">
        <f t="shared" si="50"/>
        <v>0.25</v>
      </c>
      <c r="U658" s="28">
        <f t="shared" si="50"/>
        <v>0.25</v>
      </c>
      <c r="V658" s="28">
        <f t="shared" si="50"/>
        <v>0.25</v>
      </c>
      <c r="W658" s="28">
        <f t="shared" si="50"/>
        <v>0.25</v>
      </c>
    </row>
    <row r="659" ht="15.6" spans="1:1">
      <c r="A659" s="5" t="s">
        <v>102</v>
      </c>
    </row>
    <row r="660" spans="1:23">
      <c r="A660" s="27" t="s">
        <v>96</v>
      </c>
      <c r="B660" t="s">
        <v>108</v>
      </c>
      <c r="C660" s="14"/>
      <c r="D660" s="14"/>
      <c r="E660" s="14"/>
      <c r="F660" s="14"/>
      <c r="G660" s="14"/>
      <c r="H660" s="14"/>
      <c r="I660" s="14"/>
      <c r="J660" s="14"/>
      <c r="K660" s="14"/>
      <c r="L660" s="14"/>
      <c r="M660" s="14"/>
      <c r="N660" s="14"/>
      <c r="O660" s="14"/>
      <c r="P660" s="14"/>
      <c r="Q660" s="14"/>
      <c r="R660" s="14"/>
      <c r="S660" s="14"/>
      <c r="T660" s="14"/>
      <c r="U660" s="14"/>
      <c r="V660" s="14"/>
      <c r="W660" s="14"/>
    </row>
    <row r="661" spans="1:23">
      <c r="A661" s="27" t="s">
        <v>98</v>
      </c>
      <c r="B661" t="s">
        <v>109</v>
      </c>
      <c r="C661" s="14"/>
      <c r="D661" s="14"/>
      <c r="E661" s="14"/>
      <c r="F661" s="14"/>
      <c r="G661" s="14"/>
      <c r="H661" s="14"/>
      <c r="I661" s="14"/>
      <c r="J661" s="14"/>
      <c r="K661" s="14"/>
      <c r="L661" s="14"/>
      <c r="M661" s="14"/>
      <c r="N661" s="14"/>
      <c r="O661" s="14"/>
      <c r="P661" s="14"/>
      <c r="Q661" s="14"/>
      <c r="R661" s="14"/>
      <c r="S661" s="14"/>
      <c r="T661" s="14"/>
      <c r="U661" s="14"/>
      <c r="V661" s="14"/>
      <c r="W661" s="14"/>
    </row>
    <row r="662" spans="1:23">
      <c r="A662" s="27" t="s">
        <v>100</v>
      </c>
      <c r="B662" t="s">
        <v>60</v>
      </c>
      <c r="C662" s="14"/>
      <c r="D662" s="14"/>
      <c r="E662" s="14"/>
      <c r="F662" s="14"/>
      <c r="G662" s="14"/>
      <c r="H662" s="14"/>
      <c r="I662" s="14"/>
      <c r="J662" s="14"/>
      <c r="K662" s="14"/>
      <c r="L662" s="14"/>
      <c r="M662" s="14"/>
      <c r="N662" s="14"/>
      <c r="O662" s="14"/>
      <c r="P662" s="14"/>
      <c r="Q662" s="14"/>
      <c r="R662" s="14"/>
      <c r="S662" s="14"/>
      <c r="T662" s="14"/>
      <c r="U662" s="14"/>
      <c r="V662" s="14"/>
      <c r="W662" s="14"/>
    </row>
    <row r="663" ht="15.6" spans="1:1">
      <c r="A663" s="5" t="s">
        <v>110</v>
      </c>
    </row>
    <row r="664" spans="1:23">
      <c r="A664" s="27" t="s">
        <v>96</v>
      </c>
      <c r="B664" t="s">
        <v>60</v>
      </c>
      <c r="C664" s="14"/>
      <c r="D664" s="14"/>
      <c r="E664" s="14"/>
      <c r="F664" s="14"/>
      <c r="G664" s="14"/>
      <c r="H664" s="14"/>
      <c r="I664" s="14"/>
      <c r="J664" s="14"/>
      <c r="K664" s="14"/>
      <c r="L664" s="14"/>
      <c r="M664" s="14"/>
      <c r="N664" s="14"/>
      <c r="O664" s="14"/>
      <c r="P664" s="14"/>
      <c r="Q664" s="14"/>
      <c r="R664" s="14"/>
      <c r="S664" s="14"/>
      <c r="T664" s="14"/>
      <c r="U664" s="14"/>
      <c r="V664" s="14"/>
      <c r="W664" s="14"/>
    </row>
    <row r="665" spans="1:23">
      <c r="A665" s="27" t="s">
        <v>98</v>
      </c>
      <c r="B665" t="s">
        <v>60</v>
      </c>
      <c r="C665" s="14"/>
      <c r="D665" s="14"/>
      <c r="E665" s="14"/>
      <c r="F665" s="14"/>
      <c r="G665" s="14"/>
      <c r="H665" s="14"/>
      <c r="I665" s="14"/>
      <c r="J665" s="14"/>
      <c r="K665" s="14"/>
      <c r="L665" s="14"/>
      <c r="M665" s="14"/>
      <c r="N665" s="14"/>
      <c r="O665" s="14"/>
      <c r="P665" s="14"/>
      <c r="Q665" s="14"/>
      <c r="R665" s="14"/>
      <c r="S665" s="14"/>
      <c r="T665" s="14"/>
      <c r="U665" s="14"/>
      <c r="V665" s="14"/>
      <c r="W665" s="14"/>
    </row>
    <row r="666" spans="1:23">
      <c r="A666" s="27" t="s">
        <v>100</v>
      </c>
      <c r="B666" t="s">
        <v>60</v>
      </c>
      <c r="C666" s="39"/>
      <c r="D666" s="39"/>
      <c r="E666" s="39"/>
      <c r="F666" s="39"/>
      <c r="G666" s="39"/>
      <c r="H666" s="39"/>
      <c r="I666" s="39"/>
      <c r="J666" s="39"/>
      <c r="K666" s="39"/>
      <c r="L666" s="39"/>
      <c r="M666" s="39"/>
      <c r="N666" s="39"/>
      <c r="O666" s="39"/>
      <c r="P666" s="39"/>
      <c r="Q666" s="39"/>
      <c r="R666" s="39"/>
      <c r="S666" s="39"/>
      <c r="T666" s="39"/>
      <c r="U666" s="39"/>
      <c r="V666" s="39"/>
      <c r="W666" s="39"/>
    </row>
    <row r="667" ht="15.6" spans="1:1">
      <c r="A667" s="5" t="s">
        <v>105</v>
      </c>
    </row>
    <row r="668" spans="1:23">
      <c r="A668" s="27" t="s">
        <v>96</v>
      </c>
      <c r="B668" t="s">
        <v>60</v>
      </c>
      <c r="C668" s="50"/>
      <c r="D668" s="50"/>
      <c r="E668" s="50"/>
      <c r="F668" s="50"/>
      <c r="G668" s="50"/>
      <c r="H668" s="50"/>
      <c r="I668" s="50"/>
      <c r="J668" s="50"/>
      <c r="K668" s="50"/>
      <c r="L668" s="50"/>
      <c r="M668" s="50"/>
      <c r="N668" s="50"/>
      <c r="O668" s="50"/>
      <c r="P668" s="50"/>
      <c r="Q668" s="50"/>
      <c r="R668" s="50"/>
      <c r="S668" s="50"/>
      <c r="T668" s="50"/>
      <c r="U668" s="50"/>
      <c r="V668" s="50"/>
      <c r="W668" s="50"/>
    </row>
    <row r="669" spans="1:23">
      <c r="A669" s="27" t="s">
        <v>98</v>
      </c>
      <c r="B669" t="s">
        <v>60</v>
      </c>
      <c r="C669" s="50"/>
      <c r="D669" s="50"/>
      <c r="E669" s="50"/>
      <c r="F669" s="50"/>
      <c r="G669" s="50"/>
      <c r="H669" s="50"/>
      <c r="I669" s="50"/>
      <c r="J669" s="50"/>
      <c r="K669" s="50"/>
      <c r="L669" s="50"/>
      <c r="M669" s="50"/>
      <c r="N669" s="50"/>
      <c r="O669" s="50"/>
      <c r="P669" s="50"/>
      <c r="Q669" s="50"/>
      <c r="R669" s="50"/>
      <c r="S669" s="50"/>
      <c r="T669" s="50"/>
      <c r="U669" s="50"/>
      <c r="V669" s="50"/>
      <c r="W669" s="50"/>
    </row>
    <row r="670" spans="1:23">
      <c r="A670" s="27" t="s">
        <v>100</v>
      </c>
      <c r="B670" t="s">
        <v>60</v>
      </c>
      <c r="C670" s="50"/>
      <c r="D670" s="50"/>
      <c r="E670" s="50"/>
      <c r="F670" s="50"/>
      <c r="G670" s="50"/>
      <c r="H670" s="50"/>
      <c r="I670" s="50"/>
      <c r="J670" s="50"/>
      <c r="K670" s="50"/>
      <c r="L670" s="50"/>
      <c r="M670" s="50"/>
      <c r="N670" s="50"/>
      <c r="O670" s="50"/>
      <c r="P670" s="50"/>
      <c r="Q670" s="50"/>
      <c r="R670" s="50"/>
      <c r="S670" s="50"/>
      <c r="T670" s="50"/>
      <c r="U670" s="50"/>
      <c r="V670" s="50"/>
      <c r="W670" s="50"/>
    </row>
    <row r="671" spans="1:23">
      <c r="A671" s="31" t="s">
        <v>107</v>
      </c>
      <c r="B671" s="32" t="s">
        <v>60</v>
      </c>
      <c r="C671" s="33"/>
      <c r="D671" s="33"/>
      <c r="E671" s="33"/>
      <c r="F671" s="33"/>
      <c r="G671" s="33"/>
      <c r="H671" s="33"/>
      <c r="I671" s="33"/>
      <c r="J671" s="33"/>
      <c r="K671" s="33"/>
      <c r="L671" s="33"/>
      <c r="M671" s="33"/>
      <c r="N671" s="33"/>
      <c r="O671" s="33"/>
      <c r="P671" s="33"/>
      <c r="Q671" s="33"/>
      <c r="R671" s="33"/>
      <c r="S671" s="33"/>
      <c r="T671" s="33"/>
      <c r="U671" s="33"/>
      <c r="V671" s="33"/>
      <c r="W671" s="33"/>
    </row>
    <row r="672" ht="15.6" spans="1:23">
      <c r="A672" s="25" t="s">
        <v>94</v>
      </c>
      <c r="C672" s="12"/>
      <c r="D672" s="12"/>
      <c r="E672" s="12"/>
      <c r="F672" s="12"/>
      <c r="G672" s="12"/>
      <c r="H672" s="12"/>
      <c r="I672" s="12"/>
      <c r="J672" s="12"/>
      <c r="K672" s="12"/>
      <c r="L672" s="12"/>
      <c r="M672" s="12"/>
      <c r="N672" s="12"/>
      <c r="O672" s="12"/>
      <c r="P672" s="12"/>
      <c r="Q672" s="12"/>
      <c r="R672" s="12"/>
      <c r="S672" s="12"/>
      <c r="T672" s="12"/>
      <c r="U672" s="12"/>
      <c r="V672" s="12"/>
      <c r="W672" s="12"/>
    </row>
    <row r="673" ht="15.6" spans="1:23">
      <c r="A673" s="25" t="s">
        <v>113</v>
      </c>
      <c r="B673" t="s">
        <v>114</v>
      </c>
      <c r="C673" s="40">
        <v>35</v>
      </c>
      <c r="D673" s="40">
        <v>35</v>
      </c>
      <c r="E673" s="40">
        <v>35</v>
      </c>
      <c r="F673" s="40">
        <v>35</v>
      </c>
      <c r="G673" s="40">
        <v>35</v>
      </c>
      <c r="H673" s="40">
        <v>35</v>
      </c>
      <c r="I673" s="40">
        <v>35</v>
      </c>
      <c r="J673" s="40">
        <v>35</v>
      </c>
      <c r="K673" s="40">
        <v>35</v>
      </c>
      <c r="L673" s="40">
        <v>35</v>
      </c>
      <c r="M673" s="40">
        <v>35</v>
      </c>
      <c r="N673" s="40">
        <v>35</v>
      </c>
      <c r="O673" s="40">
        <v>35</v>
      </c>
      <c r="P673" s="40">
        <v>35</v>
      </c>
      <c r="Q673" s="40">
        <v>35</v>
      </c>
      <c r="R673" s="40">
        <v>35</v>
      </c>
      <c r="S673" s="40">
        <v>35</v>
      </c>
      <c r="T673" s="40">
        <v>35</v>
      </c>
      <c r="U673" s="40">
        <v>35</v>
      </c>
      <c r="V673" s="40">
        <v>35</v>
      </c>
      <c r="W673" s="40">
        <v>35</v>
      </c>
    </row>
    <row r="674" ht="15.6" spans="1:23">
      <c r="A674" s="25" t="s">
        <v>115</v>
      </c>
      <c r="B674" t="s">
        <v>116</v>
      </c>
      <c r="C674" s="40">
        <v>50</v>
      </c>
      <c r="D674" s="40">
        <v>50</v>
      </c>
      <c r="E674" s="40">
        <v>50</v>
      </c>
      <c r="F674" s="40">
        <v>50</v>
      </c>
      <c r="G674" s="40">
        <v>50</v>
      </c>
      <c r="H674" s="40">
        <v>50</v>
      </c>
      <c r="I674" s="40">
        <v>50</v>
      </c>
      <c r="J674" s="40">
        <v>50</v>
      </c>
      <c r="K674" s="40">
        <v>50</v>
      </c>
      <c r="L674" s="40">
        <v>50</v>
      </c>
      <c r="M674" s="40">
        <v>50</v>
      </c>
      <c r="N674" s="40">
        <v>50</v>
      </c>
      <c r="O674" s="40">
        <v>50</v>
      </c>
      <c r="P674" s="40">
        <v>50</v>
      </c>
      <c r="Q674" s="40">
        <v>50</v>
      </c>
      <c r="R674" s="40">
        <v>50</v>
      </c>
      <c r="S674" s="40">
        <v>50</v>
      </c>
      <c r="T674" s="40">
        <v>50</v>
      </c>
      <c r="U674" s="40">
        <v>50</v>
      </c>
      <c r="V674" s="40">
        <v>50</v>
      </c>
      <c r="W674" s="40">
        <v>50</v>
      </c>
    </row>
    <row r="675" ht="15.6" spans="1:1">
      <c r="A675" s="5" t="s">
        <v>95</v>
      </c>
    </row>
    <row r="676" ht="15.6" spans="1:23">
      <c r="A676" s="27" t="s">
        <v>117</v>
      </c>
      <c r="B676" t="s">
        <v>118</v>
      </c>
      <c r="C676" s="42">
        <v>45</v>
      </c>
      <c r="D676" s="42">
        <v>45</v>
      </c>
      <c r="E676" s="42">
        <v>45</v>
      </c>
      <c r="F676" s="42">
        <v>45</v>
      </c>
      <c r="G676" s="42">
        <v>45</v>
      </c>
      <c r="H676" s="42">
        <v>45</v>
      </c>
      <c r="I676" s="42">
        <v>45</v>
      </c>
      <c r="J676" s="42">
        <v>45</v>
      </c>
      <c r="K676" s="42">
        <v>45</v>
      </c>
      <c r="L676" s="42">
        <v>45</v>
      </c>
      <c r="M676" s="42">
        <v>45</v>
      </c>
      <c r="N676" s="42">
        <v>45</v>
      </c>
      <c r="O676" s="42">
        <v>45</v>
      </c>
      <c r="P676" s="42">
        <v>45</v>
      </c>
      <c r="Q676" s="42">
        <v>45</v>
      </c>
      <c r="R676" s="42">
        <v>45</v>
      </c>
      <c r="S676" s="42">
        <v>45</v>
      </c>
      <c r="T676" s="42">
        <v>45</v>
      </c>
      <c r="U676" s="42">
        <v>45</v>
      </c>
      <c r="V676" s="42">
        <v>45</v>
      </c>
      <c r="W676" s="42">
        <v>45</v>
      </c>
    </row>
    <row r="677" ht="15.6" spans="1:23">
      <c r="A677" s="27" t="s">
        <v>96</v>
      </c>
      <c r="B677" t="s">
        <v>119</v>
      </c>
      <c r="C677" s="43">
        <v>0.01</v>
      </c>
      <c r="D677" s="43">
        <v>0.01</v>
      </c>
      <c r="E677" s="43">
        <v>0.01</v>
      </c>
      <c r="F677" s="43">
        <v>0.01</v>
      </c>
      <c r="G677" s="43">
        <v>0.01</v>
      </c>
      <c r="H677" s="43">
        <v>0.01</v>
      </c>
      <c r="I677" s="43">
        <v>0.01</v>
      </c>
      <c r="J677" s="43">
        <v>0.01</v>
      </c>
      <c r="K677" s="43">
        <v>0.01</v>
      </c>
      <c r="L677" s="43">
        <v>0.01</v>
      </c>
      <c r="M677" s="43">
        <v>0.01</v>
      </c>
      <c r="N677" s="43">
        <v>0.01</v>
      </c>
      <c r="O677" s="43">
        <v>0.01</v>
      </c>
      <c r="P677" s="43">
        <v>0.01</v>
      </c>
      <c r="Q677" s="43">
        <v>0.01</v>
      </c>
      <c r="R677" s="43">
        <v>0.01</v>
      </c>
      <c r="S677" s="43">
        <v>0.01</v>
      </c>
      <c r="T677" s="43">
        <v>0.01</v>
      </c>
      <c r="U677" s="43">
        <v>0.01</v>
      </c>
      <c r="V677" s="43">
        <v>0.01</v>
      </c>
      <c r="W677" s="43">
        <v>0.01</v>
      </c>
    </row>
    <row r="678" ht="15.6" spans="1:23">
      <c r="A678" s="27" t="s">
        <v>98</v>
      </c>
      <c r="B678" t="s">
        <v>120</v>
      </c>
      <c r="C678" s="43">
        <f t="shared" ref="C678:W678" si="51">1.5*2.7556/2</f>
        <v>2.0667</v>
      </c>
      <c r="D678" s="43">
        <f t="shared" si="51"/>
        <v>2.0667</v>
      </c>
      <c r="E678" s="43">
        <f t="shared" si="51"/>
        <v>2.0667</v>
      </c>
      <c r="F678" s="43">
        <f t="shared" si="51"/>
        <v>2.0667</v>
      </c>
      <c r="G678" s="43">
        <f t="shared" si="51"/>
        <v>2.0667</v>
      </c>
      <c r="H678" s="43">
        <f t="shared" si="51"/>
        <v>2.0667</v>
      </c>
      <c r="I678" s="43">
        <f t="shared" si="51"/>
        <v>2.0667</v>
      </c>
      <c r="J678" s="43">
        <f t="shared" si="51"/>
        <v>2.0667</v>
      </c>
      <c r="K678" s="43">
        <f t="shared" si="51"/>
        <v>2.0667</v>
      </c>
      <c r="L678" s="43">
        <f t="shared" si="51"/>
        <v>2.0667</v>
      </c>
      <c r="M678" s="43">
        <f t="shared" si="51"/>
        <v>2.0667</v>
      </c>
      <c r="N678" s="43">
        <f t="shared" si="51"/>
        <v>2.0667</v>
      </c>
      <c r="O678" s="43">
        <f t="shared" si="51"/>
        <v>2.0667</v>
      </c>
      <c r="P678" s="43">
        <f t="shared" si="51"/>
        <v>2.0667</v>
      </c>
      <c r="Q678" s="43">
        <f t="shared" si="51"/>
        <v>2.0667</v>
      </c>
      <c r="R678" s="43">
        <f t="shared" si="51"/>
        <v>2.0667</v>
      </c>
      <c r="S678" s="43">
        <f t="shared" si="51"/>
        <v>2.0667</v>
      </c>
      <c r="T678" s="43">
        <f t="shared" si="51"/>
        <v>2.0667</v>
      </c>
      <c r="U678" s="43">
        <f t="shared" si="51"/>
        <v>2.0667</v>
      </c>
      <c r="V678" s="43">
        <f t="shared" si="51"/>
        <v>2.0667</v>
      </c>
      <c r="W678" s="43">
        <f t="shared" si="51"/>
        <v>2.0667</v>
      </c>
    </row>
    <row r="679" ht="15.6" spans="1:23">
      <c r="A679" s="27" t="s">
        <v>100</v>
      </c>
      <c r="B679" t="s">
        <v>121</v>
      </c>
      <c r="C679" s="28">
        <v>0.5</v>
      </c>
      <c r="D679" s="28">
        <v>0.5</v>
      </c>
      <c r="E679" s="28">
        <v>0.5</v>
      </c>
      <c r="F679" s="28">
        <v>0.5</v>
      </c>
      <c r="G679" s="28">
        <v>0.5</v>
      </c>
      <c r="H679" s="28">
        <v>0.5</v>
      </c>
      <c r="I679" s="28">
        <v>0.5</v>
      </c>
      <c r="J679" s="28">
        <v>0.5</v>
      </c>
      <c r="K679" s="28">
        <v>0.5</v>
      </c>
      <c r="L679" s="28">
        <v>0.5</v>
      </c>
      <c r="M679" s="28">
        <v>0.5</v>
      </c>
      <c r="N679" s="28">
        <v>0.5</v>
      </c>
      <c r="O679" s="28">
        <v>0.5</v>
      </c>
      <c r="P679" s="28">
        <v>0.5</v>
      </c>
      <c r="Q679" s="28">
        <v>0.5</v>
      </c>
      <c r="R679" s="28">
        <v>0.5</v>
      </c>
      <c r="S679" s="28">
        <v>0.5</v>
      </c>
      <c r="T679" s="28">
        <v>0.5</v>
      </c>
      <c r="U679" s="28">
        <v>0.5</v>
      </c>
      <c r="V679" s="28">
        <v>0.5</v>
      </c>
      <c r="W679" s="28">
        <v>0.5</v>
      </c>
    </row>
    <row r="680" ht="15.6" spans="1:23">
      <c r="A680" s="27" t="s">
        <v>122</v>
      </c>
      <c r="B680" t="s">
        <v>45</v>
      </c>
      <c r="C680" s="44"/>
      <c r="D680" s="44"/>
      <c r="E680" s="44"/>
      <c r="F680" s="44"/>
      <c r="G680" s="44"/>
      <c r="H680" s="44"/>
      <c r="I680" s="44"/>
      <c r="J680" s="44"/>
      <c r="K680" s="44"/>
      <c r="L680" s="44"/>
      <c r="M680" s="44"/>
      <c r="N680" s="44"/>
      <c r="O680" s="44"/>
      <c r="P680" s="44"/>
      <c r="Q680" s="44"/>
      <c r="R680" s="44"/>
      <c r="S680" s="44"/>
      <c r="T680" s="44"/>
      <c r="U680" s="44"/>
      <c r="V680" s="44"/>
      <c r="W680" s="44"/>
    </row>
    <row r="681" ht="15.6" spans="1:23">
      <c r="A681" s="27" t="s">
        <v>123</v>
      </c>
      <c r="B681" s="9" t="s">
        <v>51</v>
      </c>
      <c r="C681" s="44"/>
      <c r="D681" s="44"/>
      <c r="E681" s="44"/>
      <c r="F681" s="44"/>
      <c r="G681" s="44"/>
      <c r="H681" s="44"/>
      <c r="I681" s="44"/>
      <c r="J681" s="44"/>
      <c r="K681" s="44"/>
      <c r="L681" s="44"/>
      <c r="M681" s="44"/>
      <c r="N681" s="44"/>
      <c r="O681" s="44"/>
      <c r="P681" s="44"/>
      <c r="Q681" s="44"/>
      <c r="R681" s="44"/>
      <c r="S681" s="44"/>
      <c r="T681" s="44"/>
      <c r="U681" s="44"/>
      <c r="V681" s="44"/>
      <c r="W681" s="44"/>
    </row>
    <row r="682" ht="15.6" spans="1:23">
      <c r="A682" s="27" t="s">
        <v>124</v>
      </c>
      <c r="B682" s="9" t="s">
        <v>51</v>
      </c>
      <c r="C682" s="44"/>
      <c r="D682" s="44"/>
      <c r="E682" s="44"/>
      <c r="F682" s="44"/>
      <c r="G682" s="44"/>
      <c r="H682" s="44"/>
      <c r="I682" s="44"/>
      <c r="J682" s="44"/>
      <c r="K682" s="44"/>
      <c r="L682" s="44"/>
      <c r="M682" s="44"/>
      <c r="N682" s="44"/>
      <c r="O682" s="44"/>
      <c r="P682" s="44"/>
      <c r="Q682" s="44"/>
      <c r="R682" s="44"/>
      <c r="S682" s="44"/>
      <c r="T682" s="44"/>
      <c r="U682" s="44"/>
      <c r="V682" s="44"/>
      <c r="W682" s="44"/>
    </row>
    <row r="683" ht="15.6" spans="1:1">
      <c r="A683" s="5" t="s">
        <v>102</v>
      </c>
    </row>
    <row r="684" spans="1:23">
      <c r="A684" s="27" t="s">
        <v>96</v>
      </c>
      <c r="B684" t="s">
        <v>119</v>
      </c>
      <c r="C684" s="45"/>
      <c r="D684" s="45"/>
      <c r="E684" s="45"/>
      <c r="F684" s="45"/>
      <c r="G684" s="45"/>
      <c r="H684" s="45"/>
      <c r="I684" s="45"/>
      <c r="J684" s="45"/>
      <c r="K684" s="45"/>
      <c r="L684" s="45"/>
      <c r="M684" s="45"/>
      <c r="N684" s="45"/>
      <c r="O684" s="45"/>
      <c r="P684" s="45"/>
      <c r="Q684" s="45"/>
      <c r="R684" s="45"/>
      <c r="S684" s="45"/>
      <c r="T684" s="45"/>
      <c r="U684" s="45"/>
      <c r="V684" s="45"/>
      <c r="W684" s="45"/>
    </row>
    <row r="685" spans="1:23">
      <c r="A685" s="27" t="s">
        <v>98</v>
      </c>
      <c r="B685" t="s">
        <v>120</v>
      </c>
      <c r="C685" s="45"/>
      <c r="D685" s="45"/>
      <c r="E685" s="45"/>
      <c r="F685" s="45"/>
      <c r="G685" s="45"/>
      <c r="H685" s="45"/>
      <c r="I685" s="45"/>
      <c r="J685" s="45"/>
      <c r="K685" s="45"/>
      <c r="L685" s="45"/>
      <c r="M685" s="45"/>
      <c r="N685" s="45"/>
      <c r="O685" s="45"/>
      <c r="P685" s="45"/>
      <c r="Q685" s="45"/>
      <c r="R685" s="45"/>
      <c r="S685" s="45"/>
      <c r="T685" s="45"/>
      <c r="U685" s="45"/>
      <c r="V685" s="45"/>
      <c r="W685" s="45"/>
    </row>
    <row r="686" spans="1:23">
      <c r="A686" s="27" t="s">
        <v>100</v>
      </c>
      <c r="B686" t="s">
        <v>121</v>
      </c>
      <c r="C686" s="45"/>
      <c r="D686" s="45"/>
      <c r="E686" s="45"/>
      <c r="F686" s="45"/>
      <c r="G686" s="45"/>
      <c r="H686" s="45"/>
      <c r="I686" s="45"/>
      <c r="J686" s="45"/>
      <c r="K686" s="45"/>
      <c r="L686" s="45"/>
      <c r="M686" s="45"/>
      <c r="N686" s="45"/>
      <c r="O686" s="45"/>
      <c r="P686" s="45"/>
      <c r="Q686" s="45"/>
      <c r="R686" s="45"/>
      <c r="S686" s="45"/>
      <c r="T686" s="45"/>
      <c r="U686" s="45"/>
      <c r="V686" s="45"/>
      <c r="W686" s="45"/>
    </row>
    <row r="687" ht="15.6" spans="1:1">
      <c r="A687" s="5" t="s">
        <v>125</v>
      </c>
    </row>
    <row r="688" spans="1:23">
      <c r="A688" s="27" t="s">
        <v>96</v>
      </c>
      <c r="B688" t="s">
        <v>119</v>
      </c>
      <c r="C688" s="45"/>
      <c r="D688" s="45"/>
      <c r="E688" s="45"/>
      <c r="F688" s="45"/>
      <c r="G688" s="45"/>
      <c r="H688" s="45"/>
      <c r="I688" s="45"/>
      <c r="J688" s="45"/>
      <c r="K688" s="45"/>
      <c r="L688" s="45"/>
      <c r="M688" s="45"/>
      <c r="N688" s="45"/>
      <c r="O688" s="45"/>
      <c r="P688" s="45"/>
      <c r="Q688" s="45"/>
      <c r="R688" s="45"/>
      <c r="S688" s="45"/>
      <c r="T688" s="45"/>
      <c r="U688" s="45"/>
      <c r="V688" s="45"/>
      <c r="W688" s="45"/>
    </row>
    <row r="689" spans="1:23">
      <c r="A689" s="27" t="s">
        <v>98</v>
      </c>
      <c r="B689" t="s">
        <v>126</v>
      </c>
      <c r="C689" s="45"/>
      <c r="D689" s="45"/>
      <c r="E689" s="45"/>
      <c r="F689" s="45"/>
      <c r="G689" s="45"/>
      <c r="H689" s="45"/>
      <c r="I689" s="45"/>
      <c r="J689" s="45"/>
      <c r="K689" s="45"/>
      <c r="L689" s="45"/>
      <c r="M689" s="45"/>
      <c r="N689" s="45"/>
      <c r="O689" s="45"/>
      <c r="P689" s="45"/>
      <c r="Q689" s="45"/>
      <c r="R689" s="45"/>
      <c r="S689" s="45"/>
      <c r="T689" s="45"/>
      <c r="U689" s="45"/>
      <c r="V689" s="45"/>
      <c r="W689" s="45"/>
    </row>
    <row r="690" spans="1:23">
      <c r="A690" s="27" t="s">
        <v>100</v>
      </c>
      <c r="B690" t="s">
        <v>121</v>
      </c>
      <c r="C690" s="45"/>
      <c r="D690" s="45"/>
      <c r="E690" s="45"/>
      <c r="F690" s="45"/>
      <c r="G690" s="45"/>
      <c r="H690" s="45"/>
      <c r="I690" s="45"/>
      <c r="J690" s="45"/>
      <c r="K690" s="45"/>
      <c r="L690" s="45"/>
      <c r="M690" s="45"/>
      <c r="N690" s="45"/>
      <c r="O690" s="45"/>
      <c r="P690" s="45"/>
      <c r="Q690" s="45"/>
      <c r="R690" s="45"/>
      <c r="S690" s="45"/>
      <c r="T690" s="45"/>
      <c r="U690" s="45"/>
      <c r="V690" s="45"/>
      <c r="W690" s="45"/>
    </row>
    <row r="691" ht="15.6" spans="1:1">
      <c r="A691" s="5" t="s">
        <v>127</v>
      </c>
    </row>
    <row r="692" spans="1:23">
      <c r="A692" s="27" t="s">
        <v>96</v>
      </c>
      <c r="B692" t="s">
        <v>60</v>
      </c>
      <c r="C692" s="45"/>
      <c r="D692" s="45"/>
      <c r="E692" s="45"/>
      <c r="F692" s="45"/>
      <c r="G692" s="45"/>
      <c r="H692" s="45"/>
      <c r="I692" s="45"/>
      <c r="J692" s="45"/>
      <c r="K692" s="45"/>
      <c r="L692" s="45"/>
      <c r="M692" s="45"/>
      <c r="N692" s="45"/>
      <c r="O692" s="45"/>
      <c r="P692" s="45"/>
      <c r="Q692" s="45"/>
      <c r="R692" s="45"/>
      <c r="S692" s="45"/>
      <c r="T692" s="45"/>
      <c r="U692" s="45"/>
      <c r="V692" s="45"/>
      <c r="W692" s="45"/>
    </row>
    <row r="693" spans="1:23">
      <c r="A693" s="27" t="s">
        <v>98</v>
      </c>
      <c r="B693" t="s">
        <v>60</v>
      </c>
      <c r="C693" s="45"/>
      <c r="D693" s="45"/>
      <c r="E693" s="45"/>
      <c r="F693" s="45"/>
      <c r="G693" s="45"/>
      <c r="H693" s="45"/>
      <c r="I693" s="45"/>
      <c r="J693" s="45"/>
      <c r="K693" s="45"/>
      <c r="L693" s="45"/>
      <c r="M693" s="45"/>
      <c r="N693" s="45"/>
      <c r="O693" s="45"/>
      <c r="P693" s="45"/>
      <c r="Q693" s="45"/>
      <c r="R693" s="45"/>
      <c r="S693" s="45"/>
      <c r="T693" s="45"/>
      <c r="U693" s="45"/>
      <c r="V693" s="45"/>
      <c r="W693" s="45"/>
    </row>
    <row r="694" spans="1:23">
      <c r="A694" s="27" t="s">
        <v>100</v>
      </c>
      <c r="B694" t="s">
        <v>60</v>
      </c>
      <c r="C694" s="46"/>
      <c r="D694" s="46"/>
      <c r="E694" s="46"/>
      <c r="F694" s="46"/>
      <c r="G694" s="46"/>
      <c r="H694" s="46"/>
      <c r="I694" s="46"/>
      <c r="J694" s="46"/>
      <c r="K694" s="46"/>
      <c r="L694" s="46"/>
      <c r="M694" s="46"/>
      <c r="N694" s="46"/>
      <c r="O694" s="46"/>
      <c r="P694" s="46"/>
      <c r="Q694" s="46"/>
      <c r="R694" s="46"/>
      <c r="S694" s="46"/>
      <c r="T694" s="46"/>
      <c r="U694" s="46"/>
      <c r="V694" s="46"/>
      <c r="W694" s="46"/>
    </row>
    <row r="695" ht="15.6" spans="1:1">
      <c r="A695" s="5" t="s">
        <v>105</v>
      </c>
    </row>
    <row r="696" spans="1:23">
      <c r="A696" s="27" t="s">
        <v>96</v>
      </c>
      <c r="B696" t="s">
        <v>60</v>
      </c>
      <c r="C696" s="50"/>
      <c r="D696" s="50"/>
      <c r="E696" s="50"/>
      <c r="F696" s="50"/>
      <c r="G696" s="50"/>
      <c r="H696" s="50"/>
      <c r="I696" s="50"/>
      <c r="J696" s="50"/>
      <c r="K696" s="50"/>
      <c r="L696" s="50"/>
      <c r="M696" s="50"/>
      <c r="N696" s="50"/>
      <c r="O696" s="50"/>
      <c r="P696" s="50"/>
      <c r="Q696" s="50"/>
      <c r="R696" s="50"/>
      <c r="S696" s="50"/>
      <c r="T696" s="50"/>
      <c r="U696" s="50"/>
      <c r="V696" s="50"/>
      <c r="W696" s="50"/>
    </row>
    <row r="697" spans="1:23">
      <c r="A697" s="27" t="s">
        <v>98</v>
      </c>
      <c r="B697" t="s">
        <v>60</v>
      </c>
      <c r="C697" s="50"/>
      <c r="D697" s="50"/>
      <c r="E697" s="50"/>
      <c r="F697" s="50"/>
      <c r="G697" s="50"/>
      <c r="H697" s="50"/>
      <c r="I697" s="50"/>
      <c r="J697" s="50"/>
      <c r="K697" s="50"/>
      <c r="L697" s="50"/>
      <c r="M697" s="50"/>
      <c r="N697" s="50"/>
      <c r="O697" s="50"/>
      <c r="P697" s="50"/>
      <c r="Q697" s="50"/>
      <c r="R697" s="50"/>
      <c r="S697" s="50"/>
      <c r="T697" s="50"/>
      <c r="U697" s="50"/>
      <c r="V697" s="50"/>
      <c r="W697" s="50"/>
    </row>
    <row r="698" spans="1:23">
      <c r="A698" s="27" t="s">
        <v>100</v>
      </c>
      <c r="B698" t="s">
        <v>60</v>
      </c>
      <c r="C698" s="50"/>
      <c r="D698" s="50"/>
      <c r="E698" s="50"/>
      <c r="F698" s="50"/>
      <c r="G698" s="50"/>
      <c r="H698" s="50"/>
      <c r="I698" s="50"/>
      <c r="J698" s="50"/>
      <c r="K698" s="50"/>
      <c r="L698" s="50"/>
      <c r="M698" s="50"/>
      <c r="N698" s="50"/>
      <c r="O698" s="50"/>
      <c r="P698" s="50"/>
      <c r="Q698" s="50"/>
      <c r="R698" s="50"/>
      <c r="S698" s="50"/>
      <c r="T698" s="50"/>
      <c r="U698" s="50"/>
      <c r="V698" s="50"/>
      <c r="W698" s="50"/>
    </row>
    <row r="699" spans="1:23">
      <c r="A699" s="31" t="s">
        <v>107</v>
      </c>
      <c r="B699" s="32" t="s">
        <v>60</v>
      </c>
      <c r="C699" s="33"/>
      <c r="D699" s="33"/>
      <c r="E699" s="33"/>
      <c r="F699" s="33"/>
      <c r="G699" s="33"/>
      <c r="H699" s="33"/>
      <c r="I699" s="33"/>
      <c r="J699" s="33"/>
      <c r="K699" s="33"/>
      <c r="L699" s="33"/>
      <c r="M699" s="33"/>
      <c r="N699" s="33"/>
      <c r="O699" s="33"/>
      <c r="P699" s="33"/>
      <c r="Q699" s="33"/>
      <c r="R699" s="33"/>
      <c r="S699" s="33"/>
      <c r="T699" s="33"/>
      <c r="U699" s="33"/>
      <c r="V699" s="33"/>
      <c r="W699" s="33"/>
    </row>
    <row r="700" ht="15.6" spans="1:1">
      <c r="A700" s="5" t="s">
        <v>131</v>
      </c>
    </row>
    <row r="701" spans="1:23">
      <c r="A701" s="27" t="s">
        <v>96</v>
      </c>
      <c r="B701" t="s">
        <v>60</v>
      </c>
      <c r="C701" s="14"/>
      <c r="D701" s="14"/>
      <c r="E701" s="14"/>
      <c r="F701" s="14"/>
      <c r="G701" s="14"/>
      <c r="H701" s="14"/>
      <c r="I701" s="14"/>
      <c r="J701" s="14"/>
      <c r="K701" s="14"/>
      <c r="L701" s="14"/>
      <c r="M701" s="14"/>
      <c r="N701" s="14"/>
      <c r="O701" s="14"/>
      <c r="P701" s="14"/>
      <c r="Q701" s="14"/>
      <c r="R701" s="14"/>
      <c r="S701" s="14"/>
      <c r="T701" s="14"/>
      <c r="U701" s="14"/>
      <c r="V701" s="14"/>
      <c r="W701" s="14"/>
    </row>
    <row r="702" spans="1:23">
      <c r="A702" s="27" t="s">
        <v>98</v>
      </c>
      <c r="B702" t="s">
        <v>60</v>
      </c>
      <c r="C702" s="14"/>
      <c r="D702" s="14"/>
      <c r="E702" s="14"/>
      <c r="F702" s="14"/>
      <c r="G702" s="14"/>
      <c r="H702" s="14"/>
      <c r="I702" s="14"/>
      <c r="J702" s="14"/>
      <c r="K702" s="14"/>
      <c r="L702" s="14"/>
      <c r="M702" s="14"/>
      <c r="N702" s="14"/>
      <c r="O702" s="14"/>
      <c r="P702" s="14"/>
      <c r="Q702" s="14"/>
      <c r="R702" s="14"/>
      <c r="S702" s="14"/>
      <c r="T702" s="14"/>
      <c r="U702" s="14"/>
      <c r="V702" s="14"/>
      <c r="W702" s="14"/>
    </row>
    <row r="703" spans="1:23">
      <c r="A703" s="27" t="s">
        <v>100</v>
      </c>
      <c r="B703" t="s">
        <v>60</v>
      </c>
      <c r="C703" s="14"/>
      <c r="D703" s="14"/>
      <c r="E703" s="14"/>
      <c r="F703" s="14"/>
      <c r="G703" s="14"/>
      <c r="H703" s="14"/>
      <c r="I703" s="14"/>
      <c r="J703" s="14"/>
      <c r="K703" s="14"/>
      <c r="L703" s="14"/>
      <c r="M703" s="14"/>
      <c r="N703" s="14"/>
      <c r="O703" s="14"/>
      <c r="P703" s="14"/>
      <c r="Q703" s="14"/>
      <c r="R703" s="14"/>
      <c r="S703" s="14"/>
      <c r="T703" s="14"/>
      <c r="U703" s="14"/>
      <c r="V703" s="14"/>
      <c r="W703" s="14"/>
    </row>
    <row r="704" spans="1:23">
      <c r="A704" s="31" t="s">
        <v>107</v>
      </c>
      <c r="B704" s="32" t="s">
        <v>60</v>
      </c>
      <c r="C704" s="33"/>
      <c r="D704" s="33"/>
      <c r="E704" s="33"/>
      <c r="F704" s="33"/>
      <c r="G704" s="33"/>
      <c r="H704" s="33"/>
      <c r="I704" s="33"/>
      <c r="J704" s="33"/>
      <c r="K704" s="33"/>
      <c r="L704" s="33"/>
      <c r="M704" s="33"/>
      <c r="N704" s="33"/>
      <c r="O704" s="33"/>
      <c r="P704" s="33"/>
      <c r="Q704" s="33"/>
      <c r="R704" s="33"/>
      <c r="S704" s="33"/>
      <c r="T704" s="33"/>
      <c r="U704" s="33"/>
      <c r="V704" s="33"/>
      <c r="W704" s="33"/>
    </row>
    <row r="705" ht="15.6" spans="1:1">
      <c r="A705" s="5" t="s">
        <v>105</v>
      </c>
    </row>
    <row r="706" spans="1:23">
      <c r="A706" s="27" t="s">
        <v>96</v>
      </c>
      <c r="B706" t="s">
        <v>60</v>
      </c>
      <c r="C706" s="39"/>
      <c r="D706" s="39"/>
      <c r="E706" s="39"/>
      <c r="F706" s="39"/>
      <c r="G706" s="39"/>
      <c r="H706" s="39"/>
      <c r="I706" s="39"/>
      <c r="J706" s="39"/>
      <c r="K706" s="39"/>
      <c r="L706" s="39"/>
      <c r="M706" s="39"/>
      <c r="N706" s="39"/>
      <c r="O706" s="39"/>
      <c r="P706" s="39"/>
      <c r="Q706" s="39"/>
      <c r="R706" s="39"/>
      <c r="S706" s="39"/>
      <c r="T706" s="39"/>
      <c r="U706" s="39"/>
      <c r="V706" s="39"/>
      <c r="W706" s="39"/>
    </row>
    <row r="707" spans="1:23">
      <c r="A707" s="27" t="s">
        <v>98</v>
      </c>
      <c r="B707" t="s">
        <v>60</v>
      </c>
      <c r="C707" s="39"/>
      <c r="D707" s="39"/>
      <c r="E707" s="39"/>
      <c r="F707" s="39"/>
      <c r="G707" s="39"/>
      <c r="H707" s="39"/>
      <c r="I707" s="39"/>
      <c r="J707" s="39"/>
      <c r="K707" s="39"/>
      <c r="L707" s="39"/>
      <c r="M707" s="39"/>
      <c r="N707" s="39"/>
      <c r="O707" s="39"/>
      <c r="P707" s="39"/>
      <c r="Q707" s="39"/>
      <c r="R707" s="39"/>
      <c r="S707" s="39"/>
      <c r="T707" s="39"/>
      <c r="U707" s="39"/>
      <c r="V707" s="39"/>
      <c r="W707" s="39"/>
    </row>
    <row r="708" spans="1:23">
      <c r="A708" s="27" t="s">
        <v>100</v>
      </c>
      <c r="B708" t="s">
        <v>60</v>
      </c>
      <c r="C708" s="39"/>
      <c r="D708" s="39"/>
      <c r="E708" s="39"/>
      <c r="F708" s="39"/>
      <c r="G708" s="39"/>
      <c r="H708" s="39"/>
      <c r="I708" s="39"/>
      <c r="J708" s="39"/>
      <c r="K708" s="39"/>
      <c r="L708" s="39"/>
      <c r="M708" s="39"/>
      <c r="N708" s="39"/>
      <c r="O708" s="39"/>
      <c r="P708" s="39"/>
      <c r="Q708" s="39"/>
      <c r="R708" s="39"/>
      <c r="S708" s="39"/>
      <c r="T708" s="39"/>
      <c r="U708" s="39"/>
      <c r="V708" s="39"/>
      <c r="W708" s="39"/>
    </row>
    <row r="709" spans="1:23">
      <c r="A709" s="27" t="s">
        <v>106</v>
      </c>
      <c r="B709" t="s">
        <v>60</v>
      </c>
      <c r="C709" s="53">
        <v>0</v>
      </c>
      <c r="D709" s="53">
        <v>0</v>
      </c>
      <c r="E709" s="53">
        <v>0</v>
      </c>
      <c r="F709" s="53">
        <v>0</v>
      </c>
      <c r="G709" s="53">
        <v>0</v>
      </c>
      <c r="H709" s="53">
        <v>0</v>
      </c>
      <c r="I709" s="53">
        <v>0</v>
      </c>
      <c r="J709" s="53">
        <v>0</v>
      </c>
      <c r="K709" s="53">
        <v>0</v>
      </c>
      <c r="L709" s="53">
        <v>0</v>
      </c>
      <c r="M709" s="53">
        <v>0</v>
      </c>
      <c r="N709" s="53">
        <v>0</v>
      </c>
      <c r="O709" s="53">
        <v>0</v>
      </c>
      <c r="P709" s="53">
        <v>0</v>
      </c>
      <c r="Q709" s="53">
        <v>0</v>
      </c>
      <c r="R709" s="53">
        <v>0</v>
      </c>
      <c r="S709" s="53">
        <v>0</v>
      </c>
      <c r="T709" s="53">
        <v>0</v>
      </c>
      <c r="U709" s="53">
        <v>0</v>
      </c>
      <c r="V709" s="53">
        <v>0</v>
      </c>
      <c r="W709" s="53">
        <v>0</v>
      </c>
    </row>
    <row r="710" spans="1:23">
      <c r="A710" s="31" t="s">
        <v>107</v>
      </c>
      <c r="B710" s="32" t="s">
        <v>60</v>
      </c>
      <c r="C710" s="33"/>
      <c r="D710" s="33"/>
      <c r="E710" s="33"/>
      <c r="F710" s="33"/>
      <c r="G710" s="33"/>
      <c r="H710" s="33"/>
      <c r="I710" s="33"/>
      <c r="J710" s="33"/>
      <c r="K710" s="33"/>
      <c r="L710" s="33"/>
      <c r="M710" s="33"/>
      <c r="N710" s="33"/>
      <c r="O710" s="33"/>
      <c r="P710" s="33"/>
      <c r="Q710" s="33"/>
      <c r="R710" s="33"/>
      <c r="S710" s="33"/>
      <c r="T710" s="33"/>
      <c r="U710" s="33"/>
      <c r="V710" s="33"/>
      <c r="W710" s="33"/>
    </row>
    <row r="711" ht="15.6" spans="1:23">
      <c r="A711" s="25" t="s">
        <v>94</v>
      </c>
      <c r="C711" s="10">
        <v>1</v>
      </c>
      <c r="D711" s="10">
        <v>1</v>
      </c>
      <c r="E711" s="10">
        <v>1</v>
      </c>
      <c r="F711" s="10">
        <v>1</v>
      </c>
      <c r="G711" s="10">
        <v>1</v>
      </c>
      <c r="H711" s="10">
        <v>0</v>
      </c>
      <c r="I711" s="10">
        <v>0</v>
      </c>
      <c r="J711" s="10">
        <v>0</v>
      </c>
      <c r="K711" s="10">
        <v>0</v>
      </c>
      <c r="L711" s="10">
        <v>0</v>
      </c>
      <c r="M711" s="10">
        <v>0</v>
      </c>
      <c r="N711" s="10">
        <v>0</v>
      </c>
      <c r="O711" s="10">
        <v>0</v>
      </c>
      <c r="P711" s="10">
        <v>0</v>
      </c>
      <c r="Q711" s="10">
        <v>0</v>
      </c>
      <c r="R711" s="10">
        <v>0</v>
      </c>
      <c r="S711" s="10">
        <v>0</v>
      </c>
      <c r="T711" s="10">
        <v>0</v>
      </c>
      <c r="U711" s="10">
        <v>1</v>
      </c>
      <c r="V711" s="10">
        <v>0</v>
      </c>
      <c r="W711" s="10">
        <v>0</v>
      </c>
    </row>
    <row r="712" ht="15.6" spans="1:23">
      <c r="A712" s="25" t="s">
        <v>111</v>
      </c>
      <c r="B712" t="s">
        <v>112</v>
      </c>
      <c r="C712" s="40">
        <v>400</v>
      </c>
      <c r="D712" s="40">
        <v>400</v>
      </c>
      <c r="E712" s="40">
        <v>400</v>
      </c>
      <c r="F712" s="40">
        <v>400</v>
      </c>
      <c r="G712" s="40">
        <v>400</v>
      </c>
      <c r="H712" s="40">
        <v>400</v>
      </c>
      <c r="I712" s="40">
        <v>400</v>
      </c>
      <c r="J712" s="40">
        <v>400</v>
      </c>
      <c r="K712" s="40">
        <v>400</v>
      </c>
      <c r="L712" s="40">
        <v>400</v>
      </c>
      <c r="M712" s="40">
        <v>400</v>
      </c>
      <c r="N712" s="40">
        <v>400</v>
      </c>
      <c r="O712" s="40">
        <v>400</v>
      </c>
      <c r="P712" s="40">
        <v>400</v>
      </c>
      <c r="Q712" s="40">
        <v>400</v>
      </c>
      <c r="R712" s="40">
        <v>400</v>
      </c>
      <c r="S712" s="40">
        <v>400</v>
      </c>
      <c r="T712" s="40">
        <v>400</v>
      </c>
      <c r="U712" s="40">
        <v>400</v>
      </c>
      <c r="V712" s="40">
        <v>400</v>
      </c>
      <c r="W712" s="40">
        <v>400</v>
      </c>
    </row>
    <row r="713" ht="15.6" spans="1:1">
      <c r="A713" s="5" t="s">
        <v>95</v>
      </c>
    </row>
    <row r="714" ht="15.6" spans="1:23">
      <c r="A714" s="27" t="s">
        <v>96</v>
      </c>
      <c r="B714" t="s">
        <v>108</v>
      </c>
      <c r="C714" s="28">
        <f t="shared" ref="C714:W714" si="52">15/200</f>
        <v>0.075</v>
      </c>
      <c r="D714" s="28">
        <f t="shared" si="52"/>
        <v>0.075</v>
      </c>
      <c r="E714" s="28">
        <f t="shared" si="52"/>
        <v>0.075</v>
      </c>
      <c r="F714" s="28">
        <f t="shared" si="52"/>
        <v>0.075</v>
      </c>
      <c r="G714" s="28">
        <f t="shared" si="52"/>
        <v>0.075</v>
      </c>
      <c r="H714" s="28">
        <f t="shared" si="52"/>
        <v>0.075</v>
      </c>
      <c r="I714" s="28">
        <f t="shared" si="52"/>
        <v>0.075</v>
      </c>
      <c r="J714" s="28">
        <f t="shared" si="52"/>
        <v>0.075</v>
      </c>
      <c r="K714" s="28">
        <f t="shared" si="52"/>
        <v>0.075</v>
      </c>
      <c r="L714" s="28">
        <f t="shared" si="52"/>
        <v>0.075</v>
      </c>
      <c r="M714" s="28">
        <f t="shared" si="52"/>
        <v>0.075</v>
      </c>
      <c r="N714" s="28">
        <f t="shared" si="52"/>
        <v>0.075</v>
      </c>
      <c r="O714" s="28">
        <f t="shared" si="52"/>
        <v>0.075</v>
      </c>
      <c r="P714" s="28">
        <f t="shared" si="52"/>
        <v>0.075</v>
      </c>
      <c r="Q714" s="28">
        <f t="shared" si="52"/>
        <v>0.075</v>
      </c>
      <c r="R714" s="28">
        <f t="shared" si="52"/>
        <v>0.075</v>
      </c>
      <c r="S714" s="28">
        <f t="shared" si="52"/>
        <v>0.075</v>
      </c>
      <c r="T714" s="28">
        <f t="shared" si="52"/>
        <v>0.075</v>
      </c>
      <c r="U714" s="28">
        <f t="shared" si="52"/>
        <v>0.075</v>
      </c>
      <c r="V714" s="28">
        <f t="shared" si="52"/>
        <v>0.075</v>
      </c>
      <c r="W714" s="28">
        <f t="shared" si="52"/>
        <v>0.075</v>
      </c>
    </row>
    <row r="715" ht="15.6" spans="1:23">
      <c r="A715" s="27" t="s">
        <v>98</v>
      </c>
      <c r="B715" t="s">
        <v>109</v>
      </c>
      <c r="C715" s="28">
        <f t="shared" ref="C715:W715" si="53">1.5/200</f>
        <v>0.0075</v>
      </c>
      <c r="D715" s="28">
        <f t="shared" si="53"/>
        <v>0.0075</v>
      </c>
      <c r="E715" s="28">
        <f t="shared" si="53"/>
        <v>0.0075</v>
      </c>
      <c r="F715" s="28">
        <f t="shared" si="53"/>
        <v>0.0075</v>
      </c>
      <c r="G715" s="28">
        <f t="shared" si="53"/>
        <v>0.0075</v>
      </c>
      <c r="H715" s="28">
        <f t="shared" si="53"/>
        <v>0.0075</v>
      </c>
      <c r="I715" s="28">
        <f t="shared" si="53"/>
        <v>0.0075</v>
      </c>
      <c r="J715" s="28">
        <f t="shared" si="53"/>
        <v>0.0075</v>
      </c>
      <c r="K715" s="28">
        <f t="shared" si="53"/>
        <v>0.0075</v>
      </c>
      <c r="L715" s="28">
        <f t="shared" si="53"/>
        <v>0.0075</v>
      </c>
      <c r="M715" s="28">
        <f t="shared" si="53"/>
        <v>0.0075</v>
      </c>
      <c r="N715" s="28">
        <f t="shared" si="53"/>
        <v>0.0075</v>
      </c>
      <c r="O715" s="28">
        <f t="shared" si="53"/>
        <v>0.0075</v>
      </c>
      <c r="P715" s="28">
        <f t="shared" si="53"/>
        <v>0.0075</v>
      </c>
      <c r="Q715" s="28">
        <f t="shared" si="53"/>
        <v>0.0075</v>
      </c>
      <c r="R715" s="28">
        <f t="shared" si="53"/>
        <v>0.0075</v>
      </c>
      <c r="S715" s="28">
        <f t="shared" si="53"/>
        <v>0.0075</v>
      </c>
      <c r="T715" s="28">
        <f t="shared" si="53"/>
        <v>0.0075</v>
      </c>
      <c r="U715" s="28">
        <f t="shared" si="53"/>
        <v>0.0075</v>
      </c>
      <c r="V715" s="28">
        <f t="shared" si="53"/>
        <v>0.0075</v>
      </c>
      <c r="W715" s="28">
        <f t="shared" si="53"/>
        <v>0.0075</v>
      </c>
    </row>
    <row r="716" ht="15.6" spans="1:23">
      <c r="A716" s="27" t="s">
        <v>100</v>
      </c>
      <c r="B716" t="s">
        <v>60</v>
      </c>
      <c r="C716" s="28">
        <f t="shared" ref="C716:W716" si="54">50/200</f>
        <v>0.25</v>
      </c>
      <c r="D716" s="28">
        <f t="shared" si="54"/>
        <v>0.25</v>
      </c>
      <c r="E716" s="28">
        <f t="shared" si="54"/>
        <v>0.25</v>
      </c>
      <c r="F716" s="28">
        <f t="shared" si="54"/>
        <v>0.25</v>
      </c>
      <c r="G716" s="28">
        <f t="shared" si="54"/>
        <v>0.25</v>
      </c>
      <c r="H716" s="28">
        <f t="shared" si="54"/>
        <v>0.25</v>
      </c>
      <c r="I716" s="28">
        <f t="shared" si="54"/>
        <v>0.25</v>
      </c>
      <c r="J716" s="28">
        <f t="shared" si="54"/>
        <v>0.25</v>
      </c>
      <c r="K716" s="28">
        <f t="shared" si="54"/>
        <v>0.25</v>
      </c>
      <c r="L716" s="28">
        <f t="shared" si="54"/>
        <v>0.25</v>
      </c>
      <c r="M716" s="28">
        <f t="shared" si="54"/>
        <v>0.25</v>
      </c>
      <c r="N716" s="28">
        <f t="shared" si="54"/>
        <v>0.25</v>
      </c>
      <c r="O716" s="28">
        <f t="shared" si="54"/>
        <v>0.25</v>
      </c>
      <c r="P716" s="28">
        <f t="shared" si="54"/>
        <v>0.25</v>
      </c>
      <c r="Q716" s="28">
        <f t="shared" si="54"/>
        <v>0.25</v>
      </c>
      <c r="R716" s="28">
        <f t="shared" si="54"/>
        <v>0.25</v>
      </c>
      <c r="S716" s="28">
        <f t="shared" si="54"/>
        <v>0.25</v>
      </c>
      <c r="T716" s="28">
        <f t="shared" si="54"/>
        <v>0.25</v>
      </c>
      <c r="U716" s="28">
        <f t="shared" si="54"/>
        <v>0.25</v>
      </c>
      <c r="V716" s="28">
        <f t="shared" si="54"/>
        <v>0.25</v>
      </c>
      <c r="W716" s="28">
        <f t="shared" si="54"/>
        <v>0.25</v>
      </c>
    </row>
    <row r="717" ht="15.6" spans="1:1">
      <c r="A717" s="5" t="s">
        <v>102</v>
      </c>
    </row>
    <row r="718" spans="1:23">
      <c r="A718" s="27" t="s">
        <v>96</v>
      </c>
      <c r="B718" t="s">
        <v>108</v>
      </c>
      <c r="C718" s="14"/>
      <c r="D718" s="14"/>
      <c r="E718" s="14"/>
      <c r="F718" s="14"/>
      <c r="G718" s="14"/>
      <c r="H718" s="14"/>
      <c r="I718" s="14"/>
      <c r="J718" s="14"/>
      <c r="K718" s="14"/>
      <c r="L718" s="14"/>
      <c r="M718" s="14"/>
      <c r="N718" s="14"/>
      <c r="O718" s="14"/>
      <c r="P718" s="14"/>
      <c r="Q718" s="14"/>
      <c r="R718" s="14"/>
      <c r="S718" s="14"/>
      <c r="T718" s="14"/>
      <c r="U718" s="14"/>
      <c r="V718" s="14"/>
      <c r="W718" s="14"/>
    </row>
    <row r="719" spans="1:23">
      <c r="A719" s="27" t="s">
        <v>98</v>
      </c>
      <c r="B719" t="s">
        <v>109</v>
      </c>
      <c r="C719" s="14"/>
      <c r="D719" s="14"/>
      <c r="E719" s="14"/>
      <c r="F719" s="14"/>
      <c r="G719" s="14"/>
      <c r="H719" s="14"/>
      <c r="I719" s="14"/>
      <c r="J719" s="14"/>
      <c r="K719" s="14"/>
      <c r="L719" s="14"/>
      <c r="M719" s="14"/>
      <c r="N719" s="14"/>
      <c r="O719" s="14"/>
      <c r="P719" s="14"/>
      <c r="Q719" s="14"/>
      <c r="R719" s="14"/>
      <c r="S719" s="14"/>
      <c r="T719" s="14"/>
      <c r="U719" s="14"/>
      <c r="V719" s="14"/>
      <c r="W719" s="14"/>
    </row>
    <row r="720" spans="1:23">
      <c r="A720" s="27" t="s">
        <v>100</v>
      </c>
      <c r="B720" t="s">
        <v>60</v>
      </c>
      <c r="C720" s="14"/>
      <c r="D720" s="14"/>
      <c r="E720" s="14"/>
      <c r="F720" s="14"/>
      <c r="G720" s="14"/>
      <c r="H720" s="14"/>
      <c r="I720" s="14"/>
      <c r="J720" s="14"/>
      <c r="K720" s="14"/>
      <c r="L720" s="14"/>
      <c r="M720" s="14"/>
      <c r="N720" s="14"/>
      <c r="O720" s="14"/>
      <c r="P720" s="14"/>
      <c r="Q720" s="14"/>
      <c r="R720" s="14"/>
      <c r="S720" s="14"/>
      <c r="T720" s="14"/>
      <c r="U720" s="14"/>
      <c r="V720" s="14"/>
      <c r="W720" s="14"/>
    </row>
    <row r="721" ht="15.6" spans="1:1">
      <c r="A721" s="5" t="s">
        <v>110</v>
      </c>
    </row>
    <row r="722" spans="1:23">
      <c r="A722" s="27" t="s">
        <v>96</v>
      </c>
      <c r="B722" t="s">
        <v>60</v>
      </c>
      <c r="C722" s="14"/>
      <c r="D722" s="14"/>
      <c r="E722" s="14"/>
      <c r="F722" s="14"/>
      <c r="G722" s="14"/>
      <c r="H722" s="14"/>
      <c r="I722" s="14"/>
      <c r="J722" s="14"/>
      <c r="K722" s="14"/>
      <c r="L722" s="14"/>
      <c r="M722" s="14"/>
      <c r="N722" s="14"/>
      <c r="O722" s="14"/>
      <c r="P722" s="14"/>
      <c r="Q722" s="14"/>
      <c r="R722" s="14"/>
      <c r="S722" s="14"/>
      <c r="T722" s="14"/>
      <c r="U722" s="14"/>
      <c r="V722" s="14"/>
      <c r="W722" s="14"/>
    </row>
    <row r="723" spans="1:23">
      <c r="A723" s="27" t="s">
        <v>98</v>
      </c>
      <c r="B723" t="s">
        <v>60</v>
      </c>
      <c r="C723" s="14"/>
      <c r="D723" s="14"/>
      <c r="E723" s="14"/>
      <c r="F723" s="14"/>
      <c r="G723" s="14"/>
      <c r="H723" s="14"/>
      <c r="I723" s="14"/>
      <c r="J723" s="14"/>
      <c r="K723" s="14"/>
      <c r="L723" s="14"/>
      <c r="M723" s="14"/>
      <c r="N723" s="14"/>
      <c r="O723" s="14"/>
      <c r="P723" s="14"/>
      <c r="Q723" s="14"/>
      <c r="R723" s="14"/>
      <c r="S723" s="14"/>
      <c r="T723" s="14"/>
      <c r="U723" s="14"/>
      <c r="V723" s="14"/>
      <c r="W723" s="14"/>
    </row>
    <row r="724" spans="1:23">
      <c r="A724" s="27" t="s">
        <v>100</v>
      </c>
      <c r="B724" t="s">
        <v>60</v>
      </c>
      <c r="C724" s="39"/>
      <c r="D724" s="39"/>
      <c r="E724" s="39"/>
      <c r="F724" s="39"/>
      <c r="G724" s="39"/>
      <c r="H724" s="39"/>
      <c r="I724" s="39"/>
      <c r="J724" s="39"/>
      <c r="K724" s="39"/>
      <c r="L724" s="39"/>
      <c r="M724" s="39"/>
      <c r="N724" s="39"/>
      <c r="O724" s="39"/>
      <c r="P724" s="39"/>
      <c r="Q724" s="39"/>
      <c r="R724" s="39"/>
      <c r="S724" s="39"/>
      <c r="T724" s="39"/>
      <c r="U724" s="39"/>
      <c r="V724" s="39"/>
      <c r="W724" s="39"/>
    </row>
    <row r="725" ht="15.6" spans="1:1">
      <c r="A725" s="5" t="s">
        <v>105</v>
      </c>
    </row>
    <row r="726" spans="1:23">
      <c r="A726" s="27" t="s">
        <v>96</v>
      </c>
      <c r="B726" t="s">
        <v>60</v>
      </c>
      <c r="C726" s="50"/>
      <c r="D726" s="50"/>
      <c r="E726" s="50"/>
      <c r="F726" s="50"/>
      <c r="G726" s="50"/>
      <c r="H726" s="50"/>
      <c r="I726" s="50"/>
      <c r="J726" s="50"/>
      <c r="K726" s="50"/>
      <c r="L726" s="50"/>
      <c r="M726" s="50"/>
      <c r="N726" s="50"/>
      <c r="O726" s="50"/>
      <c r="P726" s="50"/>
      <c r="Q726" s="50"/>
      <c r="R726" s="50"/>
      <c r="S726" s="50"/>
      <c r="T726" s="50"/>
      <c r="U726" s="50"/>
      <c r="V726" s="50"/>
      <c r="W726" s="50"/>
    </row>
    <row r="727" spans="1:23">
      <c r="A727" s="27" t="s">
        <v>98</v>
      </c>
      <c r="B727" t="s">
        <v>60</v>
      </c>
      <c r="C727" s="50"/>
      <c r="D727" s="50"/>
      <c r="E727" s="50"/>
      <c r="F727" s="50"/>
      <c r="G727" s="50"/>
      <c r="H727" s="50"/>
      <c r="I727" s="50"/>
      <c r="J727" s="50"/>
      <c r="K727" s="50"/>
      <c r="L727" s="50"/>
      <c r="M727" s="50"/>
      <c r="N727" s="50"/>
      <c r="O727" s="50"/>
      <c r="P727" s="50"/>
      <c r="Q727" s="50"/>
      <c r="R727" s="50"/>
      <c r="S727" s="50"/>
      <c r="T727" s="50"/>
      <c r="U727" s="50"/>
      <c r="V727" s="50"/>
      <c r="W727" s="50"/>
    </row>
    <row r="728" spans="1:23">
      <c r="A728" s="27" t="s">
        <v>100</v>
      </c>
      <c r="B728" t="s">
        <v>60</v>
      </c>
      <c r="C728" s="50"/>
      <c r="D728" s="50"/>
      <c r="E728" s="50"/>
      <c r="F728" s="50"/>
      <c r="G728" s="50"/>
      <c r="H728" s="50"/>
      <c r="I728" s="50"/>
      <c r="J728" s="50"/>
      <c r="K728" s="50"/>
      <c r="L728" s="50"/>
      <c r="M728" s="50"/>
      <c r="N728" s="50"/>
      <c r="O728" s="50"/>
      <c r="P728" s="50"/>
      <c r="Q728" s="50"/>
      <c r="R728" s="50"/>
      <c r="S728" s="50"/>
      <c r="T728" s="50"/>
      <c r="U728" s="50"/>
      <c r="V728" s="50"/>
      <c r="W728" s="50"/>
    </row>
    <row r="729" spans="1:23">
      <c r="A729" s="31" t="s">
        <v>107</v>
      </c>
      <c r="B729" s="32" t="s">
        <v>60</v>
      </c>
      <c r="C729" s="33"/>
      <c r="D729" s="33"/>
      <c r="E729" s="33"/>
      <c r="F729" s="33"/>
      <c r="G729" s="33"/>
      <c r="H729" s="33"/>
      <c r="I729" s="33"/>
      <c r="J729" s="33"/>
      <c r="K729" s="33"/>
      <c r="L729" s="33"/>
      <c r="M729" s="33"/>
      <c r="N729" s="33"/>
      <c r="O729" s="33"/>
      <c r="P729" s="33"/>
      <c r="Q729" s="33"/>
      <c r="R729" s="33"/>
      <c r="S729" s="33"/>
      <c r="T729" s="33"/>
      <c r="U729" s="33"/>
      <c r="V729" s="33"/>
      <c r="W729" s="33"/>
    </row>
    <row r="730" ht="15.6" spans="1:23">
      <c r="A730" s="25" t="s">
        <v>94</v>
      </c>
      <c r="C730" s="12"/>
      <c r="D730" s="12"/>
      <c r="E730" s="12"/>
      <c r="F730" s="12"/>
      <c r="G730" s="12"/>
      <c r="H730" s="12"/>
      <c r="I730" s="12"/>
      <c r="J730" s="12"/>
      <c r="K730" s="12"/>
      <c r="L730" s="12"/>
      <c r="M730" s="12"/>
      <c r="N730" s="12"/>
      <c r="O730" s="12"/>
      <c r="P730" s="12"/>
      <c r="Q730" s="12"/>
      <c r="R730" s="12"/>
      <c r="S730" s="12"/>
      <c r="T730" s="12"/>
      <c r="U730" s="12"/>
      <c r="V730" s="12"/>
      <c r="W730" s="12"/>
    </row>
    <row r="731" ht="15.6" spans="1:23">
      <c r="A731" s="25" t="s">
        <v>113</v>
      </c>
      <c r="B731" t="s">
        <v>114</v>
      </c>
      <c r="C731" s="40">
        <v>82</v>
      </c>
      <c r="D731" s="40">
        <v>82</v>
      </c>
      <c r="E731" s="40">
        <v>82</v>
      </c>
      <c r="F731" s="40">
        <v>50</v>
      </c>
      <c r="G731" s="40">
        <v>30</v>
      </c>
      <c r="H731" s="40">
        <v>82</v>
      </c>
      <c r="I731" s="40">
        <v>82</v>
      </c>
      <c r="J731" s="40">
        <v>82</v>
      </c>
      <c r="K731" s="40">
        <v>82</v>
      </c>
      <c r="L731" s="40">
        <v>82</v>
      </c>
      <c r="M731" s="40">
        <v>82</v>
      </c>
      <c r="N731" s="40">
        <v>82</v>
      </c>
      <c r="O731" s="40">
        <v>82</v>
      </c>
      <c r="P731" s="40">
        <v>82</v>
      </c>
      <c r="Q731" s="40">
        <v>82</v>
      </c>
      <c r="R731" s="40">
        <v>82</v>
      </c>
      <c r="S731" s="40">
        <v>82</v>
      </c>
      <c r="T731" s="40">
        <v>82</v>
      </c>
      <c r="U731" s="40">
        <v>82</v>
      </c>
      <c r="V731" s="40">
        <v>82</v>
      </c>
      <c r="W731" s="40">
        <v>82</v>
      </c>
    </row>
    <row r="732" ht="15.6" spans="1:23">
      <c r="A732" s="25" t="s">
        <v>115</v>
      </c>
      <c r="B732" t="s">
        <v>116</v>
      </c>
      <c r="C732" s="40">
        <v>125</v>
      </c>
      <c r="D732" s="40">
        <v>97.5</v>
      </c>
      <c r="E732" s="40">
        <v>90</v>
      </c>
      <c r="F732" s="40">
        <v>115</v>
      </c>
      <c r="G732" s="40">
        <v>160</v>
      </c>
      <c r="H732" s="40">
        <v>125</v>
      </c>
      <c r="I732" s="40">
        <v>125</v>
      </c>
      <c r="J732" s="40">
        <v>125</v>
      </c>
      <c r="K732" s="40">
        <v>125</v>
      </c>
      <c r="L732" s="40">
        <v>125</v>
      </c>
      <c r="M732" s="40">
        <v>125</v>
      </c>
      <c r="N732" s="40">
        <v>125</v>
      </c>
      <c r="O732" s="40">
        <v>125</v>
      </c>
      <c r="P732" s="40">
        <v>125</v>
      </c>
      <c r="Q732" s="40">
        <v>125</v>
      </c>
      <c r="R732" s="40">
        <v>125</v>
      </c>
      <c r="S732" s="40">
        <v>125</v>
      </c>
      <c r="T732" s="40">
        <v>125</v>
      </c>
      <c r="U732" s="40">
        <v>135</v>
      </c>
      <c r="V732" s="40">
        <v>125</v>
      </c>
      <c r="W732" s="40">
        <v>125</v>
      </c>
    </row>
    <row r="733" ht="15.6" spans="1:1">
      <c r="A733" s="5" t="s">
        <v>95</v>
      </c>
    </row>
    <row r="734" ht="15.6" spans="1:23">
      <c r="A734" s="27" t="s">
        <v>117</v>
      </c>
      <c r="B734" t="s">
        <v>118</v>
      </c>
      <c r="C734" s="42">
        <v>45</v>
      </c>
      <c r="D734" s="42">
        <v>45</v>
      </c>
      <c r="E734" s="42">
        <v>45</v>
      </c>
      <c r="F734" s="42">
        <v>45</v>
      </c>
      <c r="G734" s="42">
        <v>45</v>
      </c>
      <c r="H734" s="42">
        <v>45</v>
      </c>
      <c r="I734" s="42">
        <v>45</v>
      </c>
      <c r="J734" s="42">
        <v>45</v>
      </c>
      <c r="K734" s="42">
        <v>45</v>
      </c>
      <c r="L734" s="42">
        <v>45</v>
      </c>
      <c r="M734" s="42">
        <v>45</v>
      </c>
      <c r="N734" s="42">
        <v>45</v>
      </c>
      <c r="O734" s="42">
        <v>45</v>
      </c>
      <c r="P734" s="42">
        <v>45</v>
      </c>
      <c r="Q734" s="42">
        <v>45</v>
      </c>
      <c r="R734" s="42">
        <v>45</v>
      </c>
      <c r="S734" s="42">
        <v>45</v>
      </c>
      <c r="T734" s="42">
        <v>45</v>
      </c>
      <c r="U734" s="42">
        <v>45</v>
      </c>
      <c r="V734" s="42">
        <v>45</v>
      </c>
      <c r="W734" s="42">
        <v>45</v>
      </c>
    </row>
    <row r="735" ht="15.6" spans="1:23">
      <c r="A735" s="27" t="s">
        <v>96</v>
      </c>
      <c r="B735" t="s">
        <v>119</v>
      </c>
      <c r="C735" s="43">
        <v>0.014</v>
      </c>
      <c r="D735" s="43">
        <v>0.014</v>
      </c>
      <c r="E735" s="43">
        <v>0.014</v>
      </c>
      <c r="F735" s="43">
        <f>0.014*1.5</f>
        <v>0.021</v>
      </c>
      <c r="G735" s="43">
        <f>0.014*1.5</f>
        <v>0.021</v>
      </c>
      <c r="H735" s="43">
        <v>0.014</v>
      </c>
      <c r="I735" s="43">
        <v>0.014</v>
      </c>
      <c r="J735" s="43">
        <v>0.014</v>
      </c>
      <c r="K735" s="43">
        <v>0.014</v>
      </c>
      <c r="L735" s="43">
        <v>0.014</v>
      </c>
      <c r="M735" s="43">
        <v>0.014</v>
      </c>
      <c r="N735" s="43">
        <v>0.014</v>
      </c>
      <c r="O735" s="43">
        <v>0.014</v>
      </c>
      <c r="P735" s="43">
        <v>0.014</v>
      </c>
      <c r="Q735" s="43">
        <v>0.014</v>
      </c>
      <c r="R735" s="43">
        <v>0.014</v>
      </c>
      <c r="S735" s="43">
        <v>0.014</v>
      </c>
      <c r="T735" s="43">
        <v>0.014</v>
      </c>
      <c r="U735" s="43">
        <v>0.014</v>
      </c>
      <c r="V735" s="43">
        <v>0.014</v>
      </c>
      <c r="W735" s="43">
        <v>0.014</v>
      </c>
    </row>
    <row r="736" ht="15.6" spans="1:23">
      <c r="A736" s="27" t="s">
        <v>98</v>
      </c>
      <c r="B736" t="s">
        <v>120</v>
      </c>
      <c r="C736" s="56">
        <v>4</v>
      </c>
      <c r="D736" s="56">
        <v>4</v>
      </c>
      <c r="E736" s="56">
        <v>4</v>
      </c>
      <c r="F736" s="56">
        <v>12</v>
      </c>
      <c r="G736" s="56">
        <v>12</v>
      </c>
      <c r="H736" s="56">
        <v>4</v>
      </c>
      <c r="I736" s="56">
        <v>4</v>
      </c>
      <c r="J736" s="56">
        <v>4</v>
      </c>
      <c r="K736" s="56">
        <v>4</v>
      </c>
      <c r="L736" s="56">
        <v>4</v>
      </c>
      <c r="M736" s="56">
        <v>4</v>
      </c>
      <c r="N736" s="56">
        <v>4</v>
      </c>
      <c r="O736" s="56">
        <v>4</v>
      </c>
      <c r="P736" s="56">
        <v>4</v>
      </c>
      <c r="Q736" s="56">
        <v>4</v>
      </c>
      <c r="R736" s="56">
        <v>4</v>
      </c>
      <c r="S736" s="56">
        <v>4</v>
      </c>
      <c r="T736" s="56">
        <v>4</v>
      </c>
      <c r="U736" s="56">
        <v>4</v>
      </c>
      <c r="V736" s="56">
        <v>4</v>
      </c>
      <c r="W736" s="56">
        <v>4</v>
      </c>
    </row>
    <row r="737" ht="15.6" spans="1:23">
      <c r="A737" s="27" t="s">
        <v>100</v>
      </c>
      <c r="B737" t="s">
        <v>121</v>
      </c>
      <c r="C737" s="28">
        <v>0.1</v>
      </c>
      <c r="D737" s="28">
        <v>0.1</v>
      </c>
      <c r="E737" s="28">
        <v>0.1</v>
      </c>
      <c r="F737" s="28">
        <v>0.15</v>
      </c>
      <c r="G737" s="28">
        <v>0.15</v>
      </c>
      <c r="H737" s="28">
        <v>0.1</v>
      </c>
      <c r="I737" s="28">
        <v>0.1</v>
      </c>
      <c r="J737" s="28">
        <v>0.1</v>
      </c>
      <c r="K737" s="28">
        <v>0.1</v>
      </c>
      <c r="L737" s="28">
        <v>0.1</v>
      </c>
      <c r="M737" s="28">
        <v>0.1</v>
      </c>
      <c r="N737" s="28">
        <v>0.1</v>
      </c>
      <c r="O737" s="28">
        <v>0.1</v>
      </c>
      <c r="P737" s="28">
        <v>0.1</v>
      </c>
      <c r="Q737" s="28">
        <v>0.1</v>
      </c>
      <c r="R737" s="28">
        <v>0.1</v>
      </c>
      <c r="S737" s="28">
        <v>0.1</v>
      </c>
      <c r="T737" s="28">
        <v>0.1</v>
      </c>
      <c r="U737" s="28">
        <v>0.1</v>
      </c>
      <c r="V737" s="28">
        <v>0.1</v>
      </c>
      <c r="W737" s="28">
        <v>0.1</v>
      </c>
    </row>
    <row r="738" ht="15.6" spans="1:23">
      <c r="A738" s="27" t="s">
        <v>122</v>
      </c>
      <c r="B738" t="s">
        <v>45</v>
      </c>
      <c r="C738" s="44"/>
      <c r="D738" s="44"/>
      <c r="E738" s="44"/>
      <c r="F738" s="44"/>
      <c r="G738" s="44"/>
      <c r="H738" s="44"/>
      <c r="I738" s="44"/>
      <c r="J738" s="44"/>
      <c r="K738" s="44"/>
      <c r="L738" s="44"/>
      <c r="M738" s="44"/>
      <c r="N738" s="44"/>
      <c r="O738" s="44"/>
      <c r="P738" s="44"/>
      <c r="Q738" s="44"/>
      <c r="R738" s="44"/>
      <c r="S738" s="44"/>
      <c r="T738" s="44"/>
      <c r="U738" s="44"/>
      <c r="V738" s="44"/>
      <c r="W738" s="44"/>
    </row>
    <row r="739" ht="15.6" spans="1:23">
      <c r="A739" s="27" t="s">
        <v>123</v>
      </c>
      <c r="B739" s="9" t="s">
        <v>51</v>
      </c>
      <c r="C739" s="44"/>
      <c r="D739" s="44"/>
      <c r="E739" s="44"/>
      <c r="F739" s="44"/>
      <c r="G739" s="44"/>
      <c r="H739" s="44"/>
      <c r="I739" s="44"/>
      <c r="J739" s="44"/>
      <c r="K739" s="44"/>
      <c r="L739" s="44"/>
      <c r="M739" s="44"/>
      <c r="N739" s="44"/>
      <c r="O739" s="44"/>
      <c r="P739" s="44"/>
      <c r="Q739" s="44"/>
      <c r="R739" s="44"/>
      <c r="S739" s="44"/>
      <c r="T739" s="44"/>
      <c r="U739" s="44"/>
      <c r="V739" s="44"/>
      <c r="W739" s="44"/>
    </row>
    <row r="740" ht="15.6" spans="1:23">
      <c r="A740" s="27" t="s">
        <v>124</v>
      </c>
      <c r="B740" s="9" t="s">
        <v>51</v>
      </c>
      <c r="C740" s="44"/>
      <c r="D740" s="44"/>
      <c r="E740" s="44"/>
      <c r="F740" s="44"/>
      <c r="G740" s="44"/>
      <c r="H740" s="44"/>
      <c r="I740" s="44"/>
      <c r="J740" s="44"/>
      <c r="K740" s="44"/>
      <c r="L740" s="44"/>
      <c r="M740" s="44"/>
      <c r="N740" s="44"/>
      <c r="O740" s="44"/>
      <c r="P740" s="44"/>
      <c r="Q740" s="44"/>
      <c r="R740" s="44"/>
      <c r="S740" s="44"/>
      <c r="T740" s="44"/>
      <c r="U740" s="44"/>
      <c r="V740" s="44"/>
      <c r="W740" s="44"/>
    </row>
    <row r="741" ht="15.6" spans="1:1">
      <c r="A741" s="5" t="s">
        <v>102</v>
      </c>
    </row>
    <row r="742" spans="1:23">
      <c r="A742" s="27" t="s">
        <v>96</v>
      </c>
      <c r="B742" t="s">
        <v>119</v>
      </c>
      <c r="C742" s="45"/>
      <c r="D742" s="45"/>
      <c r="E742" s="45"/>
      <c r="F742" s="45"/>
      <c r="G742" s="45"/>
      <c r="H742" s="45"/>
      <c r="I742" s="45"/>
      <c r="J742" s="45"/>
      <c r="K742" s="45"/>
      <c r="L742" s="45"/>
      <c r="M742" s="45"/>
      <c r="N742" s="45"/>
      <c r="O742" s="45"/>
      <c r="P742" s="45"/>
      <c r="Q742" s="45"/>
      <c r="R742" s="45"/>
      <c r="S742" s="45"/>
      <c r="T742" s="45"/>
      <c r="U742" s="45"/>
      <c r="V742" s="45"/>
      <c r="W742" s="45"/>
    </row>
    <row r="743" spans="1:23">
      <c r="A743" s="27" t="s">
        <v>98</v>
      </c>
      <c r="B743" t="s">
        <v>120</v>
      </c>
      <c r="C743" s="45"/>
      <c r="D743" s="45"/>
      <c r="E743" s="45"/>
      <c r="F743" s="45"/>
      <c r="G743" s="45"/>
      <c r="H743" s="45"/>
      <c r="I743" s="45"/>
      <c r="J743" s="45"/>
      <c r="K743" s="45"/>
      <c r="L743" s="45"/>
      <c r="M743" s="45"/>
      <c r="N743" s="45"/>
      <c r="O743" s="45"/>
      <c r="P743" s="45"/>
      <c r="Q743" s="45"/>
      <c r="R743" s="45"/>
      <c r="S743" s="45"/>
      <c r="T743" s="45"/>
      <c r="U743" s="45"/>
      <c r="V743" s="45"/>
      <c r="W743" s="45"/>
    </row>
    <row r="744" spans="1:23">
      <c r="A744" s="27" t="s">
        <v>100</v>
      </c>
      <c r="B744" t="s">
        <v>121</v>
      </c>
      <c r="C744" s="45"/>
      <c r="D744" s="45"/>
      <c r="E744" s="45"/>
      <c r="F744" s="45"/>
      <c r="G744" s="45"/>
      <c r="H744" s="45"/>
      <c r="I744" s="45"/>
      <c r="J744" s="45"/>
      <c r="K744" s="45"/>
      <c r="L744" s="45"/>
      <c r="M744" s="45"/>
      <c r="N744" s="45"/>
      <c r="O744" s="45"/>
      <c r="P744" s="45"/>
      <c r="Q744" s="45"/>
      <c r="R744" s="45"/>
      <c r="S744" s="45"/>
      <c r="T744" s="45"/>
      <c r="U744" s="45"/>
      <c r="V744" s="45"/>
      <c r="W744" s="45"/>
    </row>
    <row r="745" ht="15.6" spans="1:1">
      <c r="A745" s="5" t="s">
        <v>125</v>
      </c>
    </row>
    <row r="746" spans="1:23">
      <c r="A746" s="27" t="s">
        <v>96</v>
      </c>
      <c r="B746" t="s">
        <v>119</v>
      </c>
      <c r="C746" s="45"/>
      <c r="D746" s="45"/>
      <c r="E746" s="45"/>
      <c r="F746" s="45"/>
      <c r="G746" s="45"/>
      <c r="H746" s="45"/>
      <c r="I746" s="45"/>
      <c r="J746" s="45"/>
      <c r="K746" s="45"/>
      <c r="L746" s="45"/>
      <c r="M746" s="45"/>
      <c r="N746" s="45"/>
      <c r="O746" s="45"/>
      <c r="P746" s="45"/>
      <c r="Q746" s="45"/>
      <c r="R746" s="45"/>
      <c r="S746" s="45"/>
      <c r="T746" s="45"/>
      <c r="U746" s="45"/>
      <c r="V746" s="45"/>
      <c r="W746" s="45"/>
    </row>
    <row r="747" spans="1:23">
      <c r="A747" s="27" t="s">
        <v>98</v>
      </c>
      <c r="B747" t="s">
        <v>126</v>
      </c>
      <c r="C747" s="45"/>
      <c r="D747" s="45"/>
      <c r="E747" s="45"/>
      <c r="F747" s="45"/>
      <c r="G747" s="45"/>
      <c r="H747" s="45"/>
      <c r="I747" s="45"/>
      <c r="J747" s="45"/>
      <c r="K747" s="45"/>
      <c r="L747" s="45"/>
      <c r="M747" s="45"/>
      <c r="N747" s="45"/>
      <c r="O747" s="45"/>
      <c r="P747" s="45"/>
      <c r="Q747" s="45"/>
      <c r="R747" s="45"/>
      <c r="S747" s="45"/>
      <c r="T747" s="45"/>
      <c r="U747" s="45"/>
      <c r="V747" s="45"/>
      <c r="W747" s="45"/>
    </row>
    <row r="748" spans="1:23">
      <c r="A748" s="27" t="s">
        <v>100</v>
      </c>
      <c r="B748" t="s">
        <v>121</v>
      </c>
      <c r="C748" s="45"/>
      <c r="D748" s="45"/>
      <c r="E748" s="45"/>
      <c r="F748" s="45"/>
      <c r="G748" s="45"/>
      <c r="H748" s="45"/>
      <c r="I748" s="45"/>
      <c r="J748" s="45"/>
      <c r="K748" s="45"/>
      <c r="L748" s="45"/>
      <c r="M748" s="45"/>
      <c r="N748" s="45"/>
      <c r="O748" s="45"/>
      <c r="P748" s="45"/>
      <c r="Q748" s="45"/>
      <c r="R748" s="45"/>
      <c r="S748" s="45"/>
      <c r="T748" s="45"/>
      <c r="U748" s="45"/>
      <c r="V748" s="45"/>
      <c r="W748" s="45"/>
    </row>
    <row r="749" ht="15.6" spans="1:1">
      <c r="A749" s="5" t="s">
        <v>127</v>
      </c>
    </row>
    <row r="750" spans="1:23">
      <c r="A750" s="27" t="s">
        <v>96</v>
      </c>
      <c r="B750" t="s">
        <v>60</v>
      </c>
      <c r="C750" s="45"/>
      <c r="D750" s="45"/>
      <c r="E750" s="45"/>
      <c r="F750" s="45"/>
      <c r="G750" s="45"/>
      <c r="H750" s="45"/>
      <c r="I750" s="45"/>
      <c r="J750" s="45"/>
      <c r="K750" s="45"/>
      <c r="L750" s="45"/>
      <c r="M750" s="45"/>
      <c r="N750" s="45"/>
      <c r="O750" s="45"/>
      <c r="P750" s="45"/>
      <c r="Q750" s="45"/>
      <c r="R750" s="45"/>
      <c r="S750" s="45"/>
      <c r="T750" s="45"/>
      <c r="U750" s="45"/>
      <c r="V750" s="45"/>
      <c r="W750" s="45"/>
    </row>
    <row r="751" spans="1:23">
      <c r="A751" s="27" t="s">
        <v>98</v>
      </c>
      <c r="B751" t="s">
        <v>60</v>
      </c>
      <c r="C751" s="45"/>
      <c r="D751" s="45"/>
      <c r="E751" s="45"/>
      <c r="F751" s="45"/>
      <c r="G751" s="45"/>
      <c r="H751" s="45"/>
      <c r="I751" s="45"/>
      <c r="J751" s="45"/>
      <c r="K751" s="45"/>
      <c r="L751" s="45"/>
      <c r="M751" s="45"/>
      <c r="N751" s="45"/>
      <c r="O751" s="45"/>
      <c r="P751" s="45"/>
      <c r="Q751" s="45"/>
      <c r="R751" s="45"/>
      <c r="S751" s="45"/>
      <c r="T751" s="45"/>
      <c r="U751" s="45"/>
      <c r="V751" s="45"/>
      <c r="W751" s="45"/>
    </row>
    <row r="752" spans="1:23">
      <c r="A752" s="27" t="s">
        <v>100</v>
      </c>
      <c r="B752" t="s">
        <v>60</v>
      </c>
      <c r="C752" s="46"/>
      <c r="D752" s="46"/>
      <c r="E752" s="46"/>
      <c r="F752" s="46"/>
      <c r="G752" s="46"/>
      <c r="H752" s="46"/>
      <c r="I752" s="46"/>
      <c r="J752" s="46"/>
      <c r="K752" s="46"/>
      <c r="L752" s="46"/>
      <c r="M752" s="46"/>
      <c r="N752" s="46"/>
      <c r="O752" s="46"/>
      <c r="P752" s="46"/>
      <c r="Q752" s="46"/>
      <c r="R752" s="46"/>
      <c r="S752" s="46"/>
      <c r="T752" s="46"/>
      <c r="U752" s="46"/>
      <c r="V752" s="46"/>
      <c r="W752" s="46"/>
    </row>
    <row r="753" ht="15.6" spans="1:1">
      <c r="A753" s="5" t="s">
        <v>105</v>
      </c>
    </row>
    <row r="754" spans="1:23">
      <c r="A754" s="27" t="s">
        <v>96</v>
      </c>
      <c r="B754" t="s">
        <v>60</v>
      </c>
      <c r="C754" s="50"/>
      <c r="D754" s="50"/>
      <c r="E754" s="50"/>
      <c r="F754" s="50"/>
      <c r="G754" s="50"/>
      <c r="H754" s="50"/>
      <c r="I754" s="50"/>
      <c r="J754" s="50"/>
      <c r="K754" s="50"/>
      <c r="L754" s="50"/>
      <c r="M754" s="50"/>
      <c r="N754" s="50"/>
      <c r="O754" s="50"/>
      <c r="P754" s="50"/>
      <c r="Q754" s="50"/>
      <c r="R754" s="50"/>
      <c r="S754" s="50"/>
      <c r="T754" s="50"/>
      <c r="U754" s="50"/>
      <c r="V754" s="50"/>
      <c r="W754" s="50"/>
    </row>
    <row r="755" spans="1:23">
      <c r="A755" s="27" t="s">
        <v>98</v>
      </c>
      <c r="B755" t="s">
        <v>60</v>
      </c>
      <c r="C755" s="50"/>
      <c r="D755" s="50"/>
      <c r="E755" s="50"/>
      <c r="F755" s="50"/>
      <c r="G755" s="50"/>
      <c r="H755" s="50"/>
      <c r="I755" s="50"/>
      <c r="J755" s="50"/>
      <c r="K755" s="50"/>
      <c r="L755" s="50"/>
      <c r="M755" s="50"/>
      <c r="N755" s="50"/>
      <c r="O755" s="50"/>
      <c r="P755" s="50"/>
      <c r="Q755" s="50"/>
      <c r="R755" s="50"/>
      <c r="S755" s="50"/>
      <c r="T755" s="50"/>
      <c r="U755" s="50"/>
      <c r="V755" s="50"/>
      <c r="W755" s="50"/>
    </row>
    <row r="756" spans="1:23">
      <c r="A756" s="27" t="s">
        <v>100</v>
      </c>
      <c r="B756" t="s">
        <v>60</v>
      </c>
      <c r="C756" s="50"/>
      <c r="D756" s="50"/>
      <c r="E756" s="50"/>
      <c r="F756" s="50"/>
      <c r="G756" s="50"/>
      <c r="H756" s="50"/>
      <c r="I756" s="50"/>
      <c r="J756" s="50"/>
      <c r="K756" s="50"/>
      <c r="L756" s="50"/>
      <c r="M756" s="50"/>
      <c r="N756" s="50"/>
      <c r="O756" s="50"/>
      <c r="P756" s="50"/>
      <c r="Q756" s="50"/>
      <c r="R756" s="50"/>
      <c r="S756" s="50"/>
      <c r="T756" s="50"/>
      <c r="U756" s="50"/>
      <c r="V756" s="50"/>
      <c r="W756" s="50"/>
    </row>
    <row r="757" spans="1:23">
      <c r="A757" s="31" t="s">
        <v>107</v>
      </c>
      <c r="B757" s="32" t="s">
        <v>60</v>
      </c>
      <c r="C757" s="33"/>
      <c r="D757" s="33"/>
      <c r="E757" s="33"/>
      <c r="F757" s="33"/>
      <c r="G757" s="33"/>
      <c r="H757" s="33"/>
      <c r="I757" s="33"/>
      <c r="J757" s="33"/>
      <c r="K757" s="33"/>
      <c r="L757" s="33"/>
      <c r="M757" s="33"/>
      <c r="N757" s="33"/>
      <c r="O757" s="33"/>
      <c r="P757" s="33"/>
      <c r="Q757" s="33"/>
      <c r="R757" s="33"/>
      <c r="S757" s="33"/>
      <c r="T757" s="33"/>
      <c r="U757" s="33"/>
      <c r="V757" s="33"/>
      <c r="W757" s="33"/>
    </row>
    <row r="758" ht="15.6" spans="1:1">
      <c r="A758" s="5" t="s">
        <v>135</v>
      </c>
    </row>
    <row r="759" spans="1:23">
      <c r="A759" s="27" t="s">
        <v>96</v>
      </c>
      <c r="B759" t="s">
        <v>60</v>
      </c>
      <c r="C759" s="14"/>
      <c r="D759" s="14"/>
      <c r="E759" s="14"/>
      <c r="F759" s="14"/>
      <c r="G759" s="14"/>
      <c r="H759" s="14"/>
      <c r="I759" s="14"/>
      <c r="J759" s="14"/>
      <c r="K759" s="14"/>
      <c r="L759" s="14"/>
      <c r="M759" s="14"/>
      <c r="N759" s="14"/>
      <c r="O759" s="14"/>
      <c r="P759" s="14"/>
      <c r="Q759" s="14"/>
      <c r="R759" s="14"/>
      <c r="S759" s="14"/>
      <c r="T759" s="14"/>
      <c r="U759" s="14"/>
      <c r="V759" s="14"/>
      <c r="W759" s="14"/>
    </row>
    <row r="760" spans="1:23">
      <c r="A760" s="27" t="s">
        <v>98</v>
      </c>
      <c r="B760" t="s">
        <v>60</v>
      </c>
      <c r="C760" s="14"/>
      <c r="D760" s="14"/>
      <c r="E760" s="14"/>
      <c r="F760" s="14"/>
      <c r="G760" s="14"/>
      <c r="H760" s="14"/>
      <c r="I760" s="14"/>
      <c r="J760" s="14"/>
      <c r="K760" s="14"/>
      <c r="L760" s="14"/>
      <c r="M760" s="14"/>
      <c r="N760" s="14"/>
      <c r="O760" s="14"/>
      <c r="P760" s="14"/>
      <c r="Q760" s="14"/>
      <c r="R760" s="14"/>
      <c r="S760" s="14"/>
      <c r="T760" s="14"/>
      <c r="U760" s="14"/>
      <c r="V760" s="14"/>
      <c r="W760" s="14"/>
    </row>
    <row r="761" spans="1:23">
      <c r="A761" s="27" t="s">
        <v>100</v>
      </c>
      <c r="B761" t="s">
        <v>60</v>
      </c>
      <c r="C761" s="14"/>
      <c r="D761" s="14"/>
      <c r="E761" s="14"/>
      <c r="F761" s="14"/>
      <c r="G761" s="14"/>
      <c r="H761" s="14"/>
      <c r="I761" s="14"/>
      <c r="J761" s="14"/>
      <c r="K761" s="14"/>
      <c r="L761" s="14"/>
      <c r="M761" s="14"/>
      <c r="N761" s="14"/>
      <c r="O761" s="14"/>
      <c r="P761" s="14"/>
      <c r="Q761" s="14"/>
      <c r="R761" s="14"/>
      <c r="S761" s="14"/>
      <c r="T761" s="14"/>
      <c r="U761" s="14"/>
      <c r="V761" s="14"/>
      <c r="W761" s="14"/>
    </row>
    <row r="762" spans="1:23">
      <c r="A762" s="31" t="s">
        <v>107</v>
      </c>
      <c r="B762" s="32" t="s">
        <v>60</v>
      </c>
      <c r="C762" s="33"/>
      <c r="D762" s="33"/>
      <c r="E762" s="33"/>
      <c r="F762" s="33"/>
      <c r="G762" s="33"/>
      <c r="H762" s="33"/>
      <c r="I762" s="33"/>
      <c r="J762" s="33"/>
      <c r="K762" s="33"/>
      <c r="L762" s="33"/>
      <c r="M762" s="33"/>
      <c r="N762" s="33"/>
      <c r="O762" s="33"/>
      <c r="P762" s="33"/>
      <c r="Q762" s="33"/>
      <c r="R762" s="33"/>
      <c r="S762" s="33"/>
      <c r="T762" s="33"/>
      <c r="U762" s="33"/>
      <c r="V762" s="33"/>
      <c r="W762" s="33"/>
    </row>
    <row r="763" ht="15.6" spans="1:1">
      <c r="A763" s="5" t="s">
        <v>136</v>
      </c>
    </row>
    <row r="764" spans="1:23">
      <c r="A764" s="27" t="s">
        <v>96</v>
      </c>
      <c r="B764" t="s">
        <v>60</v>
      </c>
      <c r="C764" s="14"/>
      <c r="D764" s="14"/>
      <c r="E764" s="14"/>
      <c r="F764" s="14"/>
      <c r="G764" s="14"/>
      <c r="H764" s="14"/>
      <c r="I764" s="14"/>
      <c r="J764" s="14"/>
      <c r="K764" s="14"/>
      <c r="L764" s="14"/>
      <c r="M764" s="14"/>
      <c r="N764" s="14"/>
      <c r="O764" s="14"/>
      <c r="P764" s="14"/>
      <c r="Q764" s="14"/>
      <c r="R764" s="14"/>
      <c r="S764" s="14"/>
      <c r="T764" s="14"/>
      <c r="U764" s="14"/>
      <c r="V764" s="14"/>
      <c r="W764" s="14"/>
    </row>
    <row r="765" spans="1:23">
      <c r="A765" s="27" t="s">
        <v>98</v>
      </c>
      <c r="B765" t="s">
        <v>60</v>
      </c>
      <c r="C765" s="14"/>
      <c r="D765" s="14"/>
      <c r="E765" s="14"/>
      <c r="F765" s="14"/>
      <c r="G765" s="14"/>
      <c r="H765" s="14"/>
      <c r="I765" s="14"/>
      <c r="J765" s="14"/>
      <c r="K765" s="14"/>
      <c r="L765" s="14"/>
      <c r="M765" s="14"/>
      <c r="N765" s="14"/>
      <c r="O765" s="14"/>
      <c r="P765" s="14"/>
      <c r="Q765" s="14"/>
      <c r="R765" s="14"/>
      <c r="S765" s="14"/>
      <c r="T765" s="14"/>
      <c r="U765" s="14"/>
      <c r="V765" s="14"/>
      <c r="W765" s="14"/>
    </row>
    <row r="766" spans="1:23">
      <c r="A766" s="27" t="s">
        <v>100</v>
      </c>
      <c r="B766" t="s">
        <v>60</v>
      </c>
      <c r="C766" s="14"/>
      <c r="D766" s="14"/>
      <c r="E766" s="14"/>
      <c r="F766" s="14"/>
      <c r="G766" s="14"/>
      <c r="H766" s="14"/>
      <c r="I766" s="14"/>
      <c r="J766" s="14"/>
      <c r="K766" s="14"/>
      <c r="L766" s="14"/>
      <c r="M766" s="14"/>
      <c r="N766" s="14"/>
      <c r="O766" s="14"/>
      <c r="P766" s="14"/>
      <c r="Q766" s="14"/>
      <c r="R766" s="14"/>
      <c r="S766" s="14"/>
      <c r="T766" s="14"/>
      <c r="U766" s="14"/>
      <c r="V766" s="14"/>
      <c r="W766" s="14"/>
    </row>
    <row r="767" spans="1:23">
      <c r="A767" s="27" t="s">
        <v>106</v>
      </c>
      <c r="B767" t="s">
        <v>60</v>
      </c>
      <c r="C767" s="11">
        <v>0</v>
      </c>
      <c r="D767" s="11">
        <v>0</v>
      </c>
      <c r="E767" s="11">
        <v>0</v>
      </c>
      <c r="F767" s="11">
        <v>0</v>
      </c>
      <c r="G767" s="11">
        <v>0</v>
      </c>
      <c r="H767" s="11">
        <v>0</v>
      </c>
      <c r="I767" s="11">
        <v>0</v>
      </c>
      <c r="J767" s="11">
        <v>0</v>
      </c>
      <c r="K767" s="11">
        <v>0</v>
      </c>
      <c r="L767" s="11">
        <v>0</v>
      </c>
      <c r="M767" s="11">
        <v>0</v>
      </c>
      <c r="N767" s="11">
        <v>0</v>
      </c>
      <c r="O767" s="11">
        <v>0</v>
      </c>
      <c r="P767" s="11">
        <v>0</v>
      </c>
      <c r="Q767" s="11">
        <v>0</v>
      </c>
      <c r="R767" s="11">
        <v>0</v>
      </c>
      <c r="S767" s="11">
        <v>0</v>
      </c>
      <c r="T767" s="11">
        <v>0</v>
      </c>
      <c r="U767" s="11">
        <v>0</v>
      </c>
      <c r="V767" s="11">
        <v>0</v>
      </c>
      <c r="W767" s="11">
        <v>0</v>
      </c>
    </row>
    <row r="768" spans="1:23">
      <c r="A768" s="27" t="s">
        <v>137</v>
      </c>
      <c r="B768" t="s">
        <v>60</v>
      </c>
      <c r="C768" s="50"/>
      <c r="D768" s="50"/>
      <c r="E768" s="50"/>
      <c r="F768" s="50"/>
      <c r="G768" s="50"/>
      <c r="H768" s="50"/>
      <c r="I768" s="50"/>
      <c r="J768" s="50"/>
      <c r="K768" s="50"/>
      <c r="L768" s="50"/>
      <c r="M768" s="50"/>
      <c r="N768" s="50"/>
      <c r="O768" s="50"/>
      <c r="P768" s="50"/>
      <c r="Q768" s="50"/>
      <c r="R768" s="50"/>
      <c r="S768" s="50"/>
      <c r="T768" s="50"/>
      <c r="U768" s="50"/>
      <c r="V768" s="50"/>
      <c r="W768" s="50"/>
    </row>
    <row r="769" spans="1:23">
      <c r="A769" s="31" t="s">
        <v>107</v>
      </c>
      <c r="B769" s="32" t="s">
        <v>60</v>
      </c>
      <c r="C769" s="33"/>
      <c r="D769" s="33"/>
      <c r="E769" s="33"/>
      <c r="F769" s="33"/>
      <c r="G769" s="33"/>
      <c r="H769" s="33"/>
      <c r="I769" s="33"/>
      <c r="J769" s="33"/>
      <c r="K769" s="33"/>
      <c r="L769" s="33"/>
      <c r="M769" s="33"/>
      <c r="N769" s="33"/>
      <c r="O769" s="33"/>
      <c r="P769" s="33"/>
      <c r="Q769" s="33"/>
      <c r="R769" s="33"/>
      <c r="S769" s="33"/>
      <c r="T769" s="33"/>
      <c r="U769" s="33"/>
      <c r="V769" s="33"/>
      <c r="W769" s="33"/>
    </row>
    <row r="770" ht="15.6" spans="1:23">
      <c r="A770" s="54" t="s">
        <v>134</v>
      </c>
      <c r="C770" s="21" t="s">
        <v>86</v>
      </c>
      <c r="D770" s="21" t="s">
        <v>86</v>
      </c>
      <c r="E770" s="21" t="s">
        <v>86</v>
      </c>
      <c r="F770" s="21" t="s">
        <v>86</v>
      </c>
      <c r="G770" s="21" t="s">
        <v>86</v>
      </c>
      <c r="H770" s="21" t="s">
        <v>86</v>
      </c>
      <c r="I770" s="21" t="s">
        <v>86</v>
      </c>
      <c r="J770" s="21" t="s">
        <v>86</v>
      </c>
      <c r="K770" s="21" t="s">
        <v>86</v>
      </c>
      <c r="L770" s="21" t="s">
        <v>86</v>
      </c>
      <c r="M770" s="21" t="s">
        <v>86</v>
      </c>
      <c r="N770" s="21" t="s">
        <v>86</v>
      </c>
      <c r="O770" s="21" t="s">
        <v>86</v>
      </c>
      <c r="P770" s="21" t="s">
        <v>86</v>
      </c>
      <c r="Q770" s="21" t="s">
        <v>86</v>
      </c>
      <c r="R770" s="21" t="s">
        <v>86</v>
      </c>
      <c r="S770" s="21" t="s">
        <v>86</v>
      </c>
      <c r="T770" s="21" t="s">
        <v>86</v>
      </c>
      <c r="U770" s="21" t="s">
        <v>86</v>
      </c>
      <c r="V770" s="21" t="s">
        <v>86</v>
      </c>
      <c r="W770" s="21" t="s">
        <v>86</v>
      </c>
    </row>
    <row r="771" ht="15.6" spans="3:23">
      <c r="C771" s="24"/>
      <c r="D771" s="24"/>
      <c r="E771" s="24"/>
      <c r="F771" s="24"/>
      <c r="G771" s="24"/>
      <c r="H771" s="24"/>
      <c r="I771" s="24"/>
      <c r="J771" s="24"/>
      <c r="K771" s="24"/>
      <c r="L771" s="24"/>
      <c r="M771" s="24"/>
      <c r="N771" s="24"/>
      <c r="O771" s="24"/>
      <c r="P771" s="24"/>
      <c r="Q771" s="24"/>
      <c r="R771" s="24"/>
      <c r="S771" s="24"/>
      <c r="T771" s="24"/>
      <c r="U771" s="24"/>
      <c r="V771" s="24"/>
      <c r="W771" s="24"/>
    </row>
    <row r="772" ht="15.6" spans="1:23">
      <c r="A772" s="25" t="s">
        <v>94</v>
      </c>
      <c r="C772" s="10">
        <v>1</v>
      </c>
      <c r="D772" s="10">
        <v>1</v>
      </c>
      <c r="E772" s="10">
        <v>1</v>
      </c>
      <c r="F772" s="10">
        <v>1</v>
      </c>
      <c r="G772" s="10">
        <v>1</v>
      </c>
      <c r="H772" s="10">
        <v>1</v>
      </c>
      <c r="I772" s="10">
        <v>1</v>
      </c>
      <c r="J772" s="10">
        <v>1</v>
      </c>
      <c r="K772" s="10">
        <v>1</v>
      </c>
      <c r="L772" s="10">
        <v>1</v>
      </c>
      <c r="M772" s="10">
        <v>1</v>
      </c>
      <c r="N772" s="10">
        <v>1</v>
      </c>
      <c r="O772" s="10">
        <v>1</v>
      </c>
      <c r="P772" s="10">
        <v>1</v>
      </c>
      <c r="Q772" s="10">
        <v>1</v>
      </c>
      <c r="R772" s="10">
        <v>1</v>
      </c>
      <c r="S772" s="10">
        <v>1</v>
      </c>
      <c r="T772" s="10">
        <v>1</v>
      </c>
      <c r="U772" s="10">
        <v>1</v>
      </c>
      <c r="V772" s="10">
        <v>1</v>
      </c>
      <c r="W772" s="10">
        <v>1</v>
      </c>
    </row>
    <row r="773" ht="15.6" spans="1:23">
      <c r="A773" s="25" t="s">
        <v>111</v>
      </c>
      <c r="B773" t="s">
        <v>112</v>
      </c>
      <c r="C773" s="40">
        <v>200</v>
      </c>
      <c r="D773" s="40">
        <v>200</v>
      </c>
      <c r="E773" s="40">
        <v>200</v>
      </c>
      <c r="F773" s="40">
        <v>200</v>
      </c>
      <c r="G773" s="40">
        <v>200</v>
      </c>
      <c r="H773" s="40">
        <v>200</v>
      </c>
      <c r="I773" s="40">
        <v>150</v>
      </c>
      <c r="J773" s="40">
        <v>200</v>
      </c>
      <c r="K773" s="40">
        <v>150</v>
      </c>
      <c r="L773" s="40">
        <v>150</v>
      </c>
      <c r="M773" s="40">
        <v>150</v>
      </c>
      <c r="N773" s="40">
        <v>150</v>
      </c>
      <c r="O773" s="40">
        <v>150</v>
      </c>
      <c r="P773" s="40">
        <v>150</v>
      </c>
      <c r="Q773" s="40">
        <v>150</v>
      </c>
      <c r="R773" s="40">
        <v>200</v>
      </c>
      <c r="S773" s="40">
        <v>200</v>
      </c>
      <c r="T773" s="40">
        <v>150</v>
      </c>
      <c r="U773" s="40">
        <v>150</v>
      </c>
      <c r="V773" s="40">
        <v>200</v>
      </c>
      <c r="W773" s="40">
        <v>200</v>
      </c>
    </row>
    <row r="774" ht="15.6" spans="1:1">
      <c r="A774" s="5" t="s">
        <v>95</v>
      </c>
    </row>
    <row r="775" ht="15.6" spans="1:23">
      <c r="A775" s="27" t="s">
        <v>96</v>
      </c>
      <c r="B775" t="s">
        <v>108</v>
      </c>
      <c r="C775" s="28">
        <f t="shared" ref="C775:W775" si="55">15/200</f>
        <v>0.075</v>
      </c>
      <c r="D775" s="28">
        <f t="shared" si="55"/>
        <v>0.075</v>
      </c>
      <c r="E775" s="28">
        <f t="shared" si="55"/>
        <v>0.075</v>
      </c>
      <c r="F775" s="28">
        <f t="shared" si="55"/>
        <v>0.075</v>
      </c>
      <c r="G775" s="28">
        <f t="shared" si="55"/>
        <v>0.075</v>
      </c>
      <c r="H775" s="28">
        <f t="shared" si="55"/>
        <v>0.075</v>
      </c>
      <c r="I775" s="28">
        <f t="shared" si="55"/>
        <v>0.075</v>
      </c>
      <c r="J775" s="28">
        <f t="shared" si="55"/>
        <v>0.075</v>
      </c>
      <c r="K775" s="28">
        <f t="shared" si="55"/>
        <v>0.075</v>
      </c>
      <c r="L775" s="28">
        <f t="shared" si="55"/>
        <v>0.075</v>
      </c>
      <c r="M775" s="28">
        <f t="shared" si="55"/>
        <v>0.075</v>
      </c>
      <c r="N775" s="28">
        <f t="shared" si="55"/>
        <v>0.075</v>
      </c>
      <c r="O775" s="28">
        <f t="shared" si="55"/>
        <v>0.075</v>
      </c>
      <c r="P775" s="28">
        <f t="shared" si="55"/>
        <v>0.075</v>
      </c>
      <c r="Q775" s="28">
        <f t="shared" si="55"/>
        <v>0.075</v>
      </c>
      <c r="R775" s="28">
        <f t="shared" si="55"/>
        <v>0.075</v>
      </c>
      <c r="S775" s="28">
        <f t="shared" si="55"/>
        <v>0.075</v>
      </c>
      <c r="T775" s="28">
        <f t="shared" si="55"/>
        <v>0.075</v>
      </c>
      <c r="U775" s="28">
        <f t="shared" si="55"/>
        <v>0.075</v>
      </c>
      <c r="V775" s="28">
        <f t="shared" si="55"/>
        <v>0.075</v>
      </c>
      <c r="W775" s="28">
        <f t="shared" si="55"/>
        <v>0.075</v>
      </c>
    </row>
    <row r="776" ht="15.6" spans="1:23">
      <c r="A776" s="27" t="s">
        <v>98</v>
      </c>
      <c r="B776" t="s">
        <v>109</v>
      </c>
      <c r="C776" s="28">
        <f t="shared" ref="C776:W776" si="56">1.5/200</f>
        <v>0.0075</v>
      </c>
      <c r="D776" s="28">
        <f t="shared" si="56"/>
        <v>0.0075</v>
      </c>
      <c r="E776" s="28">
        <f t="shared" si="56"/>
        <v>0.0075</v>
      </c>
      <c r="F776" s="28">
        <f t="shared" si="56"/>
        <v>0.0075</v>
      </c>
      <c r="G776" s="28">
        <f t="shared" si="56"/>
        <v>0.0075</v>
      </c>
      <c r="H776" s="28">
        <f t="shared" si="56"/>
        <v>0.0075</v>
      </c>
      <c r="I776" s="28">
        <f t="shared" si="56"/>
        <v>0.0075</v>
      </c>
      <c r="J776" s="28">
        <f t="shared" si="56"/>
        <v>0.0075</v>
      </c>
      <c r="K776" s="28">
        <f t="shared" si="56"/>
        <v>0.0075</v>
      </c>
      <c r="L776" s="28">
        <f t="shared" si="56"/>
        <v>0.0075</v>
      </c>
      <c r="M776" s="28">
        <f t="shared" si="56"/>
        <v>0.0075</v>
      </c>
      <c r="N776" s="28">
        <f t="shared" si="56"/>
        <v>0.0075</v>
      </c>
      <c r="O776" s="28">
        <f t="shared" si="56"/>
        <v>0.0075</v>
      </c>
      <c r="P776" s="28">
        <f t="shared" si="56"/>
        <v>0.0075</v>
      </c>
      <c r="Q776" s="28">
        <f t="shared" si="56"/>
        <v>0.0075</v>
      </c>
      <c r="R776" s="28">
        <f t="shared" si="56"/>
        <v>0.0075</v>
      </c>
      <c r="S776" s="28">
        <f t="shared" si="56"/>
        <v>0.0075</v>
      </c>
      <c r="T776" s="28">
        <f t="shared" si="56"/>
        <v>0.0075</v>
      </c>
      <c r="U776" s="28">
        <f t="shared" si="56"/>
        <v>0.0075</v>
      </c>
      <c r="V776" s="28">
        <f t="shared" si="56"/>
        <v>0.0075</v>
      </c>
      <c r="W776" s="28">
        <f t="shared" si="56"/>
        <v>0.0075</v>
      </c>
    </row>
    <row r="777" ht="15.6" spans="1:23">
      <c r="A777" s="27" t="s">
        <v>100</v>
      </c>
      <c r="B777" t="s">
        <v>60</v>
      </c>
      <c r="C777" s="28">
        <f t="shared" ref="C777:W777" si="57">50/200</f>
        <v>0.25</v>
      </c>
      <c r="D777" s="28">
        <f t="shared" si="57"/>
        <v>0.25</v>
      </c>
      <c r="E777" s="28">
        <f t="shared" si="57"/>
        <v>0.25</v>
      </c>
      <c r="F777" s="28">
        <f t="shared" si="57"/>
        <v>0.25</v>
      </c>
      <c r="G777" s="28">
        <f t="shared" si="57"/>
        <v>0.25</v>
      </c>
      <c r="H777" s="28">
        <f t="shared" si="57"/>
        <v>0.25</v>
      </c>
      <c r="I777" s="28">
        <f t="shared" si="57"/>
        <v>0.25</v>
      </c>
      <c r="J777" s="28">
        <f t="shared" si="57"/>
        <v>0.25</v>
      </c>
      <c r="K777" s="28">
        <f t="shared" si="57"/>
        <v>0.25</v>
      </c>
      <c r="L777" s="28">
        <f t="shared" si="57"/>
        <v>0.25</v>
      </c>
      <c r="M777" s="28">
        <f t="shared" si="57"/>
        <v>0.25</v>
      </c>
      <c r="N777" s="28">
        <f t="shared" si="57"/>
        <v>0.25</v>
      </c>
      <c r="O777" s="28">
        <f t="shared" si="57"/>
        <v>0.25</v>
      </c>
      <c r="P777" s="28">
        <f t="shared" si="57"/>
        <v>0.25</v>
      </c>
      <c r="Q777" s="28">
        <f t="shared" si="57"/>
        <v>0.25</v>
      </c>
      <c r="R777" s="28">
        <f t="shared" si="57"/>
        <v>0.25</v>
      </c>
      <c r="S777" s="28">
        <f t="shared" si="57"/>
        <v>0.25</v>
      </c>
      <c r="T777" s="28">
        <f t="shared" si="57"/>
        <v>0.25</v>
      </c>
      <c r="U777" s="28">
        <f t="shared" si="57"/>
        <v>0.25</v>
      </c>
      <c r="V777" s="28">
        <f t="shared" si="57"/>
        <v>0.25</v>
      </c>
      <c r="W777" s="28">
        <f t="shared" si="57"/>
        <v>0.25</v>
      </c>
    </row>
    <row r="778" ht="15.6" spans="1:1">
      <c r="A778" s="5" t="s">
        <v>102</v>
      </c>
    </row>
    <row r="779" spans="1:23">
      <c r="A779" s="27" t="s">
        <v>96</v>
      </c>
      <c r="B779" t="s">
        <v>108</v>
      </c>
      <c r="C779" s="14"/>
      <c r="D779" s="14"/>
      <c r="E779" s="14"/>
      <c r="F779" s="14"/>
      <c r="G779" s="14"/>
      <c r="H779" s="14"/>
      <c r="I779" s="14"/>
      <c r="J779" s="14"/>
      <c r="K779" s="14"/>
      <c r="L779" s="14"/>
      <c r="M779" s="14"/>
      <c r="N779" s="14"/>
      <c r="O779" s="14"/>
      <c r="P779" s="14"/>
      <c r="Q779" s="14"/>
      <c r="R779" s="14"/>
      <c r="S779" s="14"/>
      <c r="T779" s="14"/>
      <c r="U779" s="14"/>
      <c r="V779" s="14"/>
      <c r="W779" s="14"/>
    </row>
    <row r="780" spans="1:23">
      <c r="A780" s="27" t="s">
        <v>98</v>
      </c>
      <c r="B780" t="s">
        <v>109</v>
      </c>
      <c r="C780" s="14"/>
      <c r="D780" s="14"/>
      <c r="E780" s="14"/>
      <c r="F780" s="14"/>
      <c r="G780" s="14"/>
      <c r="H780" s="14"/>
      <c r="I780" s="14"/>
      <c r="J780" s="14"/>
      <c r="K780" s="14"/>
      <c r="L780" s="14"/>
      <c r="M780" s="14"/>
      <c r="N780" s="14"/>
      <c r="O780" s="14"/>
      <c r="P780" s="14"/>
      <c r="Q780" s="14"/>
      <c r="R780" s="14"/>
      <c r="S780" s="14"/>
      <c r="T780" s="14"/>
      <c r="U780" s="14"/>
      <c r="V780" s="14"/>
      <c r="W780" s="14"/>
    </row>
    <row r="781" spans="1:23">
      <c r="A781" s="27" t="s">
        <v>100</v>
      </c>
      <c r="B781" t="s">
        <v>60</v>
      </c>
      <c r="C781" s="14"/>
      <c r="D781" s="14"/>
      <c r="E781" s="14"/>
      <c r="F781" s="14"/>
      <c r="G781" s="14"/>
      <c r="H781" s="14"/>
      <c r="I781" s="14"/>
      <c r="J781" s="14"/>
      <c r="K781" s="14"/>
      <c r="L781" s="14"/>
      <c r="M781" s="14"/>
      <c r="N781" s="14"/>
      <c r="O781" s="14"/>
      <c r="P781" s="14"/>
      <c r="Q781" s="14"/>
      <c r="R781" s="14"/>
      <c r="S781" s="14"/>
      <c r="T781" s="14"/>
      <c r="U781" s="14"/>
      <c r="V781" s="14"/>
      <c r="W781" s="14"/>
    </row>
    <row r="782" ht="15.6" spans="1:1">
      <c r="A782" s="5" t="s">
        <v>110</v>
      </c>
    </row>
    <row r="783" spans="1:23">
      <c r="A783" s="27" t="s">
        <v>96</v>
      </c>
      <c r="B783" t="s">
        <v>60</v>
      </c>
      <c r="C783" s="14"/>
      <c r="D783" s="14"/>
      <c r="E783" s="14"/>
      <c r="F783" s="14"/>
      <c r="G783" s="14"/>
      <c r="H783" s="14"/>
      <c r="I783" s="14"/>
      <c r="J783" s="14"/>
      <c r="K783" s="14"/>
      <c r="L783" s="14"/>
      <c r="M783" s="14"/>
      <c r="N783" s="14"/>
      <c r="O783" s="14"/>
      <c r="P783" s="14"/>
      <c r="Q783" s="14"/>
      <c r="R783" s="14"/>
      <c r="S783" s="14"/>
      <c r="T783" s="14"/>
      <c r="U783" s="14"/>
      <c r="V783" s="14"/>
      <c r="W783" s="14"/>
    </row>
    <row r="784" spans="1:23">
      <c r="A784" s="27" t="s">
        <v>98</v>
      </c>
      <c r="B784" t="s">
        <v>60</v>
      </c>
      <c r="C784" s="14"/>
      <c r="D784" s="14"/>
      <c r="E784" s="14"/>
      <c r="F784" s="14"/>
      <c r="G784" s="14"/>
      <c r="H784" s="14"/>
      <c r="I784" s="14"/>
      <c r="J784" s="14"/>
      <c r="K784" s="14"/>
      <c r="L784" s="14"/>
      <c r="M784" s="14"/>
      <c r="N784" s="14"/>
      <c r="O784" s="14"/>
      <c r="P784" s="14"/>
      <c r="Q784" s="14"/>
      <c r="R784" s="14"/>
      <c r="S784" s="14"/>
      <c r="T784" s="14"/>
      <c r="U784" s="14"/>
      <c r="V784" s="14"/>
      <c r="W784" s="14"/>
    </row>
    <row r="785" spans="1:23">
      <c r="A785" s="27" t="s">
        <v>100</v>
      </c>
      <c r="B785" t="s">
        <v>60</v>
      </c>
      <c r="C785" s="39"/>
      <c r="D785" s="39"/>
      <c r="E785" s="39"/>
      <c r="F785" s="39"/>
      <c r="G785" s="39"/>
      <c r="H785" s="39"/>
      <c r="I785" s="39"/>
      <c r="J785" s="39"/>
      <c r="K785" s="39"/>
      <c r="L785" s="39"/>
      <c r="M785" s="39"/>
      <c r="N785" s="39"/>
      <c r="O785" s="39"/>
      <c r="P785" s="39"/>
      <c r="Q785" s="39"/>
      <c r="R785" s="39"/>
      <c r="S785" s="39"/>
      <c r="T785" s="39"/>
      <c r="U785" s="39"/>
      <c r="V785" s="39"/>
      <c r="W785" s="39"/>
    </row>
    <row r="786" ht="15.6" spans="1:1">
      <c r="A786" s="5" t="s">
        <v>105</v>
      </c>
    </row>
    <row r="787" spans="1:23">
      <c r="A787" s="27" t="s">
        <v>96</v>
      </c>
      <c r="B787" t="s">
        <v>60</v>
      </c>
      <c r="C787" s="50"/>
      <c r="D787" s="50"/>
      <c r="E787" s="50"/>
      <c r="F787" s="50"/>
      <c r="G787" s="50"/>
      <c r="H787" s="50"/>
      <c r="I787" s="50"/>
      <c r="J787" s="50"/>
      <c r="K787" s="50"/>
      <c r="L787" s="50"/>
      <c r="M787" s="50"/>
      <c r="N787" s="50"/>
      <c r="O787" s="50"/>
      <c r="P787" s="50"/>
      <c r="Q787" s="50"/>
      <c r="R787" s="50"/>
      <c r="S787" s="50"/>
      <c r="T787" s="50"/>
      <c r="U787" s="50"/>
      <c r="V787" s="50"/>
      <c r="W787" s="50"/>
    </row>
    <row r="788" spans="1:23">
      <c r="A788" s="27" t="s">
        <v>98</v>
      </c>
      <c r="B788" t="s">
        <v>60</v>
      </c>
      <c r="C788" s="50"/>
      <c r="D788" s="50"/>
      <c r="E788" s="50"/>
      <c r="F788" s="50"/>
      <c r="G788" s="50"/>
      <c r="H788" s="50"/>
      <c r="I788" s="50"/>
      <c r="J788" s="50"/>
      <c r="K788" s="50"/>
      <c r="L788" s="50"/>
      <c r="M788" s="50"/>
      <c r="N788" s="50"/>
      <c r="O788" s="50"/>
      <c r="P788" s="50"/>
      <c r="Q788" s="50"/>
      <c r="R788" s="50"/>
      <c r="S788" s="50"/>
      <c r="T788" s="50"/>
      <c r="U788" s="50"/>
      <c r="V788" s="50"/>
      <c r="W788" s="50"/>
    </row>
    <row r="789" spans="1:23">
      <c r="A789" s="27" t="s">
        <v>100</v>
      </c>
      <c r="B789" t="s">
        <v>60</v>
      </c>
      <c r="C789" s="50"/>
      <c r="D789" s="50"/>
      <c r="E789" s="50"/>
      <c r="F789" s="50"/>
      <c r="G789" s="50"/>
      <c r="H789" s="50"/>
      <c r="I789" s="50"/>
      <c r="J789" s="50"/>
      <c r="K789" s="50"/>
      <c r="L789" s="50"/>
      <c r="M789" s="50"/>
      <c r="N789" s="50"/>
      <c r="O789" s="50"/>
      <c r="P789" s="50"/>
      <c r="Q789" s="50"/>
      <c r="R789" s="50"/>
      <c r="S789" s="50"/>
      <c r="T789" s="50"/>
      <c r="U789" s="50"/>
      <c r="V789" s="50"/>
      <c r="W789" s="50"/>
    </row>
    <row r="790" spans="1:23">
      <c r="A790" s="31" t="s">
        <v>107</v>
      </c>
      <c r="B790" s="32" t="s">
        <v>60</v>
      </c>
      <c r="C790" s="33"/>
      <c r="D790" s="33"/>
      <c r="E790" s="33"/>
      <c r="F790" s="33"/>
      <c r="G790" s="33"/>
      <c r="H790" s="33"/>
      <c r="I790" s="33"/>
      <c r="J790" s="33"/>
      <c r="K790" s="33"/>
      <c r="L790" s="33"/>
      <c r="M790" s="33"/>
      <c r="N790" s="33"/>
      <c r="O790" s="33"/>
      <c r="P790" s="33"/>
      <c r="Q790" s="33"/>
      <c r="R790" s="33"/>
      <c r="S790" s="33"/>
      <c r="T790" s="33"/>
      <c r="U790" s="33"/>
      <c r="V790" s="33"/>
      <c r="W790" s="33"/>
    </row>
    <row r="791" ht="15.6" spans="1:23">
      <c r="A791" s="25" t="s">
        <v>94</v>
      </c>
      <c r="C791" s="12"/>
      <c r="D791" s="12"/>
      <c r="E791" s="12"/>
      <c r="F791" s="12"/>
      <c r="G791" s="12"/>
      <c r="H791" s="12"/>
      <c r="I791" s="12"/>
      <c r="J791" s="12"/>
      <c r="K791" s="12"/>
      <c r="L791" s="12"/>
      <c r="M791" s="12"/>
      <c r="N791" s="12"/>
      <c r="O791" s="12"/>
      <c r="P791" s="12"/>
      <c r="Q791" s="12"/>
      <c r="R791" s="12"/>
      <c r="S791" s="12"/>
      <c r="T791" s="12"/>
      <c r="U791" s="12"/>
      <c r="V791" s="12"/>
      <c r="W791" s="12"/>
    </row>
    <row r="792" ht="15.6" spans="1:23">
      <c r="A792" s="25" t="s">
        <v>113</v>
      </c>
      <c r="B792" t="s">
        <v>114</v>
      </c>
      <c r="C792" s="40">
        <v>100</v>
      </c>
      <c r="D792" s="40">
        <v>100</v>
      </c>
      <c r="E792" s="40">
        <v>100</v>
      </c>
      <c r="F792" s="40">
        <v>100</v>
      </c>
      <c r="G792" s="40">
        <v>100</v>
      </c>
      <c r="H792" s="40">
        <v>40</v>
      </c>
      <c r="I792" s="40">
        <v>35</v>
      </c>
      <c r="J792" s="40">
        <v>35</v>
      </c>
      <c r="K792" s="40">
        <v>35</v>
      </c>
      <c r="L792" s="40">
        <v>35</v>
      </c>
      <c r="M792" s="40">
        <v>35</v>
      </c>
      <c r="N792" s="40">
        <v>35</v>
      </c>
      <c r="O792" s="40">
        <v>35</v>
      </c>
      <c r="P792" s="40">
        <v>35</v>
      </c>
      <c r="Q792" s="40">
        <v>35</v>
      </c>
      <c r="R792" s="40">
        <v>40</v>
      </c>
      <c r="S792" s="40">
        <v>90</v>
      </c>
      <c r="T792" s="40">
        <v>35</v>
      </c>
      <c r="U792" s="40">
        <v>35</v>
      </c>
      <c r="V792" s="40">
        <v>60</v>
      </c>
      <c r="W792" s="40">
        <v>60</v>
      </c>
    </row>
    <row r="793" ht="15.6" spans="1:23">
      <c r="A793" s="25" t="s">
        <v>115</v>
      </c>
      <c r="B793" t="s">
        <v>116</v>
      </c>
      <c r="C793" s="57">
        <v>3</v>
      </c>
      <c r="D793" s="57">
        <v>1</v>
      </c>
      <c r="E793" s="57">
        <v>2</v>
      </c>
      <c r="F793" s="57">
        <v>1.5</v>
      </c>
      <c r="G793" s="57">
        <v>1.5</v>
      </c>
      <c r="H793" s="57">
        <v>0.2</v>
      </c>
      <c r="I793" s="57">
        <v>0.2</v>
      </c>
      <c r="J793" s="57">
        <v>0.2</v>
      </c>
      <c r="K793" s="57">
        <v>0.2</v>
      </c>
      <c r="L793" s="57">
        <v>0.2</v>
      </c>
      <c r="M793" s="57">
        <v>0.2</v>
      </c>
      <c r="N793" s="57">
        <v>0.2</v>
      </c>
      <c r="O793" s="57">
        <v>0.2</v>
      </c>
      <c r="P793" s="57">
        <v>0.2</v>
      </c>
      <c r="Q793" s="57">
        <v>0.2</v>
      </c>
      <c r="R793" s="57">
        <v>0.2</v>
      </c>
      <c r="S793" s="57">
        <v>0.2</v>
      </c>
      <c r="T793" s="57">
        <v>0.2</v>
      </c>
      <c r="U793" s="57">
        <v>0.2</v>
      </c>
      <c r="V793" s="57">
        <v>0.2</v>
      </c>
      <c r="W793" s="57">
        <v>0.2</v>
      </c>
    </row>
    <row r="794" ht="15.6" spans="1:1">
      <c r="A794" s="5" t="s">
        <v>95</v>
      </c>
    </row>
    <row r="795" ht="15.6" spans="1:23">
      <c r="A795" s="27" t="s">
        <v>117</v>
      </c>
      <c r="B795" t="s">
        <v>118</v>
      </c>
      <c r="C795" s="42">
        <v>45</v>
      </c>
      <c r="D795" s="42">
        <v>45</v>
      </c>
      <c r="E795" s="42">
        <v>45</v>
      </c>
      <c r="F795" s="42">
        <v>45</v>
      </c>
      <c r="G795" s="42">
        <v>45</v>
      </c>
      <c r="H795" s="42">
        <v>45</v>
      </c>
      <c r="I795" s="42">
        <v>45</v>
      </c>
      <c r="J795" s="42">
        <v>45</v>
      </c>
      <c r="K795" s="42">
        <v>45</v>
      </c>
      <c r="L795" s="42">
        <v>45</v>
      </c>
      <c r="M795" s="42">
        <v>45</v>
      </c>
      <c r="N795" s="42">
        <v>45</v>
      </c>
      <c r="O795" s="42">
        <v>45</v>
      </c>
      <c r="P795" s="42">
        <v>45</v>
      </c>
      <c r="Q795" s="42">
        <v>45</v>
      </c>
      <c r="R795" s="42">
        <v>45</v>
      </c>
      <c r="S795" s="42">
        <v>45</v>
      </c>
      <c r="T795" s="42">
        <v>45</v>
      </c>
      <c r="U795" s="42">
        <v>45</v>
      </c>
      <c r="V795" s="42">
        <v>45</v>
      </c>
      <c r="W795" s="42">
        <v>45</v>
      </c>
    </row>
    <row r="796" ht="15.6" spans="1:23">
      <c r="A796" s="27" t="s">
        <v>96</v>
      </c>
      <c r="B796" t="s">
        <v>119</v>
      </c>
      <c r="C796" s="43">
        <v>0.01</v>
      </c>
      <c r="D796" s="43">
        <v>0.01</v>
      </c>
      <c r="E796" s="43">
        <v>0.01</v>
      </c>
      <c r="F796" s="43">
        <v>0.01</v>
      </c>
      <c r="G796" s="43">
        <v>0.01</v>
      </c>
      <c r="H796" s="43">
        <v>0.01</v>
      </c>
      <c r="I796" s="43">
        <v>0.01</v>
      </c>
      <c r="J796" s="43">
        <v>0.01</v>
      </c>
      <c r="K796" s="43">
        <v>0.01</v>
      </c>
      <c r="L796" s="43">
        <v>0.01</v>
      </c>
      <c r="M796" s="43">
        <v>0.01</v>
      </c>
      <c r="N796" s="43">
        <v>0.01</v>
      </c>
      <c r="O796" s="43">
        <v>0.01</v>
      </c>
      <c r="P796" s="43">
        <v>0.01</v>
      </c>
      <c r="Q796" s="43">
        <v>0.01</v>
      </c>
      <c r="R796" s="43">
        <v>0.01</v>
      </c>
      <c r="S796" s="43">
        <v>0.01</v>
      </c>
      <c r="T796" s="43">
        <v>0.01</v>
      </c>
      <c r="U796" s="43">
        <v>0.01</v>
      </c>
      <c r="V796" s="43">
        <v>0.01</v>
      </c>
      <c r="W796" s="43">
        <v>0.01</v>
      </c>
    </row>
    <row r="797" ht="15.6" spans="1:23">
      <c r="A797" s="27" t="s">
        <v>98</v>
      </c>
      <c r="B797" t="s">
        <v>120</v>
      </c>
      <c r="C797" s="43">
        <f t="shared" ref="C797:W797" si="58">1.5*2.7556/2</f>
        <v>2.0667</v>
      </c>
      <c r="D797" s="43">
        <f t="shared" si="58"/>
        <v>2.0667</v>
      </c>
      <c r="E797" s="43">
        <f t="shared" si="58"/>
        <v>2.0667</v>
      </c>
      <c r="F797" s="43">
        <f t="shared" si="58"/>
        <v>2.0667</v>
      </c>
      <c r="G797" s="43">
        <f t="shared" si="58"/>
        <v>2.0667</v>
      </c>
      <c r="H797" s="43">
        <f t="shared" si="58"/>
        <v>2.0667</v>
      </c>
      <c r="I797" s="43">
        <f t="shared" si="58"/>
        <v>2.0667</v>
      </c>
      <c r="J797" s="43">
        <f t="shared" si="58"/>
        <v>2.0667</v>
      </c>
      <c r="K797" s="43">
        <f t="shared" si="58"/>
        <v>2.0667</v>
      </c>
      <c r="L797" s="43">
        <f t="shared" si="58"/>
        <v>2.0667</v>
      </c>
      <c r="M797" s="43">
        <f t="shared" si="58"/>
        <v>2.0667</v>
      </c>
      <c r="N797" s="43">
        <f t="shared" si="58"/>
        <v>2.0667</v>
      </c>
      <c r="O797" s="43">
        <f t="shared" si="58"/>
        <v>2.0667</v>
      </c>
      <c r="P797" s="43">
        <f t="shared" si="58"/>
        <v>2.0667</v>
      </c>
      <c r="Q797" s="43">
        <f t="shared" si="58"/>
        <v>2.0667</v>
      </c>
      <c r="R797" s="43">
        <f t="shared" si="58"/>
        <v>2.0667</v>
      </c>
      <c r="S797" s="43">
        <f t="shared" si="58"/>
        <v>2.0667</v>
      </c>
      <c r="T797" s="43">
        <f t="shared" si="58"/>
        <v>2.0667</v>
      </c>
      <c r="U797" s="43">
        <f t="shared" si="58"/>
        <v>2.0667</v>
      </c>
      <c r="V797" s="43">
        <f t="shared" si="58"/>
        <v>2.0667</v>
      </c>
      <c r="W797" s="43">
        <f t="shared" si="58"/>
        <v>2.0667</v>
      </c>
    </row>
    <row r="798" ht="15.6" spans="1:23">
      <c r="A798" s="27" t="s">
        <v>100</v>
      </c>
      <c r="B798" t="s">
        <v>121</v>
      </c>
      <c r="C798" s="28">
        <v>0.5</v>
      </c>
      <c r="D798" s="28">
        <v>0.5</v>
      </c>
      <c r="E798" s="28">
        <v>0.5</v>
      </c>
      <c r="F798" s="28">
        <v>0.5</v>
      </c>
      <c r="G798" s="28">
        <v>0.5</v>
      </c>
      <c r="H798" s="28">
        <v>0.5</v>
      </c>
      <c r="I798" s="28">
        <v>0.5</v>
      </c>
      <c r="J798" s="28">
        <v>0.5</v>
      </c>
      <c r="K798" s="28">
        <v>0.5</v>
      </c>
      <c r="L798" s="28">
        <v>0.5</v>
      </c>
      <c r="M798" s="28">
        <v>0.5</v>
      </c>
      <c r="N798" s="28">
        <v>0.5</v>
      </c>
      <c r="O798" s="28">
        <v>0.5</v>
      </c>
      <c r="P798" s="28">
        <v>0.5</v>
      </c>
      <c r="Q798" s="28">
        <v>0.5</v>
      </c>
      <c r="R798" s="28">
        <v>0.5</v>
      </c>
      <c r="S798" s="28">
        <v>0.5</v>
      </c>
      <c r="T798" s="28">
        <v>0.5</v>
      </c>
      <c r="U798" s="28">
        <v>0.5</v>
      </c>
      <c r="V798" s="28">
        <v>0.5</v>
      </c>
      <c r="W798" s="28">
        <v>0.5</v>
      </c>
    </row>
    <row r="799" ht="15.6" spans="1:23">
      <c r="A799" s="27" t="s">
        <v>122</v>
      </c>
      <c r="B799" t="s">
        <v>45</v>
      </c>
      <c r="C799" s="44"/>
      <c r="D799" s="44"/>
      <c r="E799" s="44"/>
      <c r="F799" s="44"/>
      <c r="G799" s="44"/>
      <c r="H799" s="44"/>
      <c r="I799" s="44"/>
      <c r="J799" s="44"/>
      <c r="K799" s="44"/>
      <c r="L799" s="44"/>
      <c r="M799" s="44"/>
      <c r="N799" s="44"/>
      <c r="O799" s="44"/>
      <c r="P799" s="44"/>
      <c r="Q799" s="44"/>
      <c r="R799" s="44"/>
      <c r="S799" s="44"/>
      <c r="T799" s="44"/>
      <c r="U799" s="44"/>
      <c r="V799" s="44"/>
      <c r="W799" s="44"/>
    </row>
    <row r="800" ht="15.6" spans="1:23">
      <c r="A800" s="27" t="s">
        <v>123</v>
      </c>
      <c r="B800" s="9" t="s">
        <v>51</v>
      </c>
      <c r="C800" s="44"/>
      <c r="D800" s="44"/>
      <c r="E800" s="44"/>
      <c r="F800" s="44"/>
      <c r="G800" s="44"/>
      <c r="H800" s="44"/>
      <c r="I800" s="44"/>
      <c r="J800" s="44"/>
      <c r="K800" s="44"/>
      <c r="L800" s="44"/>
      <c r="M800" s="44"/>
      <c r="N800" s="44"/>
      <c r="O800" s="44"/>
      <c r="P800" s="44"/>
      <c r="Q800" s="44"/>
      <c r="R800" s="44"/>
      <c r="S800" s="44"/>
      <c r="T800" s="44"/>
      <c r="U800" s="44"/>
      <c r="V800" s="44"/>
      <c r="W800" s="44"/>
    </row>
    <row r="801" ht="15.6" spans="1:23">
      <c r="A801" s="27" t="s">
        <v>124</v>
      </c>
      <c r="B801" s="9" t="s">
        <v>51</v>
      </c>
      <c r="C801" s="44"/>
      <c r="D801" s="44"/>
      <c r="E801" s="44"/>
      <c r="F801" s="44"/>
      <c r="G801" s="44"/>
      <c r="H801" s="44"/>
      <c r="I801" s="44"/>
      <c r="J801" s="44"/>
      <c r="K801" s="44"/>
      <c r="L801" s="44"/>
      <c r="M801" s="44"/>
      <c r="N801" s="44"/>
      <c r="O801" s="44"/>
      <c r="P801" s="44"/>
      <c r="Q801" s="44"/>
      <c r="R801" s="44"/>
      <c r="S801" s="44"/>
      <c r="T801" s="44"/>
      <c r="U801" s="44"/>
      <c r="V801" s="44"/>
      <c r="W801" s="44"/>
    </row>
    <row r="802" ht="15.6" spans="1:1">
      <c r="A802" s="5" t="s">
        <v>102</v>
      </c>
    </row>
    <row r="803" spans="1:23">
      <c r="A803" s="27" t="s">
        <v>96</v>
      </c>
      <c r="B803" t="s">
        <v>119</v>
      </c>
      <c r="C803" s="45"/>
      <c r="D803" s="45"/>
      <c r="E803" s="45"/>
      <c r="F803" s="45"/>
      <c r="G803" s="45"/>
      <c r="H803" s="45"/>
      <c r="I803" s="45"/>
      <c r="J803" s="45"/>
      <c r="K803" s="45"/>
      <c r="L803" s="45"/>
      <c r="M803" s="45"/>
      <c r="N803" s="45"/>
      <c r="O803" s="45"/>
      <c r="P803" s="45"/>
      <c r="Q803" s="45"/>
      <c r="R803" s="45"/>
      <c r="S803" s="45"/>
      <c r="T803" s="45"/>
      <c r="U803" s="45"/>
      <c r="V803" s="45"/>
      <c r="W803" s="45"/>
    </row>
    <row r="804" spans="1:23">
      <c r="A804" s="27" t="s">
        <v>98</v>
      </c>
      <c r="B804" t="s">
        <v>120</v>
      </c>
      <c r="C804" s="45"/>
      <c r="D804" s="45"/>
      <c r="E804" s="45"/>
      <c r="F804" s="45"/>
      <c r="G804" s="45"/>
      <c r="H804" s="45"/>
      <c r="I804" s="45"/>
      <c r="J804" s="45"/>
      <c r="K804" s="45"/>
      <c r="L804" s="45"/>
      <c r="M804" s="45"/>
      <c r="N804" s="45"/>
      <c r="O804" s="45"/>
      <c r="P804" s="45"/>
      <c r="Q804" s="45"/>
      <c r="R804" s="45"/>
      <c r="S804" s="45"/>
      <c r="T804" s="45"/>
      <c r="U804" s="45"/>
      <c r="V804" s="45"/>
      <c r="W804" s="45"/>
    </row>
    <row r="805" spans="1:23">
      <c r="A805" s="27" t="s">
        <v>100</v>
      </c>
      <c r="B805" t="s">
        <v>121</v>
      </c>
      <c r="C805" s="45"/>
      <c r="D805" s="45"/>
      <c r="E805" s="45"/>
      <c r="F805" s="45"/>
      <c r="G805" s="45"/>
      <c r="H805" s="45"/>
      <c r="I805" s="45"/>
      <c r="J805" s="45"/>
      <c r="K805" s="45"/>
      <c r="L805" s="45"/>
      <c r="M805" s="45"/>
      <c r="N805" s="45"/>
      <c r="O805" s="45"/>
      <c r="P805" s="45"/>
      <c r="Q805" s="45"/>
      <c r="R805" s="45"/>
      <c r="S805" s="45"/>
      <c r="T805" s="45"/>
      <c r="U805" s="45"/>
      <c r="V805" s="45"/>
      <c r="W805" s="45"/>
    </row>
    <row r="806" ht="15.6" spans="1:1">
      <c r="A806" s="5" t="s">
        <v>125</v>
      </c>
    </row>
    <row r="807" spans="1:23">
      <c r="A807" s="27" t="s">
        <v>96</v>
      </c>
      <c r="B807" t="s">
        <v>119</v>
      </c>
      <c r="C807" s="45"/>
      <c r="D807" s="45"/>
      <c r="E807" s="45"/>
      <c r="F807" s="45"/>
      <c r="G807" s="45"/>
      <c r="H807" s="45"/>
      <c r="I807" s="45"/>
      <c r="J807" s="45"/>
      <c r="K807" s="45"/>
      <c r="L807" s="45"/>
      <c r="M807" s="45"/>
      <c r="N807" s="45"/>
      <c r="O807" s="45"/>
      <c r="P807" s="45"/>
      <c r="Q807" s="45"/>
      <c r="R807" s="45"/>
      <c r="S807" s="45"/>
      <c r="T807" s="45"/>
      <c r="U807" s="45"/>
      <c r="V807" s="45"/>
      <c r="W807" s="45"/>
    </row>
    <row r="808" spans="1:23">
      <c r="A808" s="27" t="s">
        <v>98</v>
      </c>
      <c r="B808" t="s">
        <v>126</v>
      </c>
      <c r="C808" s="45"/>
      <c r="D808" s="45"/>
      <c r="E808" s="45"/>
      <c r="F808" s="45"/>
      <c r="G808" s="45"/>
      <c r="H808" s="45"/>
      <c r="I808" s="45"/>
      <c r="J808" s="45"/>
      <c r="K808" s="45"/>
      <c r="L808" s="45"/>
      <c r="M808" s="45"/>
      <c r="N808" s="45"/>
      <c r="O808" s="45"/>
      <c r="P808" s="45"/>
      <c r="Q808" s="45"/>
      <c r="R808" s="45"/>
      <c r="S808" s="45"/>
      <c r="T808" s="45"/>
      <c r="U808" s="45"/>
      <c r="V808" s="45"/>
      <c r="W808" s="45"/>
    </row>
    <row r="809" spans="1:23">
      <c r="A809" s="27" t="s">
        <v>100</v>
      </c>
      <c r="B809" t="s">
        <v>121</v>
      </c>
      <c r="C809" s="45"/>
      <c r="D809" s="45"/>
      <c r="E809" s="45"/>
      <c r="F809" s="45"/>
      <c r="G809" s="45"/>
      <c r="H809" s="45"/>
      <c r="I809" s="45"/>
      <c r="J809" s="45"/>
      <c r="K809" s="45"/>
      <c r="L809" s="45"/>
      <c r="M809" s="45"/>
      <c r="N809" s="45"/>
      <c r="O809" s="45"/>
      <c r="P809" s="45"/>
      <c r="Q809" s="45"/>
      <c r="R809" s="45"/>
      <c r="S809" s="45"/>
      <c r="T809" s="45"/>
      <c r="U809" s="45"/>
      <c r="V809" s="45"/>
      <c r="W809" s="45"/>
    </row>
    <row r="810" ht="15.6" spans="1:1">
      <c r="A810" s="5" t="s">
        <v>127</v>
      </c>
    </row>
    <row r="811" spans="1:23">
      <c r="A811" s="27" t="s">
        <v>96</v>
      </c>
      <c r="B811" t="s">
        <v>60</v>
      </c>
      <c r="C811" s="45"/>
      <c r="D811" s="45"/>
      <c r="E811" s="45"/>
      <c r="F811" s="45"/>
      <c r="G811" s="45"/>
      <c r="H811" s="45"/>
      <c r="I811" s="45"/>
      <c r="J811" s="45"/>
      <c r="K811" s="45"/>
      <c r="L811" s="45"/>
      <c r="M811" s="45"/>
      <c r="N811" s="45"/>
      <c r="O811" s="45"/>
      <c r="P811" s="45"/>
      <c r="Q811" s="45"/>
      <c r="R811" s="45"/>
      <c r="S811" s="45"/>
      <c r="T811" s="45"/>
      <c r="U811" s="45"/>
      <c r="V811" s="45"/>
      <c r="W811" s="45"/>
    </row>
    <row r="812" spans="1:23">
      <c r="A812" s="27" t="s">
        <v>98</v>
      </c>
      <c r="B812" t="s">
        <v>60</v>
      </c>
      <c r="C812" s="45"/>
      <c r="D812" s="45"/>
      <c r="E812" s="45"/>
      <c r="F812" s="45"/>
      <c r="G812" s="45"/>
      <c r="H812" s="45"/>
      <c r="I812" s="45"/>
      <c r="J812" s="45"/>
      <c r="K812" s="45"/>
      <c r="L812" s="45"/>
      <c r="M812" s="45"/>
      <c r="N812" s="45"/>
      <c r="O812" s="45"/>
      <c r="P812" s="45"/>
      <c r="Q812" s="45"/>
      <c r="R812" s="45"/>
      <c r="S812" s="45"/>
      <c r="T812" s="45"/>
      <c r="U812" s="45"/>
      <c r="V812" s="45"/>
      <c r="W812" s="45"/>
    </row>
    <row r="813" spans="1:23">
      <c r="A813" s="27" t="s">
        <v>100</v>
      </c>
      <c r="B813" t="s">
        <v>60</v>
      </c>
      <c r="C813" s="46"/>
      <c r="D813" s="46"/>
      <c r="E813" s="46"/>
      <c r="F813" s="46"/>
      <c r="G813" s="46"/>
      <c r="H813" s="46"/>
      <c r="I813" s="46"/>
      <c r="J813" s="46"/>
      <c r="K813" s="46"/>
      <c r="L813" s="46"/>
      <c r="M813" s="46"/>
      <c r="N813" s="46"/>
      <c r="O813" s="46"/>
      <c r="P813" s="46"/>
      <c r="Q813" s="46"/>
      <c r="R813" s="46"/>
      <c r="S813" s="46"/>
      <c r="T813" s="46"/>
      <c r="U813" s="46"/>
      <c r="V813" s="46"/>
      <c r="W813" s="46"/>
    </row>
    <row r="814" ht="15.6" spans="1:1">
      <c r="A814" s="5" t="s">
        <v>105</v>
      </c>
    </row>
    <row r="815" spans="1:23">
      <c r="A815" s="27" t="s">
        <v>96</v>
      </c>
      <c r="B815" t="s">
        <v>60</v>
      </c>
      <c r="C815" s="50"/>
      <c r="D815" s="50"/>
      <c r="E815" s="50"/>
      <c r="F815" s="50"/>
      <c r="G815" s="50"/>
      <c r="H815" s="50"/>
      <c r="I815" s="50"/>
      <c r="J815" s="50"/>
      <c r="K815" s="50"/>
      <c r="L815" s="50"/>
      <c r="M815" s="50"/>
      <c r="N815" s="50"/>
      <c r="O815" s="50"/>
      <c r="P815" s="50"/>
      <c r="Q815" s="50"/>
      <c r="R815" s="50"/>
      <c r="S815" s="50"/>
      <c r="T815" s="50"/>
      <c r="U815" s="50"/>
      <c r="V815" s="50"/>
      <c r="W815" s="50"/>
    </row>
    <row r="816" spans="1:23">
      <c r="A816" s="27" t="s">
        <v>98</v>
      </c>
      <c r="B816" t="s">
        <v>60</v>
      </c>
      <c r="C816" s="50"/>
      <c r="D816" s="50"/>
      <c r="E816" s="50"/>
      <c r="F816" s="50"/>
      <c r="G816" s="50"/>
      <c r="H816" s="50"/>
      <c r="I816" s="50"/>
      <c r="J816" s="50"/>
      <c r="K816" s="50"/>
      <c r="L816" s="50"/>
      <c r="M816" s="50"/>
      <c r="N816" s="50"/>
      <c r="O816" s="50"/>
      <c r="P816" s="50"/>
      <c r="Q816" s="50"/>
      <c r="R816" s="50"/>
      <c r="S816" s="50"/>
      <c r="T816" s="50"/>
      <c r="U816" s="50"/>
      <c r="V816" s="50"/>
      <c r="W816" s="50"/>
    </row>
    <row r="817" spans="1:23">
      <c r="A817" s="27" t="s">
        <v>100</v>
      </c>
      <c r="B817" t="s">
        <v>60</v>
      </c>
      <c r="C817" s="50"/>
      <c r="D817" s="50"/>
      <c r="E817" s="50"/>
      <c r="F817" s="50"/>
      <c r="G817" s="50"/>
      <c r="H817" s="50"/>
      <c r="I817" s="50"/>
      <c r="J817" s="50"/>
      <c r="K817" s="50"/>
      <c r="L817" s="50"/>
      <c r="M817" s="50"/>
      <c r="N817" s="50"/>
      <c r="O817" s="50"/>
      <c r="P817" s="50"/>
      <c r="Q817" s="50"/>
      <c r="R817" s="50"/>
      <c r="S817" s="50"/>
      <c r="T817" s="50"/>
      <c r="U817" s="50"/>
      <c r="V817" s="50"/>
      <c r="W817" s="50"/>
    </row>
    <row r="818" spans="1:23">
      <c r="A818" s="31" t="s">
        <v>107</v>
      </c>
      <c r="B818" s="32" t="s">
        <v>60</v>
      </c>
      <c r="C818" s="33"/>
      <c r="D818" s="33"/>
      <c r="E818" s="33"/>
      <c r="F818" s="33"/>
      <c r="G818" s="33"/>
      <c r="H818" s="33"/>
      <c r="I818" s="33"/>
      <c r="J818" s="33"/>
      <c r="K818" s="33"/>
      <c r="L818" s="33"/>
      <c r="M818" s="33"/>
      <c r="N818" s="33"/>
      <c r="O818" s="33"/>
      <c r="P818" s="33"/>
      <c r="Q818" s="33"/>
      <c r="R818" s="33"/>
      <c r="S818" s="33"/>
      <c r="T818" s="33"/>
      <c r="U818" s="33"/>
      <c r="V818" s="33"/>
      <c r="W818" s="33"/>
    </row>
    <row r="819" ht="15.6" spans="1:1">
      <c r="A819" s="5" t="s">
        <v>129</v>
      </c>
    </row>
    <row r="820" spans="1:23">
      <c r="A820" s="27" t="s">
        <v>96</v>
      </c>
      <c r="B820" t="s">
        <v>60</v>
      </c>
      <c r="C820" s="14"/>
      <c r="D820" s="14"/>
      <c r="E820" s="14"/>
      <c r="F820" s="14"/>
      <c r="G820" s="14"/>
      <c r="H820" s="14"/>
      <c r="I820" s="14"/>
      <c r="J820" s="14"/>
      <c r="K820" s="14"/>
      <c r="L820" s="14"/>
      <c r="M820" s="14"/>
      <c r="N820" s="14"/>
      <c r="O820" s="14"/>
      <c r="P820" s="14"/>
      <c r="Q820" s="14"/>
      <c r="R820" s="14"/>
      <c r="S820" s="14"/>
      <c r="T820" s="14"/>
      <c r="U820" s="14"/>
      <c r="V820" s="14"/>
      <c r="W820" s="14"/>
    </row>
    <row r="821" spans="1:23">
      <c r="A821" s="27" t="s">
        <v>98</v>
      </c>
      <c r="B821" t="s">
        <v>60</v>
      </c>
      <c r="C821" s="14"/>
      <c r="D821" s="14"/>
      <c r="E821" s="14"/>
      <c r="F821" s="14"/>
      <c r="G821" s="14"/>
      <c r="H821" s="14"/>
      <c r="I821" s="14"/>
      <c r="J821" s="14"/>
      <c r="K821" s="14"/>
      <c r="L821" s="14"/>
      <c r="M821" s="14"/>
      <c r="N821" s="14"/>
      <c r="O821" s="14"/>
      <c r="P821" s="14"/>
      <c r="Q821" s="14"/>
      <c r="R821" s="14"/>
      <c r="S821" s="14"/>
      <c r="T821" s="14"/>
      <c r="U821" s="14"/>
      <c r="V821" s="14"/>
      <c r="W821" s="14"/>
    </row>
    <row r="822" spans="1:23">
      <c r="A822" s="27" t="s">
        <v>100</v>
      </c>
      <c r="B822" t="s">
        <v>60</v>
      </c>
      <c r="C822" s="14"/>
      <c r="D822" s="14"/>
      <c r="E822" s="14"/>
      <c r="F822" s="14"/>
      <c r="G822" s="14"/>
      <c r="H822" s="14"/>
      <c r="I822" s="14"/>
      <c r="J822" s="14"/>
      <c r="K822" s="14"/>
      <c r="L822" s="14"/>
      <c r="M822" s="14"/>
      <c r="N822" s="14"/>
      <c r="O822" s="14"/>
      <c r="P822" s="14"/>
      <c r="Q822" s="14"/>
      <c r="R822" s="14"/>
      <c r="S822" s="14"/>
      <c r="T822" s="14"/>
      <c r="U822" s="14"/>
      <c r="V822" s="14"/>
      <c r="W822" s="14"/>
    </row>
    <row r="823" spans="1:23">
      <c r="A823" s="31" t="s">
        <v>107</v>
      </c>
      <c r="B823" s="32" t="s">
        <v>60</v>
      </c>
      <c r="C823" s="33"/>
      <c r="D823" s="33"/>
      <c r="E823" s="33"/>
      <c r="F823" s="33"/>
      <c r="G823" s="33"/>
      <c r="H823" s="33"/>
      <c r="I823" s="33"/>
      <c r="J823" s="33"/>
      <c r="K823" s="33"/>
      <c r="L823" s="33"/>
      <c r="M823" s="33"/>
      <c r="N823" s="33"/>
      <c r="O823" s="33"/>
      <c r="P823" s="33"/>
      <c r="Q823" s="33"/>
      <c r="R823" s="33"/>
      <c r="S823" s="33"/>
      <c r="T823" s="33"/>
      <c r="U823" s="33"/>
      <c r="V823" s="33"/>
      <c r="W823" s="33"/>
    </row>
    <row r="824" ht="15.6" spans="1:23">
      <c r="A824" s="25" t="s">
        <v>94</v>
      </c>
      <c r="C824" s="10">
        <v>1</v>
      </c>
      <c r="D824" s="10">
        <v>1</v>
      </c>
      <c r="E824" s="10">
        <v>1</v>
      </c>
      <c r="F824" s="10">
        <v>1</v>
      </c>
      <c r="G824" s="10">
        <v>1</v>
      </c>
      <c r="H824" s="10">
        <v>1</v>
      </c>
      <c r="I824" s="10">
        <v>1</v>
      </c>
      <c r="J824" s="10">
        <v>1</v>
      </c>
      <c r="K824" s="10">
        <v>1</v>
      </c>
      <c r="L824" s="10">
        <v>1</v>
      </c>
      <c r="M824" s="10">
        <v>1</v>
      </c>
      <c r="N824" s="10">
        <v>1</v>
      </c>
      <c r="O824" s="10">
        <v>1</v>
      </c>
      <c r="P824" s="10">
        <v>1</v>
      </c>
      <c r="Q824" s="10">
        <v>1</v>
      </c>
      <c r="R824" s="10">
        <v>0</v>
      </c>
      <c r="S824" s="10">
        <v>1</v>
      </c>
      <c r="T824" s="10">
        <v>1</v>
      </c>
      <c r="U824" s="10">
        <v>1</v>
      </c>
      <c r="V824" s="10">
        <v>1</v>
      </c>
      <c r="W824" s="10">
        <v>1</v>
      </c>
    </row>
    <row r="825" ht="15.6" spans="1:23">
      <c r="A825" s="25" t="s">
        <v>111</v>
      </c>
      <c r="B825" t="s">
        <v>112</v>
      </c>
      <c r="C825" s="40">
        <v>200</v>
      </c>
      <c r="D825" s="40">
        <v>3000</v>
      </c>
      <c r="E825" s="40">
        <v>3000</v>
      </c>
      <c r="F825" s="40">
        <v>200</v>
      </c>
      <c r="G825" s="40">
        <v>200</v>
      </c>
      <c r="H825" s="40">
        <v>200</v>
      </c>
      <c r="I825" s="40">
        <v>150</v>
      </c>
      <c r="J825" s="40">
        <v>200</v>
      </c>
      <c r="K825" s="40">
        <v>150</v>
      </c>
      <c r="L825" s="40">
        <v>150</v>
      </c>
      <c r="M825" s="40">
        <v>150</v>
      </c>
      <c r="N825" s="40">
        <v>150</v>
      </c>
      <c r="O825" s="40">
        <v>150</v>
      </c>
      <c r="P825" s="40">
        <v>150</v>
      </c>
      <c r="Q825" s="40">
        <v>150</v>
      </c>
      <c r="R825" s="40">
        <v>200</v>
      </c>
      <c r="S825" s="40">
        <v>200</v>
      </c>
      <c r="T825" s="40">
        <v>150</v>
      </c>
      <c r="U825" s="40">
        <v>150</v>
      </c>
      <c r="V825" s="40">
        <v>200</v>
      </c>
      <c r="W825" s="40">
        <v>200</v>
      </c>
    </row>
    <row r="826" ht="15.6" spans="1:1">
      <c r="A826" s="5" t="s">
        <v>95</v>
      </c>
    </row>
    <row r="827" ht="15.6" spans="1:23">
      <c r="A827" s="27" t="s">
        <v>96</v>
      </c>
      <c r="B827" t="s">
        <v>108</v>
      </c>
      <c r="C827" s="28">
        <f t="shared" ref="C827:W827" si="59">15/200</f>
        <v>0.075</v>
      </c>
      <c r="D827" s="28">
        <f t="shared" si="59"/>
        <v>0.075</v>
      </c>
      <c r="E827" s="28">
        <f t="shared" si="59"/>
        <v>0.075</v>
      </c>
      <c r="F827" s="28">
        <f t="shared" si="59"/>
        <v>0.075</v>
      </c>
      <c r="G827" s="28">
        <f t="shared" si="59"/>
        <v>0.075</v>
      </c>
      <c r="H827" s="28">
        <f t="shared" si="59"/>
        <v>0.075</v>
      </c>
      <c r="I827" s="28">
        <f t="shared" si="59"/>
        <v>0.075</v>
      </c>
      <c r="J827" s="28">
        <f t="shared" si="59"/>
        <v>0.075</v>
      </c>
      <c r="K827" s="28">
        <f t="shared" si="59"/>
        <v>0.075</v>
      </c>
      <c r="L827" s="28">
        <f t="shared" si="59"/>
        <v>0.075</v>
      </c>
      <c r="M827" s="28">
        <f t="shared" si="59"/>
        <v>0.075</v>
      </c>
      <c r="N827" s="28">
        <f t="shared" si="59"/>
        <v>0.075</v>
      </c>
      <c r="O827" s="28">
        <f t="shared" si="59"/>
        <v>0.075</v>
      </c>
      <c r="P827" s="28">
        <f t="shared" si="59"/>
        <v>0.075</v>
      </c>
      <c r="Q827" s="28">
        <f t="shared" si="59"/>
        <v>0.075</v>
      </c>
      <c r="R827" s="28">
        <f t="shared" si="59"/>
        <v>0.075</v>
      </c>
      <c r="S827" s="28">
        <f t="shared" si="59"/>
        <v>0.075</v>
      </c>
      <c r="T827" s="28">
        <f t="shared" si="59"/>
        <v>0.075</v>
      </c>
      <c r="U827" s="28">
        <f t="shared" si="59"/>
        <v>0.075</v>
      </c>
      <c r="V827" s="28">
        <f t="shared" si="59"/>
        <v>0.075</v>
      </c>
      <c r="W827" s="28">
        <f t="shared" si="59"/>
        <v>0.075</v>
      </c>
    </row>
    <row r="828" ht="15.6" spans="1:23">
      <c r="A828" s="27" t="s">
        <v>98</v>
      </c>
      <c r="B828" t="s">
        <v>109</v>
      </c>
      <c r="C828" s="28">
        <f t="shared" ref="C828:W828" si="60">1.5/200</f>
        <v>0.0075</v>
      </c>
      <c r="D828" s="28">
        <f t="shared" si="60"/>
        <v>0.0075</v>
      </c>
      <c r="E828" s="28">
        <f t="shared" si="60"/>
        <v>0.0075</v>
      </c>
      <c r="F828" s="28">
        <f t="shared" si="60"/>
        <v>0.0075</v>
      </c>
      <c r="G828" s="28">
        <f t="shared" si="60"/>
        <v>0.0075</v>
      </c>
      <c r="H828" s="28">
        <f t="shared" si="60"/>
        <v>0.0075</v>
      </c>
      <c r="I828" s="28">
        <f t="shared" si="60"/>
        <v>0.0075</v>
      </c>
      <c r="J828" s="28">
        <f t="shared" si="60"/>
        <v>0.0075</v>
      </c>
      <c r="K828" s="28">
        <f t="shared" si="60"/>
        <v>0.0075</v>
      </c>
      <c r="L828" s="28">
        <f t="shared" si="60"/>
        <v>0.0075</v>
      </c>
      <c r="M828" s="28">
        <f t="shared" si="60"/>
        <v>0.0075</v>
      </c>
      <c r="N828" s="28">
        <f t="shared" si="60"/>
        <v>0.0075</v>
      </c>
      <c r="O828" s="28">
        <f t="shared" si="60"/>
        <v>0.0075</v>
      </c>
      <c r="P828" s="28">
        <f t="shared" si="60"/>
        <v>0.0075</v>
      </c>
      <c r="Q828" s="28">
        <f t="shared" si="60"/>
        <v>0.0075</v>
      </c>
      <c r="R828" s="28">
        <f t="shared" si="60"/>
        <v>0.0075</v>
      </c>
      <c r="S828" s="28">
        <f t="shared" si="60"/>
        <v>0.0075</v>
      </c>
      <c r="T828" s="28">
        <f t="shared" si="60"/>
        <v>0.0075</v>
      </c>
      <c r="U828" s="28">
        <f t="shared" si="60"/>
        <v>0.0075</v>
      </c>
      <c r="V828" s="28">
        <f t="shared" si="60"/>
        <v>0.0075</v>
      </c>
      <c r="W828" s="28">
        <f t="shared" si="60"/>
        <v>0.0075</v>
      </c>
    </row>
    <row r="829" ht="15.6" spans="1:23">
      <c r="A829" s="27" t="s">
        <v>100</v>
      </c>
      <c r="B829" t="s">
        <v>60</v>
      </c>
      <c r="C829" s="28">
        <f t="shared" ref="C829:W829" si="61">50/200</f>
        <v>0.25</v>
      </c>
      <c r="D829" s="28">
        <f t="shared" si="61"/>
        <v>0.25</v>
      </c>
      <c r="E829" s="28">
        <f t="shared" si="61"/>
        <v>0.25</v>
      </c>
      <c r="F829" s="28">
        <f t="shared" si="61"/>
        <v>0.25</v>
      </c>
      <c r="G829" s="28">
        <f t="shared" si="61"/>
        <v>0.25</v>
      </c>
      <c r="H829" s="28">
        <f t="shared" si="61"/>
        <v>0.25</v>
      </c>
      <c r="I829" s="28">
        <f t="shared" si="61"/>
        <v>0.25</v>
      </c>
      <c r="J829" s="28">
        <f t="shared" si="61"/>
        <v>0.25</v>
      </c>
      <c r="K829" s="28">
        <f t="shared" si="61"/>
        <v>0.25</v>
      </c>
      <c r="L829" s="28">
        <f t="shared" si="61"/>
        <v>0.25</v>
      </c>
      <c r="M829" s="28">
        <f t="shared" si="61"/>
        <v>0.25</v>
      </c>
      <c r="N829" s="28">
        <f t="shared" si="61"/>
        <v>0.25</v>
      </c>
      <c r="O829" s="28">
        <f t="shared" si="61"/>
        <v>0.25</v>
      </c>
      <c r="P829" s="28">
        <f t="shared" si="61"/>
        <v>0.25</v>
      </c>
      <c r="Q829" s="28">
        <f t="shared" si="61"/>
        <v>0.25</v>
      </c>
      <c r="R829" s="28">
        <f t="shared" si="61"/>
        <v>0.25</v>
      </c>
      <c r="S829" s="28">
        <f t="shared" si="61"/>
        <v>0.25</v>
      </c>
      <c r="T829" s="28">
        <f t="shared" si="61"/>
        <v>0.25</v>
      </c>
      <c r="U829" s="28">
        <f t="shared" si="61"/>
        <v>0.25</v>
      </c>
      <c r="V829" s="28">
        <f t="shared" si="61"/>
        <v>0.25</v>
      </c>
      <c r="W829" s="28">
        <f t="shared" si="61"/>
        <v>0.25</v>
      </c>
    </row>
    <row r="830" ht="15.6" spans="1:1">
      <c r="A830" s="5" t="s">
        <v>102</v>
      </c>
    </row>
    <row r="831" spans="1:23">
      <c r="A831" s="27" t="s">
        <v>96</v>
      </c>
      <c r="B831" t="s">
        <v>108</v>
      </c>
      <c r="C831" s="14"/>
      <c r="D831" s="14"/>
      <c r="E831" s="14"/>
      <c r="F831" s="14"/>
      <c r="G831" s="14"/>
      <c r="H831" s="14"/>
      <c r="I831" s="14"/>
      <c r="J831" s="14"/>
      <c r="K831" s="14"/>
      <c r="L831" s="14"/>
      <c r="M831" s="14"/>
      <c r="N831" s="14"/>
      <c r="O831" s="14"/>
      <c r="P831" s="14"/>
      <c r="Q831" s="14"/>
      <c r="R831" s="14"/>
      <c r="S831" s="14"/>
      <c r="T831" s="14"/>
      <c r="U831" s="14"/>
      <c r="V831" s="14"/>
      <c r="W831" s="14"/>
    </row>
    <row r="832" spans="1:23">
      <c r="A832" s="27" t="s">
        <v>98</v>
      </c>
      <c r="B832" t="s">
        <v>109</v>
      </c>
      <c r="C832" s="14"/>
      <c r="D832" s="14"/>
      <c r="E832" s="14"/>
      <c r="F832" s="14"/>
      <c r="G832" s="14"/>
      <c r="H832" s="14"/>
      <c r="I832" s="14"/>
      <c r="J832" s="14"/>
      <c r="K832" s="14"/>
      <c r="L832" s="14"/>
      <c r="M832" s="14"/>
      <c r="N832" s="14"/>
      <c r="O832" s="14"/>
      <c r="P832" s="14"/>
      <c r="Q832" s="14"/>
      <c r="R832" s="14"/>
      <c r="S832" s="14"/>
      <c r="T832" s="14"/>
      <c r="U832" s="14"/>
      <c r="V832" s="14"/>
      <c r="W832" s="14"/>
    </row>
    <row r="833" spans="1:23">
      <c r="A833" s="27" t="s">
        <v>100</v>
      </c>
      <c r="B833" t="s">
        <v>60</v>
      </c>
      <c r="C833" s="14"/>
      <c r="D833" s="14"/>
      <c r="E833" s="14"/>
      <c r="F833" s="14"/>
      <c r="G833" s="14"/>
      <c r="H833" s="14"/>
      <c r="I833" s="14"/>
      <c r="J833" s="14"/>
      <c r="K833" s="14"/>
      <c r="L833" s="14"/>
      <c r="M833" s="14"/>
      <c r="N833" s="14"/>
      <c r="O833" s="14"/>
      <c r="P833" s="14"/>
      <c r="Q833" s="14"/>
      <c r="R833" s="14"/>
      <c r="S833" s="14"/>
      <c r="T833" s="14"/>
      <c r="U833" s="14"/>
      <c r="V833" s="14"/>
      <c r="W833" s="14"/>
    </row>
    <row r="834" ht="15.6" spans="1:1">
      <c r="A834" s="5" t="s">
        <v>110</v>
      </c>
    </row>
    <row r="835" spans="1:23">
      <c r="A835" s="27" t="s">
        <v>96</v>
      </c>
      <c r="B835" t="s">
        <v>60</v>
      </c>
      <c r="C835" s="14"/>
      <c r="D835" s="14"/>
      <c r="E835" s="14"/>
      <c r="F835" s="14"/>
      <c r="G835" s="14"/>
      <c r="H835" s="14"/>
      <c r="I835" s="14"/>
      <c r="J835" s="14"/>
      <c r="K835" s="14"/>
      <c r="L835" s="14"/>
      <c r="M835" s="14"/>
      <c r="N835" s="14"/>
      <c r="O835" s="14"/>
      <c r="P835" s="14"/>
      <c r="Q835" s="14"/>
      <c r="R835" s="14"/>
      <c r="S835" s="14"/>
      <c r="T835" s="14"/>
      <c r="U835" s="14"/>
      <c r="V835" s="14"/>
      <c r="W835" s="14"/>
    </row>
    <row r="836" spans="1:23">
      <c r="A836" s="27" t="s">
        <v>98</v>
      </c>
      <c r="B836" t="s">
        <v>60</v>
      </c>
      <c r="C836" s="14"/>
      <c r="D836" s="14"/>
      <c r="E836" s="14"/>
      <c r="F836" s="14"/>
      <c r="G836" s="14"/>
      <c r="H836" s="14"/>
      <c r="I836" s="14"/>
      <c r="J836" s="14"/>
      <c r="K836" s="14"/>
      <c r="L836" s="14"/>
      <c r="M836" s="14"/>
      <c r="N836" s="14"/>
      <c r="O836" s="14"/>
      <c r="P836" s="14"/>
      <c r="Q836" s="14"/>
      <c r="R836" s="14"/>
      <c r="S836" s="14"/>
      <c r="T836" s="14"/>
      <c r="U836" s="14"/>
      <c r="V836" s="14"/>
      <c r="W836" s="14"/>
    </row>
    <row r="837" spans="1:23">
      <c r="A837" s="27" t="s">
        <v>100</v>
      </c>
      <c r="B837" t="s">
        <v>60</v>
      </c>
      <c r="C837" s="39"/>
      <c r="D837" s="39"/>
      <c r="E837" s="39"/>
      <c r="F837" s="39"/>
      <c r="G837" s="39"/>
      <c r="H837" s="39"/>
      <c r="I837" s="39"/>
      <c r="J837" s="39"/>
      <c r="K837" s="39"/>
      <c r="L837" s="39"/>
      <c r="M837" s="39"/>
      <c r="N837" s="39"/>
      <c r="O837" s="39"/>
      <c r="P837" s="39"/>
      <c r="Q837" s="39"/>
      <c r="R837" s="39"/>
      <c r="S837" s="39"/>
      <c r="T837" s="39"/>
      <c r="U837" s="39"/>
      <c r="V837" s="39"/>
      <c r="W837" s="39"/>
    </row>
    <row r="838" ht="15.6" spans="1:1">
      <c r="A838" s="5" t="s">
        <v>105</v>
      </c>
    </row>
    <row r="839" spans="1:23">
      <c r="A839" s="27" t="s">
        <v>96</v>
      </c>
      <c r="B839" t="s">
        <v>60</v>
      </c>
      <c r="C839" s="50"/>
      <c r="D839" s="50"/>
      <c r="E839" s="50"/>
      <c r="F839" s="50"/>
      <c r="G839" s="50"/>
      <c r="H839" s="50"/>
      <c r="I839" s="50"/>
      <c r="J839" s="50"/>
      <c r="K839" s="50"/>
      <c r="L839" s="50"/>
      <c r="M839" s="50"/>
      <c r="N839" s="50"/>
      <c r="O839" s="50"/>
      <c r="P839" s="50"/>
      <c r="Q839" s="50"/>
      <c r="R839" s="50"/>
      <c r="S839" s="50"/>
      <c r="T839" s="50"/>
      <c r="U839" s="50"/>
      <c r="V839" s="50"/>
      <c r="W839" s="50"/>
    </row>
    <row r="840" spans="1:23">
      <c r="A840" s="27" t="s">
        <v>98</v>
      </c>
      <c r="B840" t="s">
        <v>60</v>
      </c>
      <c r="C840" s="50"/>
      <c r="D840" s="50"/>
      <c r="E840" s="50"/>
      <c r="F840" s="50"/>
      <c r="G840" s="50"/>
      <c r="H840" s="50"/>
      <c r="I840" s="50"/>
      <c r="J840" s="50"/>
      <c r="K840" s="50"/>
      <c r="L840" s="50"/>
      <c r="M840" s="50"/>
      <c r="N840" s="50"/>
      <c r="O840" s="50"/>
      <c r="P840" s="50"/>
      <c r="Q840" s="50"/>
      <c r="R840" s="50"/>
      <c r="S840" s="50"/>
      <c r="T840" s="50"/>
      <c r="U840" s="50"/>
      <c r="V840" s="50"/>
      <c r="W840" s="50"/>
    </row>
    <row r="841" spans="1:23">
      <c r="A841" s="27" t="s">
        <v>100</v>
      </c>
      <c r="B841" t="s">
        <v>60</v>
      </c>
      <c r="C841" s="50"/>
      <c r="D841" s="50"/>
      <c r="E841" s="50"/>
      <c r="F841" s="50"/>
      <c r="G841" s="50"/>
      <c r="H841" s="50"/>
      <c r="I841" s="50"/>
      <c r="J841" s="50"/>
      <c r="K841" s="50"/>
      <c r="L841" s="50"/>
      <c r="M841" s="50"/>
      <c r="N841" s="50"/>
      <c r="O841" s="50"/>
      <c r="P841" s="50"/>
      <c r="Q841" s="50"/>
      <c r="R841" s="50"/>
      <c r="S841" s="50"/>
      <c r="T841" s="50"/>
      <c r="U841" s="50"/>
      <c r="V841" s="50"/>
      <c r="W841" s="50"/>
    </row>
    <row r="842" spans="1:23">
      <c r="A842" s="31" t="s">
        <v>107</v>
      </c>
      <c r="B842" s="32" t="s">
        <v>60</v>
      </c>
      <c r="C842" s="33"/>
      <c r="D842" s="33"/>
      <c r="E842" s="33"/>
      <c r="F842" s="33"/>
      <c r="G842" s="33"/>
      <c r="H842" s="33"/>
      <c r="I842" s="33"/>
      <c r="J842" s="33"/>
      <c r="K842" s="33"/>
      <c r="L842" s="33"/>
      <c r="M842" s="33"/>
      <c r="N842" s="33"/>
      <c r="O842" s="33"/>
      <c r="P842" s="33"/>
      <c r="Q842" s="33"/>
      <c r="R842" s="33"/>
      <c r="S842" s="33"/>
      <c r="T842" s="33"/>
      <c r="U842" s="33"/>
      <c r="V842" s="33"/>
      <c r="W842" s="33"/>
    </row>
    <row r="843" ht="15.6" spans="1:23">
      <c r="A843" s="25" t="s">
        <v>94</v>
      </c>
      <c r="C843" s="12"/>
      <c r="D843" s="12"/>
      <c r="E843" s="12"/>
      <c r="F843" s="12"/>
      <c r="G843" s="12"/>
      <c r="H843" s="12"/>
      <c r="I843" s="12"/>
      <c r="J843" s="12"/>
      <c r="K843" s="12"/>
      <c r="L843" s="12"/>
      <c r="M843" s="12"/>
      <c r="N843" s="12"/>
      <c r="O843" s="12"/>
      <c r="P843" s="12"/>
      <c r="Q843" s="12"/>
      <c r="R843" s="12"/>
      <c r="S843" s="12"/>
      <c r="T843" s="12"/>
      <c r="U843" s="12"/>
      <c r="V843" s="12"/>
      <c r="W843" s="12"/>
    </row>
    <row r="844" ht="15.6" spans="1:23">
      <c r="A844" s="25" t="s">
        <v>113</v>
      </c>
      <c r="B844" t="s">
        <v>114</v>
      </c>
      <c r="C844" s="40">
        <v>100</v>
      </c>
      <c r="D844" s="40">
        <v>100</v>
      </c>
      <c r="E844" s="40">
        <v>100</v>
      </c>
      <c r="F844" s="40">
        <v>100</v>
      </c>
      <c r="G844" s="40">
        <v>100</v>
      </c>
      <c r="H844" s="40">
        <v>40</v>
      </c>
      <c r="I844" s="40">
        <v>35</v>
      </c>
      <c r="J844" s="40">
        <v>35</v>
      </c>
      <c r="K844" s="40">
        <v>35</v>
      </c>
      <c r="L844" s="40">
        <v>35</v>
      </c>
      <c r="M844" s="40">
        <v>35</v>
      </c>
      <c r="N844" s="40">
        <v>35</v>
      </c>
      <c r="O844" s="40">
        <v>35</v>
      </c>
      <c r="P844" s="40">
        <v>35</v>
      </c>
      <c r="Q844" s="40">
        <v>35</v>
      </c>
      <c r="R844" s="40">
        <v>35</v>
      </c>
      <c r="S844" s="40">
        <v>90</v>
      </c>
      <c r="T844" s="40">
        <v>35</v>
      </c>
      <c r="U844" s="40">
        <v>35</v>
      </c>
      <c r="V844" s="40">
        <v>60</v>
      </c>
      <c r="W844" s="40">
        <v>60</v>
      </c>
    </row>
    <row r="845" ht="15.6" spans="1:23">
      <c r="A845" s="25" t="s">
        <v>115</v>
      </c>
      <c r="B845" t="s">
        <v>116</v>
      </c>
      <c r="C845" s="57">
        <v>3</v>
      </c>
      <c r="D845" s="57">
        <v>1</v>
      </c>
      <c r="E845" s="57">
        <v>5</v>
      </c>
      <c r="F845" s="57">
        <v>0.5</v>
      </c>
      <c r="G845" s="57">
        <v>0.5</v>
      </c>
      <c r="H845" s="57">
        <v>1.8</v>
      </c>
      <c r="I845" s="57">
        <v>0.1</v>
      </c>
      <c r="J845" s="57">
        <v>0.1</v>
      </c>
      <c r="K845" s="57">
        <v>0.1</v>
      </c>
      <c r="L845" s="57">
        <v>0.1</v>
      </c>
      <c r="M845" s="57">
        <v>0.1</v>
      </c>
      <c r="N845" s="57">
        <v>0.1</v>
      </c>
      <c r="O845" s="57">
        <v>0.1</v>
      </c>
      <c r="P845" s="57">
        <v>0.1</v>
      </c>
      <c r="Q845" s="57">
        <v>0.1</v>
      </c>
      <c r="R845" s="57">
        <v>0.1</v>
      </c>
      <c r="S845" s="57">
        <v>1.8</v>
      </c>
      <c r="T845" s="57">
        <v>0.1</v>
      </c>
      <c r="U845" s="57">
        <v>0.1</v>
      </c>
      <c r="V845" s="57">
        <v>0.1</v>
      </c>
      <c r="W845" s="57">
        <v>0.1</v>
      </c>
    </row>
    <row r="846" ht="15.6" spans="1:1">
      <c r="A846" s="5" t="s">
        <v>95</v>
      </c>
    </row>
    <row r="847" ht="15.6" spans="1:23">
      <c r="A847" s="27" t="s">
        <v>117</v>
      </c>
      <c r="B847" t="s">
        <v>118</v>
      </c>
      <c r="C847" s="42">
        <v>45</v>
      </c>
      <c r="D847" s="42">
        <v>45</v>
      </c>
      <c r="E847" s="42">
        <v>45</v>
      </c>
      <c r="F847" s="42">
        <v>45</v>
      </c>
      <c r="G847" s="42">
        <v>45</v>
      </c>
      <c r="H847" s="42">
        <v>45</v>
      </c>
      <c r="I847" s="42">
        <v>45</v>
      </c>
      <c r="J847" s="42">
        <v>45</v>
      </c>
      <c r="K847" s="42">
        <v>45</v>
      </c>
      <c r="L847" s="42">
        <v>45</v>
      </c>
      <c r="M847" s="42">
        <v>45</v>
      </c>
      <c r="N847" s="42">
        <v>45</v>
      </c>
      <c r="O847" s="42">
        <v>45</v>
      </c>
      <c r="P847" s="42">
        <v>45</v>
      </c>
      <c r="Q847" s="42">
        <v>45</v>
      </c>
      <c r="R847" s="42">
        <v>45</v>
      </c>
      <c r="S847" s="42">
        <v>45</v>
      </c>
      <c r="T847" s="42">
        <v>45</v>
      </c>
      <c r="U847" s="42">
        <v>45</v>
      </c>
      <c r="V847" s="42">
        <v>45</v>
      </c>
      <c r="W847" s="42">
        <v>45</v>
      </c>
    </row>
    <row r="848" ht="15.6" spans="1:23">
      <c r="A848" s="27" t="s">
        <v>96</v>
      </c>
      <c r="B848" t="s">
        <v>119</v>
      </c>
      <c r="C848" s="43">
        <v>0.01</v>
      </c>
      <c r="D848" s="43">
        <v>0.01</v>
      </c>
      <c r="E848" s="43">
        <v>0.01</v>
      </c>
      <c r="F848" s="43">
        <v>0.01</v>
      </c>
      <c r="G848" s="43">
        <v>0.01</v>
      </c>
      <c r="H848" s="43">
        <v>0.01</v>
      </c>
      <c r="I848" s="43">
        <v>0.01</v>
      </c>
      <c r="J848" s="43">
        <v>0.01</v>
      </c>
      <c r="K848" s="43">
        <v>0.01</v>
      </c>
      <c r="L848" s="43">
        <v>0.01</v>
      </c>
      <c r="M848" s="43">
        <v>0.01</v>
      </c>
      <c r="N848" s="43">
        <v>0.01</v>
      </c>
      <c r="O848" s="43">
        <v>0.01</v>
      </c>
      <c r="P848" s="43">
        <v>0.01</v>
      </c>
      <c r="Q848" s="43">
        <v>0.01</v>
      </c>
      <c r="R848" s="43">
        <v>0.01</v>
      </c>
      <c r="S848" s="43">
        <v>0.01</v>
      </c>
      <c r="T848" s="43">
        <v>0.01</v>
      </c>
      <c r="U848" s="43">
        <v>0.01</v>
      </c>
      <c r="V848" s="43">
        <v>0.01</v>
      </c>
      <c r="W848" s="43">
        <v>0.01</v>
      </c>
    </row>
    <row r="849" ht="15.6" spans="1:23">
      <c r="A849" s="27" t="s">
        <v>98</v>
      </c>
      <c r="B849" t="s">
        <v>120</v>
      </c>
      <c r="C849" s="43">
        <f t="shared" ref="C849:W849" si="62">1.5*2.7556/2</f>
        <v>2.0667</v>
      </c>
      <c r="D849" s="43">
        <f t="shared" si="62"/>
        <v>2.0667</v>
      </c>
      <c r="E849" s="43">
        <f t="shared" si="62"/>
        <v>2.0667</v>
      </c>
      <c r="F849" s="43">
        <f t="shared" si="62"/>
        <v>2.0667</v>
      </c>
      <c r="G849" s="43">
        <f t="shared" si="62"/>
        <v>2.0667</v>
      </c>
      <c r="H849" s="43">
        <f t="shared" si="62"/>
        <v>2.0667</v>
      </c>
      <c r="I849" s="43">
        <f t="shared" si="62"/>
        <v>2.0667</v>
      </c>
      <c r="J849" s="43">
        <f t="shared" si="62"/>
        <v>2.0667</v>
      </c>
      <c r="K849" s="43">
        <f t="shared" si="62"/>
        <v>2.0667</v>
      </c>
      <c r="L849" s="43">
        <f t="shared" si="62"/>
        <v>2.0667</v>
      </c>
      <c r="M849" s="43">
        <f t="shared" si="62"/>
        <v>2.0667</v>
      </c>
      <c r="N849" s="43">
        <f t="shared" si="62"/>
        <v>2.0667</v>
      </c>
      <c r="O849" s="43">
        <f t="shared" si="62"/>
        <v>2.0667</v>
      </c>
      <c r="P849" s="43">
        <f t="shared" si="62"/>
        <v>2.0667</v>
      </c>
      <c r="Q849" s="43">
        <f t="shared" si="62"/>
        <v>2.0667</v>
      </c>
      <c r="R849" s="43">
        <f t="shared" si="62"/>
        <v>2.0667</v>
      </c>
      <c r="S849" s="43">
        <f t="shared" si="62"/>
        <v>2.0667</v>
      </c>
      <c r="T849" s="43">
        <f t="shared" si="62"/>
        <v>2.0667</v>
      </c>
      <c r="U849" s="43">
        <f t="shared" si="62"/>
        <v>2.0667</v>
      </c>
      <c r="V849" s="43">
        <f t="shared" si="62"/>
        <v>2.0667</v>
      </c>
      <c r="W849" s="43">
        <f t="shared" si="62"/>
        <v>2.0667</v>
      </c>
    </row>
    <row r="850" ht="15.6" spans="1:23">
      <c r="A850" s="27" t="s">
        <v>100</v>
      </c>
      <c r="B850" t="s">
        <v>121</v>
      </c>
      <c r="C850" s="28">
        <v>0.5</v>
      </c>
      <c r="D850" s="28">
        <v>0.5</v>
      </c>
      <c r="E850" s="28">
        <v>0.5</v>
      </c>
      <c r="F850" s="28">
        <v>0.5</v>
      </c>
      <c r="G850" s="28">
        <v>0.5</v>
      </c>
      <c r="H850" s="28">
        <v>0.5</v>
      </c>
      <c r="I850" s="28">
        <v>0.5</v>
      </c>
      <c r="J850" s="28">
        <v>0.5</v>
      </c>
      <c r="K850" s="28">
        <v>0.5</v>
      </c>
      <c r="L850" s="28">
        <v>0.5</v>
      </c>
      <c r="M850" s="28">
        <v>0.5</v>
      </c>
      <c r="N850" s="28">
        <v>0.5</v>
      </c>
      <c r="O850" s="28">
        <v>0.5</v>
      </c>
      <c r="P850" s="28">
        <v>0.5</v>
      </c>
      <c r="Q850" s="28">
        <v>0.5</v>
      </c>
      <c r="R850" s="28">
        <v>0.5</v>
      </c>
      <c r="S850" s="28">
        <v>0.5</v>
      </c>
      <c r="T850" s="28">
        <v>0.5</v>
      </c>
      <c r="U850" s="28">
        <v>0.5</v>
      </c>
      <c r="V850" s="28">
        <v>0.5</v>
      </c>
      <c r="W850" s="28">
        <v>0.5</v>
      </c>
    </row>
    <row r="851" ht="15.6" spans="1:23">
      <c r="A851" s="27" t="s">
        <v>122</v>
      </c>
      <c r="B851" t="s">
        <v>45</v>
      </c>
      <c r="C851" s="44"/>
      <c r="D851" s="44"/>
      <c r="E851" s="44"/>
      <c r="F851" s="44"/>
      <c r="G851" s="44"/>
      <c r="H851" s="44"/>
      <c r="I851" s="44"/>
      <c r="J851" s="44"/>
      <c r="K851" s="44"/>
      <c r="L851" s="44"/>
      <c r="M851" s="44"/>
      <c r="N851" s="44"/>
      <c r="O851" s="44"/>
      <c r="P851" s="44"/>
      <c r="Q851" s="44"/>
      <c r="R851" s="44"/>
      <c r="S851" s="44"/>
      <c r="T851" s="44"/>
      <c r="U851" s="44"/>
      <c r="V851" s="44"/>
      <c r="W851" s="44"/>
    </row>
    <row r="852" ht="15.6" spans="1:23">
      <c r="A852" s="27" t="s">
        <v>123</v>
      </c>
      <c r="B852" s="9" t="s">
        <v>51</v>
      </c>
      <c r="C852" s="44"/>
      <c r="D852" s="44"/>
      <c r="E852" s="44"/>
      <c r="F852" s="44"/>
      <c r="G852" s="44"/>
      <c r="H852" s="44"/>
      <c r="I852" s="44"/>
      <c r="J852" s="44"/>
      <c r="K852" s="44"/>
      <c r="L852" s="44"/>
      <c r="M852" s="44"/>
      <c r="N852" s="44"/>
      <c r="O852" s="44"/>
      <c r="P852" s="44"/>
      <c r="Q852" s="44"/>
      <c r="R852" s="44"/>
      <c r="S852" s="44"/>
      <c r="T852" s="44"/>
      <c r="U852" s="44"/>
      <c r="V852" s="44"/>
      <c r="W852" s="44"/>
    </row>
    <row r="853" ht="15.6" spans="1:23">
      <c r="A853" s="27" t="s">
        <v>124</v>
      </c>
      <c r="B853" s="9" t="s">
        <v>51</v>
      </c>
      <c r="C853" s="44"/>
      <c r="D853" s="44"/>
      <c r="E853" s="44"/>
      <c r="F853" s="44"/>
      <c r="G853" s="44"/>
      <c r="H853" s="44"/>
      <c r="I853" s="44"/>
      <c r="J853" s="44"/>
      <c r="K853" s="44"/>
      <c r="L853" s="44"/>
      <c r="M853" s="44"/>
      <c r="N853" s="44"/>
      <c r="O853" s="44"/>
      <c r="P853" s="44"/>
      <c r="Q853" s="44"/>
      <c r="R853" s="44"/>
      <c r="S853" s="44"/>
      <c r="T853" s="44"/>
      <c r="U853" s="44"/>
      <c r="V853" s="44"/>
      <c r="W853" s="44"/>
    </row>
    <row r="854" ht="15.6" spans="1:1">
      <c r="A854" s="5" t="s">
        <v>102</v>
      </c>
    </row>
    <row r="855" spans="1:23">
      <c r="A855" s="27" t="s">
        <v>96</v>
      </c>
      <c r="B855" t="s">
        <v>119</v>
      </c>
      <c r="C855" s="45"/>
      <c r="D855" s="45"/>
      <c r="E855" s="45"/>
      <c r="F855" s="45"/>
      <c r="G855" s="45"/>
      <c r="H855" s="45"/>
      <c r="I855" s="45"/>
      <c r="J855" s="45"/>
      <c r="K855" s="45"/>
      <c r="L855" s="45"/>
      <c r="M855" s="45"/>
      <c r="N855" s="45"/>
      <c r="O855" s="45"/>
      <c r="P855" s="45"/>
      <c r="Q855" s="45"/>
      <c r="R855" s="45"/>
      <c r="S855" s="45"/>
      <c r="T855" s="45"/>
      <c r="U855" s="45"/>
      <c r="V855" s="45"/>
      <c r="W855" s="45"/>
    </row>
    <row r="856" spans="1:23">
      <c r="A856" s="27" t="s">
        <v>98</v>
      </c>
      <c r="B856" t="s">
        <v>120</v>
      </c>
      <c r="C856" s="45"/>
      <c r="D856" s="45"/>
      <c r="E856" s="45"/>
      <c r="F856" s="45"/>
      <c r="G856" s="45"/>
      <c r="H856" s="45"/>
      <c r="I856" s="45"/>
      <c r="J856" s="45"/>
      <c r="K856" s="45"/>
      <c r="L856" s="45"/>
      <c r="M856" s="45"/>
      <c r="N856" s="45"/>
      <c r="O856" s="45"/>
      <c r="P856" s="45"/>
      <c r="Q856" s="45"/>
      <c r="R856" s="45"/>
      <c r="S856" s="45"/>
      <c r="T856" s="45"/>
      <c r="U856" s="45"/>
      <c r="V856" s="45"/>
      <c r="W856" s="45"/>
    </row>
    <row r="857" spans="1:23">
      <c r="A857" s="27" t="s">
        <v>100</v>
      </c>
      <c r="B857" t="s">
        <v>121</v>
      </c>
      <c r="C857" s="45"/>
      <c r="D857" s="45"/>
      <c r="E857" s="45"/>
      <c r="F857" s="45"/>
      <c r="G857" s="45"/>
      <c r="H857" s="45"/>
      <c r="I857" s="45"/>
      <c r="J857" s="45"/>
      <c r="K857" s="45"/>
      <c r="L857" s="45"/>
      <c r="M857" s="45"/>
      <c r="N857" s="45"/>
      <c r="O857" s="45"/>
      <c r="P857" s="45"/>
      <c r="Q857" s="45"/>
      <c r="R857" s="45"/>
      <c r="S857" s="45"/>
      <c r="T857" s="45"/>
      <c r="U857" s="45"/>
      <c r="V857" s="45"/>
      <c r="W857" s="45"/>
    </row>
    <row r="858" ht="15.6" spans="1:1">
      <c r="A858" s="5" t="s">
        <v>125</v>
      </c>
    </row>
    <row r="859" spans="1:23">
      <c r="A859" s="27" t="s">
        <v>96</v>
      </c>
      <c r="B859" t="s">
        <v>119</v>
      </c>
      <c r="C859" s="45"/>
      <c r="D859" s="45"/>
      <c r="E859" s="45"/>
      <c r="F859" s="45"/>
      <c r="G859" s="45"/>
      <c r="H859" s="45"/>
      <c r="I859" s="45"/>
      <c r="J859" s="45"/>
      <c r="K859" s="45"/>
      <c r="L859" s="45"/>
      <c r="M859" s="45"/>
      <c r="N859" s="45"/>
      <c r="O859" s="45"/>
      <c r="P859" s="45"/>
      <c r="Q859" s="45"/>
      <c r="R859" s="45"/>
      <c r="S859" s="45"/>
      <c r="T859" s="45"/>
      <c r="U859" s="45"/>
      <c r="V859" s="45"/>
      <c r="W859" s="45"/>
    </row>
    <row r="860" spans="1:23">
      <c r="A860" s="27" t="s">
        <v>98</v>
      </c>
      <c r="B860" t="s">
        <v>126</v>
      </c>
      <c r="C860" s="45"/>
      <c r="D860" s="45"/>
      <c r="E860" s="45"/>
      <c r="F860" s="45"/>
      <c r="G860" s="45"/>
      <c r="H860" s="45"/>
      <c r="I860" s="45"/>
      <c r="J860" s="45"/>
      <c r="K860" s="45"/>
      <c r="L860" s="45"/>
      <c r="M860" s="45"/>
      <c r="N860" s="45"/>
      <c r="O860" s="45"/>
      <c r="P860" s="45"/>
      <c r="Q860" s="45"/>
      <c r="R860" s="45"/>
      <c r="S860" s="45"/>
      <c r="T860" s="45"/>
      <c r="U860" s="45"/>
      <c r="V860" s="45"/>
      <c r="W860" s="45"/>
    </row>
    <row r="861" spans="1:23">
      <c r="A861" s="27" t="s">
        <v>100</v>
      </c>
      <c r="B861" t="s">
        <v>121</v>
      </c>
      <c r="C861" s="45"/>
      <c r="D861" s="45"/>
      <c r="E861" s="45"/>
      <c r="F861" s="45"/>
      <c r="G861" s="45"/>
      <c r="H861" s="45"/>
      <c r="I861" s="45"/>
      <c r="J861" s="45"/>
      <c r="K861" s="45"/>
      <c r="L861" s="45"/>
      <c r="M861" s="45"/>
      <c r="N861" s="45"/>
      <c r="O861" s="45"/>
      <c r="P861" s="45"/>
      <c r="Q861" s="45"/>
      <c r="R861" s="45"/>
      <c r="S861" s="45"/>
      <c r="T861" s="45"/>
      <c r="U861" s="45"/>
      <c r="V861" s="45"/>
      <c r="W861" s="45"/>
    </row>
    <row r="862" ht="15.6" spans="1:1">
      <c r="A862" s="5" t="s">
        <v>127</v>
      </c>
    </row>
    <row r="863" spans="1:23">
      <c r="A863" s="27" t="s">
        <v>96</v>
      </c>
      <c r="B863" t="s">
        <v>60</v>
      </c>
      <c r="C863" s="45"/>
      <c r="D863" s="45"/>
      <c r="E863" s="45"/>
      <c r="F863" s="45"/>
      <c r="G863" s="45"/>
      <c r="H863" s="45"/>
      <c r="I863" s="45"/>
      <c r="J863" s="45"/>
      <c r="K863" s="45"/>
      <c r="L863" s="45"/>
      <c r="M863" s="45"/>
      <c r="N863" s="45"/>
      <c r="O863" s="45"/>
      <c r="P863" s="45"/>
      <c r="Q863" s="45"/>
      <c r="R863" s="45"/>
      <c r="S863" s="45"/>
      <c r="T863" s="45"/>
      <c r="U863" s="45"/>
      <c r="V863" s="45"/>
      <c r="W863" s="45"/>
    </row>
    <row r="864" spans="1:23">
      <c r="A864" s="27" t="s">
        <v>98</v>
      </c>
      <c r="B864" t="s">
        <v>60</v>
      </c>
      <c r="C864" s="45"/>
      <c r="D864" s="45"/>
      <c r="E864" s="45"/>
      <c r="F864" s="45"/>
      <c r="G864" s="45"/>
      <c r="H864" s="45"/>
      <c r="I864" s="45"/>
      <c r="J864" s="45"/>
      <c r="K864" s="45"/>
      <c r="L864" s="45"/>
      <c r="M864" s="45"/>
      <c r="N864" s="45"/>
      <c r="O864" s="45"/>
      <c r="P864" s="45"/>
      <c r="Q864" s="45"/>
      <c r="R864" s="45"/>
      <c r="S864" s="45"/>
      <c r="T864" s="45"/>
      <c r="U864" s="45"/>
      <c r="V864" s="45"/>
      <c r="W864" s="45"/>
    </row>
    <row r="865" spans="1:23">
      <c r="A865" s="27" t="s">
        <v>100</v>
      </c>
      <c r="B865" t="s">
        <v>60</v>
      </c>
      <c r="C865" s="46"/>
      <c r="D865" s="46"/>
      <c r="E865" s="46"/>
      <c r="F865" s="46"/>
      <c r="G865" s="46"/>
      <c r="H865" s="46"/>
      <c r="I865" s="46"/>
      <c r="J865" s="46"/>
      <c r="K865" s="46"/>
      <c r="L865" s="46"/>
      <c r="M865" s="46"/>
      <c r="N865" s="46"/>
      <c r="O865" s="46"/>
      <c r="P865" s="46"/>
      <c r="Q865" s="46"/>
      <c r="R865" s="46"/>
      <c r="S865" s="46"/>
      <c r="T865" s="46"/>
      <c r="U865" s="46"/>
      <c r="V865" s="46"/>
      <c r="W865" s="46"/>
    </row>
    <row r="866" ht="15.6" spans="1:1">
      <c r="A866" s="5" t="s">
        <v>105</v>
      </c>
    </row>
    <row r="867" spans="1:23">
      <c r="A867" s="27" t="s">
        <v>96</v>
      </c>
      <c r="B867" t="s">
        <v>60</v>
      </c>
      <c r="C867" s="50"/>
      <c r="D867" s="50"/>
      <c r="E867" s="50"/>
      <c r="F867" s="50"/>
      <c r="G867" s="50"/>
      <c r="H867" s="50"/>
      <c r="I867" s="50"/>
      <c r="J867" s="50"/>
      <c r="K867" s="50"/>
      <c r="L867" s="50"/>
      <c r="M867" s="50"/>
      <c r="N867" s="50"/>
      <c r="O867" s="50"/>
      <c r="P867" s="50"/>
      <c r="Q867" s="50"/>
      <c r="R867" s="50"/>
      <c r="S867" s="50"/>
      <c r="T867" s="50"/>
      <c r="U867" s="50"/>
      <c r="V867" s="50"/>
      <c r="W867" s="50"/>
    </row>
    <row r="868" spans="1:23">
      <c r="A868" s="27" t="s">
        <v>98</v>
      </c>
      <c r="B868" t="s">
        <v>60</v>
      </c>
      <c r="C868" s="50"/>
      <c r="D868" s="50"/>
      <c r="E868" s="50"/>
      <c r="F868" s="50"/>
      <c r="G868" s="50"/>
      <c r="H868" s="50"/>
      <c r="I868" s="50"/>
      <c r="J868" s="50"/>
      <c r="K868" s="50"/>
      <c r="L868" s="50"/>
      <c r="M868" s="50"/>
      <c r="N868" s="50"/>
      <c r="O868" s="50"/>
      <c r="P868" s="50"/>
      <c r="Q868" s="50"/>
      <c r="R868" s="50"/>
      <c r="S868" s="50"/>
      <c r="T868" s="50"/>
      <c r="U868" s="50"/>
      <c r="V868" s="50"/>
      <c r="W868" s="50"/>
    </row>
    <row r="869" spans="1:23">
      <c r="A869" s="27" t="s">
        <v>100</v>
      </c>
      <c r="B869" t="s">
        <v>60</v>
      </c>
      <c r="C869" s="50"/>
      <c r="D869" s="50"/>
      <c r="E869" s="50"/>
      <c r="F869" s="50"/>
      <c r="G869" s="50"/>
      <c r="H869" s="50"/>
      <c r="I869" s="50"/>
      <c r="J869" s="50"/>
      <c r="K869" s="50"/>
      <c r="L869" s="50"/>
      <c r="M869" s="50"/>
      <c r="N869" s="50"/>
      <c r="O869" s="50"/>
      <c r="P869" s="50"/>
      <c r="Q869" s="50"/>
      <c r="R869" s="50"/>
      <c r="S869" s="50"/>
      <c r="T869" s="50"/>
      <c r="U869" s="50"/>
      <c r="V869" s="50"/>
      <c r="W869" s="50"/>
    </row>
    <row r="870" spans="1:23">
      <c r="A870" s="31" t="s">
        <v>107</v>
      </c>
      <c r="B870" s="32" t="s">
        <v>60</v>
      </c>
      <c r="C870" s="33"/>
      <c r="D870" s="33"/>
      <c r="E870" s="33"/>
      <c r="F870" s="33"/>
      <c r="G870" s="33"/>
      <c r="H870" s="33"/>
      <c r="I870" s="33"/>
      <c r="J870" s="33"/>
      <c r="K870" s="33"/>
      <c r="L870" s="33"/>
      <c r="M870" s="33"/>
      <c r="N870" s="33"/>
      <c r="O870" s="33"/>
      <c r="P870" s="33"/>
      <c r="Q870" s="33"/>
      <c r="R870" s="33"/>
      <c r="S870" s="33"/>
      <c r="T870" s="33"/>
      <c r="U870" s="33"/>
      <c r="V870" s="33"/>
      <c r="W870" s="33"/>
    </row>
    <row r="871" ht="15.6" spans="1:1">
      <c r="A871" s="5" t="s">
        <v>130</v>
      </c>
    </row>
    <row r="872" spans="1:23">
      <c r="A872" s="27" t="s">
        <v>96</v>
      </c>
      <c r="B872" t="s">
        <v>60</v>
      </c>
      <c r="C872" s="14"/>
      <c r="D872" s="14"/>
      <c r="E872" s="14"/>
      <c r="F872" s="14"/>
      <c r="G872" s="14"/>
      <c r="H872" s="14"/>
      <c r="I872" s="14"/>
      <c r="J872" s="14"/>
      <c r="K872" s="14"/>
      <c r="L872" s="14"/>
      <c r="M872" s="14"/>
      <c r="N872" s="14"/>
      <c r="O872" s="14"/>
      <c r="P872" s="14"/>
      <c r="Q872" s="14"/>
      <c r="R872" s="14"/>
      <c r="S872" s="14"/>
      <c r="T872" s="14"/>
      <c r="U872" s="14"/>
      <c r="V872" s="14"/>
      <c r="W872" s="14"/>
    </row>
    <row r="873" spans="1:23">
      <c r="A873" s="27" t="s">
        <v>98</v>
      </c>
      <c r="B873" t="s">
        <v>60</v>
      </c>
      <c r="C873" s="14"/>
      <c r="D873" s="14"/>
      <c r="E873" s="14"/>
      <c r="F873" s="14"/>
      <c r="G873" s="14"/>
      <c r="H873" s="14"/>
      <c r="I873" s="14"/>
      <c r="J873" s="14"/>
      <c r="K873" s="14"/>
      <c r="L873" s="14"/>
      <c r="M873" s="14"/>
      <c r="N873" s="14"/>
      <c r="O873" s="14"/>
      <c r="P873" s="14"/>
      <c r="Q873" s="14"/>
      <c r="R873" s="14"/>
      <c r="S873" s="14"/>
      <c r="T873" s="14"/>
      <c r="U873" s="14"/>
      <c r="V873" s="14"/>
      <c r="W873" s="14"/>
    </row>
    <row r="874" spans="1:23">
      <c r="A874" s="27" t="s">
        <v>100</v>
      </c>
      <c r="B874" t="s">
        <v>60</v>
      </c>
      <c r="C874" s="14"/>
      <c r="D874" s="14"/>
      <c r="E874" s="14"/>
      <c r="F874" s="14"/>
      <c r="G874" s="14"/>
      <c r="H874" s="14"/>
      <c r="I874" s="14"/>
      <c r="J874" s="14"/>
      <c r="K874" s="14"/>
      <c r="L874" s="14"/>
      <c r="M874" s="14"/>
      <c r="N874" s="14"/>
      <c r="O874" s="14"/>
      <c r="P874" s="14"/>
      <c r="Q874" s="14"/>
      <c r="R874" s="14"/>
      <c r="S874" s="14"/>
      <c r="T874" s="14"/>
      <c r="U874" s="14"/>
      <c r="V874" s="14"/>
      <c r="W874" s="14"/>
    </row>
    <row r="875" spans="1:23">
      <c r="A875" s="31" t="s">
        <v>107</v>
      </c>
      <c r="B875" s="32" t="s">
        <v>60</v>
      </c>
      <c r="C875" s="33"/>
      <c r="D875" s="33"/>
      <c r="E875" s="33"/>
      <c r="F875" s="33"/>
      <c r="G875" s="33"/>
      <c r="H875" s="33"/>
      <c r="I875" s="33"/>
      <c r="J875" s="33"/>
      <c r="K875" s="33"/>
      <c r="L875" s="33"/>
      <c r="M875" s="33"/>
      <c r="N875" s="33"/>
      <c r="O875" s="33"/>
      <c r="P875" s="33"/>
      <c r="Q875" s="33"/>
      <c r="R875" s="33"/>
      <c r="S875" s="33"/>
      <c r="T875" s="33"/>
      <c r="U875" s="33"/>
      <c r="V875" s="33"/>
      <c r="W875" s="33"/>
    </row>
    <row r="876" ht="15.6" spans="1:23">
      <c r="A876" s="25" t="s">
        <v>94</v>
      </c>
      <c r="C876" s="10">
        <v>1</v>
      </c>
      <c r="D876" s="10">
        <v>0</v>
      </c>
      <c r="E876" s="10">
        <v>0</v>
      </c>
      <c r="F876" s="10">
        <v>0</v>
      </c>
      <c r="G876" s="10">
        <v>0</v>
      </c>
      <c r="H876" s="10">
        <v>0</v>
      </c>
      <c r="I876" s="10">
        <v>1</v>
      </c>
      <c r="J876" s="10">
        <v>1</v>
      </c>
      <c r="K876" s="10">
        <v>1</v>
      </c>
      <c r="L876" s="10">
        <v>1</v>
      </c>
      <c r="M876" s="10">
        <v>1</v>
      </c>
      <c r="N876" s="10">
        <v>1</v>
      </c>
      <c r="O876" s="10">
        <v>1</v>
      </c>
      <c r="P876" s="10">
        <v>1</v>
      </c>
      <c r="Q876" s="10">
        <v>1</v>
      </c>
      <c r="R876" s="10">
        <v>0</v>
      </c>
      <c r="S876" s="10">
        <v>0</v>
      </c>
      <c r="T876" s="10">
        <v>1</v>
      </c>
      <c r="U876" s="10">
        <v>1</v>
      </c>
      <c r="V876" s="10">
        <v>0</v>
      </c>
      <c r="W876" s="10">
        <v>0</v>
      </c>
    </row>
    <row r="877" ht="15.6" spans="1:23">
      <c r="A877" s="25" t="s">
        <v>111</v>
      </c>
      <c r="B877" t="s">
        <v>112</v>
      </c>
      <c r="C877" s="40">
        <v>3000</v>
      </c>
      <c r="D877" s="40">
        <v>1000</v>
      </c>
      <c r="E877" s="40">
        <v>1000</v>
      </c>
      <c r="F877" s="40">
        <v>1000</v>
      </c>
      <c r="G877" s="40">
        <v>1000</v>
      </c>
      <c r="H877" s="40">
        <v>150</v>
      </c>
      <c r="I877" s="40">
        <v>150</v>
      </c>
      <c r="J877" s="40">
        <v>200</v>
      </c>
      <c r="K877" s="40">
        <v>150</v>
      </c>
      <c r="L877" s="40">
        <v>150</v>
      </c>
      <c r="M877" s="40">
        <v>150</v>
      </c>
      <c r="N877" s="40">
        <v>150</v>
      </c>
      <c r="O877" s="40">
        <v>150</v>
      </c>
      <c r="P877" s="40">
        <v>150</v>
      </c>
      <c r="Q877" s="40">
        <v>150</v>
      </c>
      <c r="R877" s="40">
        <v>150</v>
      </c>
      <c r="S877" s="40">
        <v>150</v>
      </c>
      <c r="T877" s="40">
        <v>150</v>
      </c>
      <c r="U877" s="40">
        <v>150</v>
      </c>
      <c r="V877" s="40">
        <v>150</v>
      </c>
      <c r="W877" s="40">
        <v>150</v>
      </c>
    </row>
    <row r="878" ht="15.6" spans="1:1">
      <c r="A878" s="5" t="s">
        <v>95</v>
      </c>
    </row>
    <row r="879" ht="15.6" spans="1:23">
      <c r="A879" s="27" t="s">
        <v>96</v>
      </c>
      <c r="B879" t="s">
        <v>108</v>
      </c>
      <c r="C879" s="28">
        <f t="shared" ref="C879:W879" si="63">15/200</f>
        <v>0.075</v>
      </c>
      <c r="D879" s="28">
        <f t="shared" si="63"/>
        <v>0.075</v>
      </c>
      <c r="E879" s="28">
        <f t="shared" si="63"/>
        <v>0.075</v>
      </c>
      <c r="F879" s="28">
        <f t="shared" si="63"/>
        <v>0.075</v>
      </c>
      <c r="G879" s="28">
        <f t="shared" si="63"/>
        <v>0.075</v>
      </c>
      <c r="H879" s="28">
        <f t="shared" si="63"/>
        <v>0.075</v>
      </c>
      <c r="I879" s="28">
        <f t="shared" si="63"/>
        <v>0.075</v>
      </c>
      <c r="J879" s="28">
        <f t="shared" si="63"/>
        <v>0.075</v>
      </c>
      <c r="K879" s="28">
        <f t="shared" si="63"/>
        <v>0.075</v>
      </c>
      <c r="L879" s="28">
        <f t="shared" si="63"/>
        <v>0.075</v>
      </c>
      <c r="M879" s="28">
        <f t="shared" si="63"/>
        <v>0.075</v>
      </c>
      <c r="N879" s="28">
        <f t="shared" si="63"/>
        <v>0.075</v>
      </c>
      <c r="O879" s="28">
        <f t="shared" si="63"/>
        <v>0.075</v>
      </c>
      <c r="P879" s="28">
        <f t="shared" si="63"/>
        <v>0.075</v>
      </c>
      <c r="Q879" s="28">
        <f t="shared" si="63"/>
        <v>0.075</v>
      </c>
      <c r="R879" s="28">
        <f t="shared" si="63"/>
        <v>0.075</v>
      </c>
      <c r="S879" s="28">
        <f t="shared" si="63"/>
        <v>0.075</v>
      </c>
      <c r="T879" s="28">
        <f t="shared" si="63"/>
        <v>0.075</v>
      </c>
      <c r="U879" s="28">
        <f t="shared" si="63"/>
        <v>0.075</v>
      </c>
      <c r="V879" s="28">
        <f t="shared" si="63"/>
        <v>0.075</v>
      </c>
      <c r="W879" s="28">
        <f t="shared" si="63"/>
        <v>0.075</v>
      </c>
    </row>
    <row r="880" ht="15.6" spans="1:23">
      <c r="A880" s="27" t="s">
        <v>98</v>
      </c>
      <c r="B880" t="s">
        <v>109</v>
      </c>
      <c r="C880" s="28">
        <f t="shared" ref="C880:W880" si="64">1.5/200</f>
        <v>0.0075</v>
      </c>
      <c r="D880" s="28">
        <f t="shared" si="64"/>
        <v>0.0075</v>
      </c>
      <c r="E880" s="28">
        <f t="shared" si="64"/>
        <v>0.0075</v>
      </c>
      <c r="F880" s="28">
        <f t="shared" si="64"/>
        <v>0.0075</v>
      </c>
      <c r="G880" s="28">
        <f t="shared" si="64"/>
        <v>0.0075</v>
      </c>
      <c r="H880" s="28">
        <f t="shared" si="64"/>
        <v>0.0075</v>
      </c>
      <c r="I880" s="28">
        <f t="shared" si="64"/>
        <v>0.0075</v>
      </c>
      <c r="J880" s="28">
        <f t="shared" si="64"/>
        <v>0.0075</v>
      </c>
      <c r="K880" s="28">
        <f t="shared" si="64"/>
        <v>0.0075</v>
      </c>
      <c r="L880" s="28">
        <f t="shared" si="64"/>
        <v>0.0075</v>
      </c>
      <c r="M880" s="28">
        <f t="shared" si="64"/>
        <v>0.0075</v>
      </c>
      <c r="N880" s="28">
        <f t="shared" si="64"/>
        <v>0.0075</v>
      </c>
      <c r="O880" s="28">
        <f t="shared" si="64"/>
        <v>0.0075</v>
      </c>
      <c r="P880" s="28">
        <f t="shared" si="64"/>
        <v>0.0075</v>
      </c>
      <c r="Q880" s="28">
        <f t="shared" si="64"/>
        <v>0.0075</v>
      </c>
      <c r="R880" s="28">
        <f t="shared" si="64"/>
        <v>0.0075</v>
      </c>
      <c r="S880" s="28">
        <f t="shared" si="64"/>
        <v>0.0075</v>
      </c>
      <c r="T880" s="28">
        <f t="shared" si="64"/>
        <v>0.0075</v>
      </c>
      <c r="U880" s="28">
        <f t="shared" si="64"/>
        <v>0.0075</v>
      </c>
      <c r="V880" s="28">
        <f t="shared" si="64"/>
        <v>0.0075</v>
      </c>
      <c r="W880" s="28">
        <f t="shared" si="64"/>
        <v>0.0075</v>
      </c>
    </row>
    <row r="881" ht="15.6" spans="1:23">
      <c r="A881" s="27" t="s">
        <v>100</v>
      </c>
      <c r="B881" t="s">
        <v>60</v>
      </c>
      <c r="C881" s="28">
        <f t="shared" ref="C881:W881" si="65">50/200</f>
        <v>0.25</v>
      </c>
      <c r="D881" s="28">
        <f t="shared" si="65"/>
        <v>0.25</v>
      </c>
      <c r="E881" s="28">
        <f t="shared" si="65"/>
        <v>0.25</v>
      </c>
      <c r="F881" s="28">
        <f t="shared" si="65"/>
        <v>0.25</v>
      </c>
      <c r="G881" s="28">
        <f t="shared" si="65"/>
        <v>0.25</v>
      </c>
      <c r="H881" s="28">
        <f t="shared" si="65"/>
        <v>0.25</v>
      </c>
      <c r="I881" s="28">
        <f t="shared" si="65"/>
        <v>0.25</v>
      </c>
      <c r="J881" s="28">
        <f t="shared" si="65"/>
        <v>0.25</v>
      </c>
      <c r="K881" s="28">
        <f t="shared" si="65"/>
        <v>0.25</v>
      </c>
      <c r="L881" s="28">
        <f t="shared" si="65"/>
        <v>0.25</v>
      </c>
      <c r="M881" s="28">
        <f t="shared" si="65"/>
        <v>0.25</v>
      </c>
      <c r="N881" s="28">
        <f t="shared" si="65"/>
        <v>0.25</v>
      </c>
      <c r="O881" s="28">
        <f t="shared" si="65"/>
        <v>0.25</v>
      </c>
      <c r="P881" s="28">
        <f t="shared" si="65"/>
        <v>0.25</v>
      </c>
      <c r="Q881" s="28">
        <f t="shared" si="65"/>
        <v>0.25</v>
      </c>
      <c r="R881" s="28">
        <f t="shared" si="65"/>
        <v>0.25</v>
      </c>
      <c r="S881" s="28">
        <f t="shared" si="65"/>
        <v>0.25</v>
      </c>
      <c r="T881" s="28">
        <f t="shared" si="65"/>
        <v>0.25</v>
      </c>
      <c r="U881" s="28">
        <f t="shared" si="65"/>
        <v>0.25</v>
      </c>
      <c r="V881" s="28">
        <f t="shared" si="65"/>
        <v>0.25</v>
      </c>
      <c r="W881" s="28">
        <f t="shared" si="65"/>
        <v>0.25</v>
      </c>
    </row>
    <row r="882" ht="15.6" spans="1:1">
      <c r="A882" s="5" t="s">
        <v>102</v>
      </c>
    </row>
    <row r="883" spans="1:23">
      <c r="A883" s="27" t="s">
        <v>96</v>
      </c>
      <c r="B883" t="s">
        <v>108</v>
      </c>
      <c r="C883" s="14"/>
      <c r="D883" s="14"/>
      <c r="E883" s="14"/>
      <c r="F883" s="14"/>
      <c r="G883" s="14"/>
      <c r="H883" s="14"/>
      <c r="I883" s="14"/>
      <c r="J883" s="14"/>
      <c r="K883" s="14"/>
      <c r="L883" s="14"/>
      <c r="M883" s="14"/>
      <c r="N883" s="14"/>
      <c r="O883" s="14"/>
      <c r="P883" s="14"/>
      <c r="Q883" s="14"/>
      <c r="R883" s="14"/>
      <c r="S883" s="14"/>
      <c r="T883" s="14"/>
      <c r="U883" s="14"/>
      <c r="V883" s="14"/>
      <c r="W883" s="14"/>
    </row>
    <row r="884" spans="1:23">
      <c r="A884" s="27" t="s">
        <v>98</v>
      </c>
      <c r="B884" t="s">
        <v>109</v>
      </c>
      <c r="C884" s="14"/>
      <c r="D884" s="14"/>
      <c r="E884" s="14"/>
      <c r="F884" s="14"/>
      <c r="G884" s="14"/>
      <c r="H884" s="14"/>
      <c r="I884" s="14"/>
      <c r="J884" s="14"/>
      <c r="K884" s="14"/>
      <c r="L884" s="14"/>
      <c r="M884" s="14"/>
      <c r="N884" s="14"/>
      <c r="O884" s="14"/>
      <c r="P884" s="14"/>
      <c r="Q884" s="14"/>
      <c r="R884" s="14"/>
      <c r="S884" s="14"/>
      <c r="T884" s="14"/>
      <c r="U884" s="14"/>
      <c r="V884" s="14"/>
      <c r="W884" s="14"/>
    </row>
    <row r="885" spans="1:23">
      <c r="A885" s="27" t="s">
        <v>100</v>
      </c>
      <c r="B885" t="s">
        <v>60</v>
      </c>
      <c r="C885" s="14"/>
      <c r="D885" s="14"/>
      <c r="E885" s="14"/>
      <c r="F885" s="14"/>
      <c r="G885" s="14"/>
      <c r="H885" s="14"/>
      <c r="I885" s="14"/>
      <c r="J885" s="14"/>
      <c r="K885" s="14"/>
      <c r="L885" s="14"/>
      <c r="M885" s="14"/>
      <c r="N885" s="14"/>
      <c r="O885" s="14"/>
      <c r="P885" s="14"/>
      <c r="Q885" s="14"/>
      <c r="R885" s="14"/>
      <c r="S885" s="14"/>
      <c r="T885" s="14"/>
      <c r="U885" s="14"/>
      <c r="V885" s="14"/>
      <c r="W885" s="14"/>
    </row>
    <row r="886" ht="15.6" spans="1:1">
      <c r="A886" s="5" t="s">
        <v>110</v>
      </c>
    </row>
    <row r="887" spans="1:23">
      <c r="A887" s="27" t="s">
        <v>96</v>
      </c>
      <c r="B887" t="s">
        <v>60</v>
      </c>
      <c r="C887" s="14"/>
      <c r="D887" s="14"/>
      <c r="E887" s="14"/>
      <c r="F887" s="14"/>
      <c r="G887" s="14"/>
      <c r="H887" s="14"/>
      <c r="I887" s="14"/>
      <c r="J887" s="14"/>
      <c r="K887" s="14"/>
      <c r="L887" s="14"/>
      <c r="M887" s="14"/>
      <c r="N887" s="14"/>
      <c r="O887" s="14"/>
      <c r="P887" s="14"/>
      <c r="Q887" s="14"/>
      <c r="R887" s="14"/>
      <c r="S887" s="14"/>
      <c r="T887" s="14"/>
      <c r="U887" s="14"/>
      <c r="V887" s="14"/>
      <c r="W887" s="14"/>
    </row>
    <row r="888" spans="1:23">
      <c r="A888" s="27" t="s">
        <v>98</v>
      </c>
      <c r="B888" t="s">
        <v>60</v>
      </c>
      <c r="C888" s="14"/>
      <c r="D888" s="14"/>
      <c r="E888" s="14"/>
      <c r="F888" s="14"/>
      <c r="G888" s="14"/>
      <c r="H888" s="14"/>
      <c r="I888" s="14"/>
      <c r="J888" s="14"/>
      <c r="K888" s="14"/>
      <c r="L888" s="14"/>
      <c r="M888" s="14"/>
      <c r="N888" s="14"/>
      <c r="O888" s="14"/>
      <c r="P888" s="14"/>
      <c r="Q888" s="14"/>
      <c r="R888" s="14"/>
      <c r="S888" s="14"/>
      <c r="T888" s="14"/>
      <c r="U888" s="14"/>
      <c r="V888" s="14"/>
      <c r="W888" s="14"/>
    </row>
    <row r="889" spans="1:23">
      <c r="A889" s="27" t="s">
        <v>100</v>
      </c>
      <c r="B889" t="s">
        <v>60</v>
      </c>
      <c r="C889" s="39"/>
      <c r="D889" s="39"/>
      <c r="E889" s="39"/>
      <c r="F889" s="39"/>
      <c r="G889" s="39"/>
      <c r="H889" s="39"/>
      <c r="I889" s="39"/>
      <c r="J889" s="39"/>
      <c r="K889" s="39"/>
      <c r="L889" s="39"/>
      <c r="M889" s="39"/>
      <c r="N889" s="39"/>
      <c r="O889" s="39"/>
      <c r="P889" s="39"/>
      <c r="Q889" s="39"/>
      <c r="R889" s="39"/>
      <c r="S889" s="39"/>
      <c r="T889" s="39"/>
      <c r="U889" s="39"/>
      <c r="V889" s="39"/>
      <c r="W889" s="39"/>
    </row>
    <row r="890" ht="15.6" spans="1:1">
      <c r="A890" s="5" t="s">
        <v>105</v>
      </c>
    </row>
    <row r="891" spans="1:23">
      <c r="A891" s="27" t="s">
        <v>96</v>
      </c>
      <c r="B891" t="s">
        <v>60</v>
      </c>
      <c r="C891" s="50"/>
      <c r="D891" s="50"/>
      <c r="E891" s="50"/>
      <c r="F891" s="50"/>
      <c r="G891" s="50"/>
      <c r="H891" s="50"/>
      <c r="I891" s="50"/>
      <c r="J891" s="50"/>
      <c r="K891" s="50"/>
      <c r="L891" s="50"/>
      <c r="M891" s="50"/>
      <c r="N891" s="50"/>
      <c r="O891" s="50"/>
      <c r="P891" s="50"/>
      <c r="Q891" s="50"/>
      <c r="R891" s="50"/>
      <c r="S891" s="50"/>
      <c r="T891" s="50"/>
      <c r="U891" s="50"/>
      <c r="V891" s="50"/>
      <c r="W891" s="50"/>
    </row>
    <row r="892" spans="1:23">
      <c r="A892" s="27" t="s">
        <v>98</v>
      </c>
      <c r="B892" t="s">
        <v>60</v>
      </c>
      <c r="C892" s="50"/>
      <c r="D892" s="50"/>
      <c r="E892" s="50"/>
      <c r="F892" s="50"/>
      <c r="G892" s="50"/>
      <c r="H892" s="50"/>
      <c r="I892" s="50"/>
      <c r="J892" s="50"/>
      <c r="K892" s="50"/>
      <c r="L892" s="50"/>
      <c r="M892" s="50"/>
      <c r="N892" s="50"/>
      <c r="O892" s="50"/>
      <c r="P892" s="50"/>
      <c r="Q892" s="50"/>
      <c r="R892" s="50"/>
      <c r="S892" s="50"/>
      <c r="T892" s="50"/>
      <c r="U892" s="50"/>
      <c r="V892" s="50"/>
      <c r="W892" s="50"/>
    </row>
    <row r="893" spans="1:23">
      <c r="A893" s="27" t="s">
        <v>100</v>
      </c>
      <c r="B893" t="s">
        <v>60</v>
      </c>
      <c r="C893" s="50"/>
      <c r="D893" s="50"/>
      <c r="E893" s="50"/>
      <c r="F893" s="50"/>
      <c r="G893" s="50"/>
      <c r="H893" s="50"/>
      <c r="I893" s="50"/>
      <c r="J893" s="50"/>
      <c r="K893" s="50"/>
      <c r="L893" s="50"/>
      <c r="M893" s="50"/>
      <c r="N893" s="50"/>
      <c r="O893" s="50"/>
      <c r="P893" s="50"/>
      <c r="Q893" s="50"/>
      <c r="R893" s="50"/>
      <c r="S893" s="50"/>
      <c r="T893" s="50"/>
      <c r="U893" s="50"/>
      <c r="V893" s="50"/>
      <c r="W893" s="50"/>
    </row>
    <row r="894" spans="1:23">
      <c r="A894" s="31" t="s">
        <v>107</v>
      </c>
      <c r="B894" s="32" t="s">
        <v>60</v>
      </c>
      <c r="C894" s="33"/>
      <c r="D894" s="33"/>
      <c r="E894" s="33"/>
      <c r="F894" s="33"/>
      <c r="G894" s="33"/>
      <c r="H894" s="33"/>
      <c r="I894" s="33"/>
      <c r="J894" s="33"/>
      <c r="K894" s="33"/>
      <c r="L894" s="33"/>
      <c r="M894" s="33"/>
      <c r="N894" s="33"/>
      <c r="O894" s="33"/>
      <c r="P894" s="33"/>
      <c r="Q894" s="33"/>
      <c r="R894" s="33"/>
      <c r="S894" s="33"/>
      <c r="T894" s="33"/>
      <c r="U894" s="33"/>
      <c r="V894" s="33"/>
      <c r="W894" s="33"/>
    </row>
    <row r="895" ht="15.6" spans="1:23">
      <c r="A895" s="25" t="s">
        <v>94</v>
      </c>
      <c r="C895" s="12"/>
      <c r="D895" s="12"/>
      <c r="E895" s="12"/>
      <c r="F895" s="12"/>
      <c r="G895" s="12"/>
      <c r="H895" s="12"/>
      <c r="I895" s="12"/>
      <c r="J895" s="12"/>
      <c r="K895" s="12"/>
      <c r="L895" s="12"/>
      <c r="M895" s="12"/>
      <c r="N895" s="12"/>
      <c r="O895" s="12"/>
      <c r="P895" s="12"/>
      <c r="Q895" s="12"/>
      <c r="R895" s="12"/>
      <c r="S895" s="12"/>
      <c r="T895" s="12"/>
      <c r="U895" s="12"/>
      <c r="V895" s="12"/>
      <c r="W895" s="12"/>
    </row>
    <row r="896" ht="15.6" spans="1:23">
      <c r="A896" s="25" t="s">
        <v>113</v>
      </c>
      <c r="B896" t="s">
        <v>114</v>
      </c>
      <c r="C896" s="40">
        <v>100</v>
      </c>
      <c r="D896" s="40">
        <v>35</v>
      </c>
      <c r="E896" s="40">
        <v>35</v>
      </c>
      <c r="F896" s="40">
        <v>35</v>
      </c>
      <c r="G896" s="40">
        <v>35</v>
      </c>
      <c r="H896" s="40">
        <v>35</v>
      </c>
      <c r="I896" s="40">
        <v>35</v>
      </c>
      <c r="J896" s="40">
        <v>35</v>
      </c>
      <c r="K896" s="40">
        <v>35</v>
      </c>
      <c r="L896" s="40">
        <v>35</v>
      </c>
      <c r="M896" s="40">
        <v>35</v>
      </c>
      <c r="N896" s="40">
        <v>35</v>
      </c>
      <c r="O896" s="40">
        <v>35</v>
      </c>
      <c r="P896" s="40">
        <v>35</v>
      </c>
      <c r="Q896" s="40">
        <v>35</v>
      </c>
      <c r="R896" s="40">
        <v>35</v>
      </c>
      <c r="S896" s="40">
        <v>35</v>
      </c>
      <c r="T896" s="40">
        <v>35</v>
      </c>
      <c r="U896" s="40">
        <v>35</v>
      </c>
      <c r="V896" s="40">
        <v>35</v>
      </c>
      <c r="W896" s="40">
        <v>35</v>
      </c>
    </row>
    <row r="897" ht="15.6" spans="1:23">
      <c r="A897" s="25" t="s">
        <v>115</v>
      </c>
      <c r="B897" t="s">
        <v>116</v>
      </c>
      <c r="C897" s="57">
        <v>3</v>
      </c>
      <c r="D897" s="57">
        <v>5</v>
      </c>
      <c r="E897" s="57">
        <v>5</v>
      </c>
      <c r="F897" s="57">
        <v>5</v>
      </c>
      <c r="G897" s="57">
        <v>5</v>
      </c>
      <c r="H897" s="57">
        <v>5</v>
      </c>
      <c r="I897" s="57">
        <v>5</v>
      </c>
      <c r="J897" s="57">
        <v>5</v>
      </c>
      <c r="K897" s="57">
        <v>5</v>
      </c>
      <c r="L897" s="57">
        <v>5</v>
      </c>
      <c r="M897" s="57">
        <v>5</v>
      </c>
      <c r="N897" s="57">
        <v>4</v>
      </c>
      <c r="O897" s="57">
        <v>4</v>
      </c>
      <c r="P897" s="57">
        <v>4</v>
      </c>
      <c r="Q897" s="57">
        <v>4</v>
      </c>
      <c r="R897" s="57">
        <v>5</v>
      </c>
      <c r="S897" s="57">
        <v>5</v>
      </c>
      <c r="T897" s="57">
        <v>4</v>
      </c>
      <c r="U897" s="57">
        <v>5</v>
      </c>
      <c r="V897" s="57">
        <v>5</v>
      </c>
      <c r="W897" s="57">
        <v>5</v>
      </c>
    </row>
    <row r="898" ht="15.6" spans="1:1">
      <c r="A898" s="5" t="s">
        <v>95</v>
      </c>
    </row>
    <row r="899" ht="15.6" spans="1:23">
      <c r="A899" s="27" t="s">
        <v>117</v>
      </c>
      <c r="B899" t="s">
        <v>118</v>
      </c>
      <c r="C899" s="42">
        <v>45</v>
      </c>
      <c r="D899" s="42">
        <v>45</v>
      </c>
      <c r="E899" s="42">
        <v>45</v>
      </c>
      <c r="F899" s="42">
        <v>45</v>
      </c>
      <c r="G899" s="42">
        <v>45</v>
      </c>
      <c r="H899" s="42">
        <v>45</v>
      </c>
      <c r="I899" s="42">
        <v>45</v>
      </c>
      <c r="J899" s="42">
        <v>45</v>
      </c>
      <c r="K899" s="42">
        <v>45</v>
      </c>
      <c r="L899" s="42">
        <v>45</v>
      </c>
      <c r="M899" s="42">
        <v>45</v>
      </c>
      <c r="N899" s="42">
        <v>45</v>
      </c>
      <c r="O899" s="42">
        <v>45</v>
      </c>
      <c r="P899" s="42">
        <v>45</v>
      </c>
      <c r="Q899" s="42">
        <v>45</v>
      </c>
      <c r="R899" s="42">
        <v>45</v>
      </c>
      <c r="S899" s="42">
        <v>45</v>
      </c>
      <c r="T899" s="42">
        <v>45</v>
      </c>
      <c r="U899" s="42">
        <v>45</v>
      </c>
      <c r="V899" s="42">
        <v>45</v>
      </c>
      <c r="W899" s="42">
        <v>45</v>
      </c>
    </row>
    <row r="900" ht="15.6" spans="1:23">
      <c r="A900" s="27" t="s">
        <v>96</v>
      </c>
      <c r="B900" t="s">
        <v>119</v>
      </c>
      <c r="C900" s="43">
        <v>0.01</v>
      </c>
      <c r="D900" s="43">
        <v>0.01</v>
      </c>
      <c r="E900" s="43">
        <v>0.01</v>
      </c>
      <c r="F900" s="43">
        <v>0.01</v>
      </c>
      <c r="G900" s="43">
        <v>0.01</v>
      </c>
      <c r="H900" s="43">
        <v>0.01</v>
      </c>
      <c r="I900" s="43">
        <v>0.01</v>
      </c>
      <c r="J900" s="43">
        <v>0.01</v>
      </c>
      <c r="K900" s="43">
        <v>0.01</v>
      </c>
      <c r="L900" s="43">
        <v>0.01</v>
      </c>
      <c r="M900" s="43">
        <v>0.01</v>
      </c>
      <c r="N900" s="43">
        <v>0.01</v>
      </c>
      <c r="O900" s="43">
        <v>0.01</v>
      </c>
      <c r="P900" s="43">
        <v>0.01</v>
      </c>
      <c r="Q900" s="43">
        <v>0.01</v>
      </c>
      <c r="R900" s="43">
        <v>0.01</v>
      </c>
      <c r="S900" s="43">
        <v>0.01</v>
      </c>
      <c r="T900" s="43">
        <v>0.01</v>
      </c>
      <c r="U900" s="43">
        <v>0.01</v>
      </c>
      <c r="V900" s="43">
        <v>0.01</v>
      </c>
      <c r="W900" s="43">
        <v>0.01</v>
      </c>
    </row>
    <row r="901" ht="15.6" spans="1:23">
      <c r="A901" s="27" t="s">
        <v>98</v>
      </c>
      <c r="B901" t="s">
        <v>120</v>
      </c>
      <c r="C901" s="43">
        <f t="shared" ref="C901:W901" si="66">1.5*2.7556/2</f>
        <v>2.0667</v>
      </c>
      <c r="D901" s="43">
        <f t="shared" si="66"/>
        <v>2.0667</v>
      </c>
      <c r="E901" s="43">
        <f t="shared" si="66"/>
        <v>2.0667</v>
      </c>
      <c r="F901" s="43">
        <f t="shared" si="66"/>
        <v>2.0667</v>
      </c>
      <c r="G901" s="43">
        <f t="shared" si="66"/>
        <v>2.0667</v>
      </c>
      <c r="H901" s="43">
        <f t="shared" si="66"/>
        <v>2.0667</v>
      </c>
      <c r="I901" s="43">
        <f t="shared" si="66"/>
        <v>2.0667</v>
      </c>
      <c r="J901" s="43">
        <f t="shared" si="66"/>
        <v>2.0667</v>
      </c>
      <c r="K901" s="43">
        <f t="shared" si="66"/>
        <v>2.0667</v>
      </c>
      <c r="L901" s="43">
        <f t="shared" si="66"/>
        <v>2.0667</v>
      </c>
      <c r="M901" s="43">
        <f t="shared" si="66"/>
        <v>2.0667</v>
      </c>
      <c r="N901" s="43">
        <f t="shared" si="66"/>
        <v>2.0667</v>
      </c>
      <c r="O901" s="43">
        <f t="shared" si="66"/>
        <v>2.0667</v>
      </c>
      <c r="P901" s="43">
        <f t="shared" si="66"/>
        <v>2.0667</v>
      </c>
      <c r="Q901" s="43">
        <f t="shared" si="66"/>
        <v>2.0667</v>
      </c>
      <c r="R901" s="43">
        <f t="shared" si="66"/>
        <v>2.0667</v>
      </c>
      <c r="S901" s="43">
        <f t="shared" si="66"/>
        <v>2.0667</v>
      </c>
      <c r="T901" s="43">
        <f t="shared" si="66"/>
        <v>2.0667</v>
      </c>
      <c r="U901" s="43">
        <f t="shared" si="66"/>
        <v>2.0667</v>
      </c>
      <c r="V901" s="43">
        <f t="shared" si="66"/>
        <v>2.0667</v>
      </c>
      <c r="W901" s="43">
        <f t="shared" si="66"/>
        <v>2.0667</v>
      </c>
    </row>
    <row r="902" ht="15.6" spans="1:23">
      <c r="A902" s="27" t="s">
        <v>100</v>
      </c>
      <c r="B902" t="s">
        <v>121</v>
      </c>
      <c r="C902" s="28">
        <v>0.5</v>
      </c>
      <c r="D902" s="28">
        <v>0.5</v>
      </c>
      <c r="E902" s="28">
        <v>0.5</v>
      </c>
      <c r="F902" s="28">
        <v>0.5</v>
      </c>
      <c r="G902" s="28">
        <v>0.5</v>
      </c>
      <c r="H902" s="28">
        <v>0.5</v>
      </c>
      <c r="I902" s="28">
        <v>0.5</v>
      </c>
      <c r="J902" s="28">
        <v>0.5</v>
      </c>
      <c r="K902" s="28">
        <v>0.5</v>
      </c>
      <c r="L902" s="28">
        <v>0.5</v>
      </c>
      <c r="M902" s="28">
        <v>0.5</v>
      </c>
      <c r="N902" s="28">
        <v>0.5</v>
      </c>
      <c r="O902" s="28">
        <v>0.5</v>
      </c>
      <c r="P902" s="28">
        <v>0.5</v>
      </c>
      <c r="Q902" s="28">
        <v>0.5</v>
      </c>
      <c r="R902" s="28">
        <v>0.5</v>
      </c>
      <c r="S902" s="28">
        <v>0.5</v>
      </c>
      <c r="T902" s="28">
        <v>0.5</v>
      </c>
      <c r="U902" s="28">
        <v>0.5</v>
      </c>
      <c r="V902" s="28">
        <v>0.5</v>
      </c>
      <c r="W902" s="28">
        <v>0.5</v>
      </c>
    </row>
    <row r="903" ht="15.6" spans="1:23">
      <c r="A903" s="27" t="s">
        <v>122</v>
      </c>
      <c r="B903" t="s">
        <v>45</v>
      </c>
      <c r="C903" s="44"/>
      <c r="D903" s="44"/>
      <c r="E903" s="44"/>
      <c r="F903" s="44"/>
      <c r="G903" s="44"/>
      <c r="H903" s="44"/>
      <c r="I903" s="44"/>
      <c r="J903" s="44"/>
      <c r="K903" s="44"/>
      <c r="L903" s="44"/>
      <c r="M903" s="44"/>
      <c r="N903" s="44"/>
      <c r="O903" s="44"/>
      <c r="P903" s="44"/>
      <c r="Q903" s="44"/>
      <c r="R903" s="44"/>
      <c r="S903" s="44"/>
      <c r="T903" s="44"/>
      <c r="U903" s="44"/>
      <c r="V903" s="44"/>
      <c r="W903" s="44"/>
    </row>
    <row r="904" ht="15.6" spans="1:23">
      <c r="A904" s="27" t="s">
        <v>123</v>
      </c>
      <c r="B904" s="9" t="s">
        <v>51</v>
      </c>
      <c r="C904" s="44"/>
      <c r="D904" s="44"/>
      <c r="E904" s="44"/>
      <c r="F904" s="44"/>
      <c r="G904" s="44"/>
      <c r="H904" s="44"/>
      <c r="I904" s="44"/>
      <c r="J904" s="44"/>
      <c r="K904" s="44"/>
      <c r="L904" s="44"/>
      <c r="M904" s="44"/>
      <c r="N904" s="44"/>
      <c r="O904" s="44"/>
      <c r="P904" s="44"/>
      <c r="Q904" s="44"/>
      <c r="R904" s="44"/>
      <c r="S904" s="44"/>
      <c r="T904" s="44"/>
      <c r="U904" s="44"/>
      <c r="V904" s="44"/>
      <c r="W904" s="44"/>
    </row>
    <row r="905" ht="15.6" spans="1:23">
      <c r="A905" s="27" t="s">
        <v>124</v>
      </c>
      <c r="B905" s="9" t="s">
        <v>51</v>
      </c>
      <c r="C905" s="44"/>
      <c r="D905" s="44"/>
      <c r="E905" s="44"/>
      <c r="F905" s="44"/>
      <c r="G905" s="44"/>
      <c r="H905" s="44"/>
      <c r="I905" s="44"/>
      <c r="J905" s="44"/>
      <c r="K905" s="44"/>
      <c r="L905" s="44"/>
      <c r="M905" s="44"/>
      <c r="N905" s="44"/>
      <c r="O905" s="44"/>
      <c r="P905" s="44"/>
      <c r="Q905" s="44"/>
      <c r="R905" s="44"/>
      <c r="S905" s="44"/>
      <c r="T905" s="44"/>
      <c r="U905" s="44"/>
      <c r="V905" s="44"/>
      <c r="W905" s="44"/>
    </row>
    <row r="906" ht="15.6" spans="1:1">
      <c r="A906" s="5" t="s">
        <v>102</v>
      </c>
    </row>
    <row r="907" spans="1:23">
      <c r="A907" s="27" t="s">
        <v>96</v>
      </c>
      <c r="B907" t="s">
        <v>119</v>
      </c>
      <c r="C907" s="45"/>
      <c r="D907" s="45"/>
      <c r="E907" s="45"/>
      <c r="F907" s="45"/>
      <c r="G907" s="45"/>
      <c r="H907" s="45"/>
      <c r="I907" s="45"/>
      <c r="J907" s="45"/>
      <c r="K907" s="45"/>
      <c r="L907" s="45"/>
      <c r="M907" s="45"/>
      <c r="N907" s="45"/>
      <c r="O907" s="45"/>
      <c r="P907" s="45"/>
      <c r="Q907" s="45"/>
      <c r="R907" s="45"/>
      <c r="S907" s="45"/>
      <c r="T907" s="45"/>
      <c r="U907" s="45"/>
      <c r="V907" s="45"/>
      <c r="W907" s="45"/>
    </row>
    <row r="908" spans="1:23">
      <c r="A908" s="27" t="s">
        <v>98</v>
      </c>
      <c r="B908" t="s">
        <v>120</v>
      </c>
      <c r="C908" s="45"/>
      <c r="D908" s="45"/>
      <c r="E908" s="45"/>
      <c r="F908" s="45"/>
      <c r="G908" s="45"/>
      <c r="H908" s="45"/>
      <c r="I908" s="45"/>
      <c r="J908" s="45"/>
      <c r="K908" s="45"/>
      <c r="L908" s="45"/>
      <c r="M908" s="45"/>
      <c r="N908" s="45"/>
      <c r="O908" s="45"/>
      <c r="P908" s="45"/>
      <c r="Q908" s="45"/>
      <c r="R908" s="45"/>
      <c r="S908" s="45"/>
      <c r="T908" s="45"/>
      <c r="U908" s="45"/>
      <c r="V908" s="45"/>
      <c r="W908" s="45"/>
    </row>
    <row r="909" spans="1:23">
      <c r="A909" s="27" t="s">
        <v>100</v>
      </c>
      <c r="B909" t="s">
        <v>121</v>
      </c>
      <c r="C909" s="45"/>
      <c r="D909" s="45"/>
      <c r="E909" s="45"/>
      <c r="F909" s="45"/>
      <c r="G909" s="45"/>
      <c r="H909" s="45"/>
      <c r="I909" s="45"/>
      <c r="J909" s="45"/>
      <c r="K909" s="45"/>
      <c r="L909" s="45"/>
      <c r="M909" s="45"/>
      <c r="N909" s="45"/>
      <c r="O909" s="45"/>
      <c r="P909" s="45"/>
      <c r="Q909" s="45"/>
      <c r="R909" s="45"/>
      <c r="S909" s="45"/>
      <c r="T909" s="45"/>
      <c r="U909" s="45"/>
      <c r="V909" s="45"/>
      <c r="W909" s="45"/>
    </row>
    <row r="910" ht="15.6" spans="1:1">
      <c r="A910" s="5" t="s">
        <v>125</v>
      </c>
    </row>
    <row r="911" spans="1:23">
      <c r="A911" s="27" t="s">
        <v>96</v>
      </c>
      <c r="B911" t="s">
        <v>119</v>
      </c>
      <c r="C911" s="45"/>
      <c r="D911" s="45"/>
      <c r="E911" s="45"/>
      <c r="F911" s="45"/>
      <c r="G911" s="45"/>
      <c r="H911" s="45"/>
      <c r="I911" s="45"/>
      <c r="J911" s="45"/>
      <c r="K911" s="45"/>
      <c r="L911" s="45"/>
      <c r="M911" s="45"/>
      <c r="N911" s="45"/>
      <c r="O911" s="45"/>
      <c r="P911" s="45"/>
      <c r="Q911" s="45"/>
      <c r="R911" s="45"/>
      <c r="S911" s="45"/>
      <c r="T911" s="45"/>
      <c r="U911" s="45"/>
      <c r="V911" s="45"/>
      <c r="W911" s="45"/>
    </row>
    <row r="912" spans="1:23">
      <c r="A912" s="27" t="s">
        <v>98</v>
      </c>
      <c r="B912" t="s">
        <v>126</v>
      </c>
      <c r="C912" s="45"/>
      <c r="D912" s="45"/>
      <c r="E912" s="45"/>
      <c r="F912" s="45"/>
      <c r="G912" s="45"/>
      <c r="H912" s="45"/>
      <c r="I912" s="45"/>
      <c r="J912" s="45"/>
      <c r="K912" s="45"/>
      <c r="L912" s="45"/>
      <c r="M912" s="45"/>
      <c r="N912" s="45"/>
      <c r="O912" s="45"/>
      <c r="P912" s="45"/>
      <c r="Q912" s="45"/>
      <c r="R912" s="45"/>
      <c r="S912" s="45"/>
      <c r="T912" s="45"/>
      <c r="U912" s="45"/>
      <c r="V912" s="45"/>
      <c r="W912" s="45"/>
    </row>
    <row r="913" spans="1:23">
      <c r="A913" s="27" t="s">
        <v>100</v>
      </c>
      <c r="B913" t="s">
        <v>121</v>
      </c>
      <c r="C913" s="45"/>
      <c r="D913" s="45"/>
      <c r="E913" s="45"/>
      <c r="F913" s="45"/>
      <c r="G913" s="45"/>
      <c r="H913" s="45"/>
      <c r="I913" s="45"/>
      <c r="J913" s="45"/>
      <c r="K913" s="45"/>
      <c r="L913" s="45"/>
      <c r="M913" s="45"/>
      <c r="N913" s="45"/>
      <c r="O913" s="45"/>
      <c r="P913" s="45"/>
      <c r="Q913" s="45"/>
      <c r="R913" s="45"/>
      <c r="S913" s="45"/>
      <c r="T913" s="45"/>
      <c r="U913" s="45"/>
      <c r="V913" s="45"/>
      <c r="W913" s="45"/>
    </row>
    <row r="914" ht="15.6" spans="1:1">
      <c r="A914" s="5" t="s">
        <v>127</v>
      </c>
    </row>
    <row r="915" spans="1:23">
      <c r="A915" s="27" t="s">
        <v>96</v>
      </c>
      <c r="B915" t="s">
        <v>60</v>
      </c>
      <c r="C915" s="45"/>
      <c r="D915" s="45"/>
      <c r="E915" s="45"/>
      <c r="F915" s="45"/>
      <c r="G915" s="45"/>
      <c r="H915" s="45"/>
      <c r="I915" s="45"/>
      <c r="J915" s="45"/>
      <c r="K915" s="45"/>
      <c r="L915" s="45"/>
      <c r="M915" s="45"/>
      <c r="N915" s="45"/>
      <c r="O915" s="45"/>
      <c r="P915" s="45"/>
      <c r="Q915" s="45"/>
      <c r="R915" s="45"/>
      <c r="S915" s="45"/>
      <c r="T915" s="45"/>
      <c r="U915" s="45"/>
      <c r="V915" s="45"/>
      <c r="W915" s="45"/>
    </row>
    <row r="916" spans="1:23">
      <c r="A916" s="27" t="s">
        <v>98</v>
      </c>
      <c r="B916" t="s">
        <v>60</v>
      </c>
      <c r="C916" s="45"/>
      <c r="D916" s="45"/>
      <c r="E916" s="45"/>
      <c r="F916" s="45"/>
      <c r="G916" s="45"/>
      <c r="H916" s="45"/>
      <c r="I916" s="45"/>
      <c r="J916" s="45"/>
      <c r="K916" s="45"/>
      <c r="L916" s="45"/>
      <c r="M916" s="45"/>
      <c r="N916" s="45"/>
      <c r="O916" s="45"/>
      <c r="P916" s="45"/>
      <c r="Q916" s="45"/>
      <c r="R916" s="45"/>
      <c r="S916" s="45"/>
      <c r="T916" s="45"/>
      <c r="U916" s="45"/>
      <c r="V916" s="45"/>
      <c r="W916" s="45"/>
    </row>
    <row r="917" spans="1:23">
      <c r="A917" s="27" t="s">
        <v>100</v>
      </c>
      <c r="B917" t="s">
        <v>60</v>
      </c>
      <c r="C917" s="46"/>
      <c r="D917" s="46"/>
      <c r="E917" s="46"/>
      <c r="F917" s="46"/>
      <c r="G917" s="46"/>
      <c r="H917" s="46"/>
      <c r="I917" s="46"/>
      <c r="J917" s="46"/>
      <c r="K917" s="46"/>
      <c r="L917" s="46"/>
      <c r="M917" s="46"/>
      <c r="N917" s="46"/>
      <c r="O917" s="46"/>
      <c r="P917" s="46"/>
      <c r="Q917" s="46"/>
      <c r="R917" s="46"/>
      <c r="S917" s="46"/>
      <c r="T917" s="46"/>
      <c r="U917" s="46"/>
      <c r="V917" s="46"/>
      <c r="W917" s="46"/>
    </row>
    <row r="918" ht="15.6" spans="1:1">
      <c r="A918" s="5" t="s">
        <v>105</v>
      </c>
    </row>
    <row r="919" spans="1:23">
      <c r="A919" s="27" t="s">
        <v>96</v>
      </c>
      <c r="B919" t="s">
        <v>60</v>
      </c>
      <c r="C919" s="50"/>
      <c r="D919" s="50"/>
      <c r="E919" s="50"/>
      <c r="F919" s="50"/>
      <c r="G919" s="50"/>
      <c r="H919" s="50"/>
      <c r="I919" s="50"/>
      <c r="J919" s="50"/>
      <c r="K919" s="50"/>
      <c r="L919" s="50"/>
      <c r="M919" s="50"/>
      <c r="N919" s="50"/>
      <c r="O919" s="50"/>
      <c r="P919" s="50"/>
      <c r="Q919" s="50"/>
      <c r="R919" s="50"/>
      <c r="S919" s="50"/>
      <c r="T919" s="50"/>
      <c r="U919" s="50"/>
      <c r="V919" s="50"/>
      <c r="W919" s="50"/>
    </row>
    <row r="920" spans="1:23">
      <c r="A920" s="27" t="s">
        <v>98</v>
      </c>
      <c r="B920" t="s">
        <v>60</v>
      </c>
      <c r="C920" s="50"/>
      <c r="D920" s="50"/>
      <c r="E920" s="50"/>
      <c r="F920" s="50"/>
      <c r="G920" s="50"/>
      <c r="H920" s="50"/>
      <c r="I920" s="50"/>
      <c r="J920" s="50"/>
      <c r="K920" s="50"/>
      <c r="L920" s="50"/>
      <c r="M920" s="50"/>
      <c r="N920" s="50"/>
      <c r="O920" s="50"/>
      <c r="P920" s="50"/>
      <c r="Q920" s="50"/>
      <c r="R920" s="50"/>
      <c r="S920" s="50"/>
      <c r="T920" s="50"/>
      <c r="U920" s="50"/>
      <c r="V920" s="50"/>
      <c r="W920" s="50"/>
    </row>
    <row r="921" spans="1:23">
      <c r="A921" s="27" t="s">
        <v>100</v>
      </c>
      <c r="B921" t="s">
        <v>60</v>
      </c>
      <c r="C921" s="50"/>
      <c r="D921" s="50"/>
      <c r="E921" s="50"/>
      <c r="F921" s="50"/>
      <c r="G921" s="50"/>
      <c r="H921" s="50"/>
      <c r="I921" s="50"/>
      <c r="J921" s="50"/>
      <c r="K921" s="50"/>
      <c r="L921" s="50"/>
      <c r="M921" s="50"/>
      <c r="N921" s="50"/>
      <c r="O921" s="50"/>
      <c r="P921" s="50"/>
      <c r="Q921" s="50"/>
      <c r="R921" s="50"/>
      <c r="S921" s="50"/>
      <c r="T921" s="50"/>
      <c r="U921" s="50"/>
      <c r="V921" s="50"/>
      <c r="W921" s="50"/>
    </row>
    <row r="922" spans="1:23">
      <c r="A922" s="31" t="s">
        <v>107</v>
      </c>
      <c r="B922" s="32" t="s">
        <v>60</v>
      </c>
      <c r="C922" s="33"/>
      <c r="D922" s="33"/>
      <c r="E922" s="33"/>
      <c r="F922" s="33"/>
      <c r="G922" s="33"/>
      <c r="H922" s="33"/>
      <c r="I922" s="33"/>
      <c r="J922" s="33"/>
      <c r="K922" s="33"/>
      <c r="L922" s="33"/>
      <c r="M922" s="33"/>
      <c r="N922" s="33"/>
      <c r="O922" s="33"/>
      <c r="P922" s="33"/>
      <c r="Q922" s="33"/>
      <c r="R922" s="33"/>
      <c r="S922" s="33"/>
      <c r="T922" s="33"/>
      <c r="U922" s="33"/>
      <c r="V922" s="33"/>
      <c r="W922" s="33"/>
    </row>
    <row r="923" ht="15.6" spans="1:1">
      <c r="A923" s="5" t="s">
        <v>131</v>
      </c>
    </row>
    <row r="924" spans="1:23">
      <c r="A924" s="27" t="s">
        <v>96</v>
      </c>
      <c r="B924" t="s">
        <v>60</v>
      </c>
      <c r="C924" s="14"/>
      <c r="D924" s="14"/>
      <c r="E924" s="14"/>
      <c r="F924" s="14"/>
      <c r="G924" s="14"/>
      <c r="H924" s="14"/>
      <c r="I924" s="14"/>
      <c r="J924" s="14"/>
      <c r="K924" s="14"/>
      <c r="L924" s="14"/>
      <c r="M924" s="14"/>
      <c r="N924" s="14"/>
      <c r="O924" s="14"/>
      <c r="P924" s="14"/>
      <c r="Q924" s="14"/>
      <c r="R924" s="14"/>
      <c r="S924" s="14"/>
      <c r="T924" s="14"/>
      <c r="U924" s="14"/>
      <c r="V924" s="14"/>
      <c r="W924" s="14"/>
    </row>
    <row r="925" spans="1:23">
      <c r="A925" s="27" t="s">
        <v>98</v>
      </c>
      <c r="B925" t="s">
        <v>60</v>
      </c>
      <c r="C925" s="14"/>
      <c r="D925" s="14"/>
      <c r="E925" s="14"/>
      <c r="F925" s="14"/>
      <c r="G925" s="14"/>
      <c r="H925" s="14"/>
      <c r="I925" s="14"/>
      <c r="J925" s="14"/>
      <c r="K925" s="14"/>
      <c r="L925" s="14"/>
      <c r="M925" s="14"/>
      <c r="N925" s="14"/>
      <c r="O925" s="14"/>
      <c r="P925" s="14"/>
      <c r="Q925" s="14"/>
      <c r="R925" s="14"/>
      <c r="S925" s="14"/>
      <c r="T925" s="14"/>
      <c r="U925" s="14"/>
      <c r="V925" s="14"/>
      <c r="W925" s="14"/>
    </row>
    <row r="926" spans="1:23">
      <c r="A926" s="27" t="s">
        <v>100</v>
      </c>
      <c r="B926" t="s">
        <v>60</v>
      </c>
      <c r="C926" s="14"/>
      <c r="D926" s="14"/>
      <c r="E926" s="14"/>
      <c r="F926" s="14"/>
      <c r="G926" s="14"/>
      <c r="H926" s="14"/>
      <c r="I926" s="14"/>
      <c r="J926" s="14"/>
      <c r="K926" s="14"/>
      <c r="L926" s="14"/>
      <c r="M926" s="14"/>
      <c r="N926" s="14"/>
      <c r="O926" s="14"/>
      <c r="P926" s="14"/>
      <c r="Q926" s="14"/>
      <c r="R926" s="14"/>
      <c r="S926" s="14"/>
      <c r="T926" s="14"/>
      <c r="U926" s="14"/>
      <c r="V926" s="14"/>
      <c r="W926" s="14"/>
    </row>
    <row r="927" spans="1:23">
      <c r="A927" s="31" t="s">
        <v>107</v>
      </c>
      <c r="B927" s="32" t="s">
        <v>60</v>
      </c>
      <c r="C927" s="33"/>
      <c r="D927" s="33"/>
      <c r="E927" s="33"/>
      <c r="F927" s="33"/>
      <c r="G927" s="33"/>
      <c r="H927" s="33"/>
      <c r="I927" s="33"/>
      <c r="J927" s="33"/>
      <c r="K927" s="33"/>
      <c r="L927" s="33"/>
      <c r="M927" s="33"/>
      <c r="N927" s="33"/>
      <c r="O927" s="33"/>
      <c r="P927" s="33"/>
      <c r="Q927" s="33"/>
      <c r="R927" s="33"/>
      <c r="S927" s="33"/>
      <c r="T927" s="33"/>
      <c r="U927" s="33"/>
      <c r="V927" s="33"/>
      <c r="W927" s="33"/>
    </row>
    <row r="928" ht="15.6" spans="1:23">
      <c r="A928" s="25" t="s">
        <v>94</v>
      </c>
      <c r="C928" s="10">
        <v>0</v>
      </c>
      <c r="D928" s="10">
        <v>0</v>
      </c>
      <c r="E928" s="10">
        <v>0</v>
      </c>
      <c r="F928" s="10">
        <v>0</v>
      </c>
      <c r="G928" s="10">
        <v>0</v>
      </c>
      <c r="H928" s="10">
        <v>0</v>
      </c>
      <c r="I928" s="10">
        <v>1</v>
      </c>
      <c r="J928" s="10">
        <v>1</v>
      </c>
      <c r="K928" s="10">
        <v>1</v>
      </c>
      <c r="L928" s="10">
        <v>1</v>
      </c>
      <c r="M928" s="10">
        <v>1</v>
      </c>
      <c r="N928" s="10">
        <v>1</v>
      </c>
      <c r="O928" s="10">
        <v>1</v>
      </c>
      <c r="P928" s="10">
        <v>1</v>
      </c>
      <c r="Q928" s="10">
        <v>1</v>
      </c>
      <c r="R928" s="10">
        <v>0</v>
      </c>
      <c r="S928" s="10">
        <v>0</v>
      </c>
      <c r="T928" s="10">
        <v>1</v>
      </c>
      <c r="U928" s="10">
        <v>1</v>
      </c>
      <c r="V928" s="10">
        <v>0</v>
      </c>
      <c r="W928" s="10">
        <v>0</v>
      </c>
    </row>
    <row r="929" ht="15.6" spans="1:23">
      <c r="A929" s="25" t="s">
        <v>111</v>
      </c>
      <c r="B929" t="s">
        <v>112</v>
      </c>
      <c r="C929" s="40">
        <v>3000</v>
      </c>
      <c r="D929" s="40">
        <v>3000</v>
      </c>
      <c r="E929" s="40">
        <v>3000</v>
      </c>
      <c r="F929" s="40">
        <v>3000</v>
      </c>
      <c r="G929" s="40">
        <v>3000</v>
      </c>
      <c r="H929" s="40">
        <v>1600</v>
      </c>
      <c r="I929" s="40">
        <v>1600</v>
      </c>
      <c r="J929" s="40">
        <v>1600</v>
      </c>
      <c r="K929" s="40">
        <v>1600</v>
      </c>
      <c r="L929" s="40">
        <v>1600</v>
      </c>
      <c r="M929" s="40">
        <v>1600</v>
      </c>
      <c r="N929" s="40">
        <v>1600</v>
      </c>
      <c r="O929" s="40">
        <v>1600</v>
      </c>
      <c r="P929" s="40">
        <v>1600</v>
      </c>
      <c r="Q929" s="40">
        <v>1600</v>
      </c>
      <c r="R929" s="40">
        <v>1600</v>
      </c>
      <c r="S929" s="40">
        <v>1600</v>
      </c>
      <c r="T929" s="40">
        <v>1600</v>
      </c>
      <c r="U929" s="40">
        <v>1600</v>
      </c>
      <c r="V929" s="40">
        <v>1600</v>
      </c>
      <c r="W929" s="40">
        <v>1600</v>
      </c>
    </row>
    <row r="930" ht="15.6" spans="1:1">
      <c r="A930" s="5" t="s">
        <v>95</v>
      </c>
    </row>
    <row r="931" ht="15.6" spans="1:23">
      <c r="A931" s="27" t="s">
        <v>96</v>
      </c>
      <c r="B931" t="s">
        <v>108</v>
      </c>
      <c r="C931" s="28">
        <f t="shared" ref="C931:W931" si="67">15/200</f>
        <v>0.075</v>
      </c>
      <c r="D931" s="28">
        <f t="shared" si="67"/>
        <v>0.075</v>
      </c>
      <c r="E931" s="28">
        <f t="shared" si="67"/>
        <v>0.075</v>
      </c>
      <c r="F931" s="28">
        <f t="shared" si="67"/>
        <v>0.075</v>
      </c>
      <c r="G931" s="28">
        <f t="shared" si="67"/>
        <v>0.075</v>
      </c>
      <c r="H931" s="28">
        <f t="shared" si="67"/>
        <v>0.075</v>
      </c>
      <c r="I931" s="28">
        <f t="shared" si="67"/>
        <v>0.075</v>
      </c>
      <c r="J931" s="28">
        <f t="shared" si="67"/>
        <v>0.075</v>
      </c>
      <c r="K931" s="28">
        <f t="shared" si="67"/>
        <v>0.075</v>
      </c>
      <c r="L931" s="28">
        <f t="shared" si="67"/>
        <v>0.075</v>
      </c>
      <c r="M931" s="28">
        <f t="shared" si="67"/>
        <v>0.075</v>
      </c>
      <c r="N931" s="28">
        <f t="shared" si="67"/>
        <v>0.075</v>
      </c>
      <c r="O931" s="28">
        <f t="shared" si="67"/>
        <v>0.075</v>
      </c>
      <c r="P931" s="28">
        <f t="shared" si="67"/>
        <v>0.075</v>
      </c>
      <c r="Q931" s="28">
        <f t="shared" si="67"/>
        <v>0.075</v>
      </c>
      <c r="R931" s="28">
        <f t="shared" si="67"/>
        <v>0.075</v>
      </c>
      <c r="S931" s="28">
        <f t="shared" si="67"/>
        <v>0.075</v>
      </c>
      <c r="T931" s="28">
        <f t="shared" si="67"/>
        <v>0.075</v>
      </c>
      <c r="U931" s="28">
        <f t="shared" si="67"/>
        <v>0.075</v>
      </c>
      <c r="V931" s="28">
        <f t="shared" si="67"/>
        <v>0.075</v>
      </c>
      <c r="W931" s="28">
        <f t="shared" si="67"/>
        <v>0.075</v>
      </c>
    </row>
    <row r="932" ht="15.6" spans="1:23">
      <c r="A932" s="27" t="s">
        <v>98</v>
      </c>
      <c r="B932" t="s">
        <v>109</v>
      </c>
      <c r="C932" s="28">
        <f t="shared" ref="C932:W932" si="68">1.5/200</f>
        <v>0.0075</v>
      </c>
      <c r="D932" s="28">
        <f t="shared" si="68"/>
        <v>0.0075</v>
      </c>
      <c r="E932" s="28">
        <f t="shared" si="68"/>
        <v>0.0075</v>
      </c>
      <c r="F932" s="28">
        <f t="shared" si="68"/>
        <v>0.0075</v>
      </c>
      <c r="G932" s="28">
        <f t="shared" si="68"/>
        <v>0.0075</v>
      </c>
      <c r="H932" s="28">
        <f t="shared" si="68"/>
        <v>0.0075</v>
      </c>
      <c r="I932" s="28">
        <f t="shared" si="68"/>
        <v>0.0075</v>
      </c>
      <c r="J932" s="28">
        <f t="shared" si="68"/>
        <v>0.0075</v>
      </c>
      <c r="K932" s="28">
        <f t="shared" si="68"/>
        <v>0.0075</v>
      </c>
      <c r="L932" s="28">
        <f t="shared" si="68"/>
        <v>0.0075</v>
      </c>
      <c r="M932" s="28">
        <f t="shared" si="68"/>
        <v>0.0075</v>
      </c>
      <c r="N932" s="28">
        <f t="shared" si="68"/>
        <v>0.0075</v>
      </c>
      <c r="O932" s="28">
        <f t="shared" si="68"/>
        <v>0.0075</v>
      </c>
      <c r="P932" s="28">
        <f t="shared" si="68"/>
        <v>0.0075</v>
      </c>
      <c r="Q932" s="28">
        <f t="shared" si="68"/>
        <v>0.0075</v>
      </c>
      <c r="R932" s="28">
        <f t="shared" si="68"/>
        <v>0.0075</v>
      </c>
      <c r="S932" s="28">
        <f t="shared" si="68"/>
        <v>0.0075</v>
      </c>
      <c r="T932" s="28">
        <f t="shared" si="68"/>
        <v>0.0075</v>
      </c>
      <c r="U932" s="28">
        <f t="shared" si="68"/>
        <v>0.0075</v>
      </c>
      <c r="V932" s="28">
        <f t="shared" si="68"/>
        <v>0.0075</v>
      </c>
      <c r="W932" s="28">
        <f t="shared" si="68"/>
        <v>0.0075</v>
      </c>
    </row>
    <row r="933" ht="15.6" spans="1:23">
      <c r="A933" s="27" t="s">
        <v>100</v>
      </c>
      <c r="B933" t="s">
        <v>60</v>
      </c>
      <c r="C933" s="28">
        <f t="shared" ref="C933:W933" si="69">50/200</f>
        <v>0.25</v>
      </c>
      <c r="D933" s="28">
        <f t="shared" si="69"/>
        <v>0.25</v>
      </c>
      <c r="E933" s="28">
        <f t="shared" si="69"/>
        <v>0.25</v>
      </c>
      <c r="F933" s="28">
        <f t="shared" si="69"/>
        <v>0.25</v>
      </c>
      <c r="G933" s="28">
        <f t="shared" si="69"/>
        <v>0.25</v>
      </c>
      <c r="H933" s="28">
        <f t="shared" si="69"/>
        <v>0.25</v>
      </c>
      <c r="I933" s="28">
        <f t="shared" si="69"/>
        <v>0.25</v>
      </c>
      <c r="J933" s="28">
        <f t="shared" si="69"/>
        <v>0.25</v>
      </c>
      <c r="K933" s="28">
        <f t="shared" si="69"/>
        <v>0.25</v>
      </c>
      <c r="L933" s="28">
        <f t="shared" si="69"/>
        <v>0.25</v>
      </c>
      <c r="M933" s="28">
        <f t="shared" si="69"/>
        <v>0.25</v>
      </c>
      <c r="N933" s="28">
        <f t="shared" si="69"/>
        <v>0.25</v>
      </c>
      <c r="O933" s="28">
        <f t="shared" si="69"/>
        <v>0.25</v>
      </c>
      <c r="P933" s="28">
        <f t="shared" si="69"/>
        <v>0.25</v>
      </c>
      <c r="Q933" s="28">
        <f t="shared" si="69"/>
        <v>0.25</v>
      </c>
      <c r="R933" s="28">
        <f t="shared" si="69"/>
        <v>0.25</v>
      </c>
      <c r="S933" s="28">
        <f t="shared" si="69"/>
        <v>0.25</v>
      </c>
      <c r="T933" s="28">
        <f t="shared" si="69"/>
        <v>0.25</v>
      </c>
      <c r="U933" s="28">
        <f t="shared" si="69"/>
        <v>0.25</v>
      </c>
      <c r="V933" s="28">
        <f t="shared" si="69"/>
        <v>0.25</v>
      </c>
      <c r="W933" s="28">
        <f t="shared" si="69"/>
        <v>0.25</v>
      </c>
    </row>
    <row r="934" ht="15.6" spans="1:1">
      <c r="A934" s="5" t="s">
        <v>102</v>
      </c>
    </row>
    <row r="935" spans="1:23">
      <c r="A935" s="27" t="s">
        <v>96</v>
      </c>
      <c r="B935" t="s">
        <v>108</v>
      </c>
      <c r="C935" s="14"/>
      <c r="D935" s="14"/>
      <c r="E935" s="14"/>
      <c r="F935" s="14"/>
      <c r="G935" s="14"/>
      <c r="H935" s="14"/>
      <c r="I935" s="14"/>
      <c r="J935" s="14"/>
      <c r="K935" s="14"/>
      <c r="L935" s="14"/>
      <c r="M935" s="14"/>
      <c r="N935" s="14"/>
      <c r="O935" s="14"/>
      <c r="P935" s="14"/>
      <c r="Q935" s="14"/>
      <c r="R935" s="14"/>
      <c r="S935" s="14"/>
      <c r="T935" s="14"/>
      <c r="U935" s="14"/>
      <c r="V935" s="14"/>
      <c r="W935" s="14"/>
    </row>
    <row r="936" spans="1:23">
      <c r="A936" s="27" t="s">
        <v>98</v>
      </c>
      <c r="B936" t="s">
        <v>109</v>
      </c>
      <c r="C936" s="14"/>
      <c r="D936" s="14"/>
      <c r="E936" s="14"/>
      <c r="F936" s="14"/>
      <c r="G936" s="14"/>
      <c r="H936" s="14"/>
      <c r="I936" s="14"/>
      <c r="J936" s="14"/>
      <c r="K936" s="14"/>
      <c r="L936" s="14"/>
      <c r="M936" s="14"/>
      <c r="N936" s="14"/>
      <c r="O936" s="14"/>
      <c r="P936" s="14"/>
      <c r="Q936" s="14"/>
      <c r="R936" s="14"/>
      <c r="S936" s="14"/>
      <c r="T936" s="14"/>
      <c r="U936" s="14"/>
      <c r="V936" s="14"/>
      <c r="W936" s="14"/>
    </row>
    <row r="937" spans="1:23">
      <c r="A937" s="27" t="s">
        <v>100</v>
      </c>
      <c r="B937" t="s">
        <v>60</v>
      </c>
      <c r="C937" s="14"/>
      <c r="D937" s="14"/>
      <c r="E937" s="14"/>
      <c r="F937" s="14"/>
      <c r="G937" s="14"/>
      <c r="H937" s="14"/>
      <c r="I937" s="14"/>
      <c r="J937" s="14"/>
      <c r="K937" s="14"/>
      <c r="L937" s="14"/>
      <c r="M937" s="14"/>
      <c r="N937" s="14"/>
      <c r="O937" s="14"/>
      <c r="P937" s="14"/>
      <c r="Q937" s="14"/>
      <c r="R937" s="14"/>
      <c r="S937" s="14"/>
      <c r="T937" s="14"/>
      <c r="U937" s="14"/>
      <c r="V937" s="14"/>
      <c r="W937" s="14"/>
    </row>
    <row r="938" ht="15.6" spans="1:1">
      <c r="A938" s="5" t="s">
        <v>110</v>
      </c>
    </row>
    <row r="939" spans="1:23">
      <c r="A939" s="27" t="s">
        <v>96</v>
      </c>
      <c r="B939" t="s">
        <v>60</v>
      </c>
      <c r="C939" s="14"/>
      <c r="D939" s="14"/>
      <c r="E939" s="14"/>
      <c r="F939" s="14"/>
      <c r="G939" s="14"/>
      <c r="H939" s="14"/>
      <c r="I939" s="14"/>
      <c r="J939" s="14"/>
      <c r="K939" s="14"/>
      <c r="L939" s="14"/>
      <c r="M939" s="14"/>
      <c r="N939" s="14"/>
      <c r="O939" s="14"/>
      <c r="P939" s="14"/>
      <c r="Q939" s="14"/>
      <c r="R939" s="14"/>
      <c r="S939" s="14"/>
      <c r="T939" s="14"/>
      <c r="U939" s="14"/>
      <c r="V939" s="14"/>
      <c r="W939" s="14"/>
    </row>
    <row r="940" spans="1:23">
      <c r="A940" s="27" t="s">
        <v>98</v>
      </c>
      <c r="B940" t="s">
        <v>60</v>
      </c>
      <c r="C940" s="14"/>
      <c r="D940" s="14"/>
      <c r="E940" s="14"/>
      <c r="F940" s="14"/>
      <c r="G940" s="14"/>
      <c r="H940" s="14"/>
      <c r="I940" s="14"/>
      <c r="J940" s="14"/>
      <c r="K940" s="14"/>
      <c r="L940" s="14"/>
      <c r="M940" s="14"/>
      <c r="N940" s="14"/>
      <c r="O940" s="14"/>
      <c r="P940" s="14"/>
      <c r="Q940" s="14"/>
      <c r="R940" s="14"/>
      <c r="S940" s="14"/>
      <c r="T940" s="14"/>
      <c r="U940" s="14"/>
      <c r="V940" s="14"/>
      <c r="W940" s="14"/>
    </row>
    <row r="941" spans="1:23">
      <c r="A941" s="27" t="s">
        <v>100</v>
      </c>
      <c r="B941" t="s">
        <v>60</v>
      </c>
      <c r="C941" s="39"/>
      <c r="D941" s="39"/>
      <c r="E941" s="39"/>
      <c r="F941" s="39"/>
      <c r="G941" s="39"/>
      <c r="H941" s="39"/>
      <c r="I941" s="39"/>
      <c r="J941" s="39"/>
      <c r="K941" s="39"/>
      <c r="L941" s="39"/>
      <c r="M941" s="39"/>
      <c r="N941" s="39"/>
      <c r="O941" s="39"/>
      <c r="P941" s="39"/>
      <c r="Q941" s="39"/>
      <c r="R941" s="39"/>
      <c r="S941" s="39"/>
      <c r="T941" s="39"/>
      <c r="U941" s="39"/>
      <c r="V941" s="39"/>
      <c r="W941" s="39"/>
    </row>
    <row r="942" ht="15.6" spans="1:1">
      <c r="A942" s="5" t="s">
        <v>105</v>
      </c>
    </row>
    <row r="943" spans="1:23">
      <c r="A943" s="27" t="s">
        <v>96</v>
      </c>
      <c r="B943" t="s">
        <v>60</v>
      </c>
      <c r="C943" s="50"/>
      <c r="D943" s="50"/>
      <c r="E943" s="50"/>
      <c r="F943" s="50"/>
      <c r="G943" s="50"/>
      <c r="H943" s="50"/>
      <c r="I943" s="50"/>
      <c r="J943" s="50"/>
      <c r="K943" s="50"/>
      <c r="L943" s="50"/>
      <c r="M943" s="50"/>
      <c r="N943" s="50"/>
      <c r="O943" s="50"/>
      <c r="P943" s="50"/>
      <c r="Q943" s="50"/>
      <c r="R943" s="50"/>
      <c r="S943" s="50"/>
      <c r="T943" s="50"/>
      <c r="U943" s="50"/>
      <c r="V943" s="50"/>
      <c r="W943" s="50"/>
    </row>
    <row r="944" spans="1:23">
      <c r="A944" s="27" t="s">
        <v>98</v>
      </c>
      <c r="B944" t="s">
        <v>60</v>
      </c>
      <c r="C944" s="50"/>
      <c r="D944" s="50"/>
      <c r="E944" s="50"/>
      <c r="F944" s="50"/>
      <c r="G944" s="50"/>
      <c r="H944" s="50"/>
      <c r="I944" s="50"/>
      <c r="J944" s="50"/>
      <c r="K944" s="50"/>
      <c r="L944" s="50"/>
      <c r="M944" s="50"/>
      <c r="N944" s="50"/>
      <c r="O944" s="50"/>
      <c r="P944" s="50"/>
      <c r="Q944" s="50"/>
      <c r="R944" s="50"/>
      <c r="S944" s="50"/>
      <c r="T944" s="50"/>
      <c r="U944" s="50"/>
      <c r="V944" s="50"/>
      <c r="W944" s="50"/>
    </row>
    <row r="945" spans="1:23">
      <c r="A945" s="27" t="s">
        <v>100</v>
      </c>
      <c r="B945" t="s">
        <v>60</v>
      </c>
      <c r="C945" s="50"/>
      <c r="D945" s="50"/>
      <c r="E945" s="50"/>
      <c r="F945" s="50"/>
      <c r="G945" s="50"/>
      <c r="H945" s="50"/>
      <c r="I945" s="50"/>
      <c r="J945" s="50"/>
      <c r="K945" s="50"/>
      <c r="L945" s="50"/>
      <c r="M945" s="50"/>
      <c r="N945" s="50"/>
      <c r="O945" s="50"/>
      <c r="P945" s="50"/>
      <c r="Q945" s="50"/>
      <c r="R945" s="50"/>
      <c r="S945" s="50"/>
      <c r="T945" s="50"/>
      <c r="U945" s="50"/>
      <c r="V945" s="50"/>
      <c r="W945" s="50"/>
    </row>
    <row r="946" spans="1:23">
      <c r="A946" s="31" t="s">
        <v>107</v>
      </c>
      <c r="B946" s="32" t="s">
        <v>60</v>
      </c>
      <c r="C946" s="33"/>
      <c r="D946" s="33"/>
      <c r="E946" s="33"/>
      <c r="F946" s="33"/>
      <c r="G946" s="33"/>
      <c r="H946" s="33"/>
      <c r="I946" s="33"/>
      <c r="J946" s="33"/>
      <c r="K946" s="33"/>
      <c r="L946" s="33"/>
      <c r="M946" s="33"/>
      <c r="N946" s="33"/>
      <c r="O946" s="33"/>
      <c r="P946" s="33"/>
      <c r="Q946" s="33"/>
      <c r="R946" s="33"/>
      <c r="S946" s="33"/>
      <c r="T946" s="33"/>
      <c r="U946" s="33"/>
      <c r="V946" s="33"/>
      <c r="W946" s="33"/>
    </row>
    <row r="947" ht="15.6" spans="1:23">
      <c r="A947" s="25" t="s">
        <v>94</v>
      </c>
      <c r="C947" s="12"/>
      <c r="D947" s="12"/>
      <c r="E947" s="12"/>
      <c r="F947" s="12"/>
      <c r="G947" s="12"/>
      <c r="H947" s="12"/>
      <c r="I947" s="12"/>
      <c r="J947" s="12"/>
      <c r="K947" s="12"/>
      <c r="L947" s="12"/>
      <c r="M947" s="12"/>
      <c r="N947" s="12"/>
      <c r="O947" s="12"/>
      <c r="P947" s="12"/>
      <c r="Q947" s="12"/>
      <c r="R947" s="12"/>
      <c r="S947" s="12"/>
      <c r="T947" s="12"/>
      <c r="U947" s="12"/>
      <c r="V947" s="12"/>
      <c r="W947" s="12"/>
    </row>
    <row r="948" ht="15.6" spans="1:23">
      <c r="A948" s="25" t="s">
        <v>113</v>
      </c>
      <c r="B948" t="s">
        <v>114</v>
      </c>
      <c r="C948" s="40">
        <v>35</v>
      </c>
      <c r="D948" s="40">
        <v>35</v>
      </c>
      <c r="E948" s="40">
        <v>35</v>
      </c>
      <c r="F948" s="40">
        <v>35</v>
      </c>
      <c r="G948" s="40">
        <v>35</v>
      </c>
      <c r="H948" s="40">
        <v>35</v>
      </c>
      <c r="I948" s="40">
        <v>35</v>
      </c>
      <c r="J948" s="40">
        <v>35</v>
      </c>
      <c r="K948" s="40">
        <v>35</v>
      </c>
      <c r="L948" s="40">
        <v>35</v>
      </c>
      <c r="M948" s="40">
        <v>35</v>
      </c>
      <c r="N948" s="40">
        <v>35</v>
      </c>
      <c r="O948" s="40">
        <v>35</v>
      </c>
      <c r="P948" s="40">
        <v>35</v>
      </c>
      <c r="Q948" s="40">
        <v>35</v>
      </c>
      <c r="R948" s="40">
        <v>35</v>
      </c>
      <c r="S948" s="40">
        <v>35</v>
      </c>
      <c r="T948" s="40">
        <v>35</v>
      </c>
      <c r="U948" s="40">
        <v>35</v>
      </c>
      <c r="V948" s="40">
        <v>35</v>
      </c>
      <c r="W948" s="40">
        <v>35</v>
      </c>
    </row>
    <row r="949" ht="15.6" spans="1:23">
      <c r="A949" s="25" t="s">
        <v>115</v>
      </c>
      <c r="B949" t="s">
        <v>116</v>
      </c>
      <c r="C949" s="57">
        <v>0.2</v>
      </c>
      <c r="D949" s="57">
        <v>0.2</v>
      </c>
      <c r="E949" s="57">
        <v>0.2</v>
      </c>
      <c r="F949" s="57">
        <v>0.2</v>
      </c>
      <c r="G949" s="57">
        <v>0.2</v>
      </c>
      <c r="H949" s="57">
        <v>0.2</v>
      </c>
      <c r="I949" s="57">
        <v>0.2</v>
      </c>
      <c r="J949" s="57">
        <v>0.2</v>
      </c>
      <c r="K949" s="57">
        <v>0.2</v>
      </c>
      <c r="L949" s="57">
        <v>0.2</v>
      </c>
      <c r="M949" s="57">
        <v>0.2</v>
      </c>
      <c r="N949" s="57">
        <v>0.2</v>
      </c>
      <c r="O949" s="57">
        <v>0.2</v>
      </c>
      <c r="P949" s="57">
        <v>0.2</v>
      </c>
      <c r="Q949" s="57">
        <v>0.2</v>
      </c>
      <c r="R949" s="57">
        <v>0.2</v>
      </c>
      <c r="S949" s="57">
        <v>0.2</v>
      </c>
      <c r="T949" s="57">
        <v>0.2</v>
      </c>
      <c r="U949" s="57">
        <v>0.2</v>
      </c>
      <c r="V949" s="57">
        <v>0.2</v>
      </c>
      <c r="W949" s="57">
        <v>0.2</v>
      </c>
    </row>
    <row r="950" ht="15.6" spans="1:1">
      <c r="A950" s="5" t="s">
        <v>95</v>
      </c>
    </row>
    <row r="951" ht="15.6" spans="1:23">
      <c r="A951" s="27" t="s">
        <v>117</v>
      </c>
      <c r="B951" t="s">
        <v>118</v>
      </c>
      <c r="C951" s="42">
        <v>45</v>
      </c>
      <c r="D951" s="42">
        <v>45</v>
      </c>
      <c r="E951" s="42">
        <v>45</v>
      </c>
      <c r="F951" s="42">
        <v>45</v>
      </c>
      <c r="G951" s="42">
        <v>45</v>
      </c>
      <c r="H951" s="42">
        <v>45</v>
      </c>
      <c r="I951" s="42">
        <v>45</v>
      </c>
      <c r="J951" s="42">
        <v>45</v>
      </c>
      <c r="K951" s="42">
        <v>45</v>
      </c>
      <c r="L951" s="42">
        <v>45</v>
      </c>
      <c r="M951" s="42">
        <v>45</v>
      </c>
      <c r="N951" s="42">
        <v>45</v>
      </c>
      <c r="O951" s="42">
        <v>45</v>
      </c>
      <c r="P951" s="42">
        <v>45</v>
      </c>
      <c r="Q951" s="42">
        <v>45</v>
      </c>
      <c r="R951" s="42">
        <v>45</v>
      </c>
      <c r="S951" s="42">
        <v>45</v>
      </c>
      <c r="T951" s="42">
        <v>45</v>
      </c>
      <c r="U951" s="42">
        <v>45</v>
      </c>
      <c r="V951" s="42">
        <v>45</v>
      </c>
      <c r="W951" s="42">
        <v>45</v>
      </c>
    </row>
    <row r="952" ht="15.6" spans="1:23">
      <c r="A952" s="27" t="s">
        <v>96</v>
      </c>
      <c r="B952" t="s">
        <v>119</v>
      </c>
      <c r="C952" s="43">
        <v>0.01</v>
      </c>
      <c r="D952" s="43">
        <v>0.01</v>
      </c>
      <c r="E952" s="43">
        <v>0.01</v>
      </c>
      <c r="F952" s="43">
        <v>0.01</v>
      </c>
      <c r="G952" s="43">
        <v>0.01</v>
      </c>
      <c r="H952" s="43">
        <v>0.01</v>
      </c>
      <c r="I952" s="43">
        <v>0.01</v>
      </c>
      <c r="J952" s="43">
        <v>0.01</v>
      </c>
      <c r="K952" s="43">
        <v>0.01</v>
      </c>
      <c r="L952" s="43">
        <v>0.01</v>
      </c>
      <c r="M952" s="43">
        <v>0.01</v>
      </c>
      <c r="N952" s="43">
        <v>0.01</v>
      </c>
      <c r="O952" s="43">
        <v>0.01</v>
      </c>
      <c r="P952" s="43">
        <v>0.01</v>
      </c>
      <c r="Q952" s="43">
        <v>0.01</v>
      </c>
      <c r="R952" s="43">
        <v>0.01</v>
      </c>
      <c r="S952" s="43">
        <v>0.01</v>
      </c>
      <c r="T952" s="43">
        <v>0.01</v>
      </c>
      <c r="U952" s="43">
        <v>0.01</v>
      </c>
      <c r="V952" s="43">
        <v>0.01</v>
      </c>
      <c r="W952" s="43">
        <v>0.01</v>
      </c>
    </row>
    <row r="953" ht="15.6" spans="1:23">
      <c r="A953" s="27" t="s">
        <v>98</v>
      </c>
      <c r="B953" t="s">
        <v>120</v>
      </c>
      <c r="C953" s="43">
        <f t="shared" ref="C953:W953" si="70">1.5*2.7556/2</f>
        <v>2.0667</v>
      </c>
      <c r="D953" s="43">
        <f t="shared" si="70"/>
        <v>2.0667</v>
      </c>
      <c r="E953" s="43">
        <f t="shared" si="70"/>
        <v>2.0667</v>
      </c>
      <c r="F953" s="43">
        <f t="shared" si="70"/>
        <v>2.0667</v>
      </c>
      <c r="G953" s="43">
        <f t="shared" si="70"/>
        <v>2.0667</v>
      </c>
      <c r="H953" s="43">
        <f t="shared" si="70"/>
        <v>2.0667</v>
      </c>
      <c r="I953" s="43">
        <f t="shared" si="70"/>
        <v>2.0667</v>
      </c>
      <c r="J953" s="43">
        <f t="shared" si="70"/>
        <v>2.0667</v>
      </c>
      <c r="K953" s="43">
        <f t="shared" si="70"/>
        <v>2.0667</v>
      </c>
      <c r="L953" s="43">
        <f t="shared" si="70"/>
        <v>2.0667</v>
      </c>
      <c r="M953" s="43">
        <f t="shared" si="70"/>
        <v>2.0667</v>
      </c>
      <c r="N953" s="43">
        <f t="shared" si="70"/>
        <v>2.0667</v>
      </c>
      <c r="O953" s="43">
        <f t="shared" si="70"/>
        <v>2.0667</v>
      </c>
      <c r="P953" s="43">
        <f t="shared" si="70"/>
        <v>2.0667</v>
      </c>
      <c r="Q953" s="43">
        <f t="shared" si="70"/>
        <v>2.0667</v>
      </c>
      <c r="R953" s="43">
        <f t="shared" si="70"/>
        <v>2.0667</v>
      </c>
      <c r="S953" s="43">
        <f t="shared" si="70"/>
        <v>2.0667</v>
      </c>
      <c r="T953" s="43">
        <f t="shared" si="70"/>
        <v>2.0667</v>
      </c>
      <c r="U953" s="43">
        <f t="shared" si="70"/>
        <v>2.0667</v>
      </c>
      <c r="V953" s="43">
        <f t="shared" si="70"/>
        <v>2.0667</v>
      </c>
      <c r="W953" s="43">
        <f t="shared" si="70"/>
        <v>2.0667</v>
      </c>
    </row>
    <row r="954" ht="15.6" spans="1:23">
      <c r="A954" s="27" t="s">
        <v>100</v>
      </c>
      <c r="B954" t="s">
        <v>121</v>
      </c>
      <c r="C954" s="28">
        <v>0.5</v>
      </c>
      <c r="D954" s="28">
        <v>0.5</v>
      </c>
      <c r="E954" s="28">
        <v>0.5</v>
      </c>
      <c r="F954" s="28">
        <v>0.5</v>
      </c>
      <c r="G954" s="28">
        <v>0.5</v>
      </c>
      <c r="H954" s="28">
        <v>0.5</v>
      </c>
      <c r="I954" s="28">
        <v>0.5</v>
      </c>
      <c r="J954" s="28">
        <v>0.5</v>
      </c>
      <c r="K954" s="28">
        <v>0.5</v>
      </c>
      <c r="L954" s="28">
        <v>0.5</v>
      </c>
      <c r="M954" s="28">
        <v>0.5</v>
      </c>
      <c r="N954" s="28">
        <v>0.5</v>
      </c>
      <c r="O954" s="28">
        <v>0.5</v>
      </c>
      <c r="P954" s="28">
        <v>0.5</v>
      </c>
      <c r="Q954" s="28">
        <v>0.5</v>
      </c>
      <c r="R954" s="28">
        <v>0.5</v>
      </c>
      <c r="S954" s="28">
        <v>0.5</v>
      </c>
      <c r="T954" s="28">
        <v>0.5</v>
      </c>
      <c r="U954" s="28">
        <v>0.5</v>
      </c>
      <c r="V954" s="28">
        <v>0.5</v>
      </c>
      <c r="W954" s="28">
        <v>0.5</v>
      </c>
    </row>
    <row r="955" ht="15.6" spans="1:23">
      <c r="A955" s="27" t="s">
        <v>122</v>
      </c>
      <c r="B955" t="s">
        <v>45</v>
      </c>
      <c r="C955" s="44"/>
      <c r="D955" s="44"/>
      <c r="E955" s="44"/>
      <c r="F955" s="44"/>
      <c r="G955" s="44"/>
      <c r="H955" s="44"/>
      <c r="I955" s="44"/>
      <c r="J955" s="44"/>
      <c r="K955" s="44"/>
      <c r="L955" s="44"/>
      <c r="M955" s="44"/>
      <c r="N955" s="44"/>
      <c r="O955" s="44"/>
      <c r="P955" s="44"/>
      <c r="Q955" s="44"/>
      <c r="R955" s="44"/>
      <c r="S955" s="44"/>
      <c r="T955" s="44"/>
      <c r="U955" s="44"/>
      <c r="V955" s="44"/>
      <c r="W955" s="44"/>
    </row>
    <row r="956" ht="15.6" spans="1:23">
      <c r="A956" s="27" t="s">
        <v>123</v>
      </c>
      <c r="B956" s="9" t="s">
        <v>51</v>
      </c>
      <c r="C956" s="44"/>
      <c r="D956" s="44"/>
      <c r="E956" s="44"/>
      <c r="F956" s="44"/>
      <c r="G956" s="44"/>
      <c r="H956" s="44"/>
      <c r="I956" s="44"/>
      <c r="J956" s="44"/>
      <c r="K956" s="44"/>
      <c r="L956" s="44"/>
      <c r="M956" s="44"/>
      <c r="N956" s="44"/>
      <c r="O956" s="44"/>
      <c r="P956" s="44"/>
      <c r="Q956" s="44"/>
      <c r="R956" s="44"/>
      <c r="S956" s="44"/>
      <c r="T956" s="44"/>
      <c r="U956" s="44"/>
      <c r="V956" s="44"/>
      <c r="W956" s="44"/>
    </row>
    <row r="957" ht="15.6" spans="1:23">
      <c r="A957" s="27" t="s">
        <v>124</v>
      </c>
      <c r="B957" s="9" t="s">
        <v>51</v>
      </c>
      <c r="C957" s="44"/>
      <c r="D957" s="44"/>
      <c r="E957" s="44"/>
      <c r="F957" s="44"/>
      <c r="G957" s="44"/>
      <c r="H957" s="44"/>
      <c r="I957" s="44"/>
      <c r="J957" s="44"/>
      <c r="K957" s="44"/>
      <c r="L957" s="44"/>
      <c r="M957" s="44"/>
      <c r="N957" s="44"/>
      <c r="O957" s="44"/>
      <c r="P957" s="44"/>
      <c r="Q957" s="44"/>
      <c r="R957" s="44"/>
      <c r="S957" s="44"/>
      <c r="T957" s="44"/>
      <c r="U957" s="44"/>
      <c r="V957" s="44"/>
      <c r="W957" s="44"/>
    </row>
    <row r="958" ht="15.6" spans="1:1">
      <c r="A958" s="5" t="s">
        <v>102</v>
      </c>
    </row>
    <row r="959" spans="1:23">
      <c r="A959" s="27" t="s">
        <v>96</v>
      </c>
      <c r="B959" t="s">
        <v>119</v>
      </c>
      <c r="C959" s="45"/>
      <c r="D959" s="45"/>
      <c r="E959" s="45"/>
      <c r="F959" s="45"/>
      <c r="G959" s="45"/>
      <c r="H959" s="45"/>
      <c r="I959" s="45"/>
      <c r="J959" s="45"/>
      <c r="K959" s="45"/>
      <c r="L959" s="45"/>
      <c r="M959" s="45"/>
      <c r="N959" s="45"/>
      <c r="O959" s="45"/>
      <c r="P959" s="45"/>
      <c r="Q959" s="45"/>
      <c r="R959" s="45"/>
      <c r="S959" s="45"/>
      <c r="T959" s="45"/>
      <c r="U959" s="45"/>
      <c r="V959" s="45"/>
      <c r="W959" s="45"/>
    </row>
    <row r="960" spans="1:23">
      <c r="A960" s="27" t="s">
        <v>98</v>
      </c>
      <c r="B960" t="s">
        <v>120</v>
      </c>
      <c r="C960" s="45"/>
      <c r="D960" s="45"/>
      <c r="E960" s="45"/>
      <c r="F960" s="45"/>
      <c r="G960" s="45"/>
      <c r="H960" s="45"/>
      <c r="I960" s="45"/>
      <c r="J960" s="45"/>
      <c r="K960" s="45"/>
      <c r="L960" s="45"/>
      <c r="M960" s="45"/>
      <c r="N960" s="45"/>
      <c r="O960" s="45"/>
      <c r="P960" s="45"/>
      <c r="Q960" s="45"/>
      <c r="R960" s="45"/>
      <c r="S960" s="45"/>
      <c r="T960" s="45"/>
      <c r="U960" s="45"/>
      <c r="V960" s="45"/>
      <c r="W960" s="45"/>
    </row>
    <row r="961" spans="1:23">
      <c r="A961" s="27" t="s">
        <v>100</v>
      </c>
      <c r="B961" t="s">
        <v>121</v>
      </c>
      <c r="C961" s="45"/>
      <c r="D961" s="45"/>
      <c r="E961" s="45"/>
      <c r="F961" s="45"/>
      <c r="G961" s="45"/>
      <c r="H961" s="45"/>
      <c r="I961" s="45"/>
      <c r="J961" s="45"/>
      <c r="K961" s="45"/>
      <c r="L961" s="45"/>
      <c r="M961" s="45"/>
      <c r="N961" s="45"/>
      <c r="O961" s="45"/>
      <c r="P961" s="45"/>
      <c r="Q961" s="45"/>
      <c r="R961" s="45"/>
      <c r="S961" s="45"/>
      <c r="T961" s="45"/>
      <c r="U961" s="45"/>
      <c r="V961" s="45"/>
      <c r="W961" s="45"/>
    </row>
    <row r="962" ht="15.6" spans="1:1">
      <c r="A962" s="5" t="s">
        <v>125</v>
      </c>
    </row>
    <row r="963" spans="1:23">
      <c r="A963" s="27" t="s">
        <v>96</v>
      </c>
      <c r="B963" t="s">
        <v>119</v>
      </c>
      <c r="C963" s="45"/>
      <c r="D963" s="45"/>
      <c r="E963" s="45"/>
      <c r="F963" s="45"/>
      <c r="G963" s="45"/>
      <c r="H963" s="45"/>
      <c r="I963" s="45"/>
      <c r="J963" s="45"/>
      <c r="K963" s="45"/>
      <c r="L963" s="45"/>
      <c r="M963" s="45"/>
      <c r="N963" s="45"/>
      <c r="O963" s="45"/>
      <c r="P963" s="45"/>
      <c r="Q963" s="45"/>
      <c r="R963" s="45"/>
      <c r="S963" s="45"/>
      <c r="T963" s="45"/>
      <c r="U963" s="45"/>
      <c r="V963" s="45"/>
      <c r="W963" s="45"/>
    </row>
    <row r="964" spans="1:23">
      <c r="A964" s="27" t="s">
        <v>98</v>
      </c>
      <c r="B964" t="s">
        <v>126</v>
      </c>
      <c r="C964" s="45"/>
      <c r="D964" s="45"/>
      <c r="E964" s="45"/>
      <c r="F964" s="45"/>
      <c r="G964" s="45"/>
      <c r="H964" s="45"/>
      <c r="I964" s="45"/>
      <c r="J964" s="45"/>
      <c r="K964" s="45"/>
      <c r="L964" s="45"/>
      <c r="M964" s="45"/>
      <c r="N964" s="45"/>
      <c r="O964" s="45"/>
      <c r="P964" s="45"/>
      <c r="Q964" s="45"/>
      <c r="R964" s="45"/>
      <c r="S964" s="45"/>
      <c r="T964" s="45"/>
      <c r="U964" s="45"/>
      <c r="V964" s="45"/>
      <c r="W964" s="45"/>
    </row>
    <row r="965" spans="1:23">
      <c r="A965" s="27" t="s">
        <v>100</v>
      </c>
      <c r="B965" t="s">
        <v>121</v>
      </c>
      <c r="C965" s="45"/>
      <c r="D965" s="45"/>
      <c r="E965" s="45"/>
      <c r="F965" s="45"/>
      <c r="G965" s="45"/>
      <c r="H965" s="45"/>
      <c r="I965" s="45"/>
      <c r="J965" s="45"/>
      <c r="K965" s="45"/>
      <c r="L965" s="45"/>
      <c r="M965" s="45"/>
      <c r="N965" s="45"/>
      <c r="O965" s="45"/>
      <c r="P965" s="45"/>
      <c r="Q965" s="45"/>
      <c r="R965" s="45"/>
      <c r="S965" s="45"/>
      <c r="T965" s="45"/>
      <c r="U965" s="45"/>
      <c r="V965" s="45"/>
      <c r="W965" s="45"/>
    </row>
    <row r="966" ht="15.6" spans="1:1">
      <c r="A966" s="5" t="s">
        <v>127</v>
      </c>
    </row>
    <row r="967" spans="1:23">
      <c r="A967" s="27" t="s">
        <v>96</v>
      </c>
      <c r="B967" t="s">
        <v>60</v>
      </c>
      <c r="C967" s="45"/>
      <c r="D967" s="45"/>
      <c r="E967" s="45"/>
      <c r="F967" s="45"/>
      <c r="G967" s="45"/>
      <c r="H967" s="45"/>
      <c r="I967" s="45"/>
      <c r="J967" s="45"/>
      <c r="K967" s="45"/>
      <c r="L967" s="45"/>
      <c r="M967" s="45"/>
      <c r="N967" s="45"/>
      <c r="O967" s="45"/>
      <c r="P967" s="45"/>
      <c r="Q967" s="45"/>
      <c r="R967" s="45"/>
      <c r="S967" s="45"/>
      <c r="T967" s="45"/>
      <c r="U967" s="45"/>
      <c r="V967" s="45"/>
      <c r="W967" s="45"/>
    </row>
    <row r="968" spans="1:23">
      <c r="A968" s="27" t="s">
        <v>98</v>
      </c>
      <c r="B968" t="s">
        <v>60</v>
      </c>
      <c r="C968" s="45"/>
      <c r="D968" s="45"/>
      <c r="E968" s="45"/>
      <c r="F968" s="45"/>
      <c r="G968" s="45"/>
      <c r="H968" s="45"/>
      <c r="I968" s="45"/>
      <c r="J968" s="45"/>
      <c r="K968" s="45"/>
      <c r="L968" s="45"/>
      <c r="M968" s="45"/>
      <c r="N968" s="45"/>
      <c r="O968" s="45"/>
      <c r="P968" s="45"/>
      <c r="Q968" s="45"/>
      <c r="R968" s="45"/>
      <c r="S968" s="45"/>
      <c r="T968" s="45"/>
      <c r="U968" s="45"/>
      <c r="V968" s="45"/>
      <c r="W968" s="45"/>
    </row>
    <row r="969" spans="1:23">
      <c r="A969" s="27" t="s">
        <v>100</v>
      </c>
      <c r="B969" t="s">
        <v>60</v>
      </c>
      <c r="C969" s="46"/>
      <c r="D969" s="46"/>
      <c r="E969" s="46"/>
      <c r="F969" s="46"/>
      <c r="G969" s="46"/>
      <c r="H969" s="46"/>
      <c r="I969" s="46"/>
      <c r="J969" s="46"/>
      <c r="K969" s="46"/>
      <c r="L969" s="46"/>
      <c r="M969" s="46"/>
      <c r="N969" s="46"/>
      <c r="O969" s="46"/>
      <c r="P969" s="46"/>
      <c r="Q969" s="46"/>
      <c r="R969" s="46"/>
      <c r="S969" s="46"/>
      <c r="T969" s="46"/>
      <c r="U969" s="46"/>
      <c r="V969" s="46"/>
      <c r="W969" s="46"/>
    </row>
    <row r="970" ht="15.6" spans="1:1">
      <c r="A970" s="5" t="s">
        <v>105</v>
      </c>
    </row>
    <row r="971" spans="1:23">
      <c r="A971" s="27" t="s">
        <v>96</v>
      </c>
      <c r="B971" t="s">
        <v>60</v>
      </c>
      <c r="C971" s="50"/>
      <c r="D971" s="50"/>
      <c r="E971" s="50"/>
      <c r="F971" s="50"/>
      <c r="G971" s="50"/>
      <c r="H971" s="50"/>
      <c r="I971" s="50"/>
      <c r="J971" s="50"/>
      <c r="K971" s="50"/>
      <c r="L971" s="50"/>
      <c r="M971" s="50"/>
      <c r="N971" s="50"/>
      <c r="O971" s="50"/>
      <c r="P971" s="50"/>
      <c r="Q971" s="50"/>
      <c r="R971" s="50"/>
      <c r="S971" s="50"/>
      <c r="T971" s="50"/>
      <c r="U971" s="50"/>
      <c r="V971" s="50"/>
      <c r="W971" s="50"/>
    </row>
    <row r="972" spans="1:23">
      <c r="A972" s="27" t="s">
        <v>98</v>
      </c>
      <c r="B972" t="s">
        <v>60</v>
      </c>
      <c r="C972" s="50"/>
      <c r="D972" s="50"/>
      <c r="E972" s="50"/>
      <c r="F972" s="50"/>
      <c r="G972" s="50"/>
      <c r="H972" s="50"/>
      <c r="I972" s="50"/>
      <c r="J972" s="50"/>
      <c r="K972" s="50"/>
      <c r="L972" s="50"/>
      <c r="M972" s="50"/>
      <c r="N972" s="50"/>
      <c r="O972" s="50"/>
      <c r="P972" s="50"/>
      <c r="Q972" s="50"/>
      <c r="R972" s="50"/>
      <c r="S972" s="50"/>
      <c r="T972" s="50"/>
      <c r="U972" s="50"/>
      <c r="V972" s="50"/>
      <c r="W972" s="50"/>
    </row>
    <row r="973" spans="1:23">
      <c r="A973" s="27" t="s">
        <v>100</v>
      </c>
      <c r="B973" t="s">
        <v>60</v>
      </c>
      <c r="C973" s="50"/>
      <c r="D973" s="50"/>
      <c r="E973" s="50"/>
      <c r="F973" s="50"/>
      <c r="G973" s="50"/>
      <c r="H973" s="50"/>
      <c r="I973" s="50"/>
      <c r="J973" s="50"/>
      <c r="K973" s="50"/>
      <c r="L973" s="50"/>
      <c r="M973" s="50"/>
      <c r="N973" s="50"/>
      <c r="O973" s="50"/>
      <c r="P973" s="50"/>
      <c r="Q973" s="50"/>
      <c r="R973" s="50"/>
      <c r="S973" s="50"/>
      <c r="T973" s="50"/>
      <c r="U973" s="50"/>
      <c r="V973" s="50"/>
      <c r="W973" s="50"/>
    </row>
    <row r="974" spans="1:23">
      <c r="A974" s="31" t="s">
        <v>107</v>
      </c>
      <c r="B974" s="32" t="s">
        <v>60</v>
      </c>
      <c r="C974" s="33"/>
      <c r="D974" s="33"/>
      <c r="E974" s="33"/>
      <c r="F974" s="33"/>
      <c r="G974" s="33"/>
      <c r="H974" s="33"/>
      <c r="I974" s="33"/>
      <c r="J974" s="33"/>
      <c r="K974" s="33"/>
      <c r="L974" s="33"/>
      <c r="M974" s="33"/>
      <c r="N974" s="33"/>
      <c r="O974" s="33"/>
      <c r="P974" s="33"/>
      <c r="Q974" s="33"/>
      <c r="R974" s="33"/>
      <c r="S974" s="33"/>
      <c r="T974" s="33"/>
      <c r="U974" s="33"/>
      <c r="V974" s="33"/>
      <c r="W974" s="33"/>
    </row>
    <row r="975" ht="15.6" spans="1:1">
      <c r="A975" s="5" t="s">
        <v>138</v>
      </c>
    </row>
    <row r="976" spans="1:23">
      <c r="A976" s="27" t="s">
        <v>96</v>
      </c>
      <c r="B976" t="s">
        <v>60</v>
      </c>
      <c r="C976" s="14"/>
      <c r="D976" s="14"/>
      <c r="E976" s="14"/>
      <c r="F976" s="14"/>
      <c r="G976" s="14"/>
      <c r="H976" s="14"/>
      <c r="I976" s="14"/>
      <c r="J976" s="14"/>
      <c r="K976" s="14"/>
      <c r="L976" s="14"/>
      <c r="M976" s="14"/>
      <c r="N976" s="14"/>
      <c r="O976" s="14"/>
      <c r="P976" s="14"/>
      <c r="Q976" s="14"/>
      <c r="R976" s="14"/>
      <c r="S976" s="14"/>
      <c r="T976" s="14"/>
      <c r="U976" s="14"/>
      <c r="V976" s="14"/>
      <c r="W976" s="14"/>
    </row>
    <row r="977" spans="1:23">
      <c r="A977" s="27" t="s">
        <v>98</v>
      </c>
      <c r="B977" t="s">
        <v>60</v>
      </c>
      <c r="C977" s="14"/>
      <c r="D977" s="14"/>
      <c r="E977" s="14"/>
      <c r="F977" s="14"/>
      <c r="G977" s="14"/>
      <c r="H977" s="14"/>
      <c r="I977" s="14"/>
      <c r="J977" s="14"/>
      <c r="K977" s="14"/>
      <c r="L977" s="14"/>
      <c r="M977" s="14"/>
      <c r="N977" s="14"/>
      <c r="O977" s="14"/>
      <c r="P977" s="14"/>
      <c r="Q977" s="14"/>
      <c r="R977" s="14"/>
      <c r="S977" s="14"/>
      <c r="T977" s="14"/>
      <c r="U977" s="14"/>
      <c r="V977" s="14"/>
      <c r="W977" s="14"/>
    </row>
    <row r="978" spans="1:23">
      <c r="A978" s="27" t="s">
        <v>100</v>
      </c>
      <c r="B978" t="s">
        <v>60</v>
      </c>
      <c r="C978" s="14"/>
      <c r="D978" s="14"/>
      <c r="E978" s="14"/>
      <c r="F978" s="14"/>
      <c r="G978" s="14"/>
      <c r="H978" s="14"/>
      <c r="I978" s="14"/>
      <c r="J978" s="14"/>
      <c r="K978" s="14"/>
      <c r="L978" s="14"/>
      <c r="M978" s="14"/>
      <c r="N978" s="14"/>
      <c r="O978" s="14"/>
      <c r="P978" s="14"/>
      <c r="Q978" s="14"/>
      <c r="R978" s="14"/>
      <c r="S978" s="14"/>
      <c r="T978" s="14"/>
      <c r="U978" s="14"/>
      <c r="V978" s="14"/>
      <c r="W978" s="14"/>
    </row>
    <row r="979" spans="1:23">
      <c r="A979" s="31" t="s">
        <v>107</v>
      </c>
      <c r="B979" s="32" t="s">
        <v>60</v>
      </c>
      <c r="C979" s="33"/>
      <c r="D979" s="33"/>
      <c r="E979" s="33"/>
      <c r="F979" s="33"/>
      <c r="G979" s="33"/>
      <c r="H979" s="33"/>
      <c r="I979" s="33"/>
      <c r="J979" s="33"/>
      <c r="K979" s="33"/>
      <c r="L979" s="33"/>
      <c r="M979" s="33"/>
      <c r="N979" s="33"/>
      <c r="O979" s="33"/>
      <c r="P979" s="33"/>
      <c r="Q979" s="33"/>
      <c r="R979" s="33"/>
      <c r="S979" s="33"/>
      <c r="T979" s="33"/>
      <c r="U979" s="33"/>
      <c r="V979" s="33"/>
      <c r="W979" s="33"/>
    </row>
    <row r="980" ht="15.6" spans="1:23">
      <c r="A980" s="25" t="s">
        <v>94</v>
      </c>
      <c r="C980" s="10">
        <v>0</v>
      </c>
      <c r="D980" s="10">
        <v>0</v>
      </c>
      <c r="E980" s="10">
        <v>0</v>
      </c>
      <c r="F980" s="10">
        <v>0</v>
      </c>
      <c r="G980" s="10">
        <v>0</v>
      </c>
      <c r="H980" s="10">
        <v>0</v>
      </c>
      <c r="I980" s="10">
        <v>0</v>
      </c>
      <c r="J980" s="10">
        <v>0</v>
      </c>
      <c r="K980" s="10">
        <v>0</v>
      </c>
      <c r="L980" s="10">
        <v>0</v>
      </c>
      <c r="M980" s="10">
        <v>0</v>
      </c>
      <c r="N980" s="10">
        <v>0</v>
      </c>
      <c r="O980" s="10">
        <v>0</v>
      </c>
      <c r="P980" s="10">
        <v>0</v>
      </c>
      <c r="Q980" s="10">
        <v>0</v>
      </c>
      <c r="R980" s="10">
        <v>0</v>
      </c>
      <c r="S980" s="10">
        <v>0</v>
      </c>
      <c r="T980" s="10">
        <v>0</v>
      </c>
      <c r="U980" s="10">
        <v>0</v>
      </c>
      <c r="V980" s="10">
        <v>0</v>
      </c>
      <c r="W980" s="10">
        <v>0</v>
      </c>
    </row>
    <row r="981" ht="15.6" spans="1:23">
      <c r="A981" s="25" t="s">
        <v>111</v>
      </c>
      <c r="B981" t="s">
        <v>112</v>
      </c>
      <c r="C981" s="40">
        <v>200</v>
      </c>
      <c r="D981" s="40">
        <v>200</v>
      </c>
      <c r="E981" s="40">
        <v>200</v>
      </c>
      <c r="F981" s="40">
        <v>200</v>
      </c>
      <c r="G981" s="40">
        <v>200</v>
      </c>
      <c r="H981" s="40">
        <v>200</v>
      </c>
      <c r="I981" s="40">
        <v>200</v>
      </c>
      <c r="J981" s="40">
        <v>200</v>
      </c>
      <c r="K981" s="40">
        <v>200</v>
      </c>
      <c r="L981" s="40">
        <v>200</v>
      </c>
      <c r="M981" s="40">
        <v>200</v>
      </c>
      <c r="N981" s="40">
        <v>200</v>
      </c>
      <c r="O981" s="40">
        <v>200</v>
      </c>
      <c r="P981" s="40">
        <v>200</v>
      </c>
      <c r="Q981" s="40">
        <v>200</v>
      </c>
      <c r="R981" s="40">
        <v>200</v>
      </c>
      <c r="S981" s="40">
        <v>200</v>
      </c>
      <c r="T981" s="40">
        <v>200</v>
      </c>
      <c r="U981" s="40">
        <v>200</v>
      </c>
      <c r="V981" s="40">
        <v>200</v>
      </c>
      <c r="W981" s="40">
        <v>200</v>
      </c>
    </row>
    <row r="982" ht="15.6" spans="1:1">
      <c r="A982" s="5" t="s">
        <v>95</v>
      </c>
    </row>
    <row r="983" ht="15.6" spans="1:23">
      <c r="A983" s="27" t="s">
        <v>96</v>
      </c>
      <c r="B983" t="s">
        <v>108</v>
      </c>
      <c r="C983" s="28">
        <f t="shared" ref="C983:W983" si="71">15/200</f>
        <v>0.075</v>
      </c>
      <c r="D983" s="28">
        <f t="shared" si="71"/>
        <v>0.075</v>
      </c>
      <c r="E983" s="28">
        <f t="shared" si="71"/>
        <v>0.075</v>
      </c>
      <c r="F983" s="28">
        <f t="shared" si="71"/>
        <v>0.075</v>
      </c>
      <c r="G983" s="28">
        <f t="shared" si="71"/>
        <v>0.075</v>
      </c>
      <c r="H983" s="28">
        <f t="shared" si="71"/>
        <v>0.075</v>
      </c>
      <c r="I983" s="28">
        <f t="shared" si="71"/>
        <v>0.075</v>
      </c>
      <c r="J983" s="28">
        <f t="shared" si="71"/>
        <v>0.075</v>
      </c>
      <c r="K983" s="28">
        <f t="shared" si="71"/>
        <v>0.075</v>
      </c>
      <c r="L983" s="28">
        <f t="shared" si="71"/>
        <v>0.075</v>
      </c>
      <c r="M983" s="28">
        <f t="shared" si="71"/>
        <v>0.075</v>
      </c>
      <c r="N983" s="28">
        <f t="shared" si="71"/>
        <v>0.075</v>
      </c>
      <c r="O983" s="28">
        <f t="shared" si="71"/>
        <v>0.075</v>
      </c>
      <c r="P983" s="28">
        <f t="shared" si="71"/>
        <v>0.075</v>
      </c>
      <c r="Q983" s="28">
        <f t="shared" si="71"/>
        <v>0.075</v>
      </c>
      <c r="R983" s="28">
        <f t="shared" si="71"/>
        <v>0.075</v>
      </c>
      <c r="S983" s="28">
        <f t="shared" si="71"/>
        <v>0.075</v>
      </c>
      <c r="T983" s="28">
        <f t="shared" si="71"/>
        <v>0.075</v>
      </c>
      <c r="U983" s="28">
        <f t="shared" si="71"/>
        <v>0.075</v>
      </c>
      <c r="V983" s="28">
        <f t="shared" si="71"/>
        <v>0.075</v>
      </c>
      <c r="W983" s="28">
        <f t="shared" si="71"/>
        <v>0.075</v>
      </c>
    </row>
    <row r="984" ht="15.6" spans="1:23">
      <c r="A984" s="27" t="s">
        <v>98</v>
      </c>
      <c r="B984" t="s">
        <v>109</v>
      </c>
      <c r="C984" s="28">
        <f t="shared" ref="C984:W984" si="72">1.5/200</f>
        <v>0.0075</v>
      </c>
      <c r="D984" s="28">
        <f t="shared" si="72"/>
        <v>0.0075</v>
      </c>
      <c r="E984" s="28">
        <f t="shared" si="72"/>
        <v>0.0075</v>
      </c>
      <c r="F984" s="28">
        <f t="shared" si="72"/>
        <v>0.0075</v>
      </c>
      <c r="G984" s="28">
        <f t="shared" si="72"/>
        <v>0.0075</v>
      </c>
      <c r="H984" s="28">
        <f t="shared" si="72"/>
        <v>0.0075</v>
      </c>
      <c r="I984" s="28">
        <f t="shared" si="72"/>
        <v>0.0075</v>
      </c>
      <c r="J984" s="28">
        <f t="shared" si="72"/>
        <v>0.0075</v>
      </c>
      <c r="K984" s="28">
        <f t="shared" si="72"/>
        <v>0.0075</v>
      </c>
      <c r="L984" s="28">
        <f t="shared" si="72"/>
        <v>0.0075</v>
      </c>
      <c r="M984" s="28">
        <f t="shared" si="72"/>
        <v>0.0075</v>
      </c>
      <c r="N984" s="28">
        <f t="shared" si="72"/>
        <v>0.0075</v>
      </c>
      <c r="O984" s="28">
        <f t="shared" si="72"/>
        <v>0.0075</v>
      </c>
      <c r="P984" s="28">
        <f t="shared" si="72"/>
        <v>0.0075</v>
      </c>
      <c r="Q984" s="28">
        <f t="shared" si="72"/>
        <v>0.0075</v>
      </c>
      <c r="R984" s="28">
        <f t="shared" si="72"/>
        <v>0.0075</v>
      </c>
      <c r="S984" s="28">
        <f t="shared" si="72"/>
        <v>0.0075</v>
      </c>
      <c r="T984" s="28">
        <f t="shared" si="72"/>
        <v>0.0075</v>
      </c>
      <c r="U984" s="28">
        <f t="shared" si="72"/>
        <v>0.0075</v>
      </c>
      <c r="V984" s="28">
        <f t="shared" si="72"/>
        <v>0.0075</v>
      </c>
      <c r="W984" s="28">
        <f t="shared" si="72"/>
        <v>0.0075</v>
      </c>
    </row>
    <row r="985" ht="15.6" spans="1:23">
      <c r="A985" s="27" t="s">
        <v>100</v>
      </c>
      <c r="B985" t="s">
        <v>60</v>
      </c>
      <c r="C985" s="28">
        <f t="shared" ref="C985:W985" si="73">50/200</f>
        <v>0.25</v>
      </c>
      <c r="D985" s="28">
        <f t="shared" si="73"/>
        <v>0.25</v>
      </c>
      <c r="E985" s="28">
        <f t="shared" si="73"/>
        <v>0.25</v>
      </c>
      <c r="F985" s="28">
        <f t="shared" si="73"/>
        <v>0.25</v>
      </c>
      <c r="G985" s="28">
        <f t="shared" si="73"/>
        <v>0.25</v>
      </c>
      <c r="H985" s="28">
        <f t="shared" si="73"/>
        <v>0.25</v>
      </c>
      <c r="I985" s="28">
        <f t="shared" si="73"/>
        <v>0.25</v>
      </c>
      <c r="J985" s="28">
        <f t="shared" si="73"/>
        <v>0.25</v>
      </c>
      <c r="K985" s="28">
        <f t="shared" si="73"/>
        <v>0.25</v>
      </c>
      <c r="L985" s="28">
        <f t="shared" si="73"/>
        <v>0.25</v>
      </c>
      <c r="M985" s="28">
        <f t="shared" si="73"/>
        <v>0.25</v>
      </c>
      <c r="N985" s="28">
        <f t="shared" si="73"/>
        <v>0.25</v>
      </c>
      <c r="O985" s="28">
        <f t="shared" si="73"/>
        <v>0.25</v>
      </c>
      <c r="P985" s="28">
        <f t="shared" si="73"/>
        <v>0.25</v>
      </c>
      <c r="Q985" s="28">
        <f t="shared" si="73"/>
        <v>0.25</v>
      </c>
      <c r="R985" s="28">
        <f t="shared" si="73"/>
        <v>0.25</v>
      </c>
      <c r="S985" s="28">
        <f t="shared" si="73"/>
        <v>0.25</v>
      </c>
      <c r="T985" s="28">
        <f t="shared" si="73"/>
        <v>0.25</v>
      </c>
      <c r="U985" s="28">
        <f t="shared" si="73"/>
        <v>0.25</v>
      </c>
      <c r="V985" s="28">
        <f t="shared" si="73"/>
        <v>0.25</v>
      </c>
      <c r="W985" s="28">
        <f t="shared" si="73"/>
        <v>0.25</v>
      </c>
    </row>
    <row r="986" ht="15.6" spans="1:1">
      <c r="A986" s="5" t="s">
        <v>102</v>
      </c>
    </row>
    <row r="987" spans="1:23">
      <c r="A987" s="27" t="s">
        <v>96</v>
      </c>
      <c r="B987" t="s">
        <v>108</v>
      </c>
      <c r="C987" s="14"/>
      <c r="D987" s="14"/>
      <c r="E987" s="14"/>
      <c r="F987" s="14"/>
      <c r="G987" s="14"/>
      <c r="H987" s="14"/>
      <c r="I987" s="14"/>
      <c r="J987" s="14"/>
      <c r="K987" s="14"/>
      <c r="L987" s="14"/>
      <c r="M987" s="14"/>
      <c r="N987" s="14"/>
      <c r="O987" s="14"/>
      <c r="P987" s="14"/>
      <c r="Q987" s="14"/>
      <c r="R987" s="14"/>
      <c r="S987" s="14"/>
      <c r="T987" s="14"/>
      <c r="U987" s="14"/>
      <c r="V987" s="14"/>
      <c r="W987" s="14"/>
    </row>
    <row r="988" spans="1:23">
      <c r="A988" s="27" t="s">
        <v>98</v>
      </c>
      <c r="B988" t="s">
        <v>109</v>
      </c>
      <c r="C988" s="14"/>
      <c r="D988" s="14"/>
      <c r="E988" s="14"/>
      <c r="F988" s="14"/>
      <c r="G988" s="14"/>
      <c r="H988" s="14"/>
      <c r="I988" s="14"/>
      <c r="J988" s="14"/>
      <c r="K988" s="14"/>
      <c r="L988" s="14"/>
      <c r="M988" s="14"/>
      <c r="N988" s="14"/>
      <c r="O988" s="14"/>
      <c r="P988" s="14"/>
      <c r="Q988" s="14"/>
      <c r="R988" s="14"/>
      <c r="S988" s="14"/>
      <c r="T988" s="14"/>
      <c r="U988" s="14"/>
      <c r="V988" s="14"/>
      <c r="W988" s="14"/>
    </row>
    <row r="989" spans="1:23">
      <c r="A989" s="27" t="s">
        <v>100</v>
      </c>
      <c r="B989" t="s">
        <v>60</v>
      </c>
      <c r="C989" s="14"/>
      <c r="D989" s="14"/>
      <c r="E989" s="14"/>
      <c r="F989" s="14"/>
      <c r="G989" s="14"/>
      <c r="H989" s="14"/>
      <c r="I989" s="14"/>
      <c r="J989" s="14"/>
      <c r="K989" s="14"/>
      <c r="L989" s="14"/>
      <c r="M989" s="14"/>
      <c r="N989" s="14"/>
      <c r="O989" s="14"/>
      <c r="P989" s="14"/>
      <c r="Q989" s="14"/>
      <c r="R989" s="14"/>
      <c r="S989" s="14"/>
      <c r="T989" s="14"/>
      <c r="U989" s="14"/>
      <c r="V989" s="14"/>
      <c r="W989" s="14"/>
    </row>
    <row r="990" ht="15.6" spans="1:1">
      <c r="A990" s="5" t="s">
        <v>110</v>
      </c>
    </row>
    <row r="991" spans="1:23">
      <c r="A991" s="27" t="s">
        <v>96</v>
      </c>
      <c r="B991" t="s">
        <v>60</v>
      </c>
      <c r="C991" s="14"/>
      <c r="D991" s="14"/>
      <c r="E991" s="14"/>
      <c r="F991" s="14"/>
      <c r="G991" s="14"/>
      <c r="H991" s="14"/>
      <c r="I991" s="14"/>
      <c r="J991" s="14"/>
      <c r="K991" s="14"/>
      <c r="L991" s="14"/>
      <c r="M991" s="14"/>
      <c r="N991" s="14"/>
      <c r="O991" s="14"/>
      <c r="P991" s="14"/>
      <c r="Q991" s="14"/>
      <c r="R991" s="14"/>
      <c r="S991" s="14"/>
      <c r="T991" s="14"/>
      <c r="U991" s="14"/>
      <c r="V991" s="14"/>
      <c r="W991" s="14"/>
    </row>
    <row r="992" spans="1:23">
      <c r="A992" s="27" t="s">
        <v>98</v>
      </c>
      <c r="B992" t="s">
        <v>60</v>
      </c>
      <c r="C992" s="14"/>
      <c r="D992" s="14"/>
      <c r="E992" s="14"/>
      <c r="F992" s="14"/>
      <c r="G992" s="14"/>
      <c r="H992" s="14"/>
      <c r="I992" s="14"/>
      <c r="J992" s="14"/>
      <c r="K992" s="14"/>
      <c r="L992" s="14"/>
      <c r="M992" s="14"/>
      <c r="N992" s="14"/>
      <c r="O992" s="14"/>
      <c r="P992" s="14"/>
      <c r="Q992" s="14"/>
      <c r="R992" s="14"/>
      <c r="S992" s="14"/>
      <c r="T992" s="14"/>
      <c r="U992" s="14"/>
      <c r="V992" s="14"/>
      <c r="W992" s="14"/>
    </row>
    <row r="993" spans="1:23">
      <c r="A993" s="27" t="s">
        <v>100</v>
      </c>
      <c r="B993" t="s">
        <v>60</v>
      </c>
      <c r="C993" s="39"/>
      <c r="D993" s="39"/>
      <c r="E993" s="39"/>
      <c r="F993" s="39"/>
      <c r="G993" s="39"/>
      <c r="H993" s="39"/>
      <c r="I993" s="39"/>
      <c r="J993" s="39"/>
      <c r="K993" s="39"/>
      <c r="L993" s="39"/>
      <c r="M993" s="39"/>
      <c r="N993" s="39"/>
      <c r="O993" s="39"/>
      <c r="P993" s="39"/>
      <c r="Q993" s="39"/>
      <c r="R993" s="39"/>
      <c r="S993" s="39"/>
      <c r="T993" s="39"/>
      <c r="U993" s="39"/>
      <c r="V993" s="39"/>
      <c r="W993" s="39"/>
    </row>
    <row r="994" ht="15.6" spans="1:1">
      <c r="A994" s="5" t="s">
        <v>105</v>
      </c>
    </row>
    <row r="995" spans="1:23">
      <c r="A995" s="27" t="s">
        <v>96</v>
      </c>
      <c r="B995" t="s">
        <v>60</v>
      </c>
      <c r="C995" s="50"/>
      <c r="D995" s="50"/>
      <c r="E995" s="50"/>
      <c r="F995" s="50"/>
      <c r="G995" s="50"/>
      <c r="H995" s="50"/>
      <c r="I995" s="50"/>
      <c r="J995" s="50"/>
      <c r="K995" s="50"/>
      <c r="L995" s="50"/>
      <c r="M995" s="50"/>
      <c r="N995" s="50"/>
      <c r="O995" s="50"/>
      <c r="P995" s="50"/>
      <c r="Q995" s="50"/>
      <c r="R995" s="50"/>
      <c r="S995" s="50"/>
      <c r="T995" s="50"/>
      <c r="U995" s="50"/>
      <c r="V995" s="50"/>
      <c r="W995" s="50"/>
    </row>
    <row r="996" spans="1:23">
      <c r="A996" s="27" t="s">
        <v>98</v>
      </c>
      <c r="B996" t="s">
        <v>60</v>
      </c>
      <c r="C996" s="50"/>
      <c r="D996" s="50"/>
      <c r="E996" s="50"/>
      <c r="F996" s="50"/>
      <c r="G996" s="50"/>
      <c r="H996" s="50"/>
      <c r="I996" s="50"/>
      <c r="J996" s="50"/>
      <c r="K996" s="50"/>
      <c r="L996" s="50"/>
      <c r="M996" s="50"/>
      <c r="N996" s="50"/>
      <c r="O996" s="50"/>
      <c r="P996" s="50"/>
      <c r="Q996" s="50"/>
      <c r="R996" s="50"/>
      <c r="S996" s="50"/>
      <c r="T996" s="50"/>
      <c r="U996" s="50"/>
      <c r="V996" s="50"/>
      <c r="W996" s="50"/>
    </row>
    <row r="997" spans="1:23">
      <c r="A997" s="27" t="s">
        <v>100</v>
      </c>
      <c r="B997" t="s">
        <v>60</v>
      </c>
      <c r="C997" s="50"/>
      <c r="D997" s="50"/>
      <c r="E997" s="50"/>
      <c r="F997" s="50"/>
      <c r="G997" s="50"/>
      <c r="H997" s="50"/>
      <c r="I997" s="50"/>
      <c r="J997" s="50"/>
      <c r="K997" s="50"/>
      <c r="L997" s="50"/>
      <c r="M997" s="50"/>
      <c r="N997" s="50"/>
      <c r="O997" s="50"/>
      <c r="P997" s="50"/>
      <c r="Q997" s="50"/>
      <c r="R997" s="50"/>
      <c r="S997" s="50"/>
      <c r="T997" s="50"/>
      <c r="U997" s="50"/>
      <c r="V997" s="50"/>
      <c r="W997" s="50"/>
    </row>
    <row r="998" spans="1:23">
      <c r="A998" s="31" t="s">
        <v>107</v>
      </c>
      <c r="B998" s="32" t="s">
        <v>60</v>
      </c>
      <c r="C998" s="33"/>
      <c r="D998" s="33"/>
      <c r="E998" s="33"/>
      <c r="F998" s="33"/>
      <c r="G998" s="33"/>
      <c r="H998" s="33"/>
      <c r="I998" s="33"/>
      <c r="J998" s="33"/>
      <c r="K998" s="33"/>
      <c r="L998" s="33"/>
      <c r="M998" s="33"/>
      <c r="N998" s="33"/>
      <c r="O998" s="33"/>
      <c r="P998" s="33"/>
      <c r="Q998" s="33"/>
      <c r="R998" s="33"/>
      <c r="S998" s="33"/>
      <c r="T998" s="33"/>
      <c r="U998" s="33"/>
      <c r="V998" s="33"/>
      <c r="W998" s="33"/>
    </row>
    <row r="999" ht="15.6" spans="1:23">
      <c r="A999" s="25" t="s">
        <v>94</v>
      </c>
      <c r="C999" s="12"/>
      <c r="D999" s="12"/>
      <c r="E999" s="12"/>
      <c r="F999" s="12"/>
      <c r="G999" s="12"/>
      <c r="H999" s="12"/>
      <c r="I999" s="12"/>
      <c r="J999" s="12"/>
      <c r="K999" s="12"/>
      <c r="L999" s="12"/>
      <c r="M999" s="12"/>
      <c r="N999" s="12"/>
      <c r="O999" s="12"/>
      <c r="P999" s="12"/>
      <c r="Q999" s="12"/>
      <c r="R999" s="12"/>
      <c r="S999" s="12"/>
      <c r="T999" s="12"/>
      <c r="U999" s="12"/>
      <c r="V999" s="12"/>
      <c r="W999" s="12"/>
    </row>
    <row r="1000" ht="15.6" spans="1:23">
      <c r="A1000" s="25" t="s">
        <v>113</v>
      </c>
      <c r="B1000" t="s">
        <v>114</v>
      </c>
      <c r="C1000" s="40">
        <v>35</v>
      </c>
      <c r="D1000" s="40">
        <v>35</v>
      </c>
      <c r="E1000" s="40">
        <v>35</v>
      </c>
      <c r="F1000" s="40">
        <v>35</v>
      </c>
      <c r="G1000" s="40">
        <v>35</v>
      </c>
      <c r="H1000" s="40">
        <v>35</v>
      </c>
      <c r="I1000" s="40">
        <v>35</v>
      </c>
      <c r="J1000" s="40">
        <v>35</v>
      </c>
      <c r="K1000" s="40">
        <v>35</v>
      </c>
      <c r="L1000" s="40">
        <v>35</v>
      </c>
      <c r="M1000" s="40">
        <v>35</v>
      </c>
      <c r="N1000" s="40">
        <v>35</v>
      </c>
      <c r="O1000" s="40">
        <v>35</v>
      </c>
      <c r="P1000" s="40">
        <v>35</v>
      </c>
      <c r="Q1000" s="40">
        <v>35</v>
      </c>
      <c r="R1000" s="40">
        <v>35</v>
      </c>
      <c r="S1000" s="40">
        <v>35</v>
      </c>
      <c r="T1000" s="40">
        <v>35</v>
      </c>
      <c r="U1000" s="40">
        <v>35</v>
      </c>
      <c r="V1000" s="40">
        <v>35</v>
      </c>
      <c r="W1000" s="40">
        <v>35</v>
      </c>
    </row>
    <row r="1001" ht="15.6" spans="1:23">
      <c r="A1001" s="25" t="s">
        <v>115</v>
      </c>
      <c r="B1001" t="s">
        <v>116</v>
      </c>
      <c r="C1001" s="57">
        <v>0.2</v>
      </c>
      <c r="D1001" s="57">
        <v>0.2</v>
      </c>
      <c r="E1001" s="57">
        <v>0.2</v>
      </c>
      <c r="F1001" s="57">
        <v>0.2</v>
      </c>
      <c r="G1001" s="57">
        <v>0.2</v>
      </c>
      <c r="H1001" s="57">
        <v>0.2</v>
      </c>
      <c r="I1001" s="57">
        <v>0.2</v>
      </c>
      <c r="J1001" s="57">
        <v>0.2</v>
      </c>
      <c r="K1001" s="57">
        <v>0.2</v>
      </c>
      <c r="L1001" s="57">
        <v>0.2</v>
      </c>
      <c r="M1001" s="57">
        <v>0.2</v>
      </c>
      <c r="N1001" s="57">
        <v>0.2</v>
      </c>
      <c r="O1001" s="57">
        <v>0.2</v>
      </c>
      <c r="P1001" s="57">
        <v>0.2</v>
      </c>
      <c r="Q1001" s="57">
        <v>0.2</v>
      </c>
      <c r="R1001" s="57">
        <v>0.2</v>
      </c>
      <c r="S1001" s="57">
        <v>0.2</v>
      </c>
      <c r="T1001" s="57">
        <v>0.2</v>
      </c>
      <c r="U1001" s="57">
        <v>0.2</v>
      </c>
      <c r="V1001" s="57">
        <v>0.2</v>
      </c>
      <c r="W1001" s="57">
        <v>0.2</v>
      </c>
    </row>
    <row r="1002" ht="15.6" spans="1:1">
      <c r="A1002" s="5" t="s">
        <v>95</v>
      </c>
    </row>
    <row r="1003" ht="15.6" spans="1:23">
      <c r="A1003" s="27" t="s">
        <v>117</v>
      </c>
      <c r="B1003" t="s">
        <v>118</v>
      </c>
      <c r="C1003" s="42">
        <v>45</v>
      </c>
      <c r="D1003" s="42">
        <v>45</v>
      </c>
      <c r="E1003" s="42">
        <v>45</v>
      </c>
      <c r="F1003" s="42">
        <v>45</v>
      </c>
      <c r="G1003" s="42">
        <v>45</v>
      </c>
      <c r="H1003" s="42">
        <v>45</v>
      </c>
      <c r="I1003" s="42">
        <v>45</v>
      </c>
      <c r="J1003" s="42">
        <v>45</v>
      </c>
      <c r="K1003" s="42">
        <v>45</v>
      </c>
      <c r="L1003" s="42">
        <v>45</v>
      </c>
      <c r="M1003" s="42">
        <v>45</v>
      </c>
      <c r="N1003" s="42">
        <v>45</v>
      </c>
      <c r="O1003" s="42">
        <v>45</v>
      </c>
      <c r="P1003" s="42">
        <v>45</v>
      </c>
      <c r="Q1003" s="42">
        <v>45</v>
      </c>
      <c r="R1003" s="42">
        <v>45</v>
      </c>
      <c r="S1003" s="42">
        <v>45</v>
      </c>
      <c r="T1003" s="42">
        <v>45</v>
      </c>
      <c r="U1003" s="42">
        <v>45</v>
      </c>
      <c r="V1003" s="42">
        <v>45</v>
      </c>
      <c r="W1003" s="42">
        <v>45</v>
      </c>
    </row>
    <row r="1004" ht="15.6" spans="1:23">
      <c r="A1004" s="27" t="s">
        <v>96</v>
      </c>
      <c r="B1004" t="s">
        <v>119</v>
      </c>
      <c r="C1004" s="43">
        <v>0.01</v>
      </c>
      <c r="D1004" s="43">
        <v>0.01</v>
      </c>
      <c r="E1004" s="43">
        <v>0.01</v>
      </c>
      <c r="F1004" s="43">
        <v>0.01</v>
      </c>
      <c r="G1004" s="43">
        <v>0.01</v>
      </c>
      <c r="H1004" s="43">
        <v>0.01</v>
      </c>
      <c r="I1004" s="43">
        <v>0.01</v>
      </c>
      <c r="J1004" s="43">
        <v>0.01</v>
      </c>
      <c r="K1004" s="43">
        <v>0.01</v>
      </c>
      <c r="L1004" s="43">
        <v>0.01</v>
      </c>
      <c r="M1004" s="43">
        <v>0.01</v>
      </c>
      <c r="N1004" s="43">
        <v>0.01</v>
      </c>
      <c r="O1004" s="43">
        <v>0.01</v>
      </c>
      <c r="P1004" s="43">
        <v>0.01</v>
      </c>
      <c r="Q1004" s="43">
        <v>0.01</v>
      </c>
      <c r="R1004" s="43">
        <v>0.01</v>
      </c>
      <c r="S1004" s="43">
        <v>0.01</v>
      </c>
      <c r="T1004" s="43">
        <v>0.01</v>
      </c>
      <c r="U1004" s="43">
        <v>0.01</v>
      </c>
      <c r="V1004" s="43">
        <v>0.01</v>
      </c>
      <c r="W1004" s="43">
        <v>0.01</v>
      </c>
    </row>
    <row r="1005" ht="15.6" spans="1:23">
      <c r="A1005" s="27" t="s">
        <v>98</v>
      </c>
      <c r="B1005" t="s">
        <v>120</v>
      </c>
      <c r="C1005" s="43">
        <f t="shared" ref="C1005:W1005" si="74">1.5*2.7556/2</f>
        <v>2.0667</v>
      </c>
      <c r="D1005" s="43">
        <f t="shared" si="74"/>
        <v>2.0667</v>
      </c>
      <c r="E1005" s="43">
        <f t="shared" si="74"/>
        <v>2.0667</v>
      </c>
      <c r="F1005" s="43">
        <f t="shared" si="74"/>
        <v>2.0667</v>
      </c>
      <c r="G1005" s="43">
        <f t="shared" si="74"/>
        <v>2.0667</v>
      </c>
      <c r="H1005" s="43">
        <f t="shared" si="74"/>
        <v>2.0667</v>
      </c>
      <c r="I1005" s="43">
        <f t="shared" si="74"/>
        <v>2.0667</v>
      </c>
      <c r="J1005" s="43">
        <f t="shared" si="74"/>
        <v>2.0667</v>
      </c>
      <c r="K1005" s="43">
        <f t="shared" si="74"/>
        <v>2.0667</v>
      </c>
      <c r="L1005" s="43">
        <f t="shared" si="74"/>
        <v>2.0667</v>
      </c>
      <c r="M1005" s="43">
        <f t="shared" si="74"/>
        <v>2.0667</v>
      </c>
      <c r="N1005" s="43">
        <f t="shared" si="74"/>
        <v>2.0667</v>
      </c>
      <c r="O1005" s="43">
        <f t="shared" si="74"/>
        <v>2.0667</v>
      </c>
      <c r="P1005" s="43">
        <f t="shared" si="74"/>
        <v>2.0667</v>
      </c>
      <c r="Q1005" s="43">
        <f t="shared" si="74"/>
        <v>2.0667</v>
      </c>
      <c r="R1005" s="43">
        <f t="shared" si="74"/>
        <v>2.0667</v>
      </c>
      <c r="S1005" s="43">
        <f t="shared" si="74"/>
        <v>2.0667</v>
      </c>
      <c r="T1005" s="43">
        <f t="shared" si="74"/>
        <v>2.0667</v>
      </c>
      <c r="U1005" s="43">
        <f t="shared" si="74"/>
        <v>2.0667</v>
      </c>
      <c r="V1005" s="43">
        <f t="shared" si="74"/>
        <v>2.0667</v>
      </c>
      <c r="W1005" s="43">
        <f t="shared" si="74"/>
        <v>2.0667</v>
      </c>
    </row>
    <row r="1006" ht="15.6" spans="1:23">
      <c r="A1006" s="27" t="s">
        <v>100</v>
      </c>
      <c r="B1006" t="s">
        <v>121</v>
      </c>
      <c r="C1006" s="28">
        <v>0.5</v>
      </c>
      <c r="D1006" s="28">
        <v>0.5</v>
      </c>
      <c r="E1006" s="28">
        <v>0.5</v>
      </c>
      <c r="F1006" s="28">
        <v>0.5</v>
      </c>
      <c r="G1006" s="28">
        <v>0.5</v>
      </c>
      <c r="H1006" s="28">
        <v>0.5</v>
      </c>
      <c r="I1006" s="28">
        <v>0.5</v>
      </c>
      <c r="J1006" s="28">
        <v>0.5</v>
      </c>
      <c r="K1006" s="28">
        <v>0.5</v>
      </c>
      <c r="L1006" s="28">
        <v>0.5</v>
      </c>
      <c r="M1006" s="28">
        <v>0.5</v>
      </c>
      <c r="N1006" s="28">
        <v>0.5</v>
      </c>
      <c r="O1006" s="28">
        <v>0.5</v>
      </c>
      <c r="P1006" s="28">
        <v>0.5</v>
      </c>
      <c r="Q1006" s="28">
        <v>0.5</v>
      </c>
      <c r="R1006" s="28">
        <v>0.5</v>
      </c>
      <c r="S1006" s="28">
        <v>0.5</v>
      </c>
      <c r="T1006" s="28">
        <v>0.5</v>
      </c>
      <c r="U1006" s="28">
        <v>0.5</v>
      </c>
      <c r="V1006" s="28">
        <v>0.5</v>
      </c>
      <c r="W1006" s="28">
        <v>0.5</v>
      </c>
    </row>
    <row r="1007" ht="15.6" spans="1:23">
      <c r="A1007" s="27" t="s">
        <v>122</v>
      </c>
      <c r="B1007" t="s">
        <v>45</v>
      </c>
      <c r="C1007" s="44"/>
      <c r="D1007" s="44"/>
      <c r="E1007" s="44"/>
      <c r="F1007" s="44"/>
      <c r="G1007" s="44"/>
      <c r="H1007" s="44"/>
      <c r="I1007" s="44"/>
      <c r="J1007" s="44"/>
      <c r="K1007" s="44"/>
      <c r="L1007" s="44"/>
      <c r="M1007" s="44"/>
      <c r="N1007" s="44"/>
      <c r="O1007" s="44"/>
      <c r="P1007" s="44"/>
      <c r="Q1007" s="44"/>
      <c r="R1007" s="44"/>
      <c r="S1007" s="44"/>
      <c r="T1007" s="44"/>
      <c r="U1007" s="44"/>
      <c r="V1007" s="44"/>
      <c r="W1007" s="44"/>
    </row>
    <row r="1008" ht="15.6" spans="1:23">
      <c r="A1008" s="27" t="s">
        <v>123</v>
      </c>
      <c r="B1008" s="9" t="s">
        <v>51</v>
      </c>
      <c r="C1008" s="44"/>
      <c r="D1008" s="44"/>
      <c r="E1008" s="44"/>
      <c r="F1008" s="44"/>
      <c r="G1008" s="44"/>
      <c r="H1008" s="44"/>
      <c r="I1008" s="44"/>
      <c r="J1008" s="44"/>
      <c r="K1008" s="44"/>
      <c r="L1008" s="44"/>
      <c r="M1008" s="44"/>
      <c r="N1008" s="44"/>
      <c r="O1008" s="44"/>
      <c r="P1008" s="44"/>
      <c r="Q1008" s="44"/>
      <c r="R1008" s="44"/>
      <c r="S1008" s="44"/>
      <c r="T1008" s="44"/>
      <c r="U1008" s="44"/>
      <c r="V1008" s="44"/>
      <c r="W1008" s="44"/>
    </row>
    <row r="1009" ht="15.6" spans="1:23">
      <c r="A1009" s="27" t="s">
        <v>124</v>
      </c>
      <c r="B1009" s="9" t="s">
        <v>51</v>
      </c>
      <c r="C1009" s="44"/>
      <c r="D1009" s="44"/>
      <c r="E1009" s="44"/>
      <c r="F1009" s="44"/>
      <c r="G1009" s="44"/>
      <c r="H1009" s="44"/>
      <c r="I1009" s="44"/>
      <c r="J1009" s="44"/>
      <c r="K1009" s="44"/>
      <c r="L1009" s="44"/>
      <c r="M1009" s="44"/>
      <c r="N1009" s="44"/>
      <c r="O1009" s="44"/>
      <c r="P1009" s="44"/>
      <c r="Q1009" s="44"/>
      <c r="R1009" s="44"/>
      <c r="S1009" s="44"/>
      <c r="T1009" s="44"/>
      <c r="U1009" s="44"/>
      <c r="V1009" s="44"/>
      <c r="W1009" s="44"/>
    </row>
    <row r="1010" ht="15.6" spans="1:1">
      <c r="A1010" s="5" t="s">
        <v>102</v>
      </c>
    </row>
    <row r="1011" spans="1:23">
      <c r="A1011" s="27" t="s">
        <v>96</v>
      </c>
      <c r="B1011" t="s">
        <v>119</v>
      </c>
      <c r="C1011" s="45"/>
      <c r="D1011" s="45"/>
      <c r="E1011" s="45"/>
      <c r="F1011" s="45"/>
      <c r="G1011" s="45"/>
      <c r="H1011" s="45"/>
      <c r="I1011" s="45"/>
      <c r="J1011" s="45"/>
      <c r="K1011" s="45"/>
      <c r="L1011" s="45"/>
      <c r="M1011" s="45"/>
      <c r="N1011" s="45"/>
      <c r="O1011" s="45"/>
      <c r="P1011" s="45"/>
      <c r="Q1011" s="45"/>
      <c r="R1011" s="45"/>
      <c r="S1011" s="45"/>
      <c r="T1011" s="45"/>
      <c r="U1011" s="45"/>
      <c r="V1011" s="45"/>
      <c r="W1011" s="45"/>
    </row>
    <row r="1012" spans="1:23">
      <c r="A1012" s="27" t="s">
        <v>98</v>
      </c>
      <c r="B1012" t="s">
        <v>120</v>
      </c>
      <c r="C1012" s="45"/>
      <c r="D1012" s="45"/>
      <c r="E1012" s="45"/>
      <c r="F1012" s="45"/>
      <c r="G1012" s="45"/>
      <c r="H1012" s="45"/>
      <c r="I1012" s="45"/>
      <c r="J1012" s="45"/>
      <c r="K1012" s="45"/>
      <c r="L1012" s="45"/>
      <c r="M1012" s="45"/>
      <c r="N1012" s="45"/>
      <c r="O1012" s="45"/>
      <c r="P1012" s="45"/>
      <c r="Q1012" s="45"/>
      <c r="R1012" s="45"/>
      <c r="S1012" s="45"/>
      <c r="T1012" s="45"/>
      <c r="U1012" s="45"/>
      <c r="V1012" s="45"/>
      <c r="W1012" s="45"/>
    </row>
    <row r="1013" spans="1:23">
      <c r="A1013" s="27" t="s">
        <v>100</v>
      </c>
      <c r="B1013" t="s">
        <v>121</v>
      </c>
      <c r="C1013" s="45"/>
      <c r="D1013" s="45"/>
      <c r="E1013" s="45"/>
      <c r="F1013" s="45"/>
      <c r="G1013" s="45"/>
      <c r="H1013" s="45"/>
      <c r="I1013" s="45"/>
      <c r="J1013" s="45"/>
      <c r="K1013" s="45"/>
      <c r="L1013" s="45"/>
      <c r="M1013" s="45"/>
      <c r="N1013" s="45"/>
      <c r="O1013" s="45"/>
      <c r="P1013" s="45"/>
      <c r="Q1013" s="45"/>
      <c r="R1013" s="45"/>
      <c r="S1013" s="45"/>
      <c r="T1013" s="45"/>
      <c r="U1013" s="45"/>
      <c r="V1013" s="45"/>
      <c r="W1013" s="45"/>
    </row>
    <row r="1014" ht="15.6" spans="1:1">
      <c r="A1014" s="5" t="s">
        <v>125</v>
      </c>
    </row>
    <row r="1015" spans="1:23">
      <c r="A1015" s="27" t="s">
        <v>96</v>
      </c>
      <c r="B1015" t="s">
        <v>119</v>
      </c>
      <c r="C1015" s="45"/>
      <c r="D1015" s="45"/>
      <c r="E1015" s="45"/>
      <c r="F1015" s="45"/>
      <c r="G1015" s="45"/>
      <c r="H1015" s="45"/>
      <c r="I1015" s="45"/>
      <c r="J1015" s="45"/>
      <c r="K1015" s="45"/>
      <c r="L1015" s="45"/>
      <c r="M1015" s="45"/>
      <c r="N1015" s="45"/>
      <c r="O1015" s="45"/>
      <c r="P1015" s="45"/>
      <c r="Q1015" s="45"/>
      <c r="R1015" s="45"/>
      <c r="S1015" s="45"/>
      <c r="T1015" s="45"/>
      <c r="U1015" s="45"/>
      <c r="V1015" s="45"/>
      <c r="W1015" s="45"/>
    </row>
    <row r="1016" spans="1:23">
      <c r="A1016" s="27" t="s">
        <v>98</v>
      </c>
      <c r="B1016" t="s">
        <v>126</v>
      </c>
      <c r="C1016" s="45"/>
      <c r="D1016" s="45"/>
      <c r="E1016" s="45"/>
      <c r="F1016" s="45"/>
      <c r="G1016" s="45"/>
      <c r="H1016" s="45"/>
      <c r="I1016" s="45"/>
      <c r="J1016" s="45"/>
      <c r="K1016" s="45"/>
      <c r="L1016" s="45"/>
      <c r="M1016" s="45"/>
      <c r="N1016" s="45"/>
      <c r="O1016" s="45"/>
      <c r="P1016" s="45"/>
      <c r="Q1016" s="45"/>
      <c r="R1016" s="45"/>
      <c r="S1016" s="45"/>
      <c r="T1016" s="45"/>
      <c r="U1016" s="45"/>
      <c r="V1016" s="45"/>
      <c r="W1016" s="45"/>
    </row>
    <row r="1017" spans="1:23">
      <c r="A1017" s="27" t="s">
        <v>100</v>
      </c>
      <c r="B1017" t="s">
        <v>121</v>
      </c>
      <c r="C1017" s="45"/>
      <c r="D1017" s="45"/>
      <c r="E1017" s="45"/>
      <c r="F1017" s="45"/>
      <c r="G1017" s="45"/>
      <c r="H1017" s="45"/>
      <c r="I1017" s="45"/>
      <c r="J1017" s="45"/>
      <c r="K1017" s="45"/>
      <c r="L1017" s="45"/>
      <c r="M1017" s="45"/>
      <c r="N1017" s="45"/>
      <c r="O1017" s="45"/>
      <c r="P1017" s="45"/>
      <c r="Q1017" s="45"/>
      <c r="R1017" s="45"/>
      <c r="S1017" s="45"/>
      <c r="T1017" s="45"/>
      <c r="U1017" s="45"/>
      <c r="V1017" s="45"/>
      <c r="W1017" s="45"/>
    </row>
    <row r="1018" ht="15.6" spans="1:1">
      <c r="A1018" s="5" t="s">
        <v>127</v>
      </c>
    </row>
    <row r="1019" spans="1:23">
      <c r="A1019" s="27" t="s">
        <v>96</v>
      </c>
      <c r="B1019" t="s">
        <v>60</v>
      </c>
      <c r="C1019" s="45"/>
      <c r="D1019" s="45"/>
      <c r="E1019" s="45"/>
      <c r="F1019" s="45"/>
      <c r="G1019" s="45"/>
      <c r="H1019" s="45"/>
      <c r="I1019" s="45"/>
      <c r="J1019" s="45"/>
      <c r="K1019" s="45"/>
      <c r="L1019" s="45"/>
      <c r="M1019" s="45"/>
      <c r="N1019" s="45"/>
      <c r="O1019" s="45"/>
      <c r="P1019" s="45"/>
      <c r="Q1019" s="45"/>
      <c r="R1019" s="45"/>
      <c r="S1019" s="45"/>
      <c r="T1019" s="45"/>
      <c r="U1019" s="45"/>
      <c r="V1019" s="45"/>
      <c r="W1019" s="45"/>
    </row>
    <row r="1020" spans="1:23">
      <c r="A1020" s="27" t="s">
        <v>98</v>
      </c>
      <c r="B1020" t="s">
        <v>60</v>
      </c>
      <c r="C1020" s="45"/>
      <c r="D1020" s="45"/>
      <c r="E1020" s="45"/>
      <c r="F1020" s="45"/>
      <c r="G1020" s="45"/>
      <c r="H1020" s="45"/>
      <c r="I1020" s="45"/>
      <c r="J1020" s="45"/>
      <c r="K1020" s="45"/>
      <c r="L1020" s="45"/>
      <c r="M1020" s="45"/>
      <c r="N1020" s="45"/>
      <c r="O1020" s="45"/>
      <c r="P1020" s="45"/>
      <c r="Q1020" s="45"/>
      <c r="R1020" s="45"/>
      <c r="S1020" s="45"/>
      <c r="T1020" s="45"/>
      <c r="U1020" s="45"/>
      <c r="V1020" s="45"/>
      <c r="W1020" s="45"/>
    </row>
    <row r="1021" spans="1:23">
      <c r="A1021" s="27" t="s">
        <v>100</v>
      </c>
      <c r="B1021" t="s">
        <v>60</v>
      </c>
      <c r="C1021" s="46"/>
      <c r="D1021" s="46"/>
      <c r="E1021" s="46"/>
      <c r="F1021" s="46"/>
      <c r="G1021" s="46"/>
      <c r="H1021" s="46"/>
      <c r="I1021" s="46"/>
      <c r="J1021" s="46"/>
      <c r="K1021" s="46"/>
      <c r="L1021" s="46"/>
      <c r="M1021" s="46"/>
      <c r="N1021" s="46"/>
      <c r="O1021" s="46"/>
      <c r="P1021" s="46"/>
      <c r="Q1021" s="46"/>
      <c r="R1021" s="46"/>
      <c r="S1021" s="46"/>
      <c r="T1021" s="46"/>
      <c r="U1021" s="46"/>
      <c r="V1021" s="46"/>
      <c r="W1021" s="46"/>
    </row>
    <row r="1022" ht="15.6" spans="1:1">
      <c r="A1022" s="5" t="s">
        <v>105</v>
      </c>
    </row>
    <row r="1023" spans="1:23">
      <c r="A1023" s="27" t="s">
        <v>96</v>
      </c>
      <c r="B1023" t="s">
        <v>60</v>
      </c>
      <c r="C1023" s="50"/>
      <c r="D1023" s="50"/>
      <c r="E1023" s="50"/>
      <c r="F1023" s="50"/>
      <c r="G1023" s="50"/>
      <c r="H1023" s="50"/>
      <c r="I1023" s="50"/>
      <c r="J1023" s="50"/>
      <c r="K1023" s="50"/>
      <c r="L1023" s="50"/>
      <c r="M1023" s="50"/>
      <c r="N1023" s="50"/>
      <c r="O1023" s="50"/>
      <c r="P1023" s="50"/>
      <c r="Q1023" s="50"/>
      <c r="R1023" s="50"/>
      <c r="S1023" s="50"/>
      <c r="T1023" s="50"/>
      <c r="U1023" s="50"/>
      <c r="V1023" s="50"/>
      <c r="W1023" s="50"/>
    </row>
    <row r="1024" spans="1:23">
      <c r="A1024" s="27" t="s">
        <v>98</v>
      </c>
      <c r="B1024" t="s">
        <v>60</v>
      </c>
      <c r="C1024" s="50"/>
      <c r="D1024" s="50"/>
      <c r="E1024" s="50"/>
      <c r="F1024" s="50"/>
      <c r="G1024" s="50"/>
      <c r="H1024" s="50"/>
      <c r="I1024" s="50"/>
      <c r="J1024" s="50"/>
      <c r="K1024" s="50"/>
      <c r="L1024" s="50"/>
      <c r="M1024" s="50"/>
      <c r="N1024" s="50"/>
      <c r="O1024" s="50"/>
      <c r="P1024" s="50"/>
      <c r="Q1024" s="50"/>
      <c r="R1024" s="50"/>
      <c r="S1024" s="50"/>
      <c r="T1024" s="50"/>
      <c r="U1024" s="50"/>
      <c r="V1024" s="50"/>
      <c r="W1024" s="50"/>
    </row>
    <row r="1025" spans="1:23">
      <c r="A1025" s="27" t="s">
        <v>100</v>
      </c>
      <c r="B1025" t="s">
        <v>60</v>
      </c>
      <c r="C1025" s="50"/>
      <c r="D1025" s="50"/>
      <c r="E1025" s="50"/>
      <c r="F1025" s="50"/>
      <c r="G1025" s="50"/>
      <c r="H1025" s="50"/>
      <c r="I1025" s="50"/>
      <c r="J1025" s="50"/>
      <c r="K1025" s="50"/>
      <c r="L1025" s="50"/>
      <c r="M1025" s="50"/>
      <c r="N1025" s="50"/>
      <c r="O1025" s="50"/>
      <c r="P1025" s="50"/>
      <c r="Q1025" s="50"/>
      <c r="R1025" s="50"/>
      <c r="S1025" s="50"/>
      <c r="T1025" s="50"/>
      <c r="U1025" s="50"/>
      <c r="V1025" s="50"/>
      <c r="W1025" s="50"/>
    </row>
    <row r="1026" spans="1:23">
      <c r="A1026" s="31" t="s">
        <v>107</v>
      </c>
      <c r="B1026" s="32" t="s">
        <v>60</v>
      </c>
      <c r="C1026" s="33"/>
      <c r="D1026" s="33"/>
      <c r="E1026" s="33"/>
      <c r="F1026" s="33"/>
      <c r="G1026" s="33"/>
      <c r="H1026" s="33"/>
      <c r="I1026" s="33"/>
      <c r="J1026" s="33"/>
      <c r="K1026" s="33"/>
      <c r="L1026" s="33"/>
      <c r="M1026" s="33"/>
      <c r="N1026" s="33"/>
      <c r="O1026" s="33"/>
      <c r="P1026" s="33"/>
      <c r="Q1026" s="33"/>
      <c r="R1026" s="33"/>
      <c r="S1026" s="33"/>
      <c r="T1026" s="33"/>
      <c r="U1026" s="33"/>
      <c r="V1026" s="33"/>
      <c r="W1026" s="33"/>
    </row>
    <row r="1027" ht="15.6" spans="1:1">
      <c r="A1027" s="5" t="s">
        <v>139</v>
      </c>
    </row>
    <row r="1028" spans="1:23">
      <c r="A1028" s="27" t="s">
        <v>96</v>
      </c>
      <c r="B1028" t="s">
        <v>60</v>
      </c>
      <c r="C1028" s="14"/>
      <c r="D1028" s="14"/>
      <c r="E1028" s="14"/>
      <c r="F1028" s="14"/>
      <c r="G1028" s="14"/>
      <c r="H1028" s="14"/>
      <c r="I1028" s="14"/>
      <c r="J1028" s="14"/>
      <c r="K1028" s="14"/>
      <c r="L1028" s="14"/>
      <c r="M1028" s="14"/>
      <c r="N1028" s="14"/>
      <c r="O1028" s="14"/>
      <c r="P1028" s="14"/>
      <c r="Q1028" s="14"/>
      <c r="R1028" s="14"/>
      <c r="S1028" s="14"/>
      <c r="T1028" s="14"/>
      <c r="U1028" s="14"/>
      <c r="V1028" s="14"/>
      <c r="W1028" s="14"/>
    </row>
    <row r="1029" spans="1:23">
      <c r="A1029" s="27" t="s">
        <v>98</v>
      </c>
      <c r="B1029" t="s">
        <v>60</v>
      </c>
      <c r="C1029" s="14"/>
      <c r="D1029" s="14"/>
      <c r="E1029" s="14"/>
      <c r="F1029" s="14"/>
      <c r="G1029" s="14"/>
      <c r="H1029" s="14"/>
      <c r="I1029" s="14"/>
      <c r="J1029" s="14"/>
      <c r="K1029" s="14"/>
      <c r="L1029" s="14"/>
      <c r="M1029" s="14"/>
      <c r="N1029" s="14"/>
      <c r="O1029" s="14"/>
      <c r="P1029" s="14"/>
      <c r="Q1029" s="14"/>
      <c r="R1029" s="14"/>
      <c r="S1029" s="14"/>
      <c r="T1029" s="14"/>
      <c r="U1029" s="14"/>
      <c r="V1029" s="14"/>
      <c r="W1029" s="14"/>
    </row>
    <row r="1030" spans="1:23">
      <c r="A1030" s="27" t="s">
        <v>100</v>
      </c>
      <c r="B1030" t="s">
        <v>60</v>
      </c>
      <c r="C1030" s="14"/>
      <c r="D1030" s="14"/>
      <c r="E1030" s="14"/>
      <c r="F1030" s="14"/>
      <c r="G1030" s="14"/>
      <c r="H1030" s="14"/>
      <c r="I1030" s="14"/>
      <c r="J1030" s="14"/>
      <c r="K1030" s="14"/>
      <c r="L1030" s="14"/>
      <c r="M1030" s="14"/>
      <c r="N1030" s="14"/>
      <c r="O1030" s="14"/>
      <c r="P1030" s="14"/>
      <c r="Q1030" s="14"/>
      <c r="R1030" s="14"/>
      <c r="S1030" s="14"/>
      <c r="T1030" s="14"/>
      <c r="U1030" s="14"/>
      <c r="V1030" s="14"/>
      <c r="W1030" s="14"/>
    </row>
    <row r="1031" spans="1:23">
      <c r="A1031" s="31" t="s">
        <v>107</v>
      </c>
      <c r="B1031" s="32" t="s">
        <v>60</v>
      </c>
      <c r="C1031" s="33"/>
      <c r="D1031" s="33"/>
      <c r="E1031" s="33"/>
      <c r="F1031" s="33"/>
      <c r="G1031" s="33"/>
      <c r="H1031" s="33"/>
      <c r="I1031" s="33"/>
      <c r="J1031" s="33"/>
      <c r="K1031" s="33"/>
      <c r="L1031" s="33"/>
      <c r="M1031" s="33"/>
      <c r="N1031" s="33"/>
      <c r="O1031" s="33"/>
      <c r="P1031" s="33"/>
      <c r="Q1031" s="33"/>
      <c r="R1031" s="33"/>
      <c r="S1031" s="33"/>
      <c r="T1031" s="33"/>
      <c r="U1031" s="33"/>
      <c r="V1031" s="33"/>
      <c r="W1031" s="33"/>
    </row>
    <row r="1032" ht="15.6" spans="1:23">
      <c r="A1032" s="25" t="s">
        <v>94</v>
      </c>
      <c r="C1032" s="10">
        <v>0</v>
      </c>
      <c r="D1032" s="10">
        <v>0</v>
      </c>
      <c r="E1032" s="10">
        <v>0</v>
      </c>
      <c r="F1032" s="10">
        <v>0</v>
      </c>
      <c r="G1032" s="10">
        <v>0</v>
      </c>
      <c r="H1032" s="10">
        <v>0</v>
      </c>
      <c r="I1032" s="10">
        <v>0</v>
      </c>
      <c r="J1032" s="10">
        <v>0</v>
      </c>
      <c r="K1032" s="10">
        <v>0</v>
      </c>
      <c r="L1032" s="10">
        <v>0</v>
      </c>
      <c r="M1032" s="10">
        <v>0</v>
      </c>
      <c r="N1032" s="10">
        <v>0</v>
      </c>
      <c r="O1032" s="10">
        <v>0</v>
      </c>
      <c r="P1032" s="10">
        <v>0</v>
      </c>
      <c r="Q1032" s="10">
        <v>0</v>
      </c>
      <c r="R1032" s="10">
        <v>0</v>
      </c>
      <c r="S1032" s="10">
        <v>0</v>
      </c>
      <c r="T1032" s="10">
        <v>0</v>
      </c>
      <c r="U1032" s="10">
        <v>0</v>
      </c>
      <c r="V1032" s="10">
        <v>0</v>
      </c>
      <c r="W1032" s="10">
        <v>0</v>
      </c>
    </row>
    <row r="1033" ht="15.6" spans="1:23">
      <c r="A1033" s="25" t="s">
        <v>111</v>
      </c>
      <c r="B1033" t="s">
        <v>112</v>
      </c>
      <c r="C1033" s="40">
        <v>200</v>
      </c>
      <c r="D1033" s="40">
        <v>200</v>
      </c>
      <c r="E1033" s="40">
        <v>200</v>
      </c>
      <c r="F1033" s="40">
        <v>200</v>
      </c>
      <c r="G1033" s="40">
        <v>200</v>
      </c>
      <c r="H1033" s="40">
        <v>200</v>
      </c>
      <c r="I1033" s="40">
        <v>200</v>
      </c>
      <c r="J1033" s="40">
        <v>200</v>
      </c>
      <c r="K1033" s="40">
        <v>200</v>
      </c>
      <c r="L1033" s="40">
        <v>200</v>
      </c>
      <c r="M1033" s="40">
        <v>200</v>
      </c>
      <c r="N1033" s="40">
        <v>200</v>
      </c>
      <c r="O1033" s="40">
        <v>200</v>
      </c>
      <c r="P1033" s="40">
        <v>200</v>
      </c>
      <c r="Q1033" s="40">
        <v>200</v>
      </c>
      <c r="R1033" s="40">
        <v>200</v>
      </c>
      <c r="S1033" s="40">
        <v>200</v>
      </c>
      <c r="T1033" s="40">
        <v>200</v>
      </c>
      <c r="U1033" s="40">
        <v>200</v>
      </c>
      <c r="V1033" s="40">
        <v>200</v>
      </c>
      <c r="W1033" s="40">
        <v>200</v>
      </c>
    </row>
    <row r="1034" ht="15.6" spans="1:1">
      <c r="A1034" s="5" t="s">
        <v>95</v>
      </c>
    </row>
    <row r="1035" ht="15.6" spans="1:23">
      <c r="A1035" s="27" t="s">
        <v>96</v>
      </c>
      <c r="B1035" t="s">
        <v>108</v>
      </c>
      <c r="C1035" s="28">
        <f t="shared" ref="C1035:W1035" si="75">15/200</f>
        <v>0.075</v>
      </c>
      <c r="D1035" s="28">
        <f t="shared" si="75"/>
        <v>0.075</v>
      </c>
      <c r="E1035" s="28">
        <f t="shared" si="75"/>
        <v>0.075</v>
      </c>
      <c r="F1035" s="28">
        <f t="shared" si="75"/>
        <v>0.075</v>
      </c>
      <c r="G1035" s="28">
        <f t="shared" si="75"/>
        <v>0.075</v>
      </c>
      <c r="H1035" s="28">
        <f t="shared" si="75"/>
        <v>0.075</v>
      </c>
      <c r="I1035" s="28">
        <f t="shared" si="75"/>
        <v>0.075</v>
      </c>
      <c r="J1035" s="28">
        <f t="shared" si="75"/>
        <v>0.075</v>
      </c>
      <c r="K1035" s="28">
        <f t="shared" si="75"/>
        <v>0.075</v>
      </c>
      <c r="L1035" s="28">
        <f t="shared" si="75"/>
        <v>0.075</v>
      </c>
      <c r="M1035" s="28">
        <f t="shared" si="75"/>
        <v>0.075</v>
      </c>
      <c r="N1035" s="28">
        <f t="shared" si="75"/>
        <v>0.075</v>
      </c>
      <c r="O1035" s="28">
        <f t="shared" si="75"/>
        <v>0.075</v>
      </c>
      <c r="P1035" s="28">
        <f t="shared" si="75"/>
        <v>0.075</v>
      </c>
      <c r="Q1035" s="28">
        <f t="shared" si="75"/>
        <v>0.075</v>
      </c>
      <c r="R1035" s="28">
        <f t="shared" si="75"/>
        <v>0.075</v>
      </c>
      <c r="S1035" s="28">
        <f t="shared" si="75"/>
        <v>0.075</v>
      </c>
      <c r="T1035" s="28">
        <f t="shared" si="75"/>
        <v>0.075</v>
      </c>
      <c r="U1035" s="28">
        <f t="shared" si="75"/>
        <v>0.075</v>
      </c>
      <c r="V1035" s="28">
        <f t="shared" si="75"/>
        <v>0.075</v>
      </c>
      <c r="W1035" s="28">
        <f t="shared" si="75"/>
        <v>0.075</v>
      </c>
    </row>
    <row r="1036" ht="15.6" spans="1:23">
      <c r="A1036" s="27" t="s">
        <v>98</v>
      </c>
      <c r="B1036" t="s">
        <v>109</v>
      </c>
      <c r="C1036" s="28">
        <f t="shared" ref="C1036:W1036" si="76">1.5/200</f>
        <v>0.0075</v>
      </c>
      <c r="D1036" s="28">
        <f t="shared" si="76"/>
        <v>0.0075</v>
      </c>
      <c r="E1036" s="28">
        <f t="shared" si="76"/>
        <v>0.0075</v>
      </c>
      <c r="F1036" s="28">
        <f t="shared" si="76"/>
        <v>0.0075</v>
      </c>
      <c r="G1036" s="28">
        <f t="shared" si="76"/>
        <v>0.0075</v>
      </c>
      <c r="H1036" s="28">
        <f t="shared" si="76"/>
        <v>0.0075</v>
      </c>
      <c r="I1036" s="28">
        <f t="shared" si="76"/>
        <v>0.0075</v>
      </c>
      <c r="J1036" s="28">
        <f t="shared" si="76"/>
        <v>0.0075</v>
      </c>
      <c r="K1036" s="28">
        <f t="shared" si="76"/>
        <v>0.0075</v>
      </c>
      <c r="L1036" s="28">
        <f t="shared" si="76"/>
        <v>0.0075</v>
      </c>
      <c r="M1036" s="28">
        <f t="shared" si="76"/>
        <v>0.0075</v>
      </c>
      <c r="N1036" s="28">
        <f t="shared" si="76"/>
        <v>0.0075</v>
      </c>
      <c r="O1036" s="28">
        <f t="shared" si="76"/>
        <v>0.0075</v>
      </c>
      <c r="P1036" s="28">
        <f t="shared" si="76"/>
        <v>0.0075</v>
      </c>
      <c r="Q1036" s="28">
        <f t="shared" si="76"/>
        <v>0.0075</v>
      </c>
      <c r="R1036" s="28">
        <f t="shared" si="76"/>
        <v>0.0075</v>
      </c>
      <c r="S1036" s="28">
        <f t="shared" si="76"/>
        <v>0.0075</v>
      </c>
      <c r="T1036" s="28">
        <f t="shared" si="76"/>
        <v>0.0075</v>
      </c>
      <c r="U1036" s="28">
        <f t="shared" si="76"/>
        <v>0.0075</v>
      </c>
      <c r="V1036" s="28">
        <f t="shared" si="76"/>
        <v>0.0075</v>
      </c>
      <c r="W1036" s="28">
        <f t="shared" si="76"/>
        <v>0.0075</v>
      </c>
    </row>
    <row r="1037" ht="15.6" spans="1:23">
      <c r="A1037" s="27" t="s">
        <v>100</v>
      </c>
      <c r="B1037" t="s">
        <v>60</v>
      </c>
      <c r="C1037" s="28">
        <f t="shared" ref="C1037:W1037" si="77">50/200</f>
        <v>0.25</v>
      </c>
      <c r="D1037" s="28">
        <f t="shared" si="77"/>
        <v>0.25</v>
      </c>
      <c r="E1037" s="28">
        <f t="shared" si="77"/>
        <v>0.25</v>
      </c>
      <c r="F1037" s="28">
        <f t="shared" si="77"/>
        <v>0.25</v>
      </c>
      <c r="G1037" s="28">
        <f t="shared" si="77"/>
        <v>0.25</v>
      </c>
      <c r="H1037" s="28">
        <f t="shared" si="77"/>
        <v>0.25</v>
      </c>
      <c r="I1037" s="28">
        <f t="shared" si="77"/>
        <v>0.25</v>
      </c>
      <c r="J1037" s="28">
        <f t="shared" si="77"/>
        <v>0.25</v>
      </c>
      <c r="K1037" s="28">
        <f t="shared" si="77"/>
        <v>0.25</v>
      </c>
      <c r="L1037" s="28">
        <f t="shared" si="77"/>
        <v>0.25</v>
      </c>
      <c r="M1037" s="28">
        <f t="shared" si="77"/>
        <v>0.25</v>
      </c>
      <c r="N1037" s="28">
        <f t="shared" si="77"/>
        <v>0.25</v>
      </c>
      <c r="O1037" s="28">
        <f t="shared" si="77"/>
        <v>0.25</v>
      </c>
      <c r="P1037" s="28">
        <f t="shared" si="77"/>
        <v>0.25</v>
      </c>
      <c r="Q1037" s="28">
        <f t="shared" si="77"/>
        <v>0.25</v>
      </c>
      <c r="R1037" s="28">
        <f t="shared" si="77"/>
        <v>0.25</v>
      </c>
      <c r="S1037" s="28">
        <f t="shared" si="77"/>
        <v>0.25</v>
      </c>
      <c r="T1037" s="28">
        <f t="shared" si="77"/>
        <v>0.25</v>
      </c>
      <c r="U1037" s="28">
        <f t="shared" si="77"/>
        <v>0.25</v>
      </c>
      <c r="V1037" s="28">
        <f t="shared" si="77"/>
        <v>0.25</v>
      </c>
      <c r="W1037" s="28">
        <f t="shared" si="77"/>
        <v>0.25</v>
      </c>
    </row>
    <row r="1038" ht="15.6" spans="1:1">
      <c r="A1038" s="5" t="s">
        <v>102</v>
      </c>
    </row>
    <row r="1039" spans="1:23">
      <c r="A1039" s="27" t="s">
        <v>96</v>
      </c>
      <c r="B1039" t="s">
        <v>108</v>
      </c>
      <c r="C1039" s="14"/>
      <c r="D1039" s="14"/>
      <c r="E1039" s="14"/>
      <c r="F1039" s="14"/>
      <c r="G1039" s="14"/>
      <c r="H1039" s="14"/>
      <c r="I1039" s="14"/>
      <c r="J1039" s="14"/>
      <c r="K1039" s="14"/>
      <c r="L1039" s="14"/>
      <c r="M1039" s="14"/>
      <c r="N1039" s="14"/>
      <c r="O1039" s="14"/>
      <c r="P1039" s="14"/>
      <c r="Q1039" s="14"/>
      <c r="R1039" s="14"/>
      <c r="S1039" s="14"/>
      <c r="T1039" s="14"/>
      <c r="U1039" s="14"/>
      <c r="V1039" s="14"/>
      <c r="W1039" s="14"/>
    </row>
    <row r="1040" spans="1:23">
      <c r="A1040" s="27" t="s">
        <v>98</v>
      </c>
      <c r="B1040" t="s">
        <v>109</v>
      </c>
      <c r="C1040" s="14"/>
      <c r="D1040" s="14"/>
      <c r="E1040" s="14"/>
      <c r="F1040" s="14"/>
      <c r="G1040" s="14"/>
      <c r="H1040" s="14"/>
      <c r="I1040" s="14"/>
      <c r="J1040" s="14"/>
      <c r="K1040" s="14"/>
      <c r="L1040" s="14"/>
      <c r="M1040" s="14"/>
      <c r="N1040" s="14"/>
      <c r="O1040" s="14"/>
      <c r="P1040" s="14"/>
      <c r="Q1040" s="14"/>
      <c r="R1040" s="14"/>
      <c r="S1040" s="14"/>
      <c r="T1040" s="14"/>
      <c r="U1040" s="14"/>
      <c r="V1040" s="14"/>
      <c r="W1040" s="14"/>
    </row>
    <row r="1041" spans="1:23">
      <c r="A1041" s="27" t="s">
        <v>100</v>
      </c>
      <c r="B1041" t="s">
        <v>60</v>
      </c>
      <c r="C1041" s="14"/>
      <c r="D1041" s="14"/>
      <c r="E1041" s="14"/>
      <c r="F1041" s="14"/>
      <c r="G1041" s="14"/>
      <c r="H1041" s="14"/>
      <c r="I1041" s="14"/>
      <c r="J1041" s="14"/>
      <c r="K1041" s="14"/>
      <c r="L1041" s="14"/>
      <c r="M1041" s="14"/>
      <c r="N1041" s="14"/>
      <c r="O1041" s="14"/>
      <c r="P1041" s="14"/>
      <c r="Q1041" s="14"/>
      <c r="R1041" s="14"/>
      <c r="S1041" s="14"/>
      <c r="T1041" s="14"/>
      <c r="U1041" s="14"/>
      <c r="V1041" s="14"/>
      <c r="W1041" s="14"/>
    </row>
    <row r="1042" ht="15.6" spans="1:1">
      <c r="A1042" s="5" t="s">
        <v>110</v>
      </c>
    </row>
    <row r="1043" spans="1:23">
      <c r="A1043" s="27" t="s">
        <v>96</v>
      </c>
      <c r="B1043" t="s">
        <v>60</v>
      </c>
      <c r="C1043" s="14"/>
      <c r="D1043" s="14"/>
      <c r="E1043" s="14"/>
      <c r="F1043" s="14"/>
      <c r="G1043" s="14"/>
      <c r="H1043" s="14"/>
      <c r="I1043" s="14"/>
      <c r="J1043" s="14"/>
      <c r="K1043" s="14"/>
      <c r="L1043" s="14"/>
      <c r="M1043" s="14"/>
      <c r="N1043" s="14"/>
      <c r="O1043" s="14"/>
      <c r="P1043" s="14"/>
      <c r="Q1043" s="14"/>
      <c r="R1043" s="14"/>
      <c r="S1043" s="14"/>
      <c r="T1043" s="14"/>
      <c r="U1043" s="14"/>
      <c r="V1043" s="14"/>
      <c r="W1043" s="14"/>
    </row>
    <row r="1044" spans="1:23">
      <c r="A1044" s="27" t="s">
        <v>98</v>
      </c>
      <c r="B1044" t="s">
        <v>60</v>
      </c>
      <c r="C1044" s="14"/>
      <c r="D1044" s="14"/>
      <c r="E1044" s="14"/>
      <c r="F1044" s="14"/>
      <c r="G1044" s="14"/>
      <c r="H1044" s="14"/>
      <c r="I1044" s="14"/>
      <c r="J1044" s="14"/>
      <c r="K1044" s="14"/>
      <c r="L1044" s="14"/>
      <c r="M1044" s="14"/>
      <c r="N1044" s="14"/>
      <c r="O1044" s="14"/>
      <c r="P1044" s="14"/>
      <c r="Q1044" s="14"/>
      <c r="R1044" s="14"/>
      <c r="S1044" s="14"/>
      <c r="T1044" s="14"/>
      <c r="U1044" s="14"/>
      <c r="V1044" s="14"/>
      <c r="W1044" s="14"/>
    </row>
    <row r="1045" spans="1:23">
      <c r="A1045" s="27" t="s">
        <v>100</v>
      </c>
      <c r="B1045" t="s">
        <v>60</v>
      </c>
      <c r="C1045" s="39"/>
      <c r="D1045" s="39"/>
      <c r="E1045" s="39"/>
      <c r="F1045" s="39"/>
      <c r="G1045" s="39"/>
      <c r="H1045" s="39"/>
      <c r="I1045" s="39"/>
      <c r="J1045" s="39"/>
      <c r="K1045" s="39"/>
      <c r="L1045" s="39"/>
      <c r="M1045" s="39"/>
      <c r="N1045" s="39"/>
      <c r="O1045" s="39"/>
      <c r="P1045" s="39"/>
      <c r="Q1045" s="39"/>
      <c r="R1045" s="39"/>
      <c r="S1045" s="39"/>
      <c r="T1045" s="39"/>
      <c r="U1045" s="39"/>
      <c r="V1045" s="39"/>
      <c r="W1045" s="39"/>
    </row>
    <row r="1046" ht="15.6" spans="1:1">
      <c r="A1046" s="5" t="s">
        <v>105</v>
      </c>
    </row>
    <row r="1047" spans="1:23">
      <c r="A1047" s="27" t="s">
        <v>96</v>
      </c>
      <c r="B1047" t="s">
        <v>60</v>
      </c>
      <c r="C1047" s="50"/>
      <c r="D1047" s="50"/>
      <c r="E1047" s="50"/>
      <c r="F1047" s="50"/>
      <c r="G1047" s="50"/>
      <c r="H1047" s="50"/>
      <c r="I1047" s="50"/>
      <c r="J1047" s="50"/>
      <c r="K1047" s="50"/>
      <c r="L1047" s="50"/>
      <c r="M1047" s="50"/>
      <c r="N1047" s="50"/>
      <c r="O1047" s="50"/>
      <c r="P1047" s="50"/>
      <c r="Q1047" s="50"/>
      <c r="R1047" s="50"/>
      <c r="S1047" s="50"/>
      <c r="T1047" s="50"/>
      <c r="U1047" s="50"/>
      <c r="V1047" s="50"/>
      <c r="W1047" s="50"/>
    </row>
    <row r="1048" spans="1:23">
      <c r="A1048" s="27" t="s">
        <v>98</v>
      </c>
      <c r="B1048" t="s">
        <v>60</v>
      </c>
      <c r="C1048" s="50"/>
      <c r="D1048" s="50"/>
      <c r="E1048" s="50"/>
      <c r="F1048" s="50"/>
      <c r="G1048" s="50"/>
      <c r="H1048" s="50"/>
      <c r="I1048" s="50"/>
      <c r="J1048" s="50"/>
      <c r="K1048" s="50"/>
      <c r="L1048" s="50"/>
      <c r="M1048" s="50"/>
      <c r="N1048" s="50"/>
      <c r="O1048" s="50"/>
      <c r="P1048" s="50"/>
      <c r="Q1048" s="50"/>
      <c r="R1048" s="50"/>
      <c r="S1048" s="50"/>
      <c r="T1048" s="50"/>
      <c r="U1048" s="50"/>
      <c r="V1048" s="50"/>
      <c r="W1048" s="50"/>
    </row>
    <row r="1049" spans="1:23">
      <c r="A1049" s="27" t="s">
        <v>100</v>
      </c>
      <c r="B1049" t="s">
        <v>60</v>
      </c>
      <c r="C1049" s="50"/>
      <c r="D1049" s="50"/>
      <c r="E1049" s="50"/>
      <c r="F1049" s="50"/>
      <c r="G1049" s="50"/>
      <c r="H1049" s="50"/>
      <c r="I1049" s="50"/>
      <c r="J1049" s="50"/>
      <c r="K1049" s="50"/>
      <c r="L1049" s="50"/>
      <c r="M1049" s="50"/>
      <c r="N1049" s="50"/>
      <c r="O1049" s="50"/>
      <c r="P1049" s="50"/>
      <c r="Q1049" s="50"/>
      <c r="R1049" s="50"/>
      <c r="S1049" s="50"/>
      <c r="T1049" s="50"/>
      <c r="U1049" s="50"/>
      <c r="V1049" s="50"/>
      <c r="W1049" s="50"/>
    </row>
    <row r="1050" spans="1:23">
      <c r="A1050" s="31" t="s">
        <v>107</v>
      </c>
      <c r="B1050" s="32" t="s">
        <v>60</v>
      </c>
      <c r="C1050" s="33"/>
      <c r="D1050" s="33"/>
      <c r="E1050" s="33"/>
      <c r="F1050" s="33"/>
      <c r="G1050" s="33"/>
      <c r="H1050" s="33"/>
      <c r="I1050" s="33"/>
      <c r="J1050" s="33"/>
      <c r="K1050" s="33"/>
      <c r="L1050" s="33"/>
      <c r="M1050" s="33"/>
      <c r="N1050" s="33"/>
      <c r="O1050" s="33"/>
      <c r="P1050" s="33"/>
      <c r="Q1050" s="33"/>
      <c r="R1050" s="33"/>
      <c r="S1050" s="33"/>
      <c r="T1050" s="33"/>
      <c r="U1050" s="33"/>
      <c r="V1050" s="33"/>
      <c r="W1050" s="33"/>
    </row>
    <row r="1051" ht="15.6" spans="1:23">
      <c r="A1051" s="25" t="s">
        <v>94</v>
      </c>
      <c r="C1051" s="12"/>
      <c r="D1051" s="12"/>
      <c r="E1051" s="12"/>
      <c r="F1051" s="12"/>
      <c r="G1051" s="12"/>
      <c r="H1051" s="12"/>
      <c r="I1051" s="12"/>
      <c r="J1051" s="12"/>
      <c r="K1051" s="12"/>
      <c r="L1051" s="12"/>
      <c r="M1051" s="12"/>
      <c r="N1051" s="12"/>
      <c r="O1051" s="12"/>
      <c r="P1051" s="12"/>
      <c r="Q1051" s="12"/>
      <c r="R1051" s="12"/>
      <c r="S1051" s="12"/>
      <c r="T1051" s="12"/>
      <c r="U1051" s="12"/>
      <c r="V1051" s="12"/>
      <c r="W1051" s="12"/>
    </row>
    <row r="1052" ht="15.6" spans="1:23">
      <c r="A1052" s="25" t="s">
        <v>113</v>
      </c>
      <c r="B1052" t="s">
        <v>114</v>
      </c>
      <c r="C1052" s="40">
        <v>35</v>
      </c>
      <c r="D1052" s="40">
        <v>35</v>
      </c>
      <c r="E1052" s="40">
        <v>35</v>
      </c>
      <c r="F1052" s="40">
        <v>35</v>
      </c>
      <c r="G1052" s="40">
        <v>35</v>
      </c>
      <c r="H1052" s="40">
        <v>35</v>
      </c>
      <c r="I1052" s="40">
        <v>35</v>
      </c>
      <c r="J1052" s="40">
        <v>35</v>
      </c>
      <c r="K1052" s="40">
        <v>35</v>
      </c>
      <c r="L1052" s="40">
        <v>35</v>
      </c>
      <c r="M1052" s="40">
        <v>35</v>
      </c>
      <c r="N1052" s="40">
        <v>35</v>
      </c>
      <c r="O1052" s="40">
        <v>35</v>
      </c>
      <c r="P1052" s="40">
        <v>35</v>
      </c>
      <c r="Q1052" s="40">
        <v>35</v>
      </c>
      <c r="R1052" s="40">
        <v>35</v>
      </c>
      <c r="S1052" s="40">
        <v>35</v>
      </c>
      <c r="T1052" s="40">
        <v>35</v>
      </c>
      <c r="U1052" s="40">
        <v>35</v>
      </c>
      <c r="V1052" s="40">
        <v>35</v>
      </c>
      <c r="W1052" s="40">
        <v>35</v>
      </c>
    </row>
    <row r="1053" ht="15.6" spans="1:23">
      <c r="A1053" s="25" t="s">
        <v>115</v>
      </c>
      <c r="B1053" t="s">
        <v>116</v>
      </c>
      <c r="C1053" s="57">
        <v>0.2</v>
      </c>
      <c r="D1053" s="57">
        <v>0.2</v>
      </c>
      <c r="E1053" s="57">
        <v>0.2</v>
      </c>
      <c r="F1053" s="57">
        <v>0.2</v>
      </c>
      <c r="G1053" s="57">
        <v>0.2</v>
      </c>
      <c r="H1053" s="57">
        <v>0.2</v>
      </c>
      <c r="I1053" s="57">
        <v>0.2</v>
      </c>
      <c r="J1053" s="57">
        <v>0.2</v>
      </c>
      <c r="K1053" s="57">
        <v>0.2</v>
      </c>
      <c r="L1053" s="57">
        <v>0.2</v>
      </c>
      <c r="M1053" s="57">
        <v>0.2</v>
      </c>
      <c r="N1053" s="57">
        <v>0.2</v>
      </c>
      <c r="O1053" s="57">
        <v>0.2</v>
      </c>
      <c r="P1053" s="57">
        <v>0.2</v>
      </c>
      <c r="Q1053" s="57">
        <v>0.2</v>
      </c>
      <c r="R1053" s="57">
        <v>0.2</v>
      </c>
      <c r="S1053" s="57">
        <v>0.2</v>
      </c>
      <c r="T1053" s="57">
        <v>0.2</v>
      </c>
      <c r="U1053" s="57">
        <v>0.2</v>
      </c>
      <c r="V1053" s="57">
        <v>0.2</v>
      </c>
      <c r="W1053" s="57">
        <v>0.2</v>
      </c>
    </row>
    <row r="1054" ht="15.6" spans="1:1">
      <c r="A1054" s="5" t="s">
        <v>95</v>
      </c>
    </row>
    <row r="1055" ht="15.6" spans="1:23">
      <c r="A1055" s="27" t="s">
        <v>117</v>
      </c>
      <c r="B1055" t="s">
        <v>118</v>
      </c>
      <c r="C1055" s="42">
        <v>45</v>
      </c>
      <c r="D1055" s="42">
        <v>45</v>
      </c>
      <c r="E1055" s="42">
        <v>45</v>
      </c>
      <c r="F1055" s="42">
        <v>45</v>
      </c>
      <c r="G1055" s="42">
        <v>45</v>
      </c>
      <c r="H1055" s="42">
        <v>45</v>
      </c>
      <c r="I1055" s="42">
        <v>45</v>
      </c>
      <c r="J1055" s="42">
        <v>45</v>
      </c>
      <c r="K1055" s="42">
        <v>45</v>
      </c>
      <c r="L1055" s="42">
        <v>45</v>
      </c>
      <c r="M1055" s="42">
        <v>45</v>
      </c>
      <c r="N1055" s="42">
        <v>45</v>
      </c>
      <c r="O1055" s="42">
        <v>45</v>
      </c>
      <c r="P1055" s="42">
        <v>45</v>
      </c>
      <c r="Q1055" s="42">
        <v>45</v>
      </c>
      <c r="R1055" s="42">
        <v>45</v>
      </c>
      <c r="S1055" s="42">
        <v>45</v>
      </c>
      <c r="T1055" s="42">
        <v>45</v>
      </c>
      <c r="U1055" s="42">
        <v>45</v>
      </c>
      <c r="V1055" s="42">
        <v>45</v>
      </c>
      <c r="W1055" s="42">
        <v>45</v>
      </c>
    </row>
    <row r="1056" ht="15.6" spans="1:23">
      <c r="A1056" s="27" t="s">
        <v>96</v>
      </c>
      <c r="B1056" t="s">
        <v>119</v>
      </c>
      <c r="C1056" s="43">
        <v>0.01</v>
      </c>
      <c r="D1056" s="43">
        <v>0.01</v>
      </c>
      <c r="E1056" s="43">
        <v>0.01</v>
      </c>
      <c r="F1056" s="43">
        <v>0.01</v>
      </c>
      <c r="G1056" s="43">
        <v>0.01</v>
      </c>
      <c r="H1056" s="43">
        <v>0.01</v>
      </c>
      <c r="I1056" s="43">
        <v>0.01</v>
      </c>
      <c r="J1056" s="43">
        <v>0.01</v>
      </c>
      <c r="K1056" s="43">
        <v>0.01</v>
      </c>
      <c r="L1056" s="43">
        <v>0.01</v>
      </c>
      <c r="M1056" s="43">
        <v>0.01</v>
      </c>
      <c r="N1056" s="43">
        <v>0.01</v>
      </c>
      <c r="O1056" s="43">
        <v>0.01</v>
      </c>
      <c r="P1056" s="43">
        <v>0.01</v>
      </c>
      <c r="Q1056" s="43">
        <v>0.01</v>
      </c>
      <c r="R1056" s="43">
        <v>0.01</v>
      </c>
      <c r="S1056" s="43">
        <v>0.01</v>
      </c>
      <c r="T1056" s="43">
        <v>0.01</v>
      </c>
      <c r="U1056" s="43">
        <v>0.01</v>
      </c>
      <c r="V1056" s="43">
        <v>0.01</v>
      </c>
      <c r="W1056" s="43">
        <v>0.01</v>
      </c>
    </row>
    <row r="1057" ht="15.6" spans="1:23">
      <c r="A1057" s="27" t="s">
        <v>98</v>
      </c>
      <c r="B1057" t="s">
        <v>120</v>
      </c>
      <c r="C1057" s="43">
        <f t="shared" ref="C1057:W1057" si="78">1.5*2.7556/2</f>
        <v>2.0667</v>
      </c>
      <c r="D1057" s="43">
        <f t="shared" si="78"/>
        <v>2.0667</v>
      </c>
      <c r="E1057" s="43">
        <f t="shared" si="78"/>
        <v>2.0667</v>
      </c>
      <c r="F1057" s="43">
        <f t="shared" si="78"/>
        <v>2.0667</v>
      </c>
      <c r="G1057" s="43">
        <f t="shared" si="78"/>
        <v>2.0667</v>
      </c>
      <c r="H1057" s="43">
        <f t="shared" si="78"/>
        <v>2.0667</v>
      </c>
      <c r="I1057" s="43">
        <f t="shared" si="78"/>
        <v>2.0667</v>
      </c>
      <c r="J1057" s="43">
        <f t="shared" si="78"/>
        <v>2.0667</v>
      </c>
      <c r="K1057" s="43">
        <f t="shared" si="78"/>
        <v>2.0667</v>
      </c>
      <c r="L1057" s="43">
        <f t="shared" si="78"/>
        <v>2.0667</v>
      </c>
      <c r="M1057" s="43">
        <f t="shared" si="78"/>
        <v>2.0667</v>
      </c>
      <c r="N1057" s="43">
        <f t="shared" si="78"/>
        <v>2.0667</v>
      </c>
      <c r="O1057" s="43">
        <f t="shared" si="78"/>
        <v>2.0667</v>
      </c>
      <c r="P1057" s="43">
        <f t="shared" si="78"/>
        <v>2.0667</v>
      </c>
      <c r="Q1057" s="43">
        <f t="shared" si="78"/>
        <v>2.0667</v>
      </c>
      <c r="R1057" s="43">
        <f t="shared" si="78"/>
        <v>2.0667</v>
      </c>
      <c r="S1057" s="43">
        <f t="shared" si="78"/>
        <v>2.0667</v>
      </c>
      <c r="T1057" s="43">
        <f t="shared" si="78"/>
        <v>2.0667</v>
      </c>
      <c r="U1057" s="43">
        <f t="shared" si="78"/>
        <v>2.0667</v>
      </c>
      <c r="V1057" s="43">
        <f t="shared" si="78"/>
        <v>2.0667</v>
      </c>
      <c r="W1057" s="43">
        <f t="shared" si="78"/>
        <v>2.0667</v>
      </c>
    </row>
    <row r="1058" ht="15.6" spans="1:23">
      <c r="A1058" s="27" t="s">
        <v>100</v>
      </c>
      <c r="B1058" t="s">
        <v>121</v>
      </c>
      <c r="C1058" s="28">
        <v>0.5</v>
      </c>
      <c r="D1058" s="28">
        <v>0.5</v>
      </c>
      <c r="E1058" s="28">
        <v>0.5</v>
      </c>
      <c r="F1058" s="28">
        <v>0.5</v>
      </c>
      <c r="G1058" s="28">
        <v>0.5</v>
      </c>
      <c r="H1058" s="28">
        <v>0.5</v>
      </c>
      <c r="I1058" s="28">
        <v>0.5</v>
      </c>
      <c r="J1058" s="28">
        <v>0.5</v>
      </c>
      <c r="K1058" s="28">
        <v>0.5</v>
      </c>
      <c r="L1058" s="28">
        <v>0.5</v>
      </c>
      <c r="M1058" s="28">
        <v>0.5</v>
      </c>
      <c r="N1058" s="28">
        <v>0.5</v>
      </c>
      <c r="O1058" s="28">
        <v>0.5</v>
      </c>
      <c r="P1058" s="28">
        <v>0.5</v>
      </c>
      <c r="Q1058" s="28">
        <v>0.5</v>
      </c>
      <c r="R1058" s="28">
        <v>0.5</v>
      </c>
      <c r="S1058" s="28">
        <v>0.5</v>
      </c>
      <c r="T1058" s="28">
        <v>0.5</v>
      </c>
      <c r="U1058" s="28">
        <v>0.5</v>
      </c>
      <c r="V1058" s="28">
        <v>0.5</v>
      </c>
      <c r="W1058" s="28">
        <v>0.5</v>
      </c>
    </row>
    <row r="1059" ht="15.6" spans="1:23">
      <c r="A1059" s="27" t="s">
        <v>122</v>
      </c>
      <c r="B1059" t="s">
        <v>45</v>
      </c>
      <c r="C1059" s="44"/>
      <c r="D1059" s="44"/>
      <c r="E1059" s="44"/>
      <c r="F1059" s="44"/>
      <c r="G1059" s="44"/>
      <c r="H1059" s="44"/>
      <c r="I1059" s="44"/>
      <c r="J1059" s="44"/>
      <c r="K1059" s="44"/>
      <c r="L1059" s="44"/>
      <c r="M1059" s="44"/>
      <c r="N1059" s="44"/>
      <c r="O1059" s="44"/>
      <c r="P1059" s="44"/>
      <c r="Q1059" s="44"/>
      <c r="R1059" s="44"/>
      <c r="S1059" s="44"/>
      <c r="T1059" s="44"/>
      <c r="U1059" s="44"/>
      <c r="V1059" s="44"/>
      <c r="W1059" s="44"/>
    </row>
    <row r="1060" ht="15.6" spans="1:23">
      <c r="A1060" s="27" t="s">
        <v>123</v>
      </c>
      <c r="B1060" s="9" t="s">
        <v>51</v>
      </c>
      <c r="C1060" s="44"/>
      <c r="D1060" s="44"/>
      <c r="E1060" s="44"/>
      <c r="F1060" s="44"/>
      <c r="G1060" s="44"/>
      <c r="H1060" s="44"/>
      <c r="I1060" s="44"/>
      <c r="J1060" s="44"/>
      <c r="K1060" s="44"/>
      <c r="L1060" s="44"/>
      <c r="M1060" s="44"/>
      <c r="N1060" s="44"/>
      <c r="O1060" s="44"/>
      <c r="P1060" s="44"/>
      <c r="Q1060" s="44"/>
      <c r="R1060" s="44"/>
      <c r="S1060" s="44"/>
      <c r="T1060" s="44"/>
      <c r="U1060" s="44"/>
      <c r="V1060" s="44"/>
      <c r="W1060" s="44"/>
    </row>
    <row r="1061" ht="15.6" spans="1:23">
      <c r="A1061" s="27" t="s">
        <v>124</v>
      </c>
      <c r="B1061" s="9" t="s">
        <v>51</v>
      </c>
      <c r="C1061" s="44"/>
      <c r="D1061" s="44"/>
      <c r="E1061" s="44"/>
      <c r="F1061" s="44"/>
      <c r="G1061" s="44"/>
      <c r="H1061" s="44"/>
      <c r="I1061" s="44"/>
      <c r="J1061" s="44"/>
      <c r="K1061" s="44"/>
      <c r="L1061" s="44"/>
      <c r="M1061" s="44"/>
      <c r="N1061" s="44"/>
      <c r="O1061" s="44"/>
      <c r="P1061" s="44"/>
      <c r="Q1061" s="44"/>
      <c r="R1061" s="44"/>
      <c r="S1061" s="44"/>
      <c r="T1061" s="44"/>
      <c r="U1061" s="44"/>
      <c r="V1061" s="44"/>
      <c r="W1061" s="44"/>
    </row>
    <row r="1062" ht="15.6" spans="1:1">
      <c r="A1062" s="5" t="s">
        <v>102</v>
      </c>
    </row>
    <row r="1063" spans="1:23">
      <c r="A1063" s="27" t="s">
        <v>96</v>
      </c>
      <c r="B1063" t="s">
        <v>119</v>
      </c>
      <c r="C1063" s="45"/>
      <c r="D1063" s="45"/>
      <c r="E1063" s="45"/>
      <c r="F1063" s="45"/>
      <c r="G1063" s="45"/>
      <c r="H1063" s="45"/>
      <c r="I1063" s="45"/>
      <c r="J1063" s="45"/>
      <c r="K1063" s="45"/>
      <c r="L1063" s="45"/>
      <c r="M1063" s="45"/>
      <c r="N1063" s="45"/>
      <c r="O1063" s="45"/>
      <c r="P1063" s="45"/>
      <c r="Q1063" s="45"/>
      <c r="R1063" s="45"/>
      <c r="S1063" s="45"/>
      <c r="T1063" s="45"/>
      <c r="U1063" s="45"/>
      <c r="V1063" s="45"/>
      <c r="W1063" s="45"/>
    </row>
    <row r="1064" spans="1:23">
      <c r="A1064" s="27" t="s">
        <v>98</v>
      </c>
      <c r="B1064" t="s">
        <v>120</v>
      </c>
      <c r="C1064" s="45"/>
      <c r="D1064" s="45"/>
      <c r="E1064" s="45"/>
      <c r="F1064" s="45"/>
      <c r="G1064" s="45"/>
      <c r="H1064" s="45"/>
      <c r="I1064" s="45"/>
      <c r="J1064" s="45"/>
      <c r="K1064" s="45"/>
      <c r="L1064" s="45"/>
      <c r="M1064" s="45"/>
      <c r="N1064" s="45"/>
      <c r="O1064" s="45"/>
      <c r="P1064" s="45"/>
      <c r="Q1064" s="45"/>
      <c r="R1064" s="45"/>
      <c r="S1064" s="45"/>
      <c r="T1064" s="45"/>
      <c r="U1064" s="45"/>
      <c r="V1064" s="45"/>
      <c r="W1064" s="45"/>
    </row>
    <row r="1065" spans="1:23">
      <c r="A1065" s="27" t="s">
        <v>100</v>
      </c>
      <c r="B1065" t="s">
        <v>121</v>
      </c>
      <c r="C1065" s="45"/>
      <c r="D1065" s="45"/>
      <c r="E1065" s="45"/>
      <c r="F1065" s="45"/>
      <c r="G1065" s="45"/>
      <c r="H1065" s="45"/>
      <c r="I1065" s="45"/>
      <c r="J1065" s="45"/>
      <c r="K1065" s="45"/>
      <c r="L1065" s="45"/>
      <c r="M1065" s="45"/>
      <c r="N1065" s="45"/>
      <c r="O1065" s="45"/>
      <c r="P1065" s="45"/>
      <c r="Q1065" s="45"/>
      <c r="R1065" s="45"/>
      <c r="S1065" s="45"/>
      <c r="T1065" s="45"/>
      <c r="U1065" s="45"/>
      <c r="V1065" s="45"/>
      <c r="W1065" s="45"/>
    </row>
    <row r="1066" ht="15.6" spans="1:1">
      <c r="A1066" s="5" t="s">
        <v>125</v>
      </c>
    </row>
    <row r="1067" spans="1:23">
      <c r="A1067" s="27" t="s">
        <v>96</v>
      </c>
      <c r="B1067" t="s">
        <v>119</v>
      </c>
      <c r="C1067" s="45"/>
      <c r="D1067" s="45"/>
      <c r="E1067" s="45"/>
      <c r="F1067" s="45"/>
      <c r="G1067" s="45"/>
      <c r="H1067" s="45"/>
      <c r="I1067" s="45"/>
      <c r="J1067" s="45"/>
      <c r="K1067" s="45"/>
      <c r="L1067" s="45"/>
      <c r="M1067" s="45"/>
      <c r="N1067" s="45"/>
      <c r="O1067" s="45"/>
      <c r="P1067" s="45"/>
      <c r="Q1067" s="45"/>
      <c r="R1067" s="45"/>
      <c r="S1067" s="45"/>
      <c r="T1067" s="45"/>
      <c r="U1067" s="45"/>
      <c r="V1067" s="45"/>
      <c r="W1067" s="45"/>
    </row>
    <row r="1068" spans="1:23">
      <c r="A1068" s="27" t="s">
        <v>98</v>
      </c>
      <c r="B1068" t="s">
        <v>126</v>
      </c>
      <c r="C1068" s="45"/>
      <c r="D1068" s="45"/>
      <c r="E1068" s="45"/>
      <c r="F1068" s="45"/>
      <c r="G1068" s="45"/>
      <c r="H1068" s="45"/>
      <c r="I1068" s="45"/>
      <c r="J1068" s="45"/>
      <c r="K1068" s="45"/>
      <c r="L1068" s="45"/>
      <c r="M1068" s="45"/>
      <c r="N1068" s="45"/>
      <c r="O1068" s="45"/>
      <c r="P1068" s="45"/>
      <c r="Q1068" s="45"/>
      <c r="R1068" s="45"/>
      <c r="S1068" s="45"/>
      <c r="T1068" s="45"/>
      <c r="U1068" s="45"/>
      <c r="V1068" s="45"/>
      <c r="W1068" s="45"/>
    </row>
    <row r="1069" spans="1:23">
      <c r="A1069" s="27" t="s">
        <v>100</v>
      </c>
      <c r="B1069" t="s">
        <v>121</v>
      </c>
      <c r="C1069" s="45"/>
      <c r="D1069" s="45"/>
      <c r="E1069" s="45"/>
      <c r="F1069" s="45"/>
      <c r="G1069" s="45"/>
      <c r="H1069" s="45"/>
      <c r="I1069" s="45"/>
      <c r="J1069" s="45"/>
      <c r="K1069" s="45"/>
      <c r="L1069" s="45"/>
      <c r="M1069" s="45"/>
      <c r="N1069" s="45"/>
      <c r="O1069" s="45"/>
      <c r="P1069" s="45"/>
      <c r="Q1069" s="45"/>
      <c r="R1069" s="45"/>
      <c r="S1069" s="45"/>
      <c r="T1069" s="45"/>
      <c r="U1069" s="45"/>
      <c r="V1069" s="45"/>
      <c r="W1069" s="45"/>
    </row>
    <row r="1070" ht="15.6" spans="1:1">
      <c r="A1070" s="5" t="s">
        <v>127</v>
      </c>
    </row>
    <row r="1071" spans="1:23">
      <c r="A1071" s="27" t="s">
        <v>96</v>
      </c>
      <c r="B1071" t="s">
        <v>60</v>
      </c>
      <c r="C1071" s="45"/>
      <c r="D1071" s="45"/>
      <c r="E1071" s="45"/>
      <c r="F1071" s="45"/>
      <c r="G1071" s="45"/>
      <c r="H1071" s="45"/>
      <c r="I1071" s="45"/>
      <c r="J1071" s="45"/>
      <c r="K1071" s="45"/>
      <c r="L1071" s="45"/>
      <c r="M1071" s="45"/>
      <c r="N1071" s="45"/>
      <c r="O1071" s="45"/>
      <c r="P1071" s="45"/>
      <c r="Q1071" s="45"/>
      <c r="R1071" s="45"/>
      <c r="S1071" s="45"/>
      <c r="T1071" s="45"/>
      <c r="U1071" s="45"/>
      <c r="V1071" s="45"/>
      <c r="W1071" s="45"/>
    </row>
    <row r="1072" spans="1:23">
      <c r="A1072" s="27" t="s">
        <v>98</v>
      </c>
      <c r="B1072" t="s">
        <v>60</v>
      </c>
      <c r="C1072" s="45"/>
      <c r="D1072" s="45"/>
      <c r="E1072" s="45"/>
      <c r="F1072" s="45"/>
      <c r="G1072" s="45"/>
      <c r="H1072" s="45"/>
      <c r="I1072" s="45"/>
      <c r="J1072" s="45"/>
      <c r="K1072" s="45"/>
      <c r="L1072" s="45"/>
      <c r="M1072" s="45"/>
      <c r="N1072" s="45"/>
      <c r="O1072" s="45"/>
      <c r="P1072" s="45"/>
      <c r="Q1072" s="45"/>
      <c r="R1072" s="45"/>
      <c r="S1072" s="45"/>
      <c r="T1072" s="45"/>
      <c r="U1072" s="45"/>
      <c r="V1072" s="45"/>
      <c r="W1072" s="45"/>
    </row>
    <row r="1073" spans="1:23">
      <c r="A1073" s="27" t="s">
        <v>100</v>
      </c>
      <c r="B1073" t="s">
        <v>60</v>
      </c>
      <c r="C1073" s="46"/>
      <c r="D1073" s="46"/>
      <c r="E1073" s="46"/>
      <c r="F1073" s="46"/>
      <c r="G1073" s="46"/>
      <c r="H1073" s="46"/>
      <c r="I1073" s="46"/>
      <c r="J1073" s="46"/>
      <c r="K1073" s="46"/>
      <c r="L1073" s="46"/>
      <c r="M1073" s="46"/>
      <c r="N1073" s="46"/>
      <c r="O1073" s="46"/>
      <c r="P1073" s="46"/>
      <c r="Q1073" s="46"/>
      <c r="R1073" s="46"/>
      <c r="S1073" s="46"/>
      <c r="T1073" s="46"/>
      <c r="U1073" s="46"/>
      <c r="V1073" s="46"/>
      <c r="W1073" s="46"/>
    </row>
    <row r="1074" ht="15.6" spans="1:1">
      <c r="A1074" s="5" t="s">
        <v>105</v>
      </c>
    </row>
    <row r="1075" spans="1:23">
      <c r="A1075" s="27" t="s">
        <v>96</v>
      </c>
      <c r="B1075" t="s">
        <v>60</v>
      </c>
      <c r="C1075" s="50"/>
      <c r="D1075" s="50"/>
      <c r="E1075" s="50"/>
      <c r="F1075" s="50"/>
      <c r="G1075" s="50"/>
      <c r="H1075" s="50"/>
      <c r="I1075" s="50"/>
      <c r="J1075" s="50"/>
      <c r="K1075" s="50"/>
      <c r="L1075" s="50"/>
      <c r="M1075" s="50"/>
      <c r="N1075" s="50"/>
      <c r="O1075" s="50"/>
      <c r="P1075" s="50"/>
      <c r="Q1075" s="50"/>
      <c r="R1075" s="50"/>
      <c r="S1075" s="50"/>
      <c r="T1075" s="50"/>
      <c r="U1075" s="50"/>
      <c r="V1075" s="50"/>
      <c r="W1075" s="50"/>
    </row>
    <row r="1076" spans="1:23">
      <c r="A1076" s="27" t="s">
        <v>98</v>
      </c>
      <c r="B1076" t="s">
        <v>60</v>
      </c>
      <c r="C1076" s="50"/>
      <c r="D1076" s="50"/>
      <c r="E1076" s="50"/>
      <c r="F1076" s="50"/>
      <c r="G1076" s="50"/>
      <c r="H1076" s="50"/>
      <c r="I1076" s="50"/>
      <c r="J1076" s="50"/>
      <c r="K1076" s="50"/>
      <c r="L1076" s="50"/>
      <c r="M1076" s="50"/>
      <c r="N1076" s="50"/>
      <c r="O1076" s="50"/>
      <c r="P1076" s="50"/>
      <c r="Q1076" s="50"/>
      <c r="R1076" s="50"/>
      <c r="S1076" s="50"/>
      <c r="T1076" s="50"/>
      <c r="U1076" s="50"/>
      <c r="V1076" s="50"/>
      <c r="W1076" s="50"/>
    </row>
    <row r="1077" spans="1:23">
      <c r="A1077" s="27" t="s">
        <v>100</v>
      </c>
      <c r="B1077" t="s">
        <v>60</v>
      </c>
      <c r="C1077" s="50"/>
      <c r="D1077" s="50"/>
      <c r="E1077" s="50"/>
      <c r="F1077" s="50"/>
      <c r="G1077" s="50"/>
      <c r="H1077" s="50"/>
      <c r="I1077" s="50"/>
      <c r="J1077" s="50"/>
      <c r="K1077" s="50"/>
      <c r="L1077" s="50"/>
      <c r="M1077" s="50"/>
      <c r="N1077" s="50"/>
      <c r="O1077" s="50"/>
      <c r="P1077" s="50"/>
      <c r="Q1077" s="50"/>
      <c r="R1077" s="50"/>
      <c r="S1077" s="50"/>
      <c r="T1077" s="50"/>
      <c r="U1077" s="50"/>
      <c r="V1077" s="50"/>
      <c r="W1077" s="50"/>
    </row>
    <row r="1078" spans="1:23">
      <c r="A1078" s="31" t="s">
        <v>107</v>
      </c>
      <c r="B1078" s="32" t="s">
        <v>60</v>
      </c>
      <c r="C1078" s="33"/>
      <c r="D1078" s="33"/>
      <c r="E1078" s="33"/>
      <c r="F1078" s="33"/>
      <c r="G1078" s="33"/>
      <c r="H1078" s="33"/>
      <c r="I1078" s="33"/>
      <c r="J1078" s="33"/>
      <c r="K1078" s="33"/>
      <c r="L1078" s="33"/>
      <c r="M1078" s="33"/>
      <c r="N1078" s="33"/>
      <c r="O1078" s="33"/>
      <c r="P1078" s="33"/>
      <c r="Q1078" s="33"/>
      <c r="R1078" s="33"/>
      <c r="S1078" s="33"/>
      <c r="T1078" s="33"/>
      <c r="U1078" s="33"/>
      <c r="V1078" s="33"/>
      <c r="W1078" s="33"/>
    </row>
    <row r="1079" ht="15.6" spans="1:1">
      <c r="A1079" s="5" t="s">
        <v>140</v>
      </c>
    </row>
    <row r="1080" spans="1:23">
      <c r="A1080" s="27" t="s">
        <v>96</v>
      </c>
      <c r="B1080" t="s">
        <v>60</v>
      </c>
      <c r="C1080" s="14"/>
      <c r="D1080" s="14"/>
      <c r="E1080" s="14"/>
      <c r="F1080" s="14"/>
      <c r="G1080" s="14"/>
      <c r="H1080" s="14"/>
      <c r="I1080" s="14"/>
      <c r="J1080" s="14"/>
      <c r="K1080" s="14"/>
      <c r="L1080" s="14"/>
      <c r="M1080" s="14"/>
      <c r="N1080" s="14"/>
      <c r="O1080" s="14"/>
      <c r="P1080" s="14"/>
      <c r="Q1080" s="14"/>
      <c r="R1080" s="14"/>
      <c r="S1080" s="14"/>
      <c r="T1080" s="14"/>
      <c r="U1080" s="14"/>
      <c r="V1080" s="14"/>
      <c r="W1080" s="14"/>
    </row>
    <row r="1081" spans="1:23">
      <c r="A1081" s="27" t="s">
        <v>98</v>
      </c>
      <c r="B1081" t="s">
        <v>60</v>
      </c>
      <c r="C1081" s="14"/>
      <c r="D1081" s="14"/>
      <c r="E1081" s="14"/>
      <c r="F1081" s="14"/>
      <c r="G1081" s="14"/>
      <c r="H1081" s="14"/>
      <c r="I1081" s="14"/>
      <c r="J1081" s="14"/>
      <c r="K1081" s="14"/>
      <c r="L1081" s="14"/>
      <c r="M1081" s="14"/>
      <c r="N1081" s="14"/>
      <c r="O1081" s="14"/>
      <c r="P1081" s="14"/>
      <c r="Q1081" s="14"/>
      <c r="R1081" s="14"/>
      <c r="S1081" s="14"/>
      <c r="T1081" s="14"/>
      <c r="U1081" s="14"/>
      <c r="V1081" s="14"/>
      <c r="W1081" s="14"/>
    </row>
    <row r="1082" spans="1:23">
      <c r="A1082" s="27" t="s">
        <v>100</v>
      </c>
      <c r="B1082" t="s">
        <v>60</v>
      </c>
      <c r="C1082" s="14"/>
      <c r="D1082" s="14"/>
      <c r="E1082" s="14"/>
      <c r="F1082" s="14"/>
      <c r="G1082" s="14"/>
      <c r="H1082" s="14"/>
      <c r="I1082" s="14"/>
      <c r="J1082" s="14"/>
      <c r="K1082" s="14"/>
      <c r="L1082" s="14"/>
      <c r="M1082" s="14"/>
      <c r="N1082" s="14"/>
      <c r="O1082" s="14"/>
      <c r="P1082" s="14"/>
      <c r="Q1082" s="14"/>
      <c r="R1082" s="14"/>
      <c r="S1082" s="14"/>
      <c r="T1082" s="14"/>
      <c r="U1082" s="14"/>
      <c r="V1082" s="14"/>
      <c r="W1082" s="14"/>
    </row>
    <row r="1083" spans="1:23">
      <c r="A1083" s="31" t="s">
        <v>107</v>
      </c>
      <c r="B1083" s="32" t="s">
        <v>60</v>
      </c>
      <c r="C1083" s="33"/>
      <c r="D1083" s="33"/>
      <c r="E1083" s="33"/>
      <c r="F1083" s="33"/>
      <c r="G1083" s="33"/>
      <c r="H1083" s="33"/>
      <c r="I1083" s="33"/>
      <c r="J1083" s="33"/>
      <c r="K1083" s="33"/>
      <c r="L1083" s="33"/>
      <c r="M1083" s="33"/>
      <c r="N1083" s="33"/>
      <c r="O1083" s="33"/>
      <c r="P1083" s="33"/>
      <c r="Q1083" s="33"/>
      <c r="R1083" s="33"/>
      <c r="S1083" s="33"/>
      <c r="T1083" s="33"/>
      <c r="U1083" s="33"/>
      <c r="V1083" s="33"/>
      <c r="W1083" s="33"/>
    </row>
    <row r="1084" ht="15.6" spans="1:1">
      <c r="A1084" s="5" t="s">
        <v>105</v>
      </c>
    </row>
    <row r="1085" spans="1:23">
      <c r="A1085" s="27" t="s">
        <v>96</v>
      </c>
      <c r="B1085" t="s">
        <v>60</v>
      </c>
      <c r="C1085" s="39"/>
      <c r="D1085" s="39"/>
      <c r="E1085" s="39"/>
      <c r="F1085" s="39"/>
      <c r="G1085" s="39"/>
      <c r="H1085" s="39"/>
      <c r="I1085" s="39"/>
      <c r="J1085" s="39"/>
      <c r="K1085" s="39"/>
      <c r="L1085" s="39"/>
      <c r="M1085" s="39"/>
      <c r="N1085" s="39"/>
      <c r="O1085" s="39"/>
      <c r="P1085" s="39"/>
      <c r="Q1085" s="39"/>
      <c r="R1085" s="39"/>
      <c r="S1085" s="39"/>
      <c r="T1085" s="39"/>
      <c r="U1085" s="39"/>
      <c r="V1085" s="39"/>
      <c r="W1085" s="39"/>
    </row>
    <row r="1086" spans="1:23">
      <c r="A1086" s="27" t="s">
        <v>98</v>
      </c>
      <c r="B1086" t="s">
        <v>60</v>
      </c>
      <c r="C1086" s="39"/>
      <c r="D1086" s="39"/>
      <c r="E1086" s="39"/>
      <c r="F1086" s="39"/>
      <c r="G1086" s="39"/>
      <c r="H1086" s="39"/>
      <c r="I1086" s="39"/>
      <c r="J1086" s="39"/>
      <c r="K1086" s="39"/>
      <c r="L1086" s="39"/>
      <c r="M1086" s="39"/>
      <c r="N1086" s="39"/>
      <c r="O1086" s="39"/>
      <c r="P1086" s="39"/>
      <c r="Q1086" s="39"/>
      <c r="R1086" s="39"/>
      <c r="S1086" s="39"/>
      <c r="T1086" s="39"/>
      <c r="U1086" s="39"/>
      <c r="V1086" s="39"/>
      <c r="W1086" s="39"/>
    </row>
    <row r="1087" spans="1:23">
      <c r="A1087" s="27" t="s">
        <v>100</v>
      </c>
      <c r="B1087" t="s">
        <v>60</v>
      </c>
      <c r="C1087" s="39"/>
      <c r="D1087" s="39"/>
      <c r="E1087" s="39"/>
      <c r="F1087" s="39"/>
      <c r="G1087" s="39"/>
      <c r="H1087" s="39"/>
      <c r="I1087" s="39"/>
      <c r="J1087" s="39"/>
      <c r="K1087" s="39"/>
      <c r="L1087" s="39"/>
      <c r="M1087" s="39"/>
      <c r="N1087" s="39"/>
      <c r="O1087" s="39"/>
      <c r="P1087" s="39"/>
      <c r="Q1087" s="39"/>
      <c r="R1087" s="39"/>
      <c r="S1087" s="39"/>
      <c r="T1087" s="39"/>
      <c r="U1087" s="39"/>
      <c r="V1087" s="39"/>
      <c r="W1087" s="39"/>
    </row>
    <row r="1088" spans="1:23">
      <c r="A1088" s="27" t="s">
        <v>106</v>
      </c>
      <c r="B1088" t="s">
        <v>60</v>
      </c>
      <c r="C1088" s="53">
        <v>0</v>
      </c>
      <c r="D1088" s="53">
        <v>0</v>
      </c>
      <c r="E1088" s="53">
        <v>0</v>
      </c>
      <c r="F1088" s="53">
        <v>0</v>
      </c>
      <c r="G1088" s="53">
        <v>0</v>
      </c>
      <c r="H1088" s="53">
        <v>0</v>
      </c>
      <c r="I1088" s="53">
        <v>0</v>
      </c>
      <c r="J1088" s="53">
        <v>0</v>
      </c>
      <c r="K1088" s="53">
        <v>0</v>
      </c>
      <c r="L1088" s="53">
        <v>0</v>
      </c>
      <c r="M1088" s="53">
        <v>0</v>
      </c>
      <c r="N1088" s="53">
        <v>0</v>
      </c>
      <c r="O1088" s="53">
        <v>0</v>
      </c>
      <c r="P1088" s="53">
        <v>0</v>
      </c>
      <c r="Q1088" s="53">
        <v>0</v>
      </c>
      <c r="R1088" s="53">
        <v>0</v>
      </c>
      <c r="S1088" s="53">
        <v>0</v>
      </c>
      <c r="T1088" s="53">
        <v>0</v>
      </c>
      <c r="U1088" s="53">
        <v>0</v>
      </c>
      <c r="V1088" s="53">
        <v>0</v>
      </c>
      <c r="W1088" s="53">
        <v>0</v>
      </c>
    </row>
    <row r="1089" spans="1:23">
      <c r="A1089" s="31" t="s">
        <v>107</v>
      </c>
      <c r="B1089" s="32" t="s">
        <v>60</v>
      </c>
      <c r="C1089" s="33"/>
      <c r="D1089" s="33"/>
      <c r="E1089" s="33"/>
      <c r="F1089" s="33"/>
      <c r="G1089" s="33"/>
      <c r="H1089" s="33"/>
      <c r="I1089" s="33"/>
      <c r="J1089" s="33"/>
      <c r="K1089" s="33"/>
      <c r="L1089" s="33"/>
      <c r="M1089" s="33"/>
      <c r="N1089" s="33"/>
      <c r="O1089" s="33"/>
      <c r="P1089" s="33"/>
      <c r="Q1089" s="33"/>
      <c r="R1089" s="33"/>
      <c r="S1089" s="33"/>
      <c r="T1089" s="33"/>
      <c r="U1089" s="33"/>
      <c r="V1089" s="33"/>
      <c r="W1089" s="33"/>
    </row>
    <row r="1090" ht="15.6" spans="1:23">
      <c r="A1090" s="25" t="s">
        <v>94</v>
      </c>
      <c r="C1090" s="10">
        <v>0</v>
      </c>
      <c r="D1090" s="10">
        <v>0</v>
      </c>
      <c r="E1090" s="10">
        <v>0</v>
      </c>
      <c r="F1090" s="10">
        <v>0</v>
      </c>
      <c r="G1090" s="10">
        <v>0</v>
      </c>
      <c r="H1090" s="10">
        <v>0</v>
      </c>
      <c r="I1090" s="10">
        <v>1</v>
      </c>
      <c r="J1090" s="10">
        <v>0</v>
      </c>
      <c r="K1090" s="10">
        <v>1</v>
      </c>
      <c r="L1090" s="10">
        <v>1</v>
      </c>
      <c r="M1090" s="10">
        <v>1</v>
      </c>
      <c r="N1090" s="10">
        <v>1</v>
      </c>
      <c r="O1090" s="10">
        <v>1</v>
      </c>
      <c r="P1090" s="10">
        <v>1</v>
      </c>
      <c r="Q1090" s="10">
        <v>1</v>
      </c>
      <c r="R1090" s="10">
        <v>0</v>
      </c>
      <c r="S1090" s="10">
        <v>0</v>
      </c>
      <c r="T1090" s="10">
        <v>1</v>
      </c>
      <c r="U1090" s="10">
        <v>1</v>
      </c>
      <c r="V1090" s="10">
        <v>1</v>
      </c>
      <c r="W1090" s="10">
        <v>1</v>
      </c>
    </row>
    <row r="1091" ht="15.6" spans="1:1">
      <c r="A1091" s="5" t="s">
        <v>95</v>
      </c>
    </row>
    <row r="1092" spans="1:23">
      <c r="A1092" s="27" t="s">
        <v>96</v>
      </c>
      <c r="B1092" t="s">
        <v>108</v>
      </c>
      <c r="C1092" s="11">
        <f t="shared" ref="C1092:W1092" si="79">0.5/5</f>
        <v>0.1</v>
      </c>
      <c r="D1092" s="11">
        <f t="shared" si="79"/>
        <v>0.1</v>
      </c>
      <c r="E1092" s="11">
        <f t="shared" si="79"/>
        <v>0.1</v>
      </c>
      <c r="F1092" s="11">
        <f t="shared" si="79"/>
        <v>0.1</v>
      </c>
      <c r="G1092" s="11">
        <f t="shared" si="79"/>
        <v>0.1</v>
      </c>
      <c r="H1092" s="11">
        <f t="shared" si="79"/>
        <v>0.1</v>
      </c>
      <c r="I1092" s="11">
        <f t="shared" si="79"/>
        <v>0.1</v>
      </c>
      <c r="J1092" s="11">
        <f t="shared" si="79"/>
        <v>0.1</v>
      </c>
      <c r="K1092" s="11">
        <f t="shared" si="79"/>
        <v>0.1</v>
      </c>
      <c r="L1092" s="11">
        <f t="shared" si="79"/>
        <v>0.1</v>
      </c>
      <c r="M1092" s="11">
        <f t="shared" si="79"/>
        <v>0.1</v>
      </c>
      <c r="N1092" s="11">
        <f t="shared" si="79"/>
        <v>0.1</v>
      </c>
      <c r="O1092" s="11">
        <f t="shared" si="79"/>
        <v>0.1</v>
      </c>
      <c r="P1092" s="11">
        <f t="shared" si="79"/>
        <v>0.1</v>
      </c>
      <c r="Q1092" s="11">
        <f t="shared" si="79"/>
        <v>0.1</v>
      </c>
      <c r="R1092" s="11">
        <f t="shared" si="79"/>
        <v>0.1</v>
      </c>
      <c r="S1092" s="11">
        <f t="shared" si="79"/>
        <v>0.1</v>
      </c>
      <c r="T1092" s="11">
        <f t="shared" si="79"/>
        <v>0.1</v>
      </c>
      <c r="U1092" s="11">
        <f t="shared" si="79"/>
        <v>0.1</v>
      </c>
      <c r="V1092" s="11">
        <f t="shared" si="79"/>
        <v>0.1</v>
      </c>
      <c r="W1092" s="11">
        <f t="shared" si="79"/>
        <v>0.1</v>
      </c>
    </row>
    <row r="1093" spans="1:23">
      <c r="A1093" s="27" t="s">
        <v>98</v>
      </c>
      <c r="B1093" t="s">
        <v>109</v>
      </c>
      <c r="C1093" s="11">
        <f t="shared" ref="C1093:W1093" si="80">0.06/5</f>
        <v>0.012</v>
      </c>
      <c r="D1093" s="11">
        <f t="shared" si="80"/>
        <v>0.012</v>
      </c>
      <c r="E1093" s="11">
        <f t="shared" si="80"/>
        <v>0.012</v>
      </c>
      <c r="F1093" s="11">
        <f t="shared" si="80"/>
        <v>0.012</v>
      </c>
      <c r="G1093" s="11">
        <f t="shared" si="80"/>
        <v>0.012</v>
      </c>
      <c r="H1093" s="11">
        <f t="shared" si="80"/>
        <v>0.012</v>
      </c>
      <c r="I1093" s="11">
        <f t="shared" si="80"/>
        <v>0.012</v>
      </c>
      <c r="J1093" s="11">
        <f t="shared" si="80"/>
        <v>0.012</v>
      </c>
      <c r="K1093" s="11">
        <f t="shared" si="80"/>
        <v>0.012</v>
      </c>
      <c r="L1093" s="11">
        <f t="shared" si="80"/>
        <v>0.012</v>
      </c>
      <c r="M1093" s="11">
        <f t="shared" si="80"/>
        <v>0.012</v>
      </c>
      <c r="N1093" s="11">
        <f t="shared" si="80"/>
        <v>0.012</v>
      </c>
      <c r="O1093" s="11">
        <f t="shared" si="80"/>
        <v>0.012</v>
      </c>
      <c r="P1093" s="11">
        <f t="shared" si="80"/>
        <v>0.012</v>
      </c>
      <c r="Q1093" s="11">
        <f t="shared" si="80"/>
        <v>0.012</v>
      </c>
      <c r="R1093" s="11">
        <f t="shared" si="80"/>
        <v>0.012</v>
      </c>
      <c r="S1093" s="11">
        <f t="shared" si="80"/>
        <v>0.012</v>
      </c>
      <c r="T1093" s="11">
        <f t="shared" si="80"/>
        <v>0.012</v>
      </c>
      <c r="U1093" s="11">
        <f t="shared" si="80"/>
        <v>0.012</v>
      </c>
      <c r="V1093" s="11">
        <f t="shared" si="80"/>
        <v>0.012</v>
      </c>
      <c r="W1093" s="11">
        <f t="shared" si="80"/>
        <v>0.012</v>
      </c>
    </row>
    <row r="1094" spans="1:23">
      <c r="A1094" s="27" t="s">
        <v>100</v>
      </c>
      <c r="B1094" t="s">
        <v>60</v>
      </c>
      <c r="C1094" s="11">
        <f t="shared" ref="C1094:W1094" si="81">0.45/5</f>
        <v>0.09</v>
      </c>
      <c r="D1094" s="11">
        <f t="shared" si="81"/>
        <v>0.09</v>
      </c>
      <c r="E1094" s="11">
        <f t="shared" si="81"/>
        <v>0.09</v>
      </c>
      <c r="F1094" s="11">
        <f t="shared" si="81"/>
        <v>0.09</v>
      </c>
      <c r="G1094" s="11">
        <f t="shared" si="81"/>
        <v>0.09</v>
      </c>
      <c r="H1094" s="11">
        <f t="shared" si="81"/>
        <v>0.09</v>
      </c>
      <c r="I1094" s="11">
        <f t="shared" si="81"/>
        <v>0.09</v>
      </c>
      <c r="J1094" s="11">
        <f t="shared" si="81"/>
        <v>0.09</v>
      </c>
      <c r="K1094" s="11">
        <f t="shared" si="81"/>
        <v>0.09</v>
      </c>
      <c r="L1094" s="11">
        <f t="shared" si="81"/>
        <v>0.09</v>
      </c>
      <c r="M1094" s="11">
        <f t="shared" si="81"/>
        <v>0.09</v>
      </c>
      <c r="N1094" s="11">
        <f t="shared" si="81"/>
        <v>0.09</v>
      </c>
      <c r="O1094" s="11">
        <f t="shared" si="81"/>
        <v>0.09</v>
      </c>
      <c r="P1094" s="11">
        <f t="shared" si="81"/>
        <v>0.09</v>
      </c>
      <c r="Q1094" s="11">
        <f t="shared" si="81"/>
        <v>0.09</v>
      </c>
      <c r="R1094" s="11">
        <f t="shared" si="81"/>
        <v>0.09</v>
      </c>
      <c r="S1094" s="11">
        <f t="shared" si="81"/>
        <v>0.09</v>
      </c>
      <c r="T1094" s="11">
        <f t="shared" si="81"/>
        <v>0.09</v>
      </c>
      <c r="U1094" s="11">
        <f t="shared" si="81"/>
        <v>0.09</v>
      </c>
      <c r="V1094" s="11">
        <f t="shared" si="81"/>
        <v>0.09</v>
      </c>
      <c r="W1094" s="11">
        <f t="shared" si="81"/>
        <v>0.09</v>
      </c>
    </row>
    <row r="1095" ht="15.6" spans="1:1">
      <c r="A1095" s="5" t="s">
        <v>102</v>
      </c>
    </row>
    <row r="1096" spans="1:23">
      <c r="A1096" s="27" t="s">
        <v>96</v>
      </c>
      <c r="B1096" t="s">
        <v>108</v>
      </c>
      <c r="C1096" s="14"/>
      <c r="D1096" s="14"/>
      <c r="E1096" s="14"/>
      <c r="F1096" s="14"/>
      <c r="G1096" s="14"/>
      <c r="H1096" s="14"/>
      <c r="I1096" s="14"/>
      <c r="J1096" s="14"/>
      <c r="K1096" s="14"/>
      <c r="L1096" s="14"/>
      <c r="M1096" s="14"/>
      <c r="N1096" s="14"/>
      <c r="O1096" s="14"/>
      <c r="P1096" s="14"/>
      <c r="Q1096" s="14"/>
      <c r="R1096" s="14"/>
      <c r="S1096" s="14"/>
      <c r="T1096" s="14"/>
      <c r="U1096" s="14"/>
      <c r="V1096" s="14"/>
      <c r="W1096" s="14"/>
    </row>
    <row r="1097" spans="1:23">
      <c r="A1097" s="27" t="s">
        <v>98</v>
      </c>
      <c r="B1097" t="s">
        <v>109</v>
      </c>
      <c r="C1097" s="14"/>
      <c r="D1097" s="14"/>
      <c r="E1097" s="14"/>
      <c r="F1097" s="14"/>
      <c r="G1097" s="14"/>
      <c r="H1097" s="14"/>
      <c r="I1097" s="14"/>
      <c r="J1097" s="14"/>
      <c r="K1097" s="14"/>
      <c r="L1097" s="14"/>
      <c r="M1097" s="14"/>
      <c r="N1097" s="14"/>
      <c r="O1097" s="14"/>
      <c r="P1097" s="14"/>
      <c r="Q1097" s="14"/>
      <c r="R1097" s="14"/>
      <c r="S1097" s="14"/>
      <c r="T1097" s="14"/>
      <c r="U1097" s="14"/>
      <c r="V1097" s="14"/>
      <c r="W1097" s="14"/>
    </row>
    <row r="1098" spans="1:23">
      <c r="A1098" s="27" t="s">
        <v>100</v>
      </c>
      <c r="B1098" t="s">
        <v>60</v>
      </c>
      <c r="C1098" s="14"/>
      <c r="D1098" s="14"/>
      <c r="E1098" s="14"/>
      <c r="F1098" s="14"/>
      <c r="G1098" s="14"/>
      <c r="H1098" s="14"/>
      <c r="I1098" s="14"/>
      <c r="J1098" s="14"/>
      <c r="K1098" s="14"/>
      <c r="L1098" s="14"/>
      <c r="M1098" s="14"/>
      <c r="N1098" s="14"/>
      <c r="O1098" s="14"/>
      <c r="P1098" s="14"/>
      <c r="Q1098" s="14"/>
      <c r="R1098" s="14"/>
      <c r="S1098" s="14"/>
      <c r="T1098" s="14"/>
      <c r="U1098" s="14"/>
      <c r="V1098" s="14"/>
      <c r="W1098" s="14"/>
    </row>
    <row r="1099" ht="15.6" spans="1:1">
      <c r="A1099" s="5" t="s">
        <v>110</v>
      </c>
    </row>
    <row r="1100" ht="15.6" spans="1:23">
      <c r="A1100" s="27" t="s">
        <v>96</v>
      </c>
      <c r="B1100" t="s">
        <v>60</v>
      </c>
      <c r="C1100" s="58"/>
      <c r="D1100" s="58"/>
      <c r="E1100" s="58"/>
      <c r="F1100" s="58"/>
      <c r="G1100" s="58"/>
      <c r="H1100" s="58"/>
      <c r="I1100" s="58"/>
      <c r="J1100" s="58"/>
      <c r="K1100" s="58"/>
      <c r="L1100" s="58"/>
      <c r="M1100" s="58"/>
      <c r="N1100" s="58"/>
      <c r="O1100" s="58"/>
      <c r="P1100" s="58"/>
      <c r="Q1100" s="58"/>
      <c r="R1100" s="58"/>
      <c r="S1100" s="58"/>
      <c r="T1100" s="58"/>
      <c r="U1100" s="58"/>
      <c r="V1100" s="58"/>
      <c r="W1100" s="58"/>
    </row>
    <row r="1101" ht="15.6" spans="1:23">
      <c r="A1101" s="27" t="s">
        <v>98</v>
      </c>
      <c r="B1101" t="s">
        <v>60</v>
      </c>
      <c r="C1101" s="58"/>
      <c r="D1101" s="58"/>
      <c r="E1101" s="58"/>
      <c r="F1101" s="58"/>
      <c r="G1101" s="58"/>
      <c r="H1101" s="58"/>
      <c r="I1101" s="58"/>
      <c r="J1101" s="58"/>
      <c r="K1101" s="58"/>
      <c r="L1101" s="58"/>
      <c r="M1101" s="58"/>
      <c r="N1101" s="58"/>
      <c r="O1101" s="58"/>
      <c r="P1101" s="58"/>
      <c r="Q1101" s="58"/>
      <c r="R1101" s="58"/>
      <c r="S1101" s="58"/>
      <c r="T1101" s="58"/>
      <c r="U1101" s="58"/>
      <c r="V1101" s="58"/>
      <c r="W1101" s="58"/>
    </row>
    <row r="1102" ht="15.6" spans="1:23">
      <c r="A1102" s="27" t="s">
        <v>100</v>
      </c>
      <c r="B1102" t="s">
        <v>60</v>
      </c>
      <c r="C1102" s="51"/>
      <c r="D1102" s="51"/>
      <c r="E1102" s="51"/>
      <c r="F1102" s="51"/>
      <c r="G1102" s="51"/>
      <c r="H1102" s="51"/>
      <c r="I1102" s="51"/>
      <c r="J1102" s="51"/>
      <c r="K1102" s="51"/>
      <c r="L1102" s="51"/>
      <c r="M1102" s="51"/>
      <c r="N1102" s="51"/>
      <c r="O1102" s="51"/>
      <c r="P1102" s="51"/>
      <c r="Q1102" s="51"/>
      <c r="R1102" s="51"/>
      <c r="S1102" s="51"/>
      <c r="T1102" s="51"/>
      <c r="U1102" s="51"/>
      <c r="V1102" s="51"/>
      <c r="W1102" s="51"/>
    </row>
    <row r="1103" ht="15.6" spans="1:1">
      <c r="A1103" s="5" t="s">
        <v>105</v>
      </c>
    </row>
    <row r="1104" spans="1:23">
      <c r="A1104" s="27" t="s">
        <v>96</v>
      </c>
      <c r="B1104" t="s">
        <v>60</v>
      </c>
      <c r="C1104" s="50"/>
      <c r="D1104" s="50"/>
      <c r="E1104" s="50"/>
      <c r="F1104" s="50"/>
      <c r="G1104" s="50"/>
      <c r="H1104" s="50"/>
      <c r="I1104" s="50"/>
      <c r="J1104" s="50"/>
      <c r="K1104" s="50"/>
      <c r="L1104" s="50"/>
      <c r="M1104" s="50"/>
      <c r="N1104" s="50"/>
      <c r="O1104" s="50"/>
      <c r="P1104" s="50"/>
      <c r="Q1104" s="50"/>
      <c r="R1104" s="50"/>
      <c r="S1104" s="50"/>
      <c r="T1104" s="50"/>
      <c r="U1104" s="50"/>
      <c r="V1104" s="50"/>
      <c r="W1104" s="50"/>
    </row>
    <row r="1105" spans="1:23">
      <c r="A1105" s="27" t="s">
        <v>98</v>
      </c>
      <c r="B1105" t="s">
        <v>60</v>
      </c>
      <c r="C1105" s="50"/>
      <c r="D1105" s="50"/>
      <c r="E1105" s="50"/>
      <c r="F1105" s="50"/>
      <c r="G1105" s="50"/>
      <c r="H1105" s="50"/>
      <c r="I1105" s="50"/>
      <c r="J1105" s="50"/>
      <c r="K1105" s="50"/>
      <c r="L1105" s="50"/>
      <c r="M1105" s="50"/>
      <c r="N1105" s="50"/>
      <c r="O1105" s="50"/>
      <c r="P1105" s="50"/>
      <c r="Q1105" s="50"/>
      <c r="R1105" s="50"/>
      <c r="S1105" s="50"/>
      <c r="T1105" s="50"/>
      <c r="U1105" s="50"/>
      <c r="V1105" s="50"/>
      <c r="W1105" s="50"/>
    </row>
    <row r="1106" spans="1:23">
      <c r="A1106" s="27" t="s">
        <v>100</v>
      </c>
      <c r="B1106" t="s">
        <v>60</v>
      </c>
      <c r="C1106" s="50"/>
      <c r="D1106" s="50"/>
      <c r="E1106" s="50"/>
      <c r="F1106" s="50"/>
      <c r="G1106" s="50"/>
      <c r="H1106" s="50"/>
      <c r="I1106" s="50"/>
      <c r="J1106" s="50"/>
      <c r="K1106" s="50"/>
      <c r="L1106" s="50"/>
      <c r="M1106" s="50"/>
      <c r="N1106" s="50"/>
      <c r="O1106" s="50"/>
      <c r="P1106" s="50"/>
      <c r="Q1106" s="50"/>
      <c r="R1106" s="50"/>
      <c r="S1106" s="50"/>
      <c r="T1106" s="50"/>
      <c r="U1106" s="50"/>
      <c r="V1106" s="50"/>
      <c r="W1106" s="50"/>
    </row>
    <row r="1107" spans="1:23">
      <c r="A1107" s="31" t="s">
        <v>107</v>
      </c>
      <c r="B1107" s="32" t="s">
        <v>60</v>
      </c>
      <c r="C1107" s="33"/>
      <c r="D1107" s="33"/>
      <c r="E1107" s="33"/>
      <c r="F1107" s="33"/>
      <c r="G1107" s="33"/>
      <c r="H1107" s="33"/>
      <c r="I1107" s="33"/>
      <c r="J1107" s="33"/>
      <c r="K1107" s="33"/>
      <c r="L1107" s="33"/>
      <c r="M1107" s="33"/>
      <c r="N1107" s="33"/>
      <c r="O1107" s="33"/>
      <c r="P1107" s="33"/>
      <c r="Q1107" s="33"/>
      <c r="R1107" s="33"/>
      <c r="S1107" s="33"/>
      <c r="T1107" s="33"/>
      <c r="U1107" s="33"/>
      <c r="V1107" s="33"/>
      <c r="W1107" s="33"/>
    </row>
    <row r="1108" ht="15.6" spans="1:23">
      <c r="A1108" s="25" t="s">
        <v>94</v>
      </c>
      <c r="C1108" s="10">
        <v>1</v>
      </c>
      <c r="D1108" s="10">
        <v>1</v>
      </c>
      <c r="E1108" s="10">
        <v>1</v>
      </c>
      <c r="F1108" s="10">
        <v>1</v>
      </c>
      <c r="G1108" s="10">
        <v>1</v>
      </c>
      <c r="H1108" s="10">
        <v>0</v>
      </c>
      <c r="I1108" s="10">
        <v>0</v>
      </c>
      <c r="J1108" s="10">
        <v>0</v>
      </c>
      <c r="K1108" s="10">
        <v>0</v>
      </c>
      <c r="L1108" s="10">
        <v>0</v>
      </c>
      <c r="M1108" s="10">
        <v>0</v>
      </c>
      <c r="N1108" s="10">
        <v>0</v>
      </c>
      <c r="O1108" s="10">
        <v>0</v>
      </c>
      <c r="P1108" s="10">
        <v>0</v>
      </c>
      <c r="Q1108" s="10">
        <v>0</v>
      </c>
      <c r="R1108" s="10">
        <v>0</v>
      </c>
      <c r="S1108" s="10">
        <v>0</v>
      </c>
      <c r="T1108" s="10">
        <v>0</v>
      </c>
      <c r="U1108" s="10">
        <v>0</v>
      </c>
      <c r="V1108" s="10">
        <v>0</v>
      </c>
      <c r="W1108" s="10">
        <v>0</v>
      </c>
    </row>
    <row r="1109" ht="15.6" spans="1:1">
      <c r="A1109" s="5" t="s">
        <v>95</v>
      </c>
    </row>
    <row r="1110" spans="1:23">
      <c r="A1110" s="27" t="s">
        <v>96</v>
      </c>
      <c r="B1110" t="s">
        <v>108</v>
      </c>
      <c r="C1110" s="11">
        <f t="shared" ref="C1110:W1110" si="82">0.5</f>
        <v>0.5</v>
      </c>
      <c r="D1110" s="11">
        <f t="shared" si="82"/>
        <v>0.5</v>
      </c>
      <c r="E1110" s="11">
        <f t="shared" si="82"/>
        <v>0.5</v>
      </c>
      <c r="F1110" s="11">
        <f t="shared" si="82"/>
        <v>0.5</v>
      </c>
      <c r="G1110" s="11">
        <f t="shared" si="82"/>
        <v>0.5</v>
      </c>
      <c r="H1110" s="11">
        <f t="shared" si="82"/>
        <v>0.5</v>
      </c>
      <c r="I1110" s="11">
        <f t="shared" si="82"/>
        <v>0.5</v>
      </c>
      <c r="J1110" s="11">
        <f t="shared" si="82"/>
        <v>0.5</v>
      </c>
      <c r="K1110" s="11">
        <f t="shared" si="82"/>
        <v>0.5</v>
      </c>
      <c r="L1110" s="11">
        <f t="shared" si="82"/>
        <v>0.5</v>
      </c>
      <c r="M1110" s="11">
        <f t="shared" si="82"/>
        <v>0.5</v>
      </c>
      <c r="N1110" s="11">
        <f t="shared" si="82"/>
        <v>0.5</v>
      </c>
      <c r="O1110" s="11">
        <f t="shared" si="82"/>
        <v>0.5</v>
      </c>
      <c r="P1110" s="11">
        <f t="shared" si="82"/>
        <v>0.5</v>
      </c>
      <c r="Q1110" s="11">
        <f t="shared" si="82"/>
        <v>0.5</v>
      </c>
      <c r="R1110" s="11">
        <f t="shared" si="82"/>
        <v>0.5</v>
      </c>
      <c r="S1110" s="11">
        <f t="shared" si="82"/>
        <v>0.5</v>
      </c>
      <c r="T1110" s="11">
        <f t="shared" si="82"/>
        <v>0.5</v>
      </c>
      <c r="U1110" s="11">
        <f t="shared" si="82"/>
        <v>0.5</v>
      </c>
      <c r="V1110" s="11">
        <f t="shared" si="82"/>
        <v>0.5</v>
      </c>
      <c r="W1110" s="11">
        <f t="shared" si="82"/>
        <v>0.5</v>
      </c>
    </row>
    <row r="1111" spans="1:23">
      <c r="A1111" s="27" t="s">
        <v>98</v>
      </c>
      <c r="B1111" t="s">
        <v>109</v>
      </c>
      <c r="C1111" s="11">
        <f t="shared" ref="C1111:W1111" si="83">0.06</f>
        <v>0.06</v>
      </c>
      <c r="D1111" s="11">
        <f t="shared" si="83"/>
        <v>0.06</v>
      </c>
      <c r="E1111" s="11">
        <f t="shared" si="83"/>
        <v>0.06</v>
      </c>
      <c r="F1111" s="11">
        <f t="shared" si="83"/>
        <v>0.06</v>
      </c>
      <c r="G1111" s="11">
        <f t="shared" si="83"/>
        <v>0.06</v>
      </c>
      <c r="H1111" s="11">
        <f t="shared" si="83"/>
        <v>0.06</v>
      </c>
      <c r="I1111" s="11">
        <f t="shared" si="83"/>
        <v>0.06</v>
      </c>
      <c r="J1111" s="11">
        <f t="shared" si="83"/>
        <v>0.06</v>
      </c>
      <c r="K1111" s="11">
        <f t="shared" si="83"/>
        <v>0.06</v>
      </c>
      <c r="L1111" s="11">
        <f t="shared" si="83"/>
        <v>0.06</v>
      </c>
      <c r="M1111" s="11">
        <f t="shared" si="83"/>
        <v>0.06</v>
      </c>
      <c r="N1111" s="11">
        <f t="shared" si="83"/>
        <v>0.06</v>
      </c>
      <c r="O1111" s="11">
        <f t="shared" si="83"/>
        <v>0.06</v>
      </c>
      <c r="P1111" s="11">
        <f t="shared" si="83"/>
        <v>0.06</v>
      </c>
      <c r="Q1111" s="11">
        <f t="shared" si="83"/>
        <v>0.06</v>
      </c>
      <c r="R1111" s="11">
        <f t="shared" si="83"/>
        <v>0.06</v>
      </c>
      <c r="S1111" s="11">
        <f t="shared" si="83"/>
        <v>0.06</v>
      </c>
      <c r="T1111" s="11">
        <f t="shared" si="83"/>
        <v>0.06</v>
      </c>
      <c r="U1111" s="11">
        <f t="shared" si="83"/>
        <v>0.06</v>
      </c>
      <c r="V1111" s="11">
        <f t="shared" si="83"/>
        <v>0.06</v>
      </c>
      <c r="W1111" s="11">
        <f t="shared" si="83"/>
        <v>0.06</v>
      </c>
    </row>
    <row r="1112" spans="1:23">
      <c r="A1112" s="27" t="s">
        <v>100</v>
      </c>
      <c r="B1112" t="s">
        <v>60</v>
      </c>
      <c r="C1112" s="11">
        <f t="shared" ref="C1112:W1112" si="84">0.45</f>
        <v>0.45</v>
      </c>
      <c r="D1112" s="11">
        <f t="shared" si="84"/>
        <v>0.45</v>
      </c>
      <c r="E1112" s="11">
        <f t="shared" si="84"/>
        <v>0.45</v>
      </c>
      <c r="F1112" s="11">
        <f t="shared" si="84"/>
        <v>0.45</v>
      </c>
      <c r="G1112" s="11">
        <f t="shared" si="84"/>
        <v>0.45</v>
      </c>
      <c r="H1112" s="11">
        <f t="shared" si="84"/>
        <v>0.45</v>
      </c>
      <c r="I1112" s="11">
        <f t="shared" si="84"/>
        <v>0.45</v>
      </c>
      <c r="J1112" s="11">
        <f t="shared" si="84"/>
        <v>0.45</v>
      </c>
      <c r="K1112" s="11">
        <f t="shared" si="84"/>
        <v>0.45</v>
      </c>
      <c r="L1112" s="11">
        <f t="shared" si="84"/>
        <v>0.45</v>
      </c>
      <c r="M1112" s="11">
        <f t="shared" si="84"/>
        <v>0.45</v>
      </c>
      <c r="N1112" s="11">
        <f t="shared" si="84"/>
        <v>0.45</v>
      </c>
      <c r="O1112" s="11">
        <f t="shared" si="84"/>
        <v>0.45</v>
      </c>
      <c r="P1112" s="11">
        <f t="shared" si="84"/>
        <v>0.45</v>
      </c>
      <c r="Q1112" s="11">
        <f t="shared" si="84"/>
        <v>0.45</v>
      </c>
      <c r="R1112" s="11">
        <f t="shared" si="84"/>
        <v>0.45</v>
      </c>
      <c r="S1112" s="11">
        <f t="shared" si="84"/>
        <v>0.45</v>
      </c>
      <c r="T1112" s="11">
        <f t="shared" si="84"/>
        <v>0.45</v>
      </c>
      <c r="U1112" s="11">
        <f t="shared" si="84"/>
        <v>0.45</v>
      </c>
      <c r="V1112" s="11">
        <f t="shared" si="84"/>
        <v>0.45</v>
      </c>
      <c r="W1112" s="11">
        <f t="shared" si="84"/>
        <v>0.45</v>
      </c>
    </row>
    <row r="1113" ht="15.6" spans="1:1">
      <c r="A1113" s="5" t="s">
        <v>102</v>
      </c>
    </row>
    <row r="1114" spans="1:23">
      <c r="A1114" s="27" t="s">
        <v>96</v>
      </c>
      <c r="B1114" t="s">
        <v>108</v>
      </c>
      <c r="C1114" s="14"/>
      <c r="D1114" s="14"/>
      <c r="E1114" s="14"/>
      <c r="F1114" s="14"/>
      <c r="G1114" s="14"/>
      <c r="H1114" s="14"/>
      <c r="I1114" s="14"/>
      <c r="J1114" s="14"/>
      <c r="K1114" s="14"/>
      <c r="L1114" s="14"/>
      <c r="M1114" s="14"/>
      <c r="N1114" s="14"/>
      <c r="O1114" s="14"/>
      <c r="P1114" s="14"/>
      <c r="Q1114" s="14"/>
      <c r="R1114" s="14"/>
      <c r="S1114" s="14"/>
      <c r="T1114" s="14"/>
      <c r="U1114" s="14"/>
      <c r="V1114" s="14"/>
      <c r="W1114" s="14"/>
    </row>
    <row r="1115" spans="1:23">
      <c r="A1115" s="27" t="s">
        <v>98</v>
      </c>
      <c r="B1115" t="s">
        <v>109</v>
      </c>
      <c r="C1115" s="14"/>
      <c r="D1115" s="14"/>
      <c r="E1115" s="14"/>
      <c r="F1115" s="14"/>
      <c r="G1115" s="14"/>
      <c r="H1115" s="14"/>
      <c r="I1115" s="14"/>
      <c r="J1115" s="14"/>
      <c r="K1115" s="14"/>
      <c r="L1115" s="14"/>
      <c r="M1115" s="14"/>
      <c r="N1115" s="14"/>
      <c r="O1115" s="14"/>
      <c r="P1115" s="14"/>
      <c r="Q1115" s="14"/>
      <c r="R1115" s="14"/>
      <c r="S1115" s="14"/>
      <c r="T1115" s="14"/>
      <c r="U1115" s="14"/>
      <c r="V1115" s="14"/>
      <c r="W1115" s="14"/>
    </row>
    <row r="1116" spans="1:23">
      <c r="A1116" s="27" t="s">
        <v>100</v>
      </c>
      <c r="B1116" t="s">
        <v>60</v>
      </c>
      <c r="C1116" s="14"/>
      <c r="D1116" s="14"/>
      <c r="E1116" s="14"/>
      <c r="F1116" s="14"/>
      <c r="G1116" s="14"/>
      <c r="H1116" s="14"/>
      <c r="I1116" s="14"/>
      <c r="J1116" s="14"/>
      <c r="K1116" s="14"/>
      <c r="L1116" s="14"/>
      <c r="M1116" s="14"/>
      <c r="N1116" s="14"/>
      <c r="O1116" s="14"/>
      <c r="P1116" s="14"/>
      <c r="Q1116" s="14"/>
      <c r="R1116" s="14"/>
      <c r="S1116" s="14"/>
      <c r="T1116" s="14"/>
      <c r="U1116" s="14"/>
      <c r="V1116" s="14"/>
      <c r="W1116" s="14"/>
    </row>
    <row r="1117" ht="15.6" spans="1:1">
      <c r="A1117" s="5" t="s">
        <v>110</v>
      </c>
    </row>
    <row r="1118" spans="1:23">
      <c r="A1118" s="27" t="s">
        <v>96</v>
      </c>
      <c r="B1118" t="s">
        <v>60</v>
      </c>
      <c r="C1118" s="14"/>
      <c r="D1118" s="14"/>
      <c r="E1118" s="14"/>
      <c r="F1118" s="14"/>
      <c r="G1118" s="14"/>
      <c r="H1118" s="14"/>
      <c r="I1118" s="14"/>
      <c r="J1118" s="14"/>
      <c r="K1118" s="14"/>
      <c r="L1118" s="14"/>
      <c r="M1118" s="14"/>
      <c r="N1118" s="14"/>
      <c r="O1118" s="14"/>
      <c r="P1118" s="14"/>
      <c r="Q1118" s="14"/>
      <c r="R1118" s="14"/>
      <c r="S1118" s="14"/>
      <c r="T1118" s="14"/>
      <c r="U1118" s="14"/>
      <c r="V1118" s="14"/>
      <c r="W1118" s="14"/>
    </row>
    <row r="1119" spans="1:23">
      <c r="A1119" s="27" t="s">
        <v>98</v>
      </c>
      <c r="B1119" t="s">
        <v>60</v>
      </c>
      <c r="C1119" s="14"/>
      <c r="D1119" s="14"/>
      <c r="E1119" s="14"/>
      <c r="F1119" s="14"/>
      <c r="G1119" s="14"/>
      <c r="H1119" s="14"/>
      <c r="I1119" s="14"/>
      <c r="J1119" s="14"/>
      <c r="K1119" s="14"/>
      <c r="L1119" s="14"/>
      <c r="M1119" s="14"/>
      <c r="N1119" s="14"/>
      <c r="O1119" s="14"/>
      <c r="P1119" s="14"/>
      <c r="Q1119" s="14"/>
      <c r="R1119" s="14"/>
      <c r="S1119" s="14"/>
      <c r="T1119" s="14"/>
      <c r="U1119" s="14"/>
      <c r="V1119" s="14"/>
      <c r="W1119" s="14"/>
    </row>
    <row r="1120" spans="1:23">
      <c r="A1120" s="27" t="s">
        <v>100</v>
      </c>
      <c r="B1120" t="s">
        <v>60</v>
      </c>
      <c r="C1120" s="39"/>
      <c r="D1120" s="39"/>
      <c r="E1120" s="39"/>
      <c r="F1120" s="39"/>
      <c r="G1120" s="39"/>
      <c r="H1120" s="39"/>
      <c r="I1120" s="39"/>
      <c r="J1120" s="39"/>
      <c r="K1120" s="39"/>
      <c r="L1120" s="39"/>
      <c r="M1120" s="39"/>
      <c r="N1120" s="39"/>
      <c r="O1120" s="39"/>
      <c r="P1120" s="39"/>
      <c r="Q1120" s="39"/>
      <c r="R1120" s="39"/>
      <c r="S1120" s="39"/>
      <c r="T1120" s="39"/>
      <c r="U1120" s="39"/>
      <c r="V1120" s="39"/>
      <c r="W1120" s="39"/>
    </row>
    <row r="1121" ht="15.6" spans="1:1">
      <c r="A1121" s="5" t="s">
        <v>105</v>
      </c>
    </row>
    <row r="1122" spans="1:23">
      <c r="A1122" s="27" t="s">
        <v>96</v>
      </c>
      <c r="B1122" t="s">
        <v>60</v>
      </c>
      <c r="C1122" s="50"/>
      <c r="D1122" s="50"/>
      <c r="E1122" s="50"/>
      <c r="F1122" s="50"/>
      <c r="G1122" s="50"/>
      <c r="H1122" s="50"/>
      <c r="I1122" s="50"/>
      <c r="J1122" s="50"/>
      <c r="K1122" s="50"/>
      <c r="L1122" s="50"/>
      <c r="M1122" s="50"/>
      <c r="N1122" s="50"/>
      <c r="O1122" s="50"/>
      <c r="P1122" s="50"/>
      <c r="Q1122" s="50"/>
      <c r="R1122" s="50"/>
      <c r="S1122" s="50"/>
      <c r="T1122" s="50"/>
      <c r="U1122" s="50"/>
      <c r="V1122" s="50"/>
      <c r="W1122" s="50"/>
    </row>
    <row r="1123" spans="1:23">
      <c r="A1123" s="27" t="s">
        <v>98</v>
      </c>
      <c r="B1123" t="s">
        <v>60</v>
      </c>
      <c r="C1123" s="50"/>
      <c r="D1123" s="50"/>
      <c r="E1123" s="50"/>
      <c r="F1123" s="50"/>
      <c r="G1123" s="50"/>
      <c r="H1123" s="50"/>
      <c r="I1123" s="50"/>
      <c r="J1123" s="50"/>
      <c r="K1123" s="50"/>
      <c r="L1123" s="50"/>
      <c r="M1123" s="50"/>
      <c r="N1123" s="50"/>
      <c r="O1123" s="50"/>
      <c r="P1123" s="50"/>
      <c r="Q1123" s="50"/>
      <c r="R1123" s="50"/>
      <c r="S1123" s="50"/>
      <c r="T1123" s="50"/>
      <c r="U1123" s="50"/>
      <c r="V1123" s="50"/>
      <c r="W1123" s="50"/>
    </row>
    <row r="1124" spans="1:23">
      <c r="A1124" s="27" t="s">
        <v>100</v>
      </c>
      <c r="B1124" t="s">
        <v>60</v>
      </c>
      <c r="C1124" s="50"/>
      <c r="D1124" s="50"/>
      <c r="E1124" s="50"/>
      <c r="F1124" s="50"/>
      <c r="G1124" s="50"/>
      <c r="H1124" s="50"/>
      <c r="I1124" s="50"/>
      <c r="J1124" s="50"/>
      <c r="K1124" s="50"/>
      <c r="L1124" s="50"/>
      <c r="M1124" s="50"/>
      <c r="N1124" s="50"/>
      <c r="O1124" s="50"/>
      <c r="P1124" s="50"/>
      <c r="Q1124" s="50"/>
      <c r="R1124" s="50"/>
      <c r="S1124" s="50"/>
      <c r="T1124" s="50"/>
      <c r="U1124" s="50"/>
      <c r="V1124" s="50"/>
      <c r="W1124" s="50"/>
    </row>
    <row r="1125" spans="1:23">
      <c r="A1125" s="31" t="s">
        <v>107</v>
      </c>
      <c r="B1125" s="32" t="s">
        <v>60</v>
      </c>
      <c r="C1125" s="33"/>
      <c r="D1125" s="33"/>
      <c r="E1125" s="33"/>
      <c r="F1125" s="33"/>
      <c r="G1125" s="33"/>
      <c r="H1125" s="33"/>
      <c r="I1125" s="33"/>
      <c r="J1125" s="33"/>
      <c r="K1125" s="33"/>
      <c r="L1125" s="33"/>
      <c r="M1125" s="33"/>
      <c r="N1125" s="33"/>
      <c r="O1125" s="33"/>
      <c r="P1125" s="33"/>
      <c r="Q1125" s="33"/>
      <c r="R1125" s="33"/>
      <c r="S1125" s="33"/>
      <c r="T1125" s="33"/>
      <c r="U1125" s="33"/>
      <c r="V1125" s="33"/>
      <c r="W1125" s="33"/>
    </row>
    <row r="1126" ht="15.6" spans="1:23">
      <c r="A1126" s="25" t="s">
        <v>94</v>
      </c>
      <c r="C1126" s="10">
        <v>1</v>
      </c>
      <c r="D1126" s="10">
        <v>1</v>
      </c>
      <c r="E1126" s="10">
        <v>0</v>
      </c>
      <c r="F1126" s="10">
        <v>0</v>
      </c>
      <c r="G1126" s="10">
        <v>0</v>
      </c>
      <c r="H1126" s="10">
        <v>0</v>
      </c>
      <c r="I1126" s="10">
        <v>0</v>
      </c>
      <c r="J1126" s="10">
        <v>0</v>
      </c>
      <c r="K1126" s="10">
        <v>0</v>
      </c>
      <c r="L1126" s="10">
        <v>0</v>
      </c>
      <c r="M1126" s="10">
        <v>0</v>
      </c>
      <c r="N1126" s="10">
        <v>0</v>
      </c>
      <c r="O1126" s="10">
        <v>0</v>
      </c>
      <c r="P1126" s="10">
        <v>0</v>
      </c>
      <c r="Q1126" s="10">
        <v>0</v>
      </c>
      <c r="R1126" s="10">
        <v>0</v>
      </c>
      <c r="S1126" s="10">
        <v>0</v>
      </c>
      <c r="T1126" s="10">
        <v>0</v>
      </c>
      <c r="U1126" s="10">
        <v>0</v>
      </c>
      <c r="V1126" s="10">
        <v>0</v>
      </c>
      <c r="W1126" s="10">
        <v>0</v>
      </c>
    </row>
    <row r="1127" ht="15.6" spans="1:1">
      <c r="A1127" s="5" t="s">
        <v>95</v>
      </c>
    </row>
    <row r="1128" spans="1:23">
      <c r="A1128" s="27" t="s">
        <v>141</v>
      </c>
      <c r="B1128" t="s">
        <v>108</v>
      </c>
      <c r="C1128" s="11">
        <v>3</v>
      </c>
      <c r="D1128" s="11">
        <v>1.5</v>
      </c>
      <c r="E1128" s="11">
        <v>4</v>
      </c>
      <c r="F1128" s="11">
        <v>4</v>
      </c>
      <c r="G1128" s="11">
        <v>4</v>
      </c>
      <c r="H1128" s="11">
        <v>4</v>
      </c>
      <c r="I1128" s="11">
        <v>4</v>
      </c>
      <c r="J1128" s="11">
        <v>4</v>
      </c>
      <c r="K1128" s="11">
        <v>4</v>
      </c>
      <c r="L1128" s="11">
        <v>4</v>
      </c>
      <c r="M1128" s="11">
        <v>4</v>
      </c>
      <c r="N1128" s="11">
        <v>4</v>
      </c>
      <c r="O1128" s="11">
        <v>4</v>
      </c>
      <c r="P1128" s="11">
        <v>4</v>
      </c>
      <c r="Q1128" s="11">
        <v>4</v>
      </c>
      <c r="R1128" s="11">
        <v>4</v>
      </c>
      <c r="S1128" s="11">
        <v>4</v>
      </c>
      <c r="T1128" s="11">
        <v>4</v>
      </c>
      <c r="U1128" s="11">
        <v>4</v>
      </c>
      <c r="V1128" s="11">
        <v>4</v>
      </c>
      <c r="W1128" s="11">
        <v>4</v>
      </c>
    </row>
    <row r="1129" spans="1:23">
      <c r="A1129" s="27" t="s">
        <v>98</v>
      </c>
      <c r="B1129" t="s">
        <v>109</v>
      </c>
      <c r="C1129" s="11">
        <v>0.05</v>
      </c>
      <c r="D1129" s="11">
        <v>0.05</v>
      </c>
      <c r="E1129" s="11">
        <v>0.05</v>
      </c>
      <c r="F1129" s="11">
        <v>0.05</v>
      </c>
      <c r="G1129" s="11">
        <v>0.05</v>
      </c>
      <c r="H1129" s="11">
        <v>0.05</v>
      </c>
      <c r="I1129" s="11">
        <v>0.05</v>
      </c>
      <c r="J1129" s="11">
        <v>0.05</v>
      </c>
      <c r="K1129" s="11">
        <v>0.05</v>
      </c>
      <c r="L1129" s="11">
        <v>0.05</v>
      </c>
      <c r="M1129" s="11">
        <v>0.05</v>
      </c>
      <c r="N1129" s="11">
        <v>0.05</v>
      </c>
      <c r="O1129" s="11">
        <v>0.05</v>
      </c>
      <c r="P1129" s="11">
        <v>0.05</v>
      </c>
      <c r="Q1129" s="11">
        <v>0.05</v>
      </c>
      <c r="R1129" s="11">
        <v>0.05</v>
      </c>
      <c r="S1129" s="11">
        <v>0.05</v>
      </c>
      <c r="T1129" s="11">
        <v>0.05</v>
      </c>
      <c r="U1129" s="11">
        <v>0.05</v>
      </c>
      <c r="V1129" s="11">
        <v>0.05</v>
      </c>
      <c r="W1129" s="11">
        <v>0.05</v>
      </c>
    </row>
    <row r="1130" spans="1:23">
      <c r="A1130" s="27" t="s">
        <v>100</v>
      </c>
      <c r="B1130" t="s">
        <v>60</v>
      </c>
      <c r="C1130" s="11">
        <v>0.25</v>
      </c>
      <c r="D1130" s="11">
        <v>0.25</v>
      </c>
      <c r="E1130" s="11">
        <v>0.25</v>
      </c>
      <c r="F1130" s="11">
        <v>0.25</v>
      </c>
      <c r="G1130" s="11">
        <v>0.25</v>
      </c>
      <c r="H1130" s="11">
        <v>0.25</v>
      </c>
      <c r="I1130" s="11">
        <v>0.25</v>
      </c>
      <c r="J1130" s="11">
        <v>0.25</v>
      </c>
      <c r="K1130" s="11">
        <v>0.25</v>
      </c>
      <c r="L1130" s="11">
        <v>0.25</v>
      </c>
      <c r="M1130" s="11">
        <v>0.25</v>
      </c>
      <c r="N1130" s="11">
        <v>0.25</v>
      </c>
      <c r="O1130" s="11">
        <v>0.25</v>
      </c>
      <c r="P1130" s="11">
        <v>0.25</v>
      </c>
      <c r="Q1130" s="11">
        <v>0.25</v>
      </c>
      <c r="R1130" s="11">
        <v>0.25</v>
      </c>
      <c r="S1130" s="11">
        <v>0.25</v>
      </c>
      <c r="T1130" s="11">
        <v>0.25</v>
      </c>
      <c r="U1130" s="11">
        <v>0.25</v>
      </c>
      <c r="V1130" s="11">
        <v>0.25</v>
      </c>
      <c r="W1130" s="11">
        <v>0.25</v>
      </c>
    </row>
    <row r="1131" ht="15.6" spans="1:1">
      <c r="A1131" s="5" t="s">
        <v>102</v>
      </c>
    </row>
    <row r="1132" spans="1:23">
      <c r="A1132" s="27" t="s">
        <v>96</v>
      </c>
      <c r="B1132" t="s">
        <v>108</v>
      </c>
      <c r="C1132" s="14"/>
      <c r="D1132" s="14"/>
      <c r="E1132" s="14"/>
      <c r="F1132" s="14"/>
      <c r="G1132" s="14"/>
      <c r="H1132" s="14"/>
      <c r="I1132" s="14"/>
      <c r="J1132" s="14"/>
      <c r="K1132" s="14"/>
      <c r="L1132" s="14"/>
      <c r="M1132" s="14"/>
      <c r="N1132" s="14"/>
      <c r="O1132" s="14"/>
      <c r="P1132" s="14"/>
      <c r="Q1132" s="14"/>
      <c r="R1132" s="14"/>
      <c r="S1132" s="14"/>
      <c r="T1132" s="14"/>
      <c r="U1132" s="14"/>
      <c r="V1132" s="14"/>
      <c r="W1132" s="14"/>
    </row>
    <row r="1133" spans="1:23">
      <c r="A1133" s="27" t="s">
        <v>98</v>
      </c>
      <c r="B1133" t="s">
        <v>109</v>
      </c>
      <c r="C1133" s="14"/>
      <c r="D1133" s="14"/>
      <c r="E1133" s="14"/>
      <c r="F1133" s="14"/>
      <c r="G1133" s="14"/>
      <c r="H1133" s="14"/>
      <c r="I1133" s="14"/>
      <c r="J1133" s="14"/>
      <c r="K1133" s="14"/>
      <c r="L1133" s="14"/>
      <c r="M1133" s="14"/>
      <c r="N1133" s="14"/>
      <c r="O1133" s="14"/>
      <c r="P1133" s="14"/>
      <c r="Q1133" s="14"/>
      <c r="R1133" s="14"/>
      <c r="S1133" s="14"/>
      <c r="T1133" s="14"/>
      <c r="U1133" s="14"/>
      <c r="V1133" s="14"/>
      <c r="W1133" s="14"/>
    </row>
    <row r="1134" spans="1:23">
      <c r="A1134" s="27" t="s">
        <v>100</v>
      </c>
      <c r="B1134" t="s">
        <v>60</v>
      </c>
      <c r="C1134" s="14"/>
      <c r="D1134" s="14"/>
      <c r="E1134" s="14"/>
      <c r="F1134" s="14"/>
      <c r="G1134" s="14"/>
      <c r="H1134" s="14"/>
      <c r="I1134" s="14"/>
      <c r="J1134" s="14"/>
      <c r="K1134" s="14"/>
      <c r="L1134" s="14"/>
      <c r="M1134" s="14"/>
      <c r="N1134" s="14"/>
      <c r="O1134" s="14"/>
      <c r="P1134" s="14"/>
      <c r="Q1134" s="14"/>
      <c r="R1134" s="14"/>
      <c r="S1134" s="14"/>
      <c r="T1134" s="14"/>
      <c r="U1134" s="14"/>
      <c r="V1134" s="14"/>
      <c r="W1134" s="14"/>
    </row>
    <row r="1135" ht="15.6" spans="1:1">
      <c r="A1135" s="5" t="s">
        <v>110</v>
      </c>
    </row>
    <row r="1136" spans="1:23">
      <c r="A1136" s="27" t="s">
        <v>141</v>
      </c>
      <c r="B1136" t="s">
        <v>60</v>
      </c>
      <c r="C1136" s="14"/>
      <c r="D1136" s="14"/>
      <c r="E1136" s="14"/>
      <c r="F1136" s="14"/>
      <c r="G1136" s="14"/>
      <c r="H1136" s="14"/>
      <c r="I1136" s="14"/>
      <c r="J1136" s="14"/>
      <c r="K1136" s="14"/>
      <c r="L1136" s="14"/>
      <c r="M1136" s="14"/>
      <c r="N1136" s="14"/>
      <c r="O1136" s="14"/>
      <c r="P1136" s="14"/>
      <c r="Q1136" s="14"/>
      <c r="R1136" s="14"/>
      <c r="S1136" s="14"/>
      <c r="T1136" s="14"/>
      <c r="U1136" s="14"/>
      <c r="V1136" s="14"/>
      <c r="W1136" s="14"/>
    </row>
    <row r="1137" spans="1:23">
      <c r="A1137" s="27" t="s">
        <v>98</v>
      </c>
      <c r="B1137" t="s">
        <v>60</v>
      </c>
      <c r="C1137" s="14"/>
      <c r="D1137" s="14"/>
      <c r="E1137" s="14"/>
      <c r="F1137" s="14"/>
      <c r="G1137" s="14"/>
      <c r="H1137" s="14"/>
      <c r="I1137" s="14"/>
      <c r="J1137" s="14"/>
      <c r="K1137" s="14"/>
      <c r="L1137" s="14"/>
      <c r="M1137" s="14"/>
      <c r="N1137" s="14"/>
      <c r="O1137" s="14"/>
      <c r="P1137" s="14"/>
      <c r="Q1137" s="14"/>
      <c r="R1137" s="14"/>
      <c r="S1137" s="14"/>
      <c r="T1137" s="14"/>
      <c r="U1137" s="14"/>
      <c r="V1137" s="14"/>
      <c r="W1137" s="14"/>
    </row>
    <row r="1138" spans="1:23">
      <c r="A1138" s="27" t="s">
        <v>100</v>
      </c>
      <c r="B1138" t="s">
        <v>60</v>
      </c>
      <c r="C1138" s="39"/>
      <c r="D1138" s="39"/>
      <c r="E1138" s="39"/>
      <c r="F1138" s="39"/>
      <c r="G1138" s="39"/>
      <c r="H1138" s="39"/>
      <c r="I1138" s="39"/>
      <c r="J1138" s="39"/>
      <c r="K1138" s="39"/>
      <c r="L1138" s="39"/>
      <c r="M1138" s="39"/>
      <c r="N1138" s="39"/>
      <c r="O1138" s="39"/>
      <c r="P1138" s="39"/>
      <c r="Q1138" s="39"/>
      <c r="R1138" s="39"/>
      <c r="S1138" s="39"/>
      <c r="T1138" s="39"/>
      <c r="U1138" s="39"/>
      <c r="V1138" s="39"/>
      <c r="W1138" s="39"/>
    </row>
    <row r="1139" ht="15.6" spans="1:1">
      <c r="A1139" s="5" t="s">
        <v>105</v>
      </c>
    </row>
    <row r="1140" spans="1:23">
      <c r="A1140" s="27" t="s">
        <v>96</v>
      </c>
      <c r="B1140" t="s">
        <v>60</v>
      </c>
      <c r="C1140" s="50"/>
      <c r="D1140" s="50"/>
      <c r="E1140" s="50"/>
      <c r="F1140" s="50"/>
      <c r="G1140" s="50"/>
      <c r="H1140" s="50"/>
      <c r="I1140" s="50"/>
      <c r="J1140" s="50"/>
      <c r="K1140" s="50"/>
      <c r="L1140" s="50"/>
      <c r="M1140" s="50"/>
      <c r="N1140" s="50"/>
      <c r="O1140" s="50"/>
      <c r="P1140" s="50"/>
      <c r="Q1140" s="50"/>
      <c r="R1140" s="50"/>
      <c r="S1140" s="50"/>
      <c r="T1140" s="50"/>
      <c r="U1140" s="50"/>
      <c r="V1140" s="50"/>
      <c r="W1140" s="50"/>
    </row>
    <row r="1141" spans="1:23">
      <c r="A1141" s="27" t="s">
        <v>98</v>
      </c>
      <c r="B1141" t="s">
        <v>60</v>
      </c>
      <c r="C1141" s="50"/>
      <c r="D1141" s="50"/>
      <c r="E1141" s="50"/>
      <c r="F1141" s="50"/>
      <c r="G1141" s="50"/>
      <c r="H1141" s="50"/>
      <c r="I1141" s="50"/>
      <c r="J1141" s="50"/>
      <c r="K1141" s="50"/>
      <c r="L1141" s="50"/>
      <c r="M1141" s="50"/>
      <c r="N1141" s="50"/>
      <c r="O1141" s="50"/>
      <c r="P1141" s="50"/>
      <c r="Q1141" s="50"/>
      <c r="R1141" s="50"/>
      <c r="S1141" s="50"/>
      <c r="T1141" s="50"/>
      <c r="U1141" s="50"/>
      <c r="V1141" s="50"/>
      <c r="W1141" s="50"/>
    </row>
    <row r="1142" spans="1:23">
      <c r="A1142" s="27" t="s">
        <v>100</v>
      </c>
      <c r="B1142" t="s">
        <v>60</v>
      </c>
      <c r="C1142" s="50"/>
      <c r="D1142" s="50"/>
      <c r="E1142" s="50"/>
      <c r="F1142" s="50"/>
      <c r="G1142" s="50"/>
      <c r="H1142" s="50"/>
      <c r="I1142" s="50"/>
      <c r="J1142" s="50"/>
      <c r="K1142" s="50"/>
      <c r="L1142" s="50"/>
      <c r="M1142" s="50"/>
      <c r="N1142" s="50"/>
      <c r="O1142" s="50"/>
      <c r="P1142" s="50"/>
      <c r="Q1142" s="50"/>
      <c r="R1142" s="50"/>
      <c r="S1142" s="50"/>
      <c r="T1142" s="50"/>
      <c r="U1142" s="50"/>
      <c r="V1142" s="50"/>
      <c r="W1142" s="50"/>
    </row>
    <row r="1143" spans="1:23">
      <c r="A1143" s="31" t="s">
        <v>107</v>
      </c>
      <c r="B1143" s="32" t="s">
        <v>60</v>
      </c>
      <c r="C1143" s="33"/>
      <c r="D1143" s="33"/>
      <c r="E1143" s="33"/>
      <c r="F1143" s="33"/>
      <c r="G1143" s="33"/>
      <c r="H1143" s="33"/>
      <c r="I1143" s="33"/>
      <c r="J1143" s="33"/>
      <c r="K1143" s="33"/>
      <c r="L1143" s="33"/>
      <c r="M1143" s="33"/>
      <c r="N1143" s="33"/>
      <c r="O1143" s="33"/>
      <c r="P1143" s="33"/>
      <c r="Q1143" s="33"/>
      <c r="R1143" s="33"/>
      <c r="S1143" s="33"/>
      <c r="T1143" s="33"/>
      <c r="U1143" s="33"/>
      <c r="V1143" s="33"/>
      <c r="W1143" s="33"/>
    </row>
    <row r="1144" spans="3:23">
      <c r="C1144" s="50"/>
      <c r="D1144" s="50"/>
      <c r="E1144" s="50"/>
      <c r="F1144" s="50"/>
      <c r="G1144" s="50"/>
      <c r="H1144" s="50"/>
      <c r="I1144" s="50"/>
      <c r="J1144" s="50"/>
      <c r="K1144" s="50"/>
      <c r="L1144" s="50"/>
      <c r="M1144" s="50"/>
      <c r="N1144" s="50"/>
      <c r="O1144" s="50"/>
      <c r="P1144" s="50"/>
      <c r="Q1144" s="50"/>
      <c r="R1144" s="50"/>
      <c r="S1144" s="50"/>
      <c r="T1144" s="50"/>
      <c r="U1144" s="50"/>
      <c r="V1144" s="50"/>
      <c r="W1144" s="50"/>
    </row>
    <row r="1145" ht="15.6" spans="1:23">
      <c r="A1145" s="25" t="s">
        <v>94</v>
      </c>
      <c r="C1145" s="10">
        <v>0</v>
      </c>
      <c r="D1145" s="10">
        <v>1</v>
      </c>
      <c r="E1145" s="10">
        <v>1</v>
      </c>
      <c r="F1145" s="10">
        <v>0</v>
      </c>
      <c r="G1145" s="10">
        <v>0</v>
      </c>
      <c r="H1145" s="10">
        <v>1</v>
      </c>
      <c r="I1145" s="10">
        <v>1</v>
      </c>
      <c r="J1145" s="10">
        <v>1</v>
      </c>
      <c r="K1145" s="10">
        <v>1</v>
      </c>
      <c r="L1145" s="10">
        <v>1</v>
      </c>
      <c r="M1145" s="10">
        <v>1</v>
      </c>
      <c r="N1145" s="10">
        <v>1</v>
      </c>
      <c r="O1145" s="10">
        <v>1</v>
      </c>
      <c r="P1145" s="10">
        <v>1</v>
      </c>
      <c r="Q1145" s="10">
        <v>1</v>
      </c>
      <c r="R1145" s="10">
        <v>1</v>
      </c>
      <c r="S1145" s="10">
        <v>1</v>
      </c>
      <c r="T1145" s="10">
        <v>1</v>
      </c>
      <c r="U1145" s="10">
        <v>1</v>
      </c>
      <c r="V1145" s="10">
        <v>1</v>
      </c>
      <c r="W1145" s="10">
        <v>1</v>
      </c>
    </row>
    <row r="1146" ht="15.6" spans="1:23">
      <c r="A1146" s="25"/>
      <c r="B1146" s="59" t="s">
        <v>142</v>
      </c>
      <c r="C1146" s="10" t="s">
        <v>143</v>
      </c>
      <c r="D1146" s="10" t="s">
        <v>143</v>
      </c>
      <c r="E1146" s="10" t="s">
        <v>143</v>
      </c>
      <c r="F1146" s="10" t="s">
        <v>144</v>
      </c>
      <c r="G1146" s="10" t="s">
        <v>144</v>
      </c>
      <c r="H1146" s="10" t="s">
        <v>143</v>
      </c>
      <c r="I1146" s="10" t="s">
        <v>145</v>
      </c>
      <c r="J1146" s="10" t="s">
        <v>145</v>
      </c>
      <c r="K1146" s="10" t="s">
        <v>145</v>
      </c>
      <c r="L1146" s="10" t="s">
        <v>145</v>
      </c>
      <c r="M1146" s="10" t="s">
        <v>145</v>
      </c>
      <c r="N1146" s="10" t="s">
        <v>145</v>
      </c>
      <c r="O1146" s="10" t="s">
        <v>145</v>
      </c>
      <c r="P1146" s="10" t="s">
        <v>145</v>
      </c>
      <c r="Q1146" s="10" t="s">
        <v>144</v>
      </c>
      <c r="R1146" s="10" t="s">
        <v>143</v>
      </c>
      <c r="S1146" s="10" t="s">
        <v>143</v>
      </c>
      <c r="T1146" s="10" t="s">
        <v>144</v>
      </c>
      <c r="U1146" s="10" t="s">
        <v>145</v>
      </c>
      <c r="V1146" s="10" t="s">
        <v>145</v>
      </c>
      <c r="W1146" s="10" t="s">
        <v>144</v>
      </c>
    </row>
    <row r="1147" ht="15.6" spans="1:23">
      <c r="A1147" s="5" t="s">
        <v>95</v>
      </c>
      <c r="B1147" s="59" t="s">
        <v>146</v>
      </c>
      <c r="C1147" s="11">
        <v>35</v>
      </c>
      <c r="D1147" s="11">
        <v>49</v>
      </c>
      <c r="E1147" s="11">
        <v>35</v>
      </c>
      <c r="F1147" s="11">
        <v>35</v>
      </c>
      <c r="G1147" s="11">
        <v>35</v>
      </c>
      <c r="H1147" s="11">
        <v>32</v>
      </c>
      <c r="I1147" s="11">
        <v>55</v>
      </c>
      <c r="J1147" s="11">
        <v>55</v>
      </c>
      <c r="K1147" s="11">
        <v>55</v>
      </c>
      <c r="L1147" s="11">
        <v>55</v>
      </c>
      <c r="M1147" s="11">
        <v>57</v>
      </c>
      <c r="N1147" s="11">
        <v>65</v>
      </c>
      <c r="O1147" s="11">
        <v>65</v>
      </c>
      <c r="P1147" s="11">
        <v>65</v>
      </c>
      <c r="Q1147" s="11">
        <v>50</v>
      </c>
      <c r="R1147" s="60">
        <v>63</v>
      </c>
      <c r="S1147" s="11">
        <v>95</v>
      </c>
      <c r="T1147" s="61">
        <v>45</v>
      </c>
      <c r="U1147" s="61">
        <v>55</v>
      </c>
      <c r="V1147" s="11">
        <v>45</v>
      </c>
      <c r="W1147" s="11">
        <v>30</v>
      </c>
    </row>
    <row r="1148" spans="1:23">
      <c r="A1148" s="27" t="s">
        <v>96</v>
      </c>
      <c r="B1148" t="s">
        <v>108</v>
      </c>
      <c r="C1148" s="14"/>
      <c r="D1148" s="14"/>
      <c r="E1148" s="14"/>
      <c r="F1148" s="14"/>
      <c r="G1148" s="14"/>
      <c r="H1148" s="14"/>
      <c r="I1148" s="14"/>
      <c r="J1148" s="14"/>
      <c r="K1148" s="14"/>
      <c r="L1148" s="14"/>
      <c r="M1148" s="14"/>
      <c r="N1148" s="14"/>
      <c r="O1148" s="14"/>
      <c r="P1148" s="14"/>
      <c r="Q1148" s="14"/>
      <c r="R1148" s="14"/>
      <c r="S1148" s="14"/>
      <c r="T1148" s="14"/>
      <c r="U1148" s="14"/>
      <c r="V1148" s="14"/>
      <c r="W1148" s="14"/>
    </row>
    <row r="1149" spans="1:23">
      <c r="A1149" s="27" t="s">
        <v>98</v>
      </c>
      <c r="B1149" t="s">
        <v>109</v>
      </c>
      <c r="C1149" s="14"/>
      <c r="D1149" s="14"/>
      <c r="E1149" s="14"/>
      <c r="F1149" s="14"/>
      <c r="G1149" s="14"/>
      <c r="H1149" s="14"/>
      <c r="I1149" s="14"/>
      <c r="J1149" s="14"/>
      <c r="K1149" s="14"/>
      <c r="L1149" s="14"/>
      <c r="M1149" s="14"/>
      <c r="N1149" s="14"/>
      <c r="O1149" s="14"/>
      <c r="P1149" s="14"/>
      <c r="Q1149" s="14"/>
      <c r="R1149" s="14"/>
      <c r="S1149" s="14"/>
      <c r="T1149" s="14"/>
      <c r="U1149" s="14"/>
      <c r="V1149" s="14"/>
      <c r="W1149" s="14"/>
    </row>
    <row r="1150" spans="1:23">
      <c r="A1150" s="27" t="s">
        <v>100</v>
      </c>
      <c r="B1150" t="s">
        <v>60</v>
      </c>
      <c r="C1150" s="14"/>
      <c r="D1150" s="14"/>
      <c r="E1150" s="14"/>
      <c r="F1150" s="14"/>
      <c r="G1150" s="14"/>
      <c r="H1150" s="14"/>
      <c r="I1150" s="14"/>
      <c r="J1150" s="14"/>
      <c r="K1150" s="14"/>
      <c r="L1150" s="14"/>
      <c r="M1150" s="14"/>
      <c r="N1150" s="14"/>
      <c r="O1150" s="14"/>
      <c r="P1150" s="14"/>
      <c r="Q1150" s="14"/>
      <c r="R1150" s="14"/>
      <c r="S1150" s="14"/>
      <c r="T1150" s="14"/>
      <c r="U1150" s="14"/>
      <c r="V1150" s="14"/>
      <c r="W1150" s="14"/>
    </row>
    <row r="1151" ht="15.6" spans="1:1">
      <c r="A1151" s="5" t="s">
        <v>102</v>
      </c>
    </row>
    <row r="1152" spans="1:23">
      <c r="A1152" s="27" t="s">
        <v>96</v>
      </c>
      <c r="B1152" t="s">
        <v>108</v>
      </c>
      <c r="C1152" s="14"/>
      <c r="D1152" s="14"/>
      <c r="E1152" s="14"/>
      <c r="F1152" s="14"/>
      <c r="G1152" s="14"/>
      <c r="H1152" s="14"/>
      <c r="I1152" s="14"/>
      <c r="J1152" s="14"/>
      <c r="K1152" s="14"/>
      <c r="L1152" s="14"/>
      <c r="M1152" s="14"/>
      <c r="N1152" s="14"/>
      <c r="O1152" s="14"/>
      <c r="P1152" s="14"/>
      <c r="Q1152" s="14"/>
      <c r="R1152" s="14"/>
      <c r="S1152" s="14"/>
      <c r="T1152" s="14"/>
      <c r="U1152" s="14"/>
      <c r="V1152" s="14"/>
      <c r="W1152" s="14"/>
    </row>
    <row r="1153" spans="1:23">
      <c r="A1153" s="27" t="s">
        <v>98</v>
      </c>
      <c r="B1153" t="s">
        <v>109</v>
      </c>
      <c r="C1153" s="14"/>
      <c r="D1153" s="14"/>
      <c r="E1153" s="14"/>
      <c r="F1153" s="14"/>
      <c r="G1153" s="14"/>
      <c r="H1153" s="14"/>
      <c r="I1153" s="14"/>
      <c r="J1153" s="14"/>
      <c r="K1153" s="14"/>
      <c r="L1153" s="14"/>
      <c r="M1153" s="14"/>
      <c r="N1153" s="14"/>
      <c r="O1153" s="14"/>
      <c r="P1153" s="14"/>
      <c r="Q1153" s="14"/>
      <c r="R1153" s="14"/>
      <c r="S1153" s="14"/>
      <c r="T1153" s="14"/>
      <c r="U1153" s="14"/>
      <c r="V1153" s="14"/>
      <c r="W1153" s="14"/>
    </row>
    <row r="1154" spans="1:23">
      <c r="A1154" s="27" t="s">
        <v>100</v>
      </c>
      <c r="B1154" t="s">
        <v>60</v>
      </c>
      <c r="C1154" s="14"/>
      <c r="D1154" s="14"/>
      <c r="E1154" s="14"/>
      <c r="F1154" s="14"/>
      <c r="G1154" s="14"/>
      <c r="H1154" s="14"/>
      <c r="I1154" s="14"/>
      <c r="J1154" s="14"/>
      <c r="K1154" s="14"/>
      <c r="L1154" s="14"/>
      <c r="M1154" s="14"/>
      <c r="N1154" s="14"/>
      <c r="O1154" s="14"/>
      <c r="P1154" s="14"/>
      <c r="Q1154" s="14"/>
      <c r="R1154" s="14"/>
      <c r="S1154" s="14"/>
      <c r="T1154" s="14"/>
      <c r="U1154" s="14"/>
      <c r="V1154" s="14"/>
      <c r="W1154" s="14"/>
    </row>
    <row r="1155" ht="15.6" spans="1:1">
      <c r="A1155" s="5" t="s">
        <v>147</v>
      </c>
    </row>
    <row r="1156" spans="1:23">
      <c r="A1156" s="27" t="s">
        <v>96</v>
      </c>
      <c r="B1156" t="s">
        <v>60</v>
      </c>
      <c r="C1156" s="14"/>
      <c r="D1156" s="14"/>
      <c r="E1156" s="14"/>
      <c r="F1156" s="14"/>
      <c r="G1156" s="14"/>
      <c r="H1156" s="14"/>
      <c r="I1156" s="14"/>
      <c r="J1156" s="14"/>
      <c r="K1156" s="14"/>
      <c r="L1156" s="14"/>
      <c r="M1156" s="14"/>
      <c r="N1156" s="14"/>
      <c r="O1156" s="14"/>
      <c r="P1156" s="14"/>
      <c r="Q1156" s="14"/>
      <c r="R1156" s="14"/>
      <c r="S1156" s="14"/>
      <c r="T1156" s="14"/>
      <c r="U1156" s="14"/>
      <c r="V1156" s="14"/>
      <c r="W1156" s="14"/>
    </row>
    <row r="1157" spans="1:23">
      <c r="A1157" s="27" t="s">
        <v>98</v>
      </c>
      <c r="B1157" t="s">
        <v>60</v>
      </c>
      <c r="C1157" s="14"/>
      <c r="D1157" s="14"/>
      <c r="E1157" s="14"/>
      <c r="F1157" s="14"/>
      <c r="G1157" s="14"/>
      <c r="H1157" s="14"/>
      <c r="I1157" s="14"/>
      <c r="J1157" s="14"/>
      <c r="K1157" s="14"/>
      <c r="L1157" s="14"/>
      <c r="M1157" s="14"/>
      <c r="N1157" s="14"/>
      <c r="O1157" s="14"/>
      <c r="P1157" s="14"/>
      <c r="Q1157" s="14"/>
      <c r="R1157" s="14"/>
      <c r="S1157" s="14"/>
      <c r="T1157" s="14"/>
      <c r="U1157" s="14"/>
      <c r="V1157" s="14"/>
      <c r="W1157" s="14"/>
    </row>
    <row r="1158" spans="1:23">
      <c r="A1158" s="27" t="s">
        <v>100</v>
      </c>
      <c r="B1158" t="s">
        <v>60</v>
      </c>
      <c r="C1158" s="39"/>
      <c r="D1158" s="39"/>
      <c r="E1158" s="39"/>
      <c r="F1158" s="39"/>
      <c r="G1158" s="39"/>
      <c r="H1158" s="39"/>
      <c r="I1158" s="39"/>
      <c r="J1158" s="39"/>
      <c r="K1158" s="39"/>
      <c r="L1158" s="39"/>
      <c r="M1158" s="39"/>
      <c r="N1158" s="39"/>
      <c r="O1158" s="39"/>
      <c r="P1158" s="39"/>
      <c r="Q1158" s="39"/>
      <c r="R1158" s="39"/>
      <c r="S1158" s="39"/>
      <c r="T1158" s="39"/>
      <c r="U1158" s="39"/>
      <c r="V1158" s="39"/>
      <c r="W1158" s="39"/>
    </row>
    <row r="1159" ht="15.6" spans="1:1">
      <c r="A1159" s="5" t="s">
        <v>105</v>
      </c>
    </row>
    <row r="1160" spans="1:23">
      <c r="A1160" s="27" t="s">
        <v>96</v>
      </c>
      <c r="B1160" t="s">
        <v>60</v>
      </c>
      <c r="C1160" s="50"/>
      <c r="D1160" s="50"/>
      <c r="E1160" s="50"/>
      <c r="F1160" s="50"/>
      <c r="G1160" s="50"/>
      <c r="H1160" s="50"/>
      <c r="I1160" s="50"/>
      <c r="J1160" s="50"/>
      <c r="K1160" s="50"/>
      <c r="L1160" s="50"/>
      <c r="M1160" s="50"/>
      <c r="N1160" s="50"/>
      <c r="O1160" s="50"/>
      <c r="P1160" s="50"/>
      <c r="Q1160" s="50"/>
      <c r="R1160" s="50"/>
      <c r="S1160" s="50"/>
      <c r="T1160" s="50"/>
      <c r="U1160" s="50"/>
      <c r="V1160" s="50"/>
      <c r="W1160" s="50"/>
    </row>
    <row r="1161" spans="1:23">
      <c r="A1161" s="27" t="s">
        <v>98</v>
      </c>
      <c r="B1161" t="s">
        <v>60</v>
      </c>
      <c r="C1161" s="50"/>
      <c r="D1161" s="50"/>
      <c r="E1161" s="50"/>
      <c r="F1161" s="50"/>
      <c r="G1161" s="50"/>
      <c r="H1161" s="50"/>
      <c r="I1161" s="50"/>
      <c r="J1161" s="50"/>
      <c r="K1161" s="50"/>
      <c r="L1161" s="50"/>
      <c r="M1161" s="50"/>
      <c r="N1161" s="50"/>
      <c r="O1161" s="50"/>
      <c r="P1161" s="50"/>
      <c r="Q1161" s="50"/>
      <c r="R1161" s="50"/>
      <c r="S1161" s="50"/>
      <c r="T1161" s="50"/>
      <c r="U1161" s="50"/>
      <c r="V1161" s="50"/>
      <c r="W1161" s="50"/>
    </row>
    <row r="1162" spans="1:23">
      <c r="A1162" s="27" t="s">
        <v>100</v>
      </c>
      <c r="B1162" t="s">
        <v>60</v>
      </c>
      <c r="C1162" s="50"/>
      <c r="D1162" s="50"/>
      <c r="E1162" s="50"/>
      <c r="F1162" s="50"/>
      <c r="G1162" s="50"/>
      <c r="H1162" s="50"/>
      <c r="I1162" s="50"/>
      <c r="J1162" s="50"/>
      <c r="K1162" s="50"/>
      <c r="L1162" s="50"/>
      <c r="M1162" s="50"/>
      <c r="N1162" s="50"/>
      <c r="O1162" s="50"/>
      <c r="P1162" s="50"/>
      <c r="Q1162" s="50"/>
      <c r="R1162" s="50"/>
      <c r="S1162" s="50"/>
      <c r="T1162" s="50"/>
      <c r="U1162" s="50"/>
      <c r="V1162" s="50"/>
      <c r="W1162" s="50"/>
    </row>
    <row r="1163" spans="1:23">
      <c r="A1163" s="27" t="s">
        <v>148</v>
      </c>
      <c r="B1163" t="s">
        <v>60</v>
      </c>
      <c r="C1163" s="50"/>
      <c r="D1163" s="50"/>
      <c r="E1163" s="50"/>
      <c r="F1163" s="50"/>
      <c r="G1163" s="50"/>
      <c r="H1163" s="50"/>
      <c r="I1163" s="50"/>
      <c r="J1163" s="50"/>
      <c r="K1163" s="50"/>
      <c r="L1163" s="50"/>
      <c r="M1163" s="50"/>
      <c r="N1163" s="50"/>
      <c r="O1163" s="50"/>
      <c r="P1163" s="50"/>
      <c r="Q1163" s="50"/>
      <c r="R1163" s="50"/>
      <c r="S1163" s="50"/>
      <c r="T1163" s="50"/>
      <c r="U1163" s="50"/>
      <c r="V1163" s="50"/>
      <c r="W1163" s="50"/>
    </row>
    <row r="1164" spans="1:23">
      <c r="A1164" s="31" t="s">
        <v>107</v>
      </c>
      <c r="B1164" s="32" t="s">
        <v>60</v>
      </c>
      <c r="C1164" s="33"/>
      <c r="D1164" s="33"/>
      <c r="E1164" s="33"/>
      <c r="F1164" s="33"/>
      <c r="G1164" s="33"/>
      <c r="H1164" s="33"/>
      <c r="I1164" s="33"/>
      <c r="J1164" s="33"/>
      <c r="K1164" s="33"/>
      <c r="L1164" s="33"/>
      <c r="M1164" s="33"/>
      <c r="N1164" s="33"/>
      <c r="O1164" s="33"/>
      <c r="P1164" s="33"/>
      <c r="Q1164" s="33"/>
      <c r="R1164" s="33"/>
      <c r="S1164" s="33"/>
      <c r="T1164" s="33"/>
      <c r="U1164" s="33"/>
      <c r="V1164" s="33"/>
      <c r="W1164" s="33"/>
    </row>
    <row r="1165" spans="3:23">
      <c r="C1165" s="29"/>
      <c r="D1165" s="29"/>
      <c r="E1165" s="29"/>
      <c r="F1165" s="29"/>
      <c r="G1165" s="29"/>
      <c r="H1165" s="29"/>
      <c r="I1165" s="29"/>
      <c r="J1165" s="29"/>
      <c r="K1165" s="29"/>
      <c r="L1165" s="29"/>
      <c r="M1165" s="29"/>
      <c r="N1165" s="29"/>
      <c r="O1165" s="29"/>
      <c r="P1165" s="29"/>
      <c r="Q1165" s="29"/>
      <c r="R1165" s="29"/>
      <c r="S1165" s="29"/>
      <c r="T1165" s="29"/>
      <c r="U1165" s="29"/>
      <c r="V1165" s="29"/>
      <c r="W1165" s="29"/>
    </row>
    <row r="1166" spans="3:23">
      <c r="C1166" s="29"/>
      <c r="D1166" s="29"/>
      <c r="E1166" s="29"/>
      <c r="F1166" s="29"/>
      <c r="G1166" s="29"/>
      <c r="H1166" s="29"/>
      <c r="I1166" s="29"/>
      <c r="J1166" s="29"/>
      <c r="K1166" s="29"/>
      <c r="L1166" s="29"/>
      <c r="M1166" s="29"/>
      <c r="N1166" s="29"/>
      <c r="O1166" s="29"/>
      <c r="P1166" s="29"/>
      <c r="Q1166" s="29"/>
      <c r="R1166" s="29"/>
      <c r="S1166" s="29"/>
      <c r="T1166" s="29"/>
      <c r="U1166" s="29"/>
      <c r="V1166" s="29"/>
      <c r="W1166" s="29"/>
    </row>
    <row r="1167" spans="3:23">
      <c r="C1167" s="29"/>
      <c r="D1167" s="29"/>
      <c r="E1167" s="29"/>
      <c r="F1167" s="29"/>
      <c r="G1167" s="29"/>
      <c r="H1167" s="29"/>
      <c r="I1167" s="29"/>
      <c r="J1167" s="29"/>
      <c r="K1167" s="29"/>
      <c r="L1167" s="29"/>
      <c r="M1167" s="29"/>
      <c r="N1167" s="29"/>
      <c r="O1167" s="29"/>
      <c r="P1167" s="29"/>
      <c r="Q1167" s="29"/>
      <c r="R1167" s="29"/>
      <c r="S1167" s="29"/>
      <c r="T1167" s="29"/>
      <c r="U1167" s="29"/>
      <c r="V1167" s="29"/>
      <c r="W1167" s="29"/>
    </row>
    <row r="1168" spans="3:23">
      <c r="C1168" s="29"/>
      <c r="D1168" s="29"/>
      <c r="E1168" s="29"/>
      <c r="F1168" s="29"/>
      <c r="G1168" s="29"/>
      <c r="H1168" s="29"/>
      <c r="I1168" s="29"/>
      <c r="J1168" s="29"/>
      <c r="K1168" s="29"/>
      <c r="L1168" s="29"/>
      <c r="M1168" s="29"/>
      <c r="N1168" s="29"/>
      <c r="O1168" s="29"/>
      <c r="P1168" s="29"/>
      <c r="Q1168" s="29"/>
      <c r="R1168" s="29"/>
      <c r="S1168" s="29"/>
      <c r="T1168" s="29"/>
      <c r="U1168" s="29"/>
      <c r="V1168" s="29"/>
      <c r="W1168" s="29"/>
    </row>
    <row r="1169" spans="3:23">
      <c r="C1169" s="29"/>
      <c r="D1169" s="29"/>
      <c r="E1169" s="29"/>
      <c r="F1169" s="29"/>
      <c r="G1169" s="29"/>
      <c r="H1169" s="29"/>
      <c r="I1169" s="29"/>
      <c r="J1169" s="29"/>
      <c r="K1169" s="29"/>
      <c r="L1169" s="29"/>
      <c r="M1169" s="29"/>
      <c r="N1169" s="29"/>
      <c r="O1169" s="29"/>
      <c r="P1169" s="29"/>
      <c r="Q1169" s="29"/>
      <c r="R1169" s="29"/>
      <c r="S1169" s="29"/>
      <c r="T1169" s="29"/>
      <c r="U1169" s="29"/>
      <c r="V1169" s="29"/>
      <c r="W1169" s="29"/>
    </row>
    <row r="1170" spans="3:23">
      <c r="C1170" s="29"/>
      <c r="D1170" s="29"/>
      <c r="E1170" s="29"/>
      <c r="F1170" s="29"/>
      <c r="G1170" s="29"/>
      <c r="H1170" s="29"/>
      <c r="I1170" s="29"/>
      <c r="J1170" s="29"/>
      <c r="K1170" s="29"/>
      <c r="L1170" s="29"/>
      <c r="M1170" s="29"/>
      <c r="N1170" s="29"/>
      <c r="O1170" s="29"/>
      <c r="P1170" s="29"/>
      <c r="Q1170" s="29"/>
      <c r="R1170" s="29"/>
      <c r="S1170" s="29"/>
      <c r="T1170" s="29"/>
      <c r="U1170" s="29"/>
      <c r="V1170" s="29"/>
      <c r="W1170" s="29"/>
    </row>
    <row r="1171" spans="3:23">
      <c r="C1171" s="39"/>
      <c r="D1171" s="39"/>
      <c r="E1171" s="39"/>
      <c r="F1171" s="39"/>
      <c r="G1171" s="39"/>
      <c r="H1171" s="39"/>
      <c r="I1171" s="39"/>
      <c r="J1171" s="39"/>
      <c r="K1171" s="39"/>
      <c r="L1171" s="39"/>
      <c r="M1171" s="39"/>
      <c r="N1171" s="39"/>
      <c r="O1171" s="39"/>
      <c r="P1171" s="39"/>
      <c r="Q1171" s="39"/>
      <c r="R1171" s="39"/>
      <c r="S1171" s="39"/>
      <c r="T1171" s="39"/>
      <c r="U1171" s="39"/>
      <c r="V1171" s="39"/>
      <c r="W1171" s="39"/>
    </row>
    <row r="1172" ht="15.6" spans="3:23">
      <c r="C1172" s="11">
        <v>1</v>
      </c>
      <c r="D1172" s="11">
        <v>0.5</v>
      </c>
      <c r="E1172" s="11">
        <v>1</v>
      </c>
      <c r="F1172" s="11">
        <v>0.5</v>
      </c>
      <c r="G1172" s="11">
        <v>0.5</v>
      </c>
      <c r="H1172" s="11">
        <v>2.10772266526831</v>
      </c>
      <c r="I1172" s="11">
        <v>0</v>
      </c>
      <c r="J1172" s="11">
        <v>0.5</v>
      </c>
      <c r="K1172" s="11">
        <v>2.5</v>
      </c>
      <c r="L1172" s="11">
        <v>0.5</v>
      </c>
      <c r="M1172" s="11">
        <v>0.5</v>
      </c>
      <c r="N1172" s="11">
        <v>0.5</v>
      </c>
      <c r="O1172" s="11">
        <v>0.5</v>
      </c>
      <c r="P1172" s="11">
        <v>0.5</v>
      </c>
      <c r="Q1172" s="11">
        <v>0.5</v>
      </c>
      <c r="R1172" s="11">
        <v>0.761739004774266</v>
      </c>
      <c r="S1172" s="11">
        <v>0.5</v>
      </c>
      <c r="T1172" s="11">
        <v>0.5</v>
      </c>
      <c r="U1172" s="11">
        <v>0.5</v>
      </c>
      <c r="V1172" s="41">
        <v>0.25</v>
      </c>
      <c r="W1172" s="41">
        <v>0.25</v>
      </c>
    </row>
    <row r="1173" ht="15.6" spans="1:23">
      <c r="A1173" s="25" t="s">
        <v>94</v>
      </c>
      <c r="C1173" s="10">
        <v>0</v>
      </c>
      <c r="D1173" s="10">
        <v>1</v>
      </c>
      <c r="E1173" s="10">
        <v>1</v>
      </c>
      <c r="F1173" s="10">
        <v>1</v>
      </c>
      <c r="G1173" s="10">
        <v>1</v>
      </c>
      <c r="H1173" s="10">
        <v>1</v>
      </c>
      <c r="I1173" s="10">
        <v>1</v>
      </c>
      <c r="J1173" s="10">
        <v>1</v>
      </c>
      <c r="K1173" s="10">
        <v>1</v>
      </c>
      <c r="L1173" s="10">
        <v>1</v>
      </c>
      <c r="M1173" s="10">
        <v>1</v>
      </c>
      <c r="N1173" s="10">
        <v>1</v>
      </c>
      <c r="O1173" s="10">
        <v>1</v>
      </c>
      <c r="P1173" s="10">
        <v>1</v>
      </c>
      <c r="Q1173" s="10">
        <v>1</v>
      </c>
      <c r="R1173" s="10">
        <v>1</v>
      </c>
      <c r="S1173" s="10">
        <v>1</v>
      </c>
      <c r="T1173" s="10">
        <v>1</v>
      </c>
      <c r="U1173" s="10">
        <v>1</v>
      </c>
      <c r="V1173" s="10">
        <v>1</v>
      </c>
      <c r="W1173" s="10">
        <v>1</v>
      </c>
    </row>
    <row r="1174" spans="1:23">
      <c r="A1174" t="s">
        <v>149</v>
      </c>
      <c r="B1174" s="9" t="s">
        <v>66</v>
      </c>
      <c r="C1174" s="62">
        <v>0.00075</v>
      </c>
      <c r="D1174" s="62">
        <v>0.00075</v>
      </c>
      <c r="E1174" s="62">
        <v>0.00075</v>
      </c>
      <c r="F1174" s="62">
        <v>0.00075</v>
      </c>
      <c r="G1174" s="62">
        <v>0.00075</v>
      </c>
      <c r="H1174" s="62">
        <v>0.00075</v>
      </c>
      <c r="I1174" s="62">
        <v>0.00075</v>
      </c>
      <c r="J1174" s="62">
        <v>0.00075</v>
      </c>
      <c r="K1174" s="62">
        <v>0.00075</v>
      </c>
      <c r="L1174" s="62">
        <v>0.00075</v>
      </c>
      <c r="M1174" s="62">
        <v>0.00075</v>
      </c>
      <c r="N1174" s="62">
        <v>0.00075</v>
      </c>
      <c r="O1174" s="62">
        <v>0.00075</v>
      </c>
      <c r="P1174" s="62">
        <v>0.00075</v>
      </c>
      <c r="Q1174" s="62">
        <v>0.00075</v>
      </c>
      <c r="R1174" s="62">
        <v>0.00075</v>
      </c>
      <c r="S1174" s="62">
        <v>0.00075</v>
      </c>
      <c r="T1174" s="62">
        <v>0.00075</v>
      </c>
      <c r="U1174" s="62">
        <v>0.00075</v>
      </c>
      <c r="V1174" s="62">
        <v>0.00075</v>
      </c>
      <c r="W1174" s="62">
        <v>0.00075</v>
      </c>
    </row>
    <row r="1175" spans="1:23">
      <c r="A1175" t="s">
        <v>150</v>
      </c>
      <c r="B1175" s="9" t="s">
        <v>151</v>
      </c>
      <c r="C1175" s="14"/>
      <c r="D1175" s="14"/>
      <c r="E1175" s="14"/>
      <c r="F1175" s="14"/>
      <c r="G1175" s="14"/>
      <c r="H1175" s="14"/>
      <c r="I1175" s="14"/>
      <c r="J1175" s="14"/>
      <c r="K1175" s="14"/>
      <c r="L1175" s="14"/>
      <c r="M1175" s="14"/>
      <c r="N1175" s="14"/>
      <c r="O1175" s="14"/>
      <c r="P1175" s="14"/>
      <c r="Q1175" s="14"/>
      <c r="R1175" s="14"/>
      <c r="S1175" s="14"/>
      <c r="T1175" s="14"/>
      <c r="U1175" s="14"/>
      <c r="V1175" s="14"/>
      <c r="W1175" s="14"/>
    </row>
    <row r="1176" spans="1:23">
      <c r="A1176" t="s">
        <v>152</v>
      </c>
      <c r="B1176" s="9" t="s">
        <v>51</v>
      </c>
      <c r="C1176" s="14"/>
      <c r="D1176" s="14"/>
      <c r="E1176" s="14"/>
      <c r="F1176" s="14"/>
      <c r="G1176" s="14"/>
      <c r="H1176" s="14"/>
      <c r="I1176" s="14"/>
      <c r="J1176" s="14"/>
      <c r="K1176" s="14"/>
      <c r="L1176" s="14"/>
      <c r="M1176" s="14"/>
      <c r="N1176" s="14"/>
      <c r="O1176" s="14"/>
      <c r="P1176" s="14"/>
      <c r="Q1176" s="14"/>
      <c r="R1176" s="14"/>
      <c r="S1176" s="14"/>
      <c r="T1176" s="14"/>
      <c r="U1176" s="14"/>
      <c r="V1176" s="14"/>
      <c r="W1176" s="14"/>
    </row>
    <row r="1177" spans="1:23">
      <c r="A1177" t="s">
        <v>153</v>
      </c>
      <c r="B1177" s="9" t="s">
        <v>151</v>
      </c>
      <c r="C1177" s="14"/>
      <c r="D1177" s="14"/>
      <c r="E1177" s="14"/>
      <c r="F1177" s="14"/>
      <c r="G1177" s="14"/>
      <c r="H1177" s="14"/>
      <c r="I1177" s="14"/>
      <c r="J1177" s="14"/>
      <c r="K1177" s="14"/>
      <c r="L1177" s="14"/>
      <c r="M1177" s="14"/>
      <c r="N1177" s="14"/>
      <c r="O1177" s="14"/>
      <c r="P1177" s="14"/>
      <c r="Q1177" s="14"/>
      <c r="R1177" s="14"/>
      <c r="S1177" s="14"/>
      <c r="T1177" s="14"/>
      <c r="U1177" s="14"/>
      <c r="V1177" s="14"/>
      <c r="W1177" s="14"/>
    </row>
    <row r="1178" spans="1:23">
      <c r="A1178" s="32" t="s">
        <v>153</v>
      </c>
      <c r="B1178" s="63" t="s">
        <v>60</v>
      </c>
      <c r="C1178" s="33"/>
      <c r="D1178" s="33"/>
      <c r="E1178" s="33"/>
      <c r="F1178" s="33"/>
      <c r="G1178" s="33"/>
      <c r="H1178" s="33"/>
      <c r="I1178" s="33"/>
      <c r="J1178" s="33"/>
      <c r="K1178" s="33"/>
      <c r="L1178" s="33"/>
      <c r="M1178" s="33"/>
      <c r="N1178" s="33"/>
      <c r="O1178" s="33"/>
      <c r="P1178" s="33"/>
      <c r="Q1178" s="33"/>
      <c r="R1178" s="33"/>
      <c r="S1178" s="33"/>
      <c r="T1178" s="33"/>
      <c r="U1178" s="33"/>
      <c r="V1178" s="33"/>
      <c r="W1178" s="33"/>
    </row>
    <row r="1179" ht="15.6" spans="1:23">
      <c r="A1179" s="25" t="s">
        <v>94</v>
      </c>
      <c r="C1179" s="10">
        <v>0</v>
      </c>
      <c r="D1179" s="10">
        <v>0</v>
      </c>
      <c r="E1179" s="10">
        <v>0</v>
      </c>
      <c r="F1179" s="10">
        <v>1</v>
      </c>
      <c r="G1179" s="10">
        <v>1</v>
      </c>
      <c r="H1179" s="10">
        <v>1</v>
      </c>
      <c r="I1179" s="10">
        <v>1</v>
      </c>
      <c r="J1179" s="10">
        <v>0</v>
      </c>
      <c r="K1179" s="10">
        <v>1</v>
      </c>
      <c r="L1179" s="10">
        <v>1</v>
      </c>
      <c r="M1179" s="10">
        <v>1</v>
      </c>
      <c r="N1179" s="10">
        <v>1</v>
      </c>
      <c r="O1179" s="10">
        <v>1</v>
      </c>
      <c r="P1179" s="10">
        <v>1</v>
      </c>
      <c r="Q1179" s="10">
        <v>1</v>
      </c>
      <c r="R1179" s="10">
        <v>1</v>
      </c>
      <c r="S1179" s="10">
        <v>1</v>
      </c>
      <c r="T1179" s="10">
        <v>0</v>
      </c>
      <c r="U1179" s="10">
        <v>0</v>
      </c>
      <c r="V1179" s="10">
        <v>1</v>
      </c>
      <c r="W1179" s="10">
        <v>1</v>
      </c>
    </row>
    <row r="1180" spans="1:23">
      <c r="A1180" t="s">
        <v>149</v>
      </c>
      <c r="B1180" s="9" t="s">
        <v>66</v>
      </c>
      <c r="C1180" s="64">
        <v>0.00075</v>
      </c>
      <c r="D1180" s="64">
        <v>0.00075</v>
      </c>
      <c r="E1180" s="64">
        <v>0.00075</v>
      </c>
      <c r="F1180" s="64">
        <v>0.00075</v>
      </c>
      <c r="G1180" s="64">
        <v>0.00075</v>
      </c>
      <c r="H1180" s="64">
        <v>0.00075</v>
      </c>
      <c r="I1180" s="64">
        <v>0.00075</v>
      </c>
      <c r="J1180" s="64">
        <v>0.00075</v>
      </c>
      <c r="K1180" s="64">
        <v>0.00075</v>
      </c>
      <c r="L1180" s="64">
        <v>0.00075</v>
      </c>
      <c r="M1180" s="64">
        <v>0.00075</v>
      </c>
      <c r="N1180" s="64">
        <v>0.00075</v>
      </c>
      <c r="O1180" s="64">
        <v>0.00075</v>
      </c>
      <c r="P1180" s="64">
        <v>0.00075</v>
      </c>
      <c r="Q1180" s="64">
        <v>0.00075</v>
      </c>
      <c r="R1180" s="64">
        <v>0.00075</v>
      </c>
      <c r="S1180" s="64">
        <v>0.00075</v>
      </c>
      <c r="T1180" s="64">
        <v>0.00075</v>
      </c>
      <c r="U1180" s="64">
        <v>0.00075</v>
      </c>
      <c r="V1180" s="64">
        <v>0.00075</v>
      </c>
      <c r="W1180" s="64">
        <v>0.00075</v>
      </c>
    </row>
    <row r="1181" spans="1:23">
      <c r="A1181" t="s">
        <v>150</v>
      </c>
      <c r="B1181" s="9" t="s">
        <v>151</v>
      </c>
      <c r="C1181" s="14"/>
      <c r="D1181" s="14"/>
      <c r="E1181" s="14"/>
      <c r="F1181" s="14"/>
      <c r="G1181" s="14"/>
      <c r="H1181" s="14"/>
      <c r="I1181" s="14"/>
      <c r="J1181" s="14"/>
      <c r="K1181" s="14"/>
      <c r="L1181" s="14"/>
      <c r="M1181" s="14"/>
      <c r="N1181" s="14"/>
      <c r="O1181" s="14"/>
      <c r="P1181" s="14"/>
      <c r="Q1181" s="14"/>
      <c r="R1181" s="14"/>
      <c r="S1181" s="14"/>
      <c r="T1181" s="14"/>
      <c r="U1181" s="14"/>
      <c r="V1181" s="14"/>
      <c r="W1181" s="14"/>
    </row>
    <row r="1182" spans="1:23">
      <c r="A1182" t="s">
        <v>152</v>
      </c>
      <c r="B1182" s="9" t="s">
        <v>51</v>
      </c>
      <c r="C1182" s="14"/>
      <c r="D1182" s="14"/>
      <c r="E1182" s="14"/>
      <c r="F1182" s="14"/>
      <c r="G1182" s="14"/>
      <c r="H1182" s="14"/>
      <c r="I1182" s="14"/>
      <c r="J1182" s="14"/>
      <c r="K1182" s="14"/>
      <c r="L1182" s="14"/>
      <c r="M1182" s="14"/>
      <c r="N1182" s="14"/>
      <c r="O1182" s="14"/>
      <c r="P1182" s="14"/>
      <c r="Q1182" s="14"/>
      <c r="R1182" s="14"/>
      <c r="S1182" s="14"/>
      <c r="T1182" s="14"/>
      <c r="U1182" s="14"/>
      <c r="V1182" s="14"/>
      <c r="W1182" s="14"/>
    </row>
    <row r="1183" spans="1:23">
      <c r="A1183" t="s">
        <v>153</v>
      </c>
      <c r="B1183" s="9" t="s">
        <v>151</v>
      </c>
      <c r="C1183" s="14"/>
      <c r="D1183" s="14"/>
      <c r="E1183" s="14"/>
      <c r="F1183" s="14"/>
      <c r="G1183" s="14"/>
      <c r="H1183" s="14"/>
      <c r="I1183" s="14"/>
      <c r="J1183" s="14"/>
      <c r="K1183" s="14"/>
      <c r="L1183" s="14"/>
      <c r="M1183" s="14"/>
      <c r="N1183" s="14"/>
      <c r="O1183" s="14"/>
      <c r="P1183" s="14"/>
      <c r="Q1183" s="14"/>
      <c r="R1183" s="14"/>
      <c r="S1183" s="14"/>
      <c r="T1183" s="14"/>
      <c r="U1183" s="14"/>
      <c r="V1183" s="14"/>
      <c r="W1183" s="14"/>
    </row>
    <row r="1184" spans="1:23">
      <c r="A1184" s="32" t="s">
        <v>153</v>
      </c>
      <c r="B1184" s="63" t="s">
        <v>60</v>
      </c>
      <c r="C1184" s="33"/>
      <c r="D1184" s="33"/>
      <c r="E1184" s="33"/>
      <c r="F1184" s="33"/>
      <c r="G1184" s="33"/>
      <c r="H1184" s="33"/>
      <c r="I1184" s="33"/>
      <c r="J1184" s="33"/>
      <c r="K1184" s="33"/>
      <c r="L1184" s="33"/>
      <c r="M1184" s="33"/>
      <c r="N1184" s="33"/>
      <c r="O1184" s="33"/>
      <c r="P1184" s="33"/>
      <c r="Q1184" s="33"/>
      <c r="R1184" s="33"/>
      <c r="S1184" s="33"/>
      <c r="T1184" s="33"/>
      <c r="U1184" s="33"/>
      <c r="V1184" s="33"/>
      <c r="W1184" s="33"/>
    </row>
    <row r="1185" ht="15.6" spans="1:23">
      <c r="A1185" s="5" t="s">
        <v>154</v>
      </c>
      <c r="B1185" t="s">
        <v>60</v>
      </c>
      <c r="C1185" s="29"/>
      <c r="D1185" s="29"/>
      <c r="E1185" s="29"/>
      <c r="F1185" s="29"/>
      <c r="G1185" s="29"/>
      <c r="H1185" s="29"/>
      <c r="I1185" s="29"/>
      <c r="J1185" s="29"/>
      <c r="K1185" s="29"/>
      <c r="L1185" s="29"/>
      <c r="M1185" s="29"/>
      <c r="N1185" s="29"/>
      <c r="O1185" s="29"/>
      <c r="P1185" s="29"/>
      <c r="Q1185" s="29"/>
      <c r="R1185" s="29"/>
      <c r="S1185" s="29"/>
      <c r="T1185" s="29"/>
      <c r="U1185" s="29"/>
      <c r="V1185" s="29"/>
      <c r="W1185" s="29"/>
    </row>
    <row r="1186" ht="15.6" spans="1:23">
      <c r="A1186" s="65" t="s">
        <v>155</v>
      </c>
      <c r="B1186" t="s">
        <v>60</v>
      </c>
      <c r="C1186" s="29"/>
      <c r="D1186" s="29"/>
      <c r="E1186" s="29"/>
      <c r="F1186" s="29"/>
      <c r="G1186" s="29"/>
      <c r="H1186" s="29"/>
      <c r="I1186" s="29"/>
      <c r="J1186" s="29"/>
      <c r="K1186" s="29"/>
      <c r="L1186" s="29"/>
      <c r="M1186" s="29"/>
      <c r="N1186" s="29"/>
      <c r="O1186" s="29"/>
      <c r="P1186" s="29"/>
      <c r="Q1186" s="29"/>
      <c r="R1186" s="29"/>
      <c r="S1186" s="29"/>
      <c r="T1186" s="29"/>
      <c r="U1186" s="29"/>
      <c r="V1186" s="29"/>
      <c r="W1186" s="29"/>
    </row>
    <row r="1187" ht="15.6" spans="1:23">
      <c r="A1187" s="65" t="s">
        <v>156</v>
      </c>
      <c r="B1187" t="s">
        <v>60</v>
      </c>
      <c r="C1187" s="39"/>
      <c r="D1187" s="39"/>
      <c r="E1187" s="39"/>
      <c r="F1187" s="39"/>
      <c r="G1187" s="39"/>
      <c r="H1187" s="39"/>
      <c r="I1187" s="39"/>
      <c r="J1187" s="39"/>
      <c r="K1187" s="39"/>
      <c r="L1187" s="39"/>
      <c r="M1187" s="39"/>
      <c r="N1187" s="39"/>
      <c r="O1187" s="39"/>
      <c r="P1187" s="39"/>
      <c r="Q1187" s="39"/>
      <c r="R1187" s="39"/>
      <c r="S1187" s="39"/>
      <c r="T1187" s="39"/>
      <c r="U1187" s="39"/>
      <c r="V1187" s="39"/>
      <c r="W1187" s="39"/>
    </row>
    <row r="1188" ht="15.6" spans="1:23">
      <c r="A1188" s="65" t="s">
        <v>157</v>
      </c>
      <c r="B1188" t="s">
        <v>60</v>
      </c>
      <c r="C1188" s="29"/>
      <c r="D1188" s="29"/>
      <c r="E1188" s="29"/>
      <c r="F1188" s="29"/>
      <c r="G1188" s="29"/>
      <c r="H1188" s="29"/>
      <c r="I1188" s="29"/>
      <c r="J1188" s="29"/>
      <c r="K1188" s="29"/>
      <c r="L1188" s="29"/>
      <c r="M1188" s="29"/>
      <c r="N1188" s="29"/>
      <c r="O1188" s="29"/>
      <c r="P1188" s="29"/>
      <c r="Q1188" s="29"/>
      <c r="R1188" s="29"/>
      <c r="S1188" s="29"/>
      <c r="T1188" s="29"/>
      <c r="U1188" s="29"/>
      <c r="V1188" s="29"/>
      <c r="W1188" s="29"/>
    </row>
    <row r="1189" ht="15.6" spans="1:23">
      <c r="A1189" s="65" t="s">
        <v>158</v>
      </c>
      <c r="C1189" s="39"/>
      <c r="D1189" s="39"/>
      <c r="E1189" s="39"/>
      <c r="F1189" s="39"/>
      <c r="G1189" s="39"/>
      <c r="H1189" s="39"/>
      <c r="I1189" s="39"/>
      <c r="J1189" s="39"/>
      <c r="K1189" s="39"/>
      <c r="L1189" s="39"/>
      <c r="M1189" s="39"/>
      <c r="N1189" s="39"/>
      <c r="O1189" s="39"/>
      <c r="P1189" s="39"/>
      <c r="Q1189" s="39"/>
      <c r="R1189" s="39"/>
      <c r="S1189" s="39"/>
      <c r="T1189" s="39"/>
      <c r="U1189" s="39"/>
      <c r="V1189" s="39"/>
      <c r="W1189" s="39"/>
    </row>
    <row r="1190" ht="15.6" spans="1:23">
      <c r="A1190" s="65" t="s">
        <v>159</v>
      </c>
      <c r="B1190" t="s">
        <v>60</v>
      </c>
      <c r="C1190" s="29"/>
      <c r="D1190" s="29"/>
      <c r="E1190" s="29"/>
      <c r="F1190" s="29"/>
      <c r="G1190" s="29"/>
      <c r="H1190" s="29"/>
      <c r="I1190" s="29"/>
      <c r="J1190" s="29"/>
      <c r="K1190" s="29"/>
      <c r="L1190" s="29"/>
      <c r="M1190" s="29"/>
      <c r="N1190" s="29"/>
      <c r="O1190" s="29"/>
      <c r="P1190" s="29"/>
      <c r="Q1190" s="29"/>
      <c r="R1190" s="29"/>
      <c r="S1190" s="29"/>
      <c r="T1190" s="29"/>
      <c r="U1190" s="29"/>
      <c r="V1190" s="29"/>
      <c r="W1190" s="29"/>
    </row>
    <row r="1191" ht="15.6" spans="1:23">
      <c r="A1191" s="65" t="s">
        <v>160</v>
      </c>
      <c r="B1191" t="s">
        <v>60</v>
      </c>
      <c r="C1191" s="39"/>
      <c r="D1191" s="39"/>
      <c r="E1191" s="39"/>
      <c r="F1191" s="39"/>
      <c r="G1191" s="39"/>
      <c r="H1191" s="39"/>
      <c r="I1191" s="39"/>
      <c r="J1191" s="39"/>
      <c r="K1191" s="39"/>
      <c r="L1191" s="39"/>
      <c r="M1191" s="39"/>
      <c r="N1191" s="39"/>
      <c r="O1191" s="39"/>
      <c r="P1191" s="39"/>
      <c r="Q1191" s="39"/>
      <c r="R1191" s="39"/>
      <c r="S1191" s="39"/>
      <c r="T1191" s="39"/>
      <c r="U1191" s="39"/>
      <c r="V1191" s="39"/>
      <c r="W1191" s="39"/>
    </row>
    <row r="1192" ht="15.6" spans="1:23">
      <c r="A1192" s="65" t="s">
        <v>107</v>
      </c>
      <c r="B1192" t="s">
        <v>60</v>
      </c>
      <c r="C1192" s="39"/>
      <c r="D1192" s="39"/>
      <c r="E1192" s="39"/>
      <c r="F1192" s="39"/>
      <c r="G1192" s="39"/>
      <c r="H1192" s="39"/>
      <c r="I1192" s="39"/>
      <c r="J1192" s="39"/>
      <c r="K1192" s="39"/>
      <c r="L1192" s="39"/>
      <c r="M1192" s="39"/>
      <c r="N1192" s="39"/>
      <c r="O1192" s="39"/>
      <c r="P1192" s="39"/>
      <c r="Q1192" s="39"/>
      <c r="R1192" s="39"/>
      <c r="S1192" s="39"/>
      <c r="T1192" s="39"/>
      <c r="U1192" s="39"/>
      <c r="V1192" s="39"/>
      <c r="W1192" s="39"/>
    </row>
    <row r="1193" ht="15.6" spans="1:23">
      <c r="A1193" s="65" t="s">
        <v>107</v>
      </c>
      <c r="B1193" t="s">
        <v>151</v>
      </c>
      <c r="C1193" s="39"/>
      <c r="D1193" s="39"/>
      <c r="E1193" s="39"/>
      <c r="F1193" s="39"/>
      <c r="G1193" s="39"/>
      <c r="H1193" s="39"/>
      <c r="I1193" s="39"/>
      <c r="J1193" s="39"/>
      <c r="K1193" s="39"/>
      <c r="L1193" s="39"/>
      <c r="M1193" s="39"/>
      <c r="N1193" s="39"/>
      <c r="O1193" s="39"/>
      <c r="P1193" s="39"/>
      <c r="Q1193" s="39"/>
      <c r="R1193" s="39"/>
      <c r="S1193" s="39"/>
      <c r="T1193" s="39"/>
      <c r="U1193" s="39"/>
      <c r="V1193" s="39"/>
      <c r="W1193" s="39"/>
    </row>
    <row r="1194" ht="15.6" spans="1:23">
      <c r="A1194" s="65" t="s">
        <v>161</v>
      </c>
      <c r="C1194" s="11">
        <v>0</v>
      </c>
      <c r="D1194" s="11">
        <v>0</v>
      </c>
      <c r="E1194" s="11">
        <v>0</v>
      </c>
      <c r="F1194" s="11">
        <v>0</v>
      </c>
      <c r="G1194" s="11">
        <v>0</v>
      </c>
      <c r="H1194" s="11">
        <v>0</v>
      </c>
      <c r="I1194" s="11">
        <v>1.1</v>
      </c>
      <c r="J1194" s="11">
        <v>0</v>
      </c>
      <c r="K1194" s="72">
        <f>1.1/2</f>
        <v>0.55</v>
      </c>
      <c r="L1194" s="72">
        <f>1.1/2</f>
        <v>0.55</v>
      </c>
      <c r="M1194" s="11">
        <v>1.1</v>
      </c>
      <c r="N1194" s="11">
        <v>1.1</v>
      </c>
      <c r="O1194" s="11">
        <v>1.1</v>
      </c>
      <c r="P1194" s="11">
        <v>1.1</v>
      </c>
      <c r="Q1194" s="11">
        <v>1.1</v>
      </c>
      <c r="R1194" s="11">
        <v>0</v>
      </c>
      <c r="S1194" s="11">
        <v>0</v>
      </c>
      <c r="T1194" s="11">
        <v>1.1</v>
      </c>
      <c r="U1194" s="11">
        <v>0</v>
      </c>
      <c r="V1194" s="11">
        <v>1.1</v>
      </c>
      <c r="W1194" s="11">
        <v>1.1</v>
      </c>
    </row>
    <row r="1195" spans="2:23">
      <c r="B1195" t="s">
        <v>151</v>
      </c>
      <c r="C1195" s="39"/>
      <c r="D1195" s="39"/>
      <c r="E1195" s="39"/>
      <c r="F1195" s="39"/>
      <c r="G1195" s="39"/>
      <c r="H1195" s="39"/>
      <c r="I1195" s="39"/>
      <c r="J1195" s="39"/>
      <c r="K1195" s="39"/>
      <c r="L1195" s="39"/>
      <c r="M1195" s="39"/>
      <c r="N1195" s="39"/>
      <c r="O1195" s="39"/>
      <c r="P1195" s="39"/>
      <c r="Q1195" s="39"/>
      <c r="R1195" s="39"/>
      <c r="S1195" s="39"/>
      <c r="T1195" s="39"/>
      <c r="U1195" s="39"/>
      <c r="V1195" s="39"/>
      <c r="W1195" s="39"/>
    </row>
    <row r="1196" ht="15.6" spans="1:23">
      <c r="A1196" s="5" t="s">
        <v>154</v>
      </c>
      <c r="B1196" t="s">
        <v>151</v>
      </c>
      <c r="C1196" s="39"/>
      <c r="D1196" s="39"/>
      <c r="E1196" s="39"/>
      <c r="F1196" s="39"/>
      <c r="G1196" s="39"/>
      <c r="H1196" s="39"/>
      <c r="I1196" s="39"/>
      <c r="J1196" s="39"/>
      <c r="K1196" s="39"/>
      <c r="L1196" s="39"/>
      <c r="M1196" s="39"/>
      <c r="N1196" s="39"/>
      <c r="O1196" s="39"/>
      <c r="P1196" s="39"/>
      <c r="Q1196" s="39"/>
      <c r="R1196" s="39"/>
      <c r="S1196" s="39"/>
      <c r="T1196" s="39"/>
      <c r="U1196" s="39"/>
      <c r="V1196" s="39"/>
      <c r="W1196" s="39"/>
    </row>
    <row r="1197" ht="15.6" spans="1:23">
      <c r="A1197" s="65" t="s">
        <v>155</v>
      </c>
      <c r="B1197" t="s">
        <v>151</v>
      </c>
      <c r="C1197" s="39"/>
      <c r="D1197" s="39"/>
      <c r="E1197" s="39"/>
      <c r="F1197" s="39"/>
      <c r="G1197" s="39"/>
      <c r="H1197" s="39"/>
      <c r="I1197" s="39"/>
      <c r="J1197" s="39"/>
      <c r="K1197" s="39"/>
      <c r="L1197" s="39"/>
      <c r="M1197" s="39"/>
      <c r="N1197" s="39"/>
      <c r="O1197" s="39"/>
      <c r="P1197" s="39"/>
      <c r="Q1197" s="39"/>
      <c r="R1197" s="39"/>
      <c r="S1197" s="39"/>
      <c r="T1197" s="39"/>
      <c r="U1197" s="39"/>
      <c r="V1197" s="39"/>
      <c r="W1197" s="39"/>
    </row>
    <row r="1198" ht="15.6" spans="1:23">
      <c r="A1198" s="65" t="s">
        <v>156</v>
      </c>
      <c r="B1198" t="s">
        <v>151</v>
      </c>
      <c r="C1198" s="39"/>
      <c r="D1198" s="39"/>
      <c r="E1198" s="39"/>
      <c r="F1198" s="39"/>
      <c r="G1198" s="39"/>
      <c r="H1198" s="39"/>
      <c r="I1198" s="39"/>
      <c r="J1198" s="39"/>
      <c r="K1198" s="39"/>
      <c r="L1198" s="39"/>
      <c r="M1198" s="39"/>
      <c r="N1198" s="39"/>
      <c r="O1198" s="39"/>
      <c r="P1198" s="39"/>
      <c r="Q1198" s="39"/>
      <c r="R1198" s="39"/>
      <c r="S1198" s="39"/>
      <c r="T1198" s="39"/>
      <c r="U1198" s="39"/>
      <c r="V1198" s="39"/>
      <c r="W1198" s="39"/>
    </row>
    <row r="1199" ht="15.6" spans="1:23">
      <c r="A1199" s="65" t="s">
        <v>157</v>
      </c>
      <c r="B1199" t="s">
        <v>151</v>
      </c>
      <c r="C1199" s="39"/>
      <c r="D1199" s="39"/>
      <c r="E1199" s="39"/>
      <c r="F1199" s="39"/>
      <c r="G1199" s="39"/>
      <c r="H1199" s="39"/>
      <c r="I1199" s="39"/>
      <c r="J1199" s="39"/>
      <c r="K1199" s="39"/>
      <c r="L1199" s="39"/>
      <c r="M1199" s="39"/>
      <c r="N1199" s="39"/>
      <c r="O1199" s="39"/>
      <c r="P1199" s="39"/>
      <c r="Q1199" s="39"/>
      <c r="R1199" s="39"/>
      <c r="S1199" s="39"/>
      <c r="T1199" s="39"/>
      <c r="U1199" s="39"/>
      <c r="V1199" s="39"/>
      <c r="W1199" s="39"/>
    </row>
    <row r="1200" ht="15.6" spans="1:23">
      <c r="A1200" s="65" t="s">
        <v>158</v>
      </c>
      <c r="B1200" t="s">
        <v>151</v>
      </c>
      <c r="C1200" s="39"/>
      <c r="D1200" s="39"/>
      <c r="E1200" s="39"/>
      <c r="F1200" s="39"/>
      <c r="G1200" s="39"/>
      <c r="H1200" s="39"/>
      <c r="I1200" s="39"/>
      <c r="J1200" s="39"/>
      <c r="K1200" s="39"/>
      <c r="L1200" s="39"/>
      <c r="M1200" s="39"/>
      <c r="N1200" s="39"/>
      <c r="O1200" s="39"/>
      <c r="P1200" s="39"/>
      <c r="Q1200" s="39"/>
      <c r="R1200" s="39"/>
      <c r="S1200" s="39"/>
      <c r="T1200" s="39"/>
      <c r="U1200" s="39"/>
      <c r="V1200" s="39"/>
      <c r="W1200" s="39"/>
    </row>
    <row r="1201" ht="15.6" spans="1:23">
      <c r="A1201" s="65" t="s">
        <v>159</v>
      </c>
      <c r="B1201" t="s">
        <v>151</v>
      </c>
      <c r="C1201" s="39"/>
      <c r="D1201" s="39"/>
      <c r="E1201" s="39"/>
      <c r="F1201" s="39"/>
      <c r="G1201" s="39"/>
      <c r="H1201" s="39"/>
      <c r="I1201" s="39"/>
      <c r="J1201" s="39"/>
      <c r="K1201" s="39"/>
      <c r="L1201" s="39"/>
      <c r="M1201" s="39"/>
      <c r="N1201" s="39"/>
      <c r="O1201" s="39"/>
      <c r="P1201" s="39"/>
      <c r="Q1201" s="39"/>
      <c r="R1201" s="39"/>
      <c r="S1201" s="39"/>
      <c r="T1201" s="39"/>
      <c r="U1201" s="39"/>
      <c r="V1201" s="39"/>
      <c r="W1201" s="39"/>
    </row>
    <row r="1202" ht="15.6" spans="1:23">
      <c r="A1202" s="65" t="s">
        <v>160</v>
      </c>
      <c r="B1202" t="s">
        <v>151</v>
      </c>
      <c r="C1202" s="39"/>
      <c r="D1202" s="66"/>
      <c r="E1202" s="39"/>
      <c r="F1202" s="39"/>
      <c r="G1202" s="39"/>
      <c r="H1202" s="39"/>
      <c r="I1202" s="39"/>
      <c r="J1202" s="39"/>
      <c r="K1202" s="39"/>
      <c r="L1202" s="39"/>
      <c r="M1202" s="39"/>
      <c r="N1202" s="39"/>
      <c r="O1202" s="39"/>
      <c r="P1202" s="39"/>
      <c r="Q1202" s="39"/>
      <c r="R1202" s="39"/>
      <c r="S1202" s="39"/>
      <c r="T1202" s="39"/>
      <c r="U1202" s="39"/>
      <c r="V1202" s="39"/>
      <c r="W1202" s="39"/>
    </row>
    <row r="1203" ht="15.6" spans="1:23">
      <c r="A1203" s="65" t="s">
        <v>107</v>
      </c>
      <c r="B1203" t="s">
        <v>151</v>
      </c>
      <c r="C1203" s="39"/>
      <c r="D1203" s="39"/>
      <c r="E1203" s="39"/>
      <c r="F1203" s="39"/>
      <c r="G1203" s="39"/>
      <c r="H1203" s="39"/>
      <c r="I1203" s="39"/>
      <c r="J1203" s="39"/>
      <c r="K1203" s="39"/>
      <c r="L1203" s="39"/>
      <c r="M1203" s="39"/>
      <c r="N1203" s="39"/>
      <c r="O1203" s="39"/>
      <c r="P1203" s="39"/>
      <c r="Q1203" s="39"/>
      <c r="R1203" s="39"/>
      <c r="S1203" s="39"/>
      <c r="T1203" s="39"/>
      <c r="U1203" s="39"/>
      <c r="V1203" s="39"/>
      <c r="W1203" s="39"/>
    </row>
    <row r="1204" spans="1:23">
      <c r="A1204" s="67" t="s">
        <v>162</v>
      </c>
      <c r="B1204" t="s">
        <v>151</v>
      </c>
      <c r="C1204" s="68"/>
      <c r="D1204" s="68"/>
      <c r="E1204" s="68"/>
      <c r="F1204" s="68"/>
      <c r="G1204" s="68"/>
      <c r="H1204" s="68"/>
      <c r="I1204" s="68"/>
      <c r="J1204" s="68"/>
      <c r="K1204" s="68"/>
      <c r="L1204" s="68"/>
      <c r="M1204" s="68"/>
      <c r="N1204" s="68"/>
      <c r="O1204" s="68"/>
      <c r="P1204" s="68"/>
      <c r="Q1204" s="68"/>
      <c r="R1204" s="68"/>
      <c r="S1204" s="68"/>
      <c r="T1204" s="68"/>
      <c r="U1204" s="68"/>
      <c r="V1204" s="68"/>
      <c r="W1204" s="68"/>
    </row>
    <row r="1205" ht="15.6" spans="1:23">
      <c r="A1205" s="69" t="s">
        <v>163</v>
      </c>
      <c r="B1205" s="70" t="s">
        <v>151</v>
      </c>
      <c r="C1205" s="71"/>
      <c r="D1205" s="71"/>
      <c r="E1205" s="71"/>
      <c r="F1205" s="71"/>
      <c r="G1205" s="71"/>
      <c r="H1205" s="71"/>
      <c r="I1205" s="71"/>
      <c r="J1205" s="71"/>
      <c r="K1205" s="73"/>
      <c r="L1205" s="71"/>
      <c r="M1205" s="71"/>
      <c r="N1205" s="71"/>
      <c r="O1205" s="71"/>
      <c r="P1205" s="71"/>
      <c r="Q1205" s="71"/>
      <c r="R1205" s="71"/>
      <c r="S1205" s="71"/>
      <c r="T1205" s="71"/>
      <c r="U1205" s="71"/>
      <c r="V1205" s="71"/>
      <c r="W1205" s="71"/>
    </row>
  </sheetData>
  <dataValidations count="5">
    <dataValidation type="list" allowBlank="1" showInputMessage="1" showErrorMessage="1" sqref="C13:W13">
      <formula1>"Yes,No"</formula1>
    </dataValidation>
    <dataValidation type="list" allowBlank="1" showInputMessage="1" showErrorMessage="1" sqref="C1146:W1146">
      <formula1>"dumb,self-propelled,mixed"</formula1>
    </dataValidation>
    <dataValidation type="list" allowBlank="1" showInputMessage="1" showErrorMessage="1" sqref="C35:W35 C547:W547 C770:W770">
      <formula1>"less efficient than average,average efficiency,more efficient than average"</formula1>
    </dataValidation>
    <dataValidation type="list" allowBlank="1" showInputMessage="1" showErrorMessage="1" sqref="C37:W37">
      <formula1>"less difficult than average,average difficulty,more difficult than average"</formula1>
    </dataValidation>
    <dataValidation type="list" allowBlank="1" showInputMessage="1" showErrorMessage="1" sqref="C40:W40 C60:W60 C82:W82 C101:W101 C129:W129 C148:W148 C167:W167 C201:W201 C228:W228 C247:W247 C275:W275 C293:W293 C318:W318 C337:W337 C370:W370 C389:W389 C422:W422 C441:W441 C480:W480 C499:W499 C549:W549 C568:W568 C601:W601 C620:W620 C653:W653 C672:W672 C711:W711 C730:W730 C772:W772 C791:W791 C824:W824 C843:W843 C876:W876 C895:W895 C928:W928 C947:W947 C980:W980 C999:W999 C1032:W1032 C1051:W1051 C1090:W1090 C1108:W1108 C1126:W1126 C1145:W1145 C1173:W1173 C1179:W1179">
      <formula1>"0,1"</formula1>
    </dataValidation>
  </dataValidations>
  <pageMargins left="0.7" right="0.7" top="0.75" bottom="0.75" header="0.511805555555555" footer="0.511805555555555"/>
  <pageSetup paperSize="1" firstPageNumber="0" orientation="portrait" useFirstPageNumber="1" horizontalDpi="300" verticalDpi="300"/>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
  <sheetViews>
    <sheetView workbookViewId="0">
      <selection activeCell="A5" sqref="A5"/>
    </sheetView>
  </sheetViews>
  <sheetFormatPr defaultColWidth="8.5462962962963" defaultRowHeight="14.4" outlineLevelRow="3" outlineLevelCol="1"/>
  <cols>
    <col min="1" max="1" width="25.5740740740741" customWidth="1"/>
  </cols>
  <sheetData>
    <row r="1" spans="1:2">
      <c r="A1" s="1" t="s">
        <v>164</v>
      </c>
      <c r="B1" s="2" t="s">
        <v>165</v>
      </c>
    </row>
    <row r="2" spans="1:2">
      <c r="A2" s="3" t="s">
        <v>166</v>
      </c>
      <c r="B2" s="4">
        <v>0.8</v>
      </c>
    </row>
    <row r="3" spans="1:2">
      <c r="A3" s="3" t="s">
        <v>90</v>
      </c>
      <c r="B3" s="4">
        <v>1</v>
      </c>
    </row>
    <row r="4" spans="1:2">
      <c r="A4" s="3" t="s">
        <v>91</v>
      </c>
      <c r="B4" s="4">
        <v>1.2</v>
      </c>
    </row>
  </sheetData>
  <pageMargins left="0.7" right="0.7" top="0.75" bottom="0.75" header="0.511805555555555" footer="0.511805555555555"/>
  <pageSetup paperSize="1" firstPageNumber="0" orientation="portrait" useFirstPageNumber="1"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
  <sheetViews>
    <sheetView workbookViewId="0">
      <selection activeCell="A1" sqref="A1"/>
    </sheetView>
  </sheetViews>
  <sheetFormatPr defaultColWidth="8.5462962962963" defaultRowHeight="14.4" outlineLevelRow="3" outlineLevelCol="1"/>
  <cols>
    <col min="1" max="1" width="26.1481481481481" customWidth="1"/>
  </cols>
  <sheetData>
    <row r="1" spans="1:2">
      <c r="A1" s="1" t="s">
        <v>167</v>
      </c>
      <c r="B1" s="2" t="s">
        <v>165</v>
      </c>
    </row>
    <row r="2" spans="1:2">
      <c r="A2" s="3" t="s">
        <v>168</v>
      </c>
      <c r="B2" s="4">
        <v>1.25</v>
      </c>
    </row>
    <row r="3" spans="1:2">
      <c r="A3" s="3" t="s">
        <v>86</v>
      </c>
      <c r="B3" s="4">
        <v>1</v>
      </c>
    </row>
    <row r="4" spans="1:2">
      <c r="A4" s="3" t="s">
        <v>87</v>
      </c>
      <c r="B4" s="4">
        <v>0.9</v>
      </c>
    </row>
  </sheetData>
  <pageMargins left="0.7" right="0.7" top="0.75" bottom="0.75" header="0.511805555555555" footer="0.511805555555555"/>
  <pageSetup paperSize="1" firstPageNumber="0" orientation="portrait" useFirstPageNumber="1"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LibreOffice/6.3.5.2$Linux_X86_64 LibreOffice_project/30$Build-2</Application>
  <HeadingPairs>
    <vt:vector size="2" baseType="variant">
      <vt:variant>
        <vt:lpstr>工作表</vt:lpstr>
      </vt:variant>
      <vt:variant>
        <vt:i4>4</vt:i4>
      </vt:variant>
    </vt:vector>
  </HeadingPairs>
  <TitlesOfParts>
    <vt:vector size="4" baseType="lpstr">
      <vt:lpstr>Sheet1</vt:lpstr>
      <vt:lpstr>Sheet2</vt:lpstr>
      <vt:lpstr>Clear and grub difficulty</vt:lpstr>
      <vt:lpstr>General Efficiency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Kovey Melody</dc:creator>
  <cp:lastModifiedBy>DELL</cp:lastModifiedBy>
  <cp:revision>4</cp:revision>
  <dcterms:created xsi:type="dcterms:W3CDTF">2020-06-10T21:28:00Z</dcterms:created>
  <dcterms:modified xsi:type="dcterms:W3CDTF">2020-07-25T22:02:01Z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y fmtid="{D5CDD505-2E9C-101B-9397-08002B2CF9AE}" pid="8" name="KSOProductBuildVer">
    <vt:lpwstr>1033-11.2.0.9453</vt:lpwstr>
  </property>
</Properties>
</file>