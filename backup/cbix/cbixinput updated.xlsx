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llnmb2017/Documents/2020/DATA PROJECT/2020_08_16 Parag s Input File 1 Aug email/INPUT_FILES_TO_USE_DB/cbix Viu and Frieght23-07-2020/"/>
    </mc:Choice>
  </mc:AlternateContent>
  <xr:revisionPtr revIDLastSave="0" documentId="13_ncr:1_{4121C95A-AF1E-334E-8D52-8A8B5D4F067B}" xr6:coauthVersionLast="45" xr6:coauthVersionMax="45" xr10:uidLastSave="{00000000-0000-0000-0000-000000000000}"/>
  <bookViews>
    <workbookView xWindow="0" yWindow="460" windowWidth="32020" windowHeight="19980" tabRatio="500" activeTab="24" xr2:uid="{00000000-000D-0000-FFFF-FFFF00000000}"/>
  </bookViews>
  <sheets>
    <sheet name="Indices Mines Exporting Ports" sheetId="1" r:id="rId1"/>
    <sheet name="processing factors" sheetId="2" r:id="rId2"/>
    <sheet name="Lignitious Coal" sheetId="3" r:id="rId3"/>
    <sheet name="Caustic Soda" sheetId="4" r:id="rId4"/>
    <sheet name="Lime" sheetId="5" r:id="rId5"/>
    <sheet name="Mud disposal cost" sheetId="6" r:id="rId6"/>
    <sheet name="Global factors" sheetId="7" r:id="rId7"/>
    <sheet name="Ship Time Charter Rates" sheetId="8" r:id="rId8"/>
    <sheet name="Ship Speeds" sheetId="9" r:id="rId9"/>
    <sheet name="Trade Details" sheetId="10" r:id="rId10"/>
    <sheet name="Special 2 Leg Shipping Table" sheetId="11" r:id="rId11"/>
    <sheet name="MRN or Juruti max cargo" sheetId="12" r:id="rId12"/>
    <sheet name="FX Rates" sheetId="13" r:id="rId13"/>
    <sheet name="China Price Series" sheetId="14" r:id="rId14"/>
    <sheet name="Sheetname_Class" sheetId="15" r:id="rId15"/>
    <sheet name="Canals_Class" sheetId="16" r:id="rId16"/>
    <sheet name="Port Linkages" sheetId="17" r:id="rId17"/>
    <sheet name="Ship Fuel Prices" sheetId="18" r:id="rId18"/>
    <sheet name="China n Importing Ports" sheetId="19" r:id="rId19"/>
    <sheet name="Canals" sheetId="20" r:id="rId20"/>
    <sheet name="Master date cell" sheetId="21" r:id="rId21"/>
    <sheet name="Target CBIX Price" sheetId="22" r:id="rId22"/>
    <sheet name="Freights US$ per wmt Trade Deta" sheetId="23" r:id="rId23"/>
    <sheet name="CBIX Co-Efficients Determinatio" sheetId="24" r:id="rId24"/>
    <sheet name="Recovered_Sheet1" sheetId="25" r:id="rId25"/>
  </sheets>
  <externalReferences>
    <externalReference r:id="rId26"/>
  </externalReferences>
  <calcPr calcId="191029" calcMode="autoNoTable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5" i="17" l="1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B9" i="24" l="1"/>
  <c r="B8" i="24"/>
  <c r="B7" i="24"/>
  <c r="B6" i="24"/>
  <c r="B5" i="24"/>
  <c r="B4" i="24"/>
  <c r="B3" i="24"/>
  <c r="B2" i="24"/>
  <c r="B10" i="23"/>
  <c r="B9" i="23"/>
  <c r="B8" i="23"/>
  <c r="B7" i="23"/>
  <c r="B6" i="23"/>
  <c r="B5" i="23"/>
  <c r="B4" i="23"/>
  <c r="B3" i="23"/>
  <c r="B2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Dalton</author>
  </authors>
  <commentList>
    <comment ref="B2" authorId="0" shapeId="0" xr:uid="{0C11D891-64B5-D74A-B1BD-78EA7D8C7CA5}">
      <text>
        <r>
          <rPr>
            <b/>
            <sz val="9"/>
            <color indexed="81"/>
            <rFont val="Verdana"/>
            <family val="2"/>
          </rPr>
          <t>Bill Dalton:</t>
        </r>
        <r>
          <rPr>
            <sz val="9"/>
            <color indexed="81"/>
            <rFont val="Verdana"/>
            <family val="2"/>
          </rPr>
          <t xml:space="preserve">
based on Chalco RMB 260 mln for a 12 yr service life dam taking 2.0 mln tpa dry mud and Coal Mine Alumina pipeline of 120 Mln for 5 mln t of dry mud pa over 13 km over 10 years + some running and mtce costs
</t>
        </r>
      </text>
    </comment>
    <comment ref="B3" authorId="0" shapeId="0" xr:uid="{D2CFE4F8-1E74-DE49-8125-1AF622EAFDE0}">
      <text>
        <r>
          <rPr>
            <b/>
            <sz val="9"/>
            <color indexed="81"/>
            <rFont val="Verdana"/>
            <family val="2"/>
          </rPr>
          <t>Bill Dalton:</t>
        </r>
        <r>
          <rPr>
            <sz val="9"/>
            <color indexed="81"/>
            <rFont val="Verdana"/>
            <family val="2"/>
          </rPr>
          <t xml:space="preserve">
based on Chalco RMB 260 mln for a 12 yr service life dam taking 2.0 mln tpa dry mud and Coal Mine Alumina pipeline of 120 Mln for 5 mln t of dry mud pa over 13 km over 10 years + some running and mtce costs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1" authorId="0" shapeId="0" xr:uid="{00000000-0006-0000-0C00-000001000000}">
      <text>
        <r>
          <rPr>
            <b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>http://www.oanda.com/currency/historical-rates/</t>
        </r>
      </text>
    </comment>
    <comment ref="B441" authorId="0" shapeId="0" xr:uid="{00000000-0006-0000-0C00-000002000000}">
      <text>
        <r>
          <rPr>
            <b/>
            <sz val="10"/>
            <color rgb="FF000000"/>
            <rFont val="Tahoma"/>
            <family val="2"/>
            <charset val="1"/>
          </rPr>
          <t xml:space="preserve">ex CMAAX data Cihang
</t>
        </r>
      </text>
    </comment>
    <comment ref="C441" authorId="0" shapeId="0" xr:uid="{00000000-0006-0000-0C00-000004000000}">
      <text>
        <r>
          <rPr>
            <b/>
            <sz val="10"/>
            <color rgb="FF000000"/>
            <rFont val="Tahoma"/>
            <family val="2"/>
            <charset val="1"/>
          </rPr>
          <t xml:space="preserve">Reserve Bank Australia
</t>
        </r>
      </text>
    </comment>
    <comment ref="C446" authorId="0" shapeId="0" xr:uid="{00000000-0006-0000-0C00-000005000000}">
      <text>
        <r>
          <rPr>
            <b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>Bank of International Settlements</t>
        </r>
      </text>
    </comment>
    <comment ref="B447" authorId="0" shapeId="0" xr:uid="{00000000-0006-0000-0C00-000003000000}">
      <text>
        <r>
          <rPr>
            <b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>Bank of International Settlements</t>
        </r>
      </text>
    </comment>
    <comment ref="C447" authorId="0" shapeId="0" xr:uid="{00000000-0006-0000-0C00-000006000000}">
      <text>
        <r>
          <rPr>
            <b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>Bank of International Settlements</t>
        </r>
      </text>
    </comment>
    <comment ref="C448" authorId="0" shapeId="0" xr:uid="{00000000-0006-0000-0C00-000007000000}">
      <text>
        <r>
          <rPr>
            <b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>Bank of International Settlements</t>
        </r>
      </text>
    </comment>
    <comment ref="C449" authorId="0" shapeId="0" xr:uid="{00000000-0006-0000-0C00-000008000000}">
      <text>
        <r>
          <rPr>
            <b/>
            <sz val="10"/>
            <color rgb="FF000000"/>
            <rFont val="Tahoma"/>
            <family val="2"/>
            <charset val="1"/>
          </rPr>
          <t xml:space="preserve">Bill Dalton:
</t>
        </r>
        <r>
          <rPr>
            <sz val="10"/>
            <color rgb="FF000000"/>
            <rFont val="Tahoma"/>
            <family val="2"/>
            <charset val="1"/>
          </rPr>
          <t>Google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D00-000001000000}">
      <text>
        <r>
          <rPr>
            <b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 xml:space="preserve">based on Chalco RMB 260 mln for a 12 yr service life dam taking 2.0 mln tpa dry mud and Coal Mine Alumina pipeline of 120 Mln for 5 mln t of dry mud pa over 13 km over 10 years + some running and mtce costs
</t>
        </r>
      </text>
    </comment>
    <comment ref="J3" authorId="0" shapeId="0" xr:uid="{00000000-0006-0000-0D00-000002000000}">
      <text>
        <r>
          <rPr>
            <b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 xml:space="preserve">based on Chalco RMB 260 mln for a 12 yr service life dam taking 2.0 mln tpa dry mud and Coal Mine Alumina pipeline of 120 Mln for 5 mln t of dry mud pa over 13 km over 10 years + some running and mtce costs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1100-000001000000}">
      <text>
        <r>
          <rPr>
            <sz val="10"/>
            <color rgb="FF000000"/>
            <rFont val="Tahoma"/>
            <family val="2"/>
            <charset val="1"/>
          </rPr>
          <t>avg of 380 / 180nwhere popssible, else either or 180 / 380</t>
        </r>
      </text>
    </comment>
  </commentList>
</comments>
</file>

<file path=xl/sharedStrings.xml><?xml version="1.0" encoding="utf-8"?>
<sst xmlns="http://schemas.openxmlformats.org/spreadsheetml/2006/main" count="4003" uniqueCount="323">
  <si>
    <t>Mine</t>
  </si>
  <si>
    <t>Date</t>
  </si>
  <si>
    <t>Total Alumina</t>
  </si>
  <si>
    <t>LT Avail. Alumina</t>
  </si>
  <si>
    <t>Total Silica</t>
  </si>
  <si>
    <t>LT R.Silica</t>
  </si>
  <si>
    <t>Quartz / HT Silica</t>
  </si>
  <si>
    <t>Mono-hydrate / HT Alumina</t>
  </si>
  <si>
    <t>Moisture</t>
  </si>
  <si>
    <t>Processing</t>
  </si>
  <si>
    <t>Processing Penalties to be applied</t>
  </si>
  <si>
    <t>DWT</t>
  </si>
  <si>
    <t>Specific Index</t>
  </si>
  <si>
    <t>General Index</t>
  </si>
  <si>
    <t>Exporting Port</t>
  </si>
  <si>
    <t>Handysize</t>
  </si>
  <si>
    <t>Supramax loading rates</t>
  </si>
  <si>
    <t>Panamax loading rates</t>
  </si>
  <si>
    <t>NeoPanamax loading rate</t>
  </si>
  <si>
    <t>Suezmax loading rate</t>
  </si>
  <si>
    <t>Capesize loading rates</t>
  </si>
  <si>
    <t>VLOC loading rates</t>
  </si>
  <si>
    <t>Spare</t>
  </si>
  <si>
    <t>Guinea 45/3 LT</t>
  </si>
  <si>
    <t>LT</t>
  </si>
  <si>
    <t>CBIX LT</t>
  </si>
  <si>
    <t>Australia HT</t>
  </si>
  <si>
    <t>HT-D</t>
  </si>
  <si>
    <t>CBIX HT</t>
  </si>
  <si>
    <t>Indonesian LT</t>
  </si>
  <si>
    <t>CBIX</t>
  </si>
  <si>
    <t>SMB Generic</t>
  </si>
  <si>
    <t>SMB-WAP_Nunez_Offshore</t>
  </si>
  <si>
    <t>Alufer Bel Air</t>
  </si>
  <si>
    <t>Alufer_Cape_Verga_Offshore</t>
  </si>
  <si>
    <t>CBG LT</t>
  </si>
  <si>
    <t>CBG_Wharf</t>
  </si>
  <si>
    <t>GAC Generic</t>
  </si>
  <si>
    <t>GAC_Offshore</t>
  </si>
  <si>
    <t>Weipa/Amrun Generic</t>
  </si>
  <si>
    <t>Weipa_Amrun_Wharf</t>
  </si>
  <si>
    <t>West Kalimantan Generic</t>
  </si>
  <si>
    <t>West_Kal_Generic_Offshore</t>
  </si>
  <si>
    <t>MRN</t>
  </si>
  <si>
    <t>Pt_Lisas</t>
  </si>
  <si>
    <t>Juruti</t>
  </si>
  <si>
    <t>MRN_wharf</t>
  </si>
  <si>
    <t>Juruti_wharf</t>
  </si>
  <si>
    <t>Gove</t>
  </si>
  <si>
    <t>Gove_wharf</t>
  </si>
  <si>
    <t>Central Kalimantan Generic</t>
  </si>
  <si>
    <t>Central_Kal_Generic_Offshore</t>
  </si>
  <si>
    <t>Huntly</t>
  </si>
  <si>
    <t>Kwinana_wharf</t>
  </si>
  <si>
    <t>Turkey</t>
  </si>
  <si>
    <t>Bauxite Hills</t>
  </si>
  <si>
    <t>Bauxite_Hills_offshore</t>
  </si>
  <si>
    <t>Chalco Boffa</t>
  </si>
  <si>
    <t>Chalco_Boffa_offshore</t>
  </si>
  <si>
    <t>Rennell Island</t>
  </si>
  <si>
    <t>Rennell_Is._offshore</t>
  </si>
  <si>
    <t>Discovery Bay</t>
  </si>
  <si>
    <t>Discovery_Bay_wharf</t>
  </si>
  <si>
    <t>Malaysia Kuantan washed</t>
  </si>
  <si>
    <t>India Gujarat</t>
  </si>
  <si>
    <t>Processing Regime</t>
  </si>
  <si>
    <t>HT Alumina Dissolution</t>
  </si>
  <si>
    <t>DSP Al2O3:SiO2 (wt/wt)</t>
  </si>
  <si>
    <t>DSP NaOH:SiO2 (wt/wt)</t>
  </si>
  <si>
    <t>Lime rate (wt/wt_AA)</t>
  </si>
  <si>
    <t>Lig Coal (GJ/t)</t>
  </si>
  <si>
    <t>Quartz Attack</t>
  </si>
  <si>
    <t>Extraction Efficiency %</t>
  </si>
  <si>
    <t>Caustic wash loss (t.NaOH/t.aa)</t>
  </si>
  <si>
    <t>spare</t>
  </si>
  <si>
    <t>HT-B</t>
  </si>
  <si>
    <t>Lignitious Coal Price
(RMB/t)
(exc VAT)</t>
  </si>
  <si>
    <t>Energy value
(kcal/kg)</t>
  </si>
  <si>
    <t>Caustic Soda Price
(RMB/t)
(exc VAT)</t>
  </si>
  <si>
    <t>Grade</t>
  </si>
  <si>
    <t>Lime Price
(RMB/t)</t>
  </si>
  <si>
    <t>Mud disposal cost Price
(RMB/t.mud dry)</t>
  </si>
  <si>
    <t>kcal per GJ</t>
  </si>
  <si>
    <t>conversion kt to t</t>
  </si>
  <si>
    <t>hours per day</t>
  </si>
  <si>
    <t>legs per round trip</t>
  </si>
  <si>
    <t>shipping profit rate</t>
  </si>
  <si>
    <t>Alumina mol weight</t>
  </si>
  <si>
    <t>Silica Mol Wt</t>
  </si>
  <si>
    <t>Kaolinite (Al2O3.2SiO2.2H20) - Al2O3:SiO2 ratio</t>
  </si>
  <si>
    <t>Max % of vessel deadweight allowed for loading</t>
  </si>
  <si>
    <t>LOA estimate correlation multiplier</t>
  </si>
  <si>
    <t>LOA estimate correlation constant</t>
  </si>
  <si>
    <t>NRT estimate correlation multiplier</t>
  </si>
  <si>
    <t>NRT estimate correlation constant</t>
  </si>
  <si>
    <t>GRT estimate correlation multiplier</t>
  </si>
  <si>
    <t>GRT estimate correlation constant</t>
  </si>
  <si>
    <t>Minimum Lay days allowed</t>
  </si>
  <si>
    <t>Minimum Lay days allowed as % of sailing time</t>
  </si>
  <si>
    <t>Lay allowance Loading port</t>
  </si>
  <si>
    <t>Extra time tie up + untie at each port</t>
  </si>
  <si>
    <t>MDO/MGO burn vessel DWT denominator</t>
  </si>
  <si>
    <t>MDO/MGO burn vessel DWT slope</t>
  </si>
  <si>
    <t>MDO/MGO burn vessel DWT constant</t>
  </si>
  <si>
    <t>Main engine burn vessel DWT denominator</t>
  </si>
  <si>
    <t>Main engine burn vessel DWT exponent</t>
  </si>
  <si>
    <t>Main engine burn speed linear coefficient</t>
  </si>
  <si>
    <t>Main engine burn speed ^2 coefficient</t>
  </si>
  <si>
    <t>Main engine burn speed ^3 coefficient</t>
  </si>
  <si>
    <t>Main engine burn overall correction factor</t>
  </si>
  <si>
    <t>Reference Port</t>
  </si>
  <si>
    <t>Freight Insurance Rate</t>
  </si>
  <si>
    <t>Freight Commission</t>
  </si>
  <si>
    <t>Qingdao</t>
  </si>
  <si>
    <t>Vesssel class</t>
  </si>
  <si>
    <t>Applicable Time Charter Index</t>
  </si>
  <si>
    <t>Vessel Time Charter Rates</t>
  </si>
  <si>
    <t>Capesize</t>
  </si>
  <si>
    <t>Capesize_General</t>
  </si>
  <si>
    <t>Panamax</t>
  </si>
  <si>
    <t>Panamax_General</t>
  </si>
  <si>
    <t>Supramax</t>
  </si>
  <si>
    <t>Supramax_General</t>
  </si>
  <si>
    <t>Handysize_General</t>
  </si>
  <si>
    <t>P3A_03</t>
  </si>
  <si>
    <t>Vessel Cruising speed</t>
  </si>
  <si>
    <t>VLOC</t>
  </si>
  <si>
    <t>CM Data Source</t>
  </si>
  <si>
    <t>Price</t>
  </si>
  <si>
    <t>Price Type</t>
  </si>
  <si>
    <t>Price Basis</t>
  </si>
  <si>
    <t>Mono-hydrate / HT Extble Alumina</t>
  </si>
  <si>
    <t>Tonnage</t>
  </si>
  <si>
    <t>Importing Port</t>
  </si>
  <si>
    <t>Final Specs Price Type</t>
  </si>
  <si>
    <t>Final Specs Price Basis</t>
  </si>
  <si>
    <t>Old CBIX type Calc</t>
  </si>
  <si>
    <t>somebody</t>
  </si>
  <si>
    <t>CFR</t>
  </si>
  <si>
    <t>dmt</t>
  </si>
  <si>
    <t>CIF</t>
  </si>
  <si>
    <t>First Leg 1</t>
  </si>
  <si>
    <t>First Leg 2</t>
  </si>
  <si>
    <t>Typical River Capable Cargo (dmt)</t>
  </si>
  <si>
    <t>MRN/Juruti max cargo single leg shipping</t>
  </si>
  <si>
    <t>RMB per US$</t>
  </si>
  <si>
    <t>AU$ per US$</t>
  </si>
  <si>
    <t>US$ per US$</t>
  </si>
  <si>
    <t>IMF Special Drawing Rights to US Dollar</t>
  </si>
  <si>
    <t>Lignitious Coal – Date</t>
  </si>
  <si>
    <t>Lignitious Coal – Price</t>
  </si>
  <si>
    <t>Lignitious Coal – Energy value</t>
  </si>
  <si>
    <t>Caustic Soda – Date</t>
  </si>
  <si>
    <t>Caustic Soda – Price</t>
  </si>
  <si>
    <t>Caustic Soda – Grade</t>
  </si>
  <si>
    <t>Lime – Date</t>
  </si>
  <si>
    <t>Lime – Price</t>
  </si>
  <si>
    <t>Mud disposal cost - Date</t>
  </si>
  <si>
    <t>Mud disposal cost – Price</t>
  </si>
  <si>
    <t>DWT&lt; tonnes</t>
  </si>
  <si>
    <t>Class</t>
  </si>
  <si>
    <t>NeoPanamax</t>
  </si>
  <si>
    <t>Suezmax</t>
  </si>
  <si>
    <t>Typical Mine</t>
  </si>
  <si>
    <t>VLOC – Distance using Main Engine Fuel</t>
  </si>
  <si>
    <t>VLOC – Distance using Auxiliary Fuel</t>
  </si>
  <si>
    <t>VLOC – Applicable Time Charter Index</t>
  </si>
  <si>
    <t>VLOC – Applicable Fuel Region</t>
  </si>
  <si>
    <t>VLOC – Main Engine Fuel</t>
  </si>
  <si>
    <t>VLOC – Auxiliary Fuel</t>
  </si>
  <si>
    <t>VLOC – Canals used</t>
  </si>
  <si>
    <t>Capesize – Distance using Main Engine Fuel</t>
  </si>
  <si>
    <t>Capesize – Distance using Auxiliary Fuel</t>
  </si>
  <si>
    <t>Capesize – Applicable Time Charter Index</t>
  </si>
  <si>
    <t>Capesize – Applicable Fuel Region</t>
  </si>
  <si>
    <t>Capesize – Main Engine Fuel</t>
  </si>
  <si>
    <t>Capesize – Auxiliary Fuel</t>
  </si>
  <si>
    <t>Capesize – Canals used</t>
  </si>
  <si>
    <t>Suezmax – Distance using Main Engine Fuel</t>
  </si>
  <si>
    <t>Suezmax – Distance using Auxiliary Fuel</t>
  </si>
  <si>
    <t>Suezmax – Applicable Time Charter Index</t>
  </si>
  <si>
    <t>Suezmax – Applicable Fuel Region</t>
  </si>
  <si>
    <t>Suezmax – Main Engine Fuel</t>
  </si>
  <si>
    <t>Suezmax – Auxiliary Fuel</t>
  </si>
  <si>
    <t>Suezmax – Canals used</t>
  </si>
  <si>
    <t>NeoPanamax – Distance using Main Engine Fuel</t>
  </si>
  <si>
    <t>NeoPanamax – Distance using Auxiliary Fuel</t>
  </si>
  <si>
    <t>NeoPanamax – Applicable Time Charter Index</t>
  </si>
  <si>
    <t>NeoPanamax – Applicable Fuel Region</t>
  </si>
  <si>
    <t>NeoPanamax – Main Engine Fuel</t>
  </si>
  <si>
    <t>NeoPanamax – Auxiliary Fuel</t>
  </si>
  <si>
    <t>NeoPanamax – Canals used</t>
  </si>
  <si>
    <t>Panamax – Distance using Main Engine Fuel</t>
  </si>
  <si>
    <t>Panamax – Distance using Auxiliary Fuel</t>
  </si>
  <si>
    <t>Panamax – Applicable Time Charter Index</t>
  </si>
  <si>
    <t>Panamax – Applicable Fuel Region</t>
  </si>
  <si>
    <t>Panamax – Main Engine Fuel</t>
  </si>
  <si>
    <t>Panamax – Auxiliary Fuel</t>
  </si>
  <si>
    <t>Panamax – Canals used</t>
  </si>
  <si>
    <t>Supramax – Distance using Main Engine Fuel</t>
  </si>
  <si>
    <t>Supramax – Distance using Auxiliary Fuel</t>
  </si>
  <si>
    <t>Supramax – Applicable Time Charter Index</t>
  </si>
  <si>
    <t>Supramax – Applicable Fuel Region</t>
  </si>
  <si>
    <t>Supramax – Main Engine Fuel</t>
  </si>
  <si>
    <t>Supramax – Auxiliary Fuel</t>
  </si>
  <si>
    <t>Supramax – Canals used</t>
  </si>
  <si>
    <t>Handysize – Distance using Main Engine Fuel</t>
  </si>
  <si>
    <t>Handysize – Distance using Auxiliary Fuel</t>
  </si>
  <si>
    <t>Handysize – Applicable Time Charter Index</t>
  </si>
  <si>
    <t>Handysize – Applicable Fuel Region</t>
  </si>
  <si>
    <t>Handysize – Main Engine Fuel</t>
  </si>
  <si>
    <t>Handysize – Auxiliary Fuel</t>
  </si>
  <si>
    <t>Handysize – Canals used</t>
  </si>
  <si>
    <t>Singapore</t>
  </si>
  <si>
    <t>VLSFO</t>
  </si>
  <si>
    <t>MGO_Regular</t>
  </si>
  <si>
    <t>none</t>
  </si>
  <si>
    <t>Panamar</t>
  </si>
  <si>
    <t>Suez</t>
  </si>
  <si>
    <t>NeoPanamar</t>
  </si>
  <si>
    <t>Fuel Region</t>
  </si>
  <si>
    <t>HSFO(180 / 380)</t>
  </si>
  <si>
    <t>LNG</t>
  </si>
  <si>
    <t>MDO/MGO Regular</t>
  </si>
  <si>
    <t>MDO/MGO Low Sulphur</t>
  </si>
  <si>
    <t>Port</t>
  </si>
  <si>
    <t>Unloading rate Handysize</t>
  </si>
  <si>
    <t>Unloading rate Supramax</t>
  </si>
  <si>
    <t>Unloading rate Panamax</t>
  </si>
  <si>
    <t>Unloading rate NeoPanamax</t>
  </si>
  <si>
    <t>Unloading rate Suezmax</t>
  </si>
  <si>
    <t>Unloading rate Capesize</t>
  </si>
  <si>
    <t>Unloading rate VLOC</t>
  </si>
  <si>
    <t>Currency</t>
  </si>
  <si>
    <t>RMB Fixed fee</t>
  </si>
  <si>
    <t>RMB per day berthed</t>
  </si>
  <si>
    <t>RMB per day anchored</t>
  </si>
  <si>
    <t>RMB/T_Cargo (wet)</t>
  </si>
  <si>
    <t>RMB/T_Cargo (wet)/day berthed</t>
  </si>
  <si>
    <t>RMB/T_Cargo (wet)/day anchored</t>
  </si>
  <si>
    <t>RMB/NRT</t>
  </si>
  <si>
    <t>RMB/NRT/day berthed</t>
  </si>
  <si>
    <t>RMB/NRT/day anchored</t>
  </si>
  <si>
    <t>RMB/GRT</t>
  </si>
  <si>
    <t>RMB/GRT/day berthed</t>
  </si>
  <si>
    <t>RMB/GRT/day anchored</t>
  </si>
  <si>
    <t>RMB/LOA</t>
  </si>
  <si>
    <t>RMB/LOA/day berthed</t>
  </si>
  <si>
    <t>RMB/LOA/day anchored</t>
  </si>
  <si>
    <t>Comment</t>
  </si>
  <si>
    <t>Binzhou</t>
  </si>
  <si>
    <t>RMB</t>
  </si>
  <si>
    <t>Caofeidian</t>
  </si>
  <si>
    <t>Fangchenggang</t>
  </si>
  <si>
    <t>Jingjiang</t>
  </si>
  <si>
    <t>Lianyungang</t>
  </si>
  <si>
    <t>Liaocheng</t>
  </si>
  <si>
    <t>Longkou</t>
  </si>
  <si>
    <t>Rizhao</t>
  </si>
  <si>
    <t>Shijiazhuang</t>
  </si>
  <si>
    <t>Yantai</t>
  </si>
  <si>
    <t>Zhoushan</t>
  </si>
  <si>
    <t>Zibo</t>
  </si>
  <si>
    <t>USD</t>
  </si>
  <si>
    <t>Canal</t>
  </si>
  <si>
    <t>Tonnage Reference</t>
  </si>
  <si>
    <t>Capacity Tarrif Graduations - 1st</t>
  </si>
  <si>
    <r>
      <rPr>
        <sz val="11"/>
        <color rgb="FF000000"/>
        <rFont val="Calibri"/>
        <family val="2"/>
        <charset val="1"/>
      </rPr>
      <t>Capacity Tarrif Graduations - 2</t>
    </r>
    <r>
      <rPr>
        <vertAlign val="superscript"/>
        <sz val="11"/>
        <color rgb="FF000000"/>
        <rFont val="Calibri"/>
        <family val="2"/>
        <charset val="1"/>
      </rPr>
      <t>nd</t>
    </r>
  </si>
  <si>
    <r>
      <rPr>
        <sz val="11"/>
        <color rgb="FF000000"/>
        <rFont val="Calibri"/>
        <family val="2"/>
        <charset val="1"/>
      </rPr>
      <t>Capacity Tarrif Graduations - 3</t>
    </r>
    <r>
      <rPr>
        <vertAlign val="superscript"/>
        <sz val="11"/>
        <color rgb="FF000000"/>
        <rFont val="Calibri"/>
        <family val="2"/>
        <charset val="1"/>
      </rPr>
      <t>rd</t>
    </r>
  </si>
  <si>
    <r>
      <rPr>
        <sz val="11"/>
        <color rgb="FF000000"/>
        <rFont val="Calibri"/>
        <family val="2"/>
        <charset val="1"/>
      </rPr>
      <t>Capacity Tarrif Graduations - 4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</si>
  <si>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 Graduations - 5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</si>
  <si>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 Graduations - 6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</si>
  <si>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 Graduations - 7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</si>
  <si>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 Graduations - 8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</si>
  <si>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 Graduations - 9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</si>
  <si>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Capacity Tarrifs - 1</t>
    </r>
    <r>
      <rPr>
        <b/>
        <vertAlign val="superscript"/>
        <sz val="12"/>
        <color rgb="FF000000"/>
        <rFont val="Calibri"/>
        <family val="2"/>
        <charset val="1"/>
      </rPr>
      <t>st</t>
    </r>
  </si>
  <si>
    <r>
      <rPr>
        <sz val="11"/>
        <color rgb="FF000000"/>
        <rFont val="Calibri"/>
        <family val="2"/>
        <charset val="1"/>
      </rPr>
      <t>Capacity Tarrifs - 2</t>
    </r>
    <r>
      <rPr>
        <vertAlign val="superscript"/>
        <sz val="11"/>
        <color rgb="FF000000"/>
        <rFont val="Calibri"/>
        <family val="2"/>
        <charset val="1"/>
      </rPr>
      <t>nd</t>
    </r>
  </si>
  <si>
    <r>
      <rPr>
        <sz val="11"/>
        <color rgb="FF000000"/>
        <rFont val="Calibri"/>
        <family val="2"/>
        <charset val="1"/>
      </rPr>
      <t>Capacity Tarrifs - 3</t>
    </r>
    <r>
      <rPr>
        <vertAlign val="superscript"/>
        <sz val="11"/>
        <color rgb="FF000000"/>
        <rFont val="Calibri"/>
        <family val="2"/>
        <charset val="1"/>
      </rPr>
      <t>rd</t>
    </r>
  </si>
  <si>
    <r>
      <rPr>
        <sz val="11"/>
        <color rgb="FF000000"/>
        <rFont val="Calibri"/>
        <family val="2"/>
        <charset val="1"/>
      </rPr>
      <t>Capacity Tarrifs - 4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</si>
  <si>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Tarrifs - 5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</si>
  <si>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Tarrifs - 6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</si>
  <si>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Tarrifs - 7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</si>
  <si>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Tarrifs - 8</t>
    </r>
    <r>
      <rPr>
        <vertAlign val="superscript"/>
        <sz val="11"/>
        <color rgb="FF000000"/>
        <rFont val="Calibri"/>
        <family val="2"/>
        <charset val="1"/>
      </rPr>
      <t>th</t>
    </r>
  </si>
  <si>
    <r>
      <rPr>
        <sz val="11"/>
        <color rgb="FF000000"/>
        <rFont val="Calibri"/>
        <family val="2"/>
        <charset val="1"/>
      </rPr>
      <t>Capacity Tarrifs - 9</t>
    </r>
    <r>
      <rPr>
        <vertAlign val="superscript"/>
        <sz val="11"/>
        <color rgb="FF000000"/>
        <rFont val="Calibri"/>
        <family val="2"/>
        <charset val="1"/>
      </rPr>
      <t>th</t>
    </r>
  </si>
  <si>
    <t>Capacity Tarrifs – rem</t>
  </si>
  <si>
    <r>
      <rPr>
        <b/>
        <sz val="12"/>
        <color rgb="FF000000"/>
        <rFont val="Calibri"/>
        <family val="2"/>
        <charset val="1"/>
      </rPr>
      <t>Cargo Tarrif Graduations - 1</t>
    </r>
    <r>
      <rPr>
        <b/>
        <vertAlign val="superscript"/>
        <sz val="12"/>
        <color rgb="FF000000"/>
        <rFont val="Calibri"/>
        <family val="2"/>
        <charset val="1"/>
      </rPr>
      <t>st</t>
    </r>
  </si>
  <si>
    <r>
      <rPr>
        <b/>
        <sz val="12"/>
        <color rgb="FF000000"/>
        <rFont val="Calibri"/>
        <family val="2"/>
        <charset val="1"/>
      </rPr>
      <t>Cargo Tarrif Graduations - 2</t>
    </r>
    <r>
      <rPr>
        <b/>
        <vertAlign val="superscript"/>
        <sz val="12"/>
        <color rgb="FF000000"/>
        <rFont val="Calibri"/>
        <family val="2"/>
        <charset val="1"/>
      </rPr>
      <t>nd</t>
    </r>
  </si>
  <si>
    <r>
      <rPr>
        <b/>
        <sz val="12"/>
        <color rgb="FF000000"/>
        <rFont val="Calibri"/>
        <family val="2"/>
        <charset val="1"/>
      </rPr>
      <t>Cargo Tarrif Graduations - 3</t>
    </r>
    <r>
      <rPr>
        <b/>
        <vertAlign val="superscript"/>
        <sz val="12"/>
        <color rgb="FF000000"/>
        <rFont val="Calibri"/>
        <family val="2"/>
        <charset val="1"/>
      </rPr>
      <t>rd</t>
    </r>
  </si>
  <si>
    <r>
      <rPr>
        <b/>
        <sz val="12"/>
        <color rgb="FF000000"/>
        <rFont val="Calibri"/>
        <family val="2"/>
        <charset val="1"/>
      </rPr>
      <t>Cargo Tarrif Graduations - 4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</si>
  <si>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 Graduations - 5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</si>
  <si>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 Graduations - 6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</si>
  <si>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 Graduations - 7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</si>
  <si>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 Graduations - 8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</si>
  <si>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 Graduations - 9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</si>
  <si>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Tarrifs - 1</t>
    </r>
    <r>
      <rPr>
        <b/>
        <vertAlign val="superscript"/>
        <sz val="12"/>
        <color rgb="FF000000"/>
        <rFont val="Calibri"/>
        <family val="2"/>
        <charset val="1"/>
      </rPr>
      <t>st</t>
    </r>
  </si>
  <si>
    <r>
      <rPr>
        <b/>
        <sz val="12"/>
        <color rgb="FF000000"/>
        <rFont val="Calibri"/>
        <family val="2"/>
        <charset val="1"/>
      </rPr>
      <t>Cargo Tarrifs - 2</t>
    </r>
    <r>
      <rPr>
        <b/>
        <vertAlign val="superscript"/>
        <sz val="12"/>
        <color rgb="FF000000"/>
        <rFont val="Calibri"/>
        <family val="2"/>
        <charset val="1"/>
      </rPr>
      <t>nd</t>
    </r>
  </si>
  <si>
    <r>
      <rPr>
        <b/>
        <sz val="12"/>
        <color rgb="FF000000"/>
        <rFont val="Calibri"/>
        <family val="2"/>
        <charset val="1"/>
      </rPr>
      <t>Cargo Tarrifs - 3</t>
    </r>
    <r>
      <rPr>
        <b/>
        <vertAlign val="superscript"/>
        <sz val="12"/>
        <color rgb="FF000000"/>
        <rFont val="Calibri"/>
        <family val="2"/>
        <charset val="1"/>
      </rPr>
      <t>rd</t>
    </r>
  </si>
  <si>
    <r>
      <rPr>
        <b/>
        <sz val="12"/>
        <color rgb="FF000000"/>
        <rFont val="Calibri"/>
        <family val="2"/>
        <charset val="1"/>
      </rPr>
      <t>Cargo Tarrifs - 4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</si>
  <si>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Tarrifs - 5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</si>
  <si>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Tarrifs - 6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</si>
  <si>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Tarrifs - 7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</si>
  <si>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Tarrifs - 8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</si>
  <si>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r>
      <rPr>
        <b/>
        <sz val="12"/>
        <color rgb="FF000000"/>
        <rFont val="Calibri"/>
        <family val="2"/>
        <charset val="1"/>
      </rPr>
      <t>Cargo Tarrifs - 9</t>
    </r>
    <r>
      <rPr>
        <b/>
        <vertAlign val="superscript"/>
        <sz val="12"/>
        <color rgb="FF000000"/>
        <rFont val="Calibri"/>
        <family val="2"/>
        <charset val="1"/>
      </rPr>
      <t>th</t>
    </r>
  </si>
  <si>
    <t>Cargo Tarrifs – rem</t>
  </si>
  <si>
    <t>Days delay</t>
  </si>
  <si>
    <t>SDR</t>
  </si>
  <si>
    <t>NRT</t>
  </si>
  <si>
    <t>Target CBIX Price (CBIX LT)</t>
  </si>
  <si>
    <t>Freights US$/wmt</t>
  </si>
  <si>
    <t>CBIX Co-Efficients Determination</t>
  </si>
  <si>
    <t>centre of effect</t>
  </si>
  <si>
    <t>+ &amp; - around centre</t>
  </si>
  <si>
    <t>Montenegro</t>
  </si>
  <si>
    <t>Sierra Leone</t>
  </si>
  <si>
    <t>Johor</t>
  </si>
  <si>
    <t>Gujarat &amp; Maharashtra</t>
  </si>
  <si>
    <t>Sikka</t>
  </si>
  <si>
    <t>Mysteel</t>
  </si>
  <si>
    <t>HSFO</t>
  </si>
  <si>
    <t>UAE</t>
  </si>
  <si>
    <t>Aughinish</t>
  </si>
  <si>
    <t>Ukraine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</si>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</sst>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.00_);_(* \(#,##0.00\);_(* \-??_);_(@_)"/>
    <numFmt numFmtId="165" formatCode="[$-409]d/mmm/yyyy;@"/>
    <numFmt numFmtId="168" formatCode="[$-409]d\-mmm\-yy"/>
    <numFmt numFmtId="169" formatCode="_(* #,##0_);_(* \(#,##0\);_(* \-??_);_(@_)"/>
    <numFmt numFmtId="170" formatCode="[$-409]d\-mmm\-yyyy;@"/>
    <numFmt numFmtId="171" formatCode="_(* #,##0.000_);_(* \(#,##0.000\);_(* \-??_);_(@_)"/>
    <numFmt numFmtId="172" formatCode="0.0000"/>
    <numFmt numFmtId="173" formatCode="0.00000"/>
    <numFmt numFmtId="174" formatCode="d\-mmm\-yyyy"/>
    <numFmt numFmtId="175" formatCode="_([$$-409]* #,##0.00_);_([$$-409]* \(#,##0.00\);_([$$-409]* \-??_);_(@_)"/>
    <numFmt numFmtId="176" formatCode="0.0%"/>
    <numFmt numFmtId="177" formatCode="[$-409]#,##0_);[Red]\(#,##0\)"/>
    <numFmt numFmtId="178" formatCode="_(* #,##0.000_);_(* \(#,##0.000\);_(* &quot;-&quot;??_);_(@_)"/>
    <numFmt numFmtId="179" formatCode="_(* #,##0_);_(* \(#,##0\);_(* &quot;-&quot;??_);_(@_)"/>
    <numFmt numFmtId="180" formatCode="_-* #,##0_-;\-* #,##0_-;_-* &quot;-&quot;??_-;_-@_-"/>
    <numFmt numFmtId="181" formatCode="_(* #,##0.000000_);_(* \(#,##0.000000\);_(* &quot;-&quot;??_);_(@_)"/>
    <numFmt numFmtId="182" formatCode="_(* #,##0.00000000_);_(* \(#,##0.00000000\);_(* &quot;-&quot;??_);_(@_)"/>
    <numFmt numFmtId="183" formatCode="_([$$-409]* #,##0.00_);_([$$-409]* \(#,##0.00\);_([$$-409]* &quot;-&quot;??_);_(@_)"/>
  </numFmts>
  <fonts count="41">
    <font>
      <sz val="11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sz val="10"/>
      <name val="Verdana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0"/>
      <name val="Verdana"/>
      <family val="2"/>
      <charset val="1"/>
    </font>
    <font>
      <b/>
      <sz val="9"/>
      <color rgb="FF000000"/>
      <name val="Verdana"/>
      <family val="2"/>
      <charset val="1"/>
    </font>
    <font>
      <sz val="9"/>
      <color rgb="FF000000"/>
      <name val="Verdana"/>
      <family val="2"/>
      <charset val="1"/>
    </font>
    <font>
      <b/>
      <sz val="10"/>
      <color rgb="FF000000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color rgb="FFFF0000"/>
      <name val="Verdana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595959"/>
      <name val="Calibri"/>
      <family val="2"/>
      <charset val="1"/>
    </font>
    <font>
      <sz val="12"/>
      <color rgb="FF595959"/>
      <name val="Calibri"/>
      <family val="2"/>
      <charset val="1"/>
    </font>
    <font>
      <b/>
      <sz val="12"/>
      <color rgb="FF000000"/>
      <name val="Calibri (Body)"/>
      <charset val="1"/>
    </font>
    <font>
      <vertAlign val="superscript"/>
      <sz val="11"/>
      <color rgb="FF000000"/>
      <name val="Calibri"/>
      <family val="2"/>
      <charset val="1"/>
    </font>
    <font>
      <b/>
      <vertAlign val="superscript"/>
      <sz val="12"/>
      <color rgb="FF000000"/>
      <name val="Calibri"/>
      <family val="2"/>
      <charset val="1"/>
    </font>
    <font>
      <i/>
      <sz val="12"/>
      <color rgb="FF7F7F7F"/>
      <name val="Calibri"/>
      <family val="2"/>
      <charset val="1"/>
    </font>
    <font>
      <sz val="12"/>
      <color rgb="FF7F7F7F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u/>
      <sz val="10"/>
      <color rgb="FF000000"/>
      <name val="Verdana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</font>
    <font>
      <b/>
      <sz val="9"/>
      <color indexed="81"/>
      <name val="Verdana"/>
      <family val="2"/>
    </font>
    <font>
      <sz val="9"/>
      <color indexed="81"/>
      <name val="Verdana"/>
      <family val="2"/>
    </font>
    <font>
      <sz val="10"/>
      <color theme="1"/>
      <name val="Verdana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 tint="0.49998474074526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8AD8"/>
        <bgColor rgb="FFFF808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6">
    <xf numFmtId="0" fontId="0" fillId="0" borderId="0"/>
    <xf numFmtId="164" fontId="26" fillId="0" borderId="0" applyBorder="0" applyProtection="0"/>
    <xf numFmtId="9" fontId="26" fillId="0" borderId="0" applyBorder="0" applyProtection="0"/>
    <xf numFmtId="164" fontId="26" fillId="0" borderId="0" applyBorder="0" applyProtection="0"/>
    <xf numFmtId="0" fontId="26" fillId="0" borderId="0"/>
    <xf numFmtId="0" fontId="2" fillId="0" borderId="0"/>
  </cellStyleXfs>
  <cellXfs count="170">
    <xf numFmtId="0" fontId="0" fillId="0" borderId="0" xfId="0"/>
    <xf numFmtId="165" fontId="0" fillId="0" borderId="0" xfId="0" applyNumberFormat="1"/>
    <xf numFmtId="0" fontId="0" fillId="0" borderId="0" xfId="0" applyFont="1"/>
    <xf numFmtId="0" fontId="0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/>
    <xf numFmtId="0" fontId="0" fillId="2" borderId="0" xfId="0" applyFont="1" applyFill="1"/>
    <xf numFmtId="169" fontId="5" fillId="2" borderId="0" xfId="1" applyNumberFormat="1" applyFont="1" applyFill="1" applyBorder="1" applyAlignment="1" applyProtection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170" fontId="0" fillId="2" borderId="1" xfId="0" applyNumberFormat="1" applyFill="1" applyBorder="1"/>
    <xf numFmtId="164" fontId="5" fillId="2" borderId="1" xfId="1" applyFont="1" applyFill="1" applyBorder="1" applyAlignment="1" applyProtection="1"/>
    <xf numFmtId="171" fontId="5" fillId="2" borderId="1" xfId="1" applyNumberFormat="1" applyFont="1" applyFill="1" applyBorder="1" applyAlignment="1" applyProtection="1"/>
    <xf numFmtId="0" fontId="0" fillId="2" borderId="1" xfId="0" applyFill="1" applyBorder="1"/>
    <xf numFmtId="172" fontId="0" fillId="2" borderId="1" xfId="0" applyNumberFormat="1" applyFill="1" applyBorder="1"/>
    <xf numFmtId="173" fontId="0" fillId="2" borderId="1" xfId="0" applyNumberFormat="1" applyFill="1" applyBorder="1"/>
    <xf numFmtId="0" fontId="2" fillId="2" borderId="1" xfId="5" applyFont="1" applyFill="1" applyBorder="1"/>
    <xf numFmtId="0" fontId="2" fillId="2" borderId="1" xfId="5" applyFont="1" applyFill="1" applyBorder="1" applyAlignment="1">
      <alignment wrapText="1"/>
    </xf>
    <xf numFmtId="174" fontId="2" fillId="2" borderId="1" xfId="5" applyNumberFormat="1" applyFill="1" applyBorder="1"/>
    <xf numFmtId="169" fontId="5" fillId="2" borderId="1" xfId="3" applyNumberFormat="1" applyFont="1" applyFill="1" applyBorder="1" applyAlignment="1" applyProtection="1"/>
    <xf numFmtId="9" fontId="2" fillId="2" borderId="1" xfId="5" applyNumberFormat="1" applyFill="1" applyBorder="1"/>
    <xf numFmtId="0" fontId="11" fillId="2" borderId="1" xfId="5" applyFont="1" applyFill="1" applyBorder="1"/>
    <xf numFmtId="169" fontId="2" fillId="2" borderId="1" xfId="5" applyNumberFormat="1" applyFill="1" applyBorder="1"/>
    <xf numFmtId="9" fontId="0" fillId="2" borderId="1" xfId="0" applyNumberFormat="1" applyFill="1" applyBorder="1"/>
    <xf numFmtId="0" fontId="12" fillId="2" borderId="2" xfId="4" applyFont="1" applyFill="1" applyBorder="1"/>
    <xf numFmtId="0" fontId="12" fillId="2" borderId="3" xfId="4" applyFont="1" applyFill="1" applyBorder="1"/>
    <xf numFmtId="169" fontId="0" fillId="2" borderId="4" xfId="1" applyNumberFormat="1" applyFont="1" applyFill="1" applyBorder="1" applyAlignment="1" applyProtection="1"/>
    <xf numFmtId="0" fontId="13" fillId="2" borderId="5" xfId="4" applyFont="1" applyFill="1" applyBorder="1"/>
    <xf numFmtId="0" fontId="26" fillId="2" borderId="4" xfId="4" applyFill="1" applyBorder="1"/>
    <xf numFmtId="0" fontId="26" fillId="2" borderId="6" xfId="4" applyFill="1" applyBorder="1"/>
    <xf numFmtId="0" fontId="13" fillId="2" borderId="7" xfId="4" applyFont="1" applyFill="1" applyBorder="1"/>
    <xf numFmtId="0" fontId="14" fillId="2" borderId="2" xfId="4" applyFont="1" applyFill="1" applyBorder="1"/>
    <xf numFmtId="0" fontId="14" fillId="2" borderId="8" xfId="4" applyFont="1" applyFill="1" applyBorder="1"/>
    <xf numFmtId="169" fontId="15" fillId="2" borderId="4" xfId="1" applyNumberFormat="1" applyFont="1" applyFill="1" applyBorder="1" applyAlignment="1" applyProtection="1"/>
    <xf numFmtId="0" fontId="15" fillId="2" borderId="1" xfId="4" applyFont="1" applyFill="1" applyBorder="1"/>
    <xf numFmtId="0" fontId="15" fillId="2" borderId="6" xfId="4" applyFont="1" applyFill="1" applyBorder="1"/>
    <xf numFmtId="0" fontId="15" fillId="2" borderId="9" xfId="4" applyFont="1" applyFill="1" applyBorder="1"/>
    <xf numFmtId="0" fontId="16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70" fontId="0" fillId="2" borderId="10" xfId="0" applyNumberFormat="1" applyFill="1" applyBorder="1"/>
    <xf numFmtId="170" fontId="4" fillId="2" borderId="11" xfId="0" applyNumberFormat="1" applyFont="1" applyFill="1" applyBorder="1" applyAlignment="1">
      <alignment horizontal="center" vertical="center"/>
    </xf>
    <xf numFmtId="169" fontId="4" fillId="2" borderId="4" xfId="1" applyNumberFormat="1" applyFont="1" applyFill="1" applyBorder="1" applyAlignment="1" applyProtection="1">
      <alignment horizontal="center" vertical="center"/>
    </xf>
    <xf numFmtId="169" fontId="4" fillId="2" borderId="12" xfId="1" applyNumberFormat="1" applyFont="1" applyFill="1" applyBorder="1" applyAlignment="1" applyProtection="1">
      <alignment horizontal="center" vertical="center"/>
    </xf>
    <xf numFmtId="169" fontId="4" fillId="2" borderId="1" xfId="1" applyNumberFormat="1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8" fillId="2" borderId="10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9" fillId="3" borderId="1" xfId="4" applyFont="1" applyFill="1" applyBorder="1" applyAlignment="1">
      <alignment horizontal="center" vertical="center" wrapText="1"/>
    </xf>
    <xf numFmtId="0" fontId="19" fillId="3" borderId="13" xfId="4" applyFont="1" applyFill="1" applyBorder="1" applyAlignment="1">
      <alignment horizontal="center" vertical="center" wrapText="1"/>
    </xf>
    <xf numFmtId="0" fontId="5" fillId="2" borderId="1" xfId="2" applyNumberFormat="1" applyFont="1" applyFill="1" applyBorder="1" applyAlignment="1" applyProtection="1"/>
    <xf numFmtId="0" fontId="16" fillId="3" borderId="0" xfId="0" applyFont="1" applyFill="1" applyAlignment="1">
      <alignment wrapText="1"/>
    </xf>
    <xf numFmtId="0" fontId="16" fillId="3" borderId="0" xfId="0" applyFont="1" applyFill="1" applyAlignment="1">
      <alignment horizontal="center" wrapText="1"/>
    </xf>
    <xf numFmtId="0" fontId="0" fillId="3" borderId="0" xfId="0" applyFont="1" applyFill="1" applyAlignment="1">
      <alignment horizontal="center" wrapText="1"/>
    </xf>
    <xf numFmtId="0" fontId="0" fillId="3" borderId="0" xfId="0" applyFont="1" applyFill="1" applyAlignment="1">
      <alignment horizontal="right" wrapText="1"/>
    </xf>
    <xf numFmtId="0" fontId="16" fillId="2" borderId="0" xfId="0" applyFont="1" applyFill="1" applyAlignment="1">
      <alignment wrapText="1"/>
    </xf>
    <xf numFmtId="0" fontId="0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right" wrapText="1"/>
    </xf>
    <xf numFmtId="169" fontId="22" fillId="2" borderId="0" xfId="1" applyNumberFormat="1" applyFont="1" applyFill="1" applyBorder="1" applyAlignment="1" applyProtection="1"/>
    <xf numFmtId="170" fontId="0" fillId="2" borderId="0" xfId="0" applyNumberFormat="1" applyFill="1"/>
    <xf numFmtId="169" fontId="23" fillId="2" borderId="0" xfId="1" applyNumberFormat="1" applyFont="1" applyFill="1" applyBorder="1" applyAlignment="1" applyProtection="1"/>
    <xf numFmtId="164" fontId="5" fillId="3" borderId="0" xfId="1" applyFont="1" applyFill="1" applyBorder="1" applyAlignment="1" applyProtection="1"/>
    <xf numFmtId="164" fontId="4" fillId="3" borderId="0" xfId="1" applyFont="1" applyFill="1" applyBorder="1" applyAlignment="1" applyProtection="1"/>
    <xf numFmtId="0" fontId="24" fillId="2" borderId="0" xfId="0" applyFont="1" applyFill="1"/>
    <xf numFmtId="0" fontId="16" fillId="2" borderId="15" xfId="0" applyFont="1" applyFill="1" applyBorder="1"/>
    <xf numFmtId="164" fontId="16" fillId="2" borderId="16" xfId="1" applyFont="1" applyFill="1" applyBorder="1" applyAlignment="1" applyProtection="1"/>
    <xf numFmtId="0" fontId="16" fillId="0" borderId="0" xfId="0" applyFont="1"/>
    <xf numFmtId="164" fontId="5" fillId="4" borderId="0" xfId="1" applyFont="1" applyFill="1" applyBorder="1" applyAlignment="1" applyProtection="1"/>
    <xf numFmtId="170" fontId="0" fillId="5" borderId="0" xfId="0" applyNumberFormat="1" applyFill="1"/>
    <xf numFmtId="0" fontId="0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176" fontId="5" fillId="2" borderId="0" xfId="2" applyNumberFormat="1" applyFont="1" applyFill="1" applyBorder="1" applyAlignment="1" applyProtection="1"/>
    <xf numFmtId="10" fontId="0" fillId="2" borderId="0" xfId="0" applyNumberFormat="1" applyFill="1" applyAlignment="1">
      <alignment horizontal="center"/>
    </xf>
    <xf numFmtId="0" fontId="25" fillId="0" borderId="0" xfId="0" applyFont="1" applyAlignment="1">
      <alignment horizontal="center" wrapText="1"/>
    </xf>
    <xf numFmtId="164" fontId="0" fillId="4" borderId="0" xfId="0" applyNumberFormat="1" applyFill="1"/>
    <xf numFmtId="175" fontId="0" fillId="2" borderId="0" xfId="0" applyNumberFormat="1" applyFill="1"/>
    <xf numFmtId="176" fontId="5" fillId="4" borderId="0" xfId="2" applyNumberFormat="1" applyFont="1" applyFill="1" applyBorder="1" applyAlignment="1" applyProtection="1"/>
    <xf numFmtId="177" fontId="0" fillId="6" borderId="0" xfId="0" applyNumberFormat="1" applyFill="1"/>
    <xf numFmtId="170" fontId="0" fillId="5" borderId="0" xfId="0" applyNumberFormat="1" applyFont="1" applyFill="1"/>
    <xf numFmtId="168" fontId="0" fillId="2" borderId="0" xfId="0" applyNumberFormat="1" applyFill="1"/>
    <xf numFmtId="176" fontId="5" fillId="6" borderId="0" xfId="2" applyNumberFormat="1" applyFont="1" applyFill="1" applyBorder="1" applyAlignment="1" applyProtection="1">
      <alignment horizontal="center"/>
    </xf>
    <xf numFmtId="176" fontId="5" fillId="2" borderId="0" xfId="2" applyNumberFormat="1" applyFont="1" applyFill="1" applyBorder="1" applyAlignment="1" applyProtection="1">
      <alignment horizontal="center"/>
    </xf>
    <xf numFmtId="170" fontId="0" fillId="7" borderId="0" xfId="0" applyNumberFormat="1" applyFont="1" applyFill="1"/>
    <xf numFmtId="170" fontId="0" fillId="7" borderId="0" xfId="0" applyNumberFormat="1" applyFill="1"/>
    <xf numFmtId="10" fontId="0" fillId="7" borderId="0" xfId="0" applyNumberFormat="1" applyFont="1" applyFill="1"/>
    <xf numFmtId="0" fontId="0" fillId="7" borderId="0" xfId="0" applyFont="1" applyFill="1"/>
    <xf numFmtId="43" fontId="0" fillId="7" borderId="0" xfId="0" applyNumberFormat="1" applyFont="1" applyFill="1"/>
    <xf numFmtId="3" fontId="0" fillId="7" borderId="0" xfId="0" applyNumberFormat="1" applyFill="1"/>
    <xf numFmtId="0" fontId="0" fillId="7" borderId="0" xfId="0" applyFill="1"/>
    <xf numFmtId="3" fontId="0" fillId="7" borderId="0" xfId="0" applyNumberFormat="1" applyFont="1" applyFill="1"/>
    <xf numFmtId="176" fontId="0" fillId="7" borderId="0" xfId="0" applyNumberFormat="1" applyFont="1" applyFill="1"/>
    <xf numFmtId="10" fontId="0" fillId="7" borderId="0" xfId="0" applyNumberFormat="1" applyFill="1"/>
    <xf numFmtId="43" fontId="0" fillId="7" borderId="0" xfId="0" applyNumberFormat="1" applyFill="1"/>
    <xf numFmtId="174" fontId="2" fillId="7" borderId="1" xfId="5" applyNumberFormat="1" applyFill="1" applyBorder="1"/>
    <xf numFmtId="174" fontId="0" fillId="7" borderId="1" xfId="0" applyNumberFormat="1" applyFill="1" applyBorder="1" applyAlignment="1">
      <alignment horizontal="center" vertical="center"/>
    </xf>
    <xf numFmtId="9" fontId="0" fillId="7" borderId="1" xfId="2" applyFont="1" applyFill="1" applyBorder="1" applyAlignment="1">
      <alignment horizontal="center"/>
    </xf>
    <xf numFmtId="178" fontId="0" fillId="7" borderId="1" xfId="3" applyNumberFormat="1" applyFont="1" applyFill="1" applyBorder="1" applyAlignment="1">
      <alignment horizontal="center"/>
    </xf>
    <xf numFmtId="176" fontId="0" fillId="7" borderId="1" xfId="2" applyNumberFormat="1" applyFont="1" applyFill="1" applyBorder="1" applyAlignment="1">
      <alignment horizontal="center"/>
    </xf>
    <xf numFmtId="174" fontId="2" fillId="7" borderId="1" xfId="5" applyNumberFormat="1" applyFill="1" applyBorder="1" applyAlignment="1">
      <alignment horizontal="center" vertical="center"/>
    </xf>
    <xf numFmtId="174" fontId="0" fillId="7" borderId="0" xfId="0" applyNumberFormat="1" applyFill="1"/>
    <xf numFmtId="179" fontId="0" fillId="7" borderId="0" xfId="0" applyNumberFormat="1" applyFont="1" applyFill="1"/>
    <xf numFmtId="179" fontId="0" fillId="7" borderId="0" xfId="0" applyNumberFormat="1" applyFill="1"/>
    <xf numFmtId="174" fontId="2" fillId="8" borderId="1" xfId="5" applyNumberFormat="1" applyFill="1" applyBorder="1"/>
    <xf numFmtId="179" fontId="27" fillId="8" borderId="1" xfId="3" applyNumberFormat="1" applyFont="1" applyFill="1" applyBorder="1"/>
    <xf numFmtId="9" fontId="2" fillId="8" borderId="1" xfId="5" applyNumberFormat="1" applyFill="1" applyBorder="1"/>
    <xf numFmtId="9" fontId="27" fillId="8" borderId="1" xfId="0" applyNumberFormat="1" applyFont="1" applyFill="1" applyBorder="1"/>
    <xf numFmtId="165" fontId="0" fillId="7" borderId="0" xfId="0" applyNumberFormat="1" applyFill="1"/>
    <xf numFmtId="174" fontId="30" fillId="8" borderId="1" xfId="5" applyNumberFormat="1" applyFont="1" applyFill="1" applyBorder="1"/>
    <xf numFmtId="0" fontId="30" fillId="8" borderId="1" xfId="5" applyFont="1" applyFill="1" applyBorder="1"/>
    <xf numFmtId="180" fontId="0" fillId="7" borderId="0" xfId="0" applyNumberFormat="1" applyFont="1" applyFill="1"/>
    <xf numFmtId="9" fontId="0" fillId="7" borderId="0" xfId="0" applyNumberFormat="1" applyFont="1" applyFill="1"/>
    <xf numFmtId="181" fontId="0" fillId="7" borderId="0" xfId="0" applyNumberFormat="1" applyFont="1" applyFill="1"/>
    <xf numFmtId="178" fontId="0" fillId="7" borderId="0" xfId="0" applyNumberFormat="1" applyFont="1" applyFill="1"/>
    <xf numFmtId="182" fontId="0" fillId="7" borderId="0" xfId="0" applyNumberFormat="1" applyFont="1" applyFill="1"/>
    <xf numFmtId="15" fontId="0" fillId="7" borderId="0" xfId="0" applyNumberFormat="1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0" fontId="0" fillId="7" borderId="0" xfId="0" applyFill="1" applyAlignment="1">
      <alignment horizontal="center" vertical="center"/>
    </xf>
    <xf numFmtId="0" fontId="32" fillId="8" borderId="0" xfId="0" applyFont="1" applyFill="1" applyAlignment="1">
      <alignment horizontal="center"/>
    </xf>
    <xf numFmtId="38" fontId="33" fillId="8" borderId="0" xfId="0" applyNumberFormat="1" applyFont="1" applyFill="1"/>
    <xf numFmtId="15" fontId="34" fillId="7" borderId="1" xfId="0" applyNumberFormat="1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3" fontId="0" fillId="7" borderId="1" xfId="0" applyNumberFormat="1" applyFill="1" applyBorder="1"/>
    <xf numFmtId="43" fontId="5" fillId="2" borderId="1" xfId="1" applyNumberFormat="1" applyFont="1" applyFill="1" applyBorder="1" applyAlignment="1" applyProtection="1"/>
    <xf numFmtId="178" fontId="5" fillId="2" borderId="1" xfId="1" applyNumberFormat="1" applyFont="1" applyFill="1" applyBorder="1" applyAlignment="1" applyProtection="1"/>
    <xf numFmtId="178" fontId="5" fillId="2" borderId="1" xfId="3" applyNumberFormat="1" applyFont="1" applyFill="1" applyBorder="1" applyAlignment="1" applyProtection="1"/>
    <xf numFmtId="43" fontId="5" fillId="2" borderId="1" xfId="3" applyNumberFormat="1" applyFont="1" applyFill="1" applyBorder="1" applyAlignment="1" applyProtection="1"/>
    <xf numFmtId="170" fontId="0" fillId="7" borderId="10" xfId="0" applyNumberFormat="1" applyFill="1" applyBorder="1"/>
    <xf numFmtId="0" fontId="35" fillId="9" borderId="10" xfId="0" applyFont="1" applyFill="1" applyBorder="1"/>
    <xf numFmtId="170" fontId="34" fillId="7" borderId="11" xfId="0" applyNumberFormat="1" applyFont="1" applyFill="1" applyBorder="1" applyAlignment="1">
      <alignment horizontal="center" vertical="center"/>
    </xf>
    <xf numFmtId="179" fontId="34" fillId="7" borderId="4" xfId="1" applyNumberFormat="1" applyFont="1" applyFill="1" applyBorder="1" applyAlignment="1">
      <alignment horizontal="center" vertical="center"/>
    </xf>
    <xf numFmtId="179" fontId="34" fillId="7" borderId="12" xfId="1" applyNumberFormat="1" applyFont="1" applyFill="1" applyBorder="1" applyAlignment="1">
      <alignment horizontal="center" vertical="center"/>
    </xf>
    <xf numFmtId="179" fontId="34" fillId="7" borderId="1" xfId="1" applyNumberFormat="1" applyFont="1" applyFill="1" applyBorder="1" applyAlignment="1">
      <alignment horizontal="center" vertical="center"/>
    </xf>
    <xf numFmtId="0" fontId="34" fillId="7" borderId="10" xfId="0" applyFont="1" applyFill="1" applyBorder="1" applyAlignment="1">
      <alignment horizontal="center" vertical="center"/>
    </xf>
    <xf numFmtId="0" fontId="34" fillId="7" borderId="5" xfId="0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0" fontId="34" fillId="7" borderId="12" xfId="0" applyFont="1" applyFill="1" applyBorder="1" applyAlignment="1">
      <alignment horizontal="center" vertical="center"/>
    </xf>
    <xf numFmtId="170" fontId="34" fillId="7" borderId="10" xfId="0" applyNumberFormat="1" applyFont="1" applyFill="1" applyBorder="1"/>
    <xf numFmtId="0" fontId="34" fillId="9" borderId="10" xfId="0" applyFont="1" applyFill="1" applyBorder="1"/>
    <xf numFmtId="170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9" fontId="0" fillId="7" borderId="1" xfId="1" applyNumberFormat="1" applyFont="1" applyFill="1" applyBorder="1" applyAlignment="1">
      <alignment horizontal="center" vertical="center"/>
    </xf>
    <xf numFmtId="179" fontId="0" fillId="7" borderId="1" xfId="1" applyNumberFormat="1" applyFont="1" applyFill="1" applyBorder="1"/>
    <xf numFmtId="170" fontId="0" fillId="7" borderId="1" xfId="0" applyNumberFormat="1" applyFill="1" applyBorder="1"/>
    <xf numFmtId="179" fontId="1" fillId="7" borderId="1" xfId="1" applyNumberFormat="1" applyFont="1" applyFill="1" applyBorder="1"/>
    <xf numFmtId="0" fontId="0" fillId="7" borderId="1" xfId="2" applyNumberFormat="1" applyFont="1" applyFill="1" applyBorder="1"/>
    <xf numFmtId="0" fontId="31" fillId="7" borderId="1" xfId="2" applyNumberFormat="1" applyFont="1" applyFill="1" applyBorder="1"/>
    <xf numFmtId="164" fontId="0" fillId="7" borderId="1" xfId="1" applyFont="1" applyFill="1" applyBorder="1"/>
    <xf numFmtId="170" fontId="36" fillId="7" borderId="14" xfId="0" applyNumberFormat="1" applyFont="1" applyFill="1" applyBorder="1"/>
    <xf numFmtId="0" fontId="36" fillId="7" borderId="14" xfId="0" applyFont="1" applyFill="1" applyBorder="1"/>
    <xf numFmtId="179" fontId="37" fillId="7" borderId="14" xfId="1" applyNumberFormat="1" applyFont="1" applyFill="1" applyBorder="1"/>
    <xf numFmtId="164" fontId="38" fillId="10" borderId="14" xfId="1" applyFont="1" applyFill="1" applyBorder="1"/>
    <xf numFmtId="179" fontId="37" fillId="7" borderId="0" xfId="1" applyNumberFormat="1" applyFont="1" applyFill="1" applyBorder="1"/>
    <xf numFmtId="164" fontId="36" fillId="10" borderId="14" xfId="1" applyFont="1" applyFill="1" applyBorder="1"/>
    <xf numFmtId="179" fontId="0" fillId="7" borderId="0" xfId="1" applyNumberFormat="1" applyFont="1" applyFill="1"/>
    <xf numFmtId="179" fontId="39" fillId="7" borderId="0" xfId="1" applyNumberFormat="1" applyFont="1" applyFill="1"/>
    <xf numFmtId="164" fontId="0" fillId="10" borderId="0" xfId="1" applyFont="1" applyFill="1"/>
    <xf numFmtId="164" fontId="34" fillId="10" borderId="0" xfId="1" applyFont="1" applyFill="1"/>
    <xf numFmtId="179" fontId="0" fillId="7" borderId="0" xfId="1" applyNumberFormat="1" applyFont="1" applyFill="1" applyBorder="1"/>
    <xf numFmtId="170" fontId="40" fillId="7" borderId="1" xfId="0" applyNumberFormat="1" applyFont="1" applyFill="1" applyBorder="1"/>
    <xf numFmtId="38" fontId="0" fillId="10" borderId="0" xfId="0" applyNumberFormat="1" applyFill="1"/>
  </cellXfs>
  <cellStyles count="6">
    <cellStyle name="Comma" xfId="1" builtinId="3"/>
    <cellStyle name="Comma 3" xfId="3" xr:uid="{00000000-0005-0000-0000-000006000000}"/>
    <cellStyle name="Normal" xfId="0" builtinId="0"/>
    <cellStyle name="Normal 2" xfId="4" xr:uid="{00000000-0005-0000-0000-000007000000}"/>
    <cellStyle name="Normal 3" xfId="5" xr:uid="{00000000-0005-0000-0000-000008000000}"/>
    <cellStyle name="Per 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8AD8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1040" name="_x0000_t202" hidden="1">
          <a:extLst>
            <a:ext uri="{FF2B5EF4-FFF2-40B4-BE49-F238E27FC236}">
              <a16:creationId xmlns:a16="http://schemas.microsoft.com/office/drawing/2014/main" id="{8F7562DA-AC34-D341-8532-F3D18F5720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1038" name="_x0000_t202" hidden="1">
          <a:extLst>
            <a:ext uri="{FF2B5EF4-FFF2-40B4-BE49-F238E27FC236}">
              <a16:creationId xmlns:a16="http://schemas.microsoft.com/office/drawing/2014/main" id="{40B599AF-24F1-8844-A9C6-EBE582DE175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1036" name="_x0000_t202" hidden="1">
          <a:extLst>
            <a:ext uri="{FF2B5EF4-FFF2-40B4-BE49-F238E27FC236}">
              <a16:creationId xmlns:a16="http://schemas.microsoft.com/office/drawing/2014/main" id="{FD34167C-0F24-B349-A2B1-DEE5C10141F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1034" name="_x0000_t202" hidden="1">
          <a:extLst>
            <a:ext uri="{FF2B5EF4-FFF2-40B4-BE49-F238E27FC236}">
              <a16:creationId xmlns:a16="http://schemas.microsoft.com/office/drawing/2014/main" id="{6860A698-E41A-8F4D-B1B2-41A1974EF9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1032" name="_x0000_t202" hidden="1">
          <a:extLst>
            <a:ext uri="{FF2B5EF4-FFF2-40B4-BE49-F238E27FC236}">
              <a16:creationId xmlns:a16="http://schemas.microsoft.com/office/drawing/2014/main" id="{48BCBB63-DEEC-8947-B595-94F824D06E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1030" name="_x0000_t202" hidden="1">
          <a:extLst>
            <a:ext uri="{FF2B5EF4-FFF2-40B4-BE49-F238E27FC236}">
              <a16:creationId xmlns:a16="http://schemas.microsoft.com/office/drawing/2014/main" id="{4A881C1B-D620-1641-BCA5-56DB469006D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1028" name="_x0000_t202" hidden="1">
          <a:extLst>
            <a:ext uri="{FF2B5EF4-FFF2-40B4-BE49-F238E27FC236}">
              <a16:creationId xmlns:a16="http://schemas.microsoft.com/office/drawing/2014/main" id="{9A2AF5C5-92D9-844D-BD20-6F8FA5C1B04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EF4294C4-A55F-264E-B05C-A862282D9F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4D9D5D1B-EF3A-1341-B264-0622676CC7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311F4CA7-FAB4-434E-A76D-64116ACF2A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4" name="AutoShape 12">
          <a:extLst>
            <a:ext uri="{FF2B5EF4-FFF2-40B4-BE49-F238E27FC236}">
              <a16:creationId xmlns:a16="http://schemas.microsoft.com/office/drawing/2014/main" id="{6E285D55-F536-DB43-9F12-424A0A724E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ED988DA-9243-2C43-8510-2DF4985501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9D90F5CB-9666-0A46-BF80-3F386DF08E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210F89E3-686A-8B4D-B39C-A3DD721D60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E3892A36-A133-6B4F-80D9-9188DC53E1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12700</xdr:colOff>
      <xdr:row>58</xdr:row>
      <xdr:rowOff>38100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E218144B-CC52-9E44-9128-9F605E6B43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254000</xdr:colOff>
      <xdr:row>59</xdr:row>
      <xdr:rowOff>190500</xdr:rowOff>
    </xdr:to>
    <xdr:sp macro="" textlink="">
      <xdr:nvSpPr>
        <xdr:cNvPr id="2052" name="_x0000_t202" hidden="1">
          <a:extLst>
            <a:ext uri="{FF2B5EF4-FFF2-40B4-BE49-F238E27FC236}">
              <a16:creationId xmlns:a16="http://schemas.microsoft.com/office/drawing/2014/main" id="{09296BA6-DABC-D74D-8F6A-3576F48137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254000</xdr:colOff>
      <xdr:row>59</xdr:row>
      <xdr:rowOff>190500</xdr:rowOff>
    </xdr:to>
    <xdr:sp macro="" textlink="">
      <xdr:nvSpPr>
        <xdr:cNvPr id="2050" name="_x0000_t202" hidden="1">
          <a:extLst>
            <a:ext uri="{FF2B5EF4-FFF2-40B4-BE49-F238E27FC236}">
              <a16:creationId xmlns:a16="http://schemas.microsoft.com/office/drawing/2014/main" id="{82D75EC9-6AF3-CF4E-82A2-A1EDD2FC7FB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254000</xdr:colOff>
      <xdr:row>59</xdr:row>
      <xdr:rowOff>190500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A35DB678-15B3-4748-BDB8-0C876CCFA0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254000</xdr:colOff>
      <xdr:row>59</xdr:row>
      <xdr:rowOff>190500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6A5281D-FC5D-3441-89BF-7E144F93BE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914400</xdr:colOff>
      <xdr:row>8</xdr:row>
      <xdr:rowOff>101600</xdr:rowOff>
    </xdr:from>
    <xdr:to>
      <xdr:col>8</xdr:col>
      <xdr:colOff>596900</xdr:colOff>
      <xdr:row>15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7ACFCF-30C7-6643-BFE1-F8A4E1C27627}"/>
            </a:ext>
          </a:extLst>
        </xdr:cNvPr>
        <xdr:cNvSpPr txBox="1"/>
      </xdr:nvSpPr>
      <xdr:spPr>
        <a:xfrm>
          <a:off x="914400" y="2247900"/>
          <a:ext cx="9067800" cy="147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solidFill>
                <a:srgbClr val="FF0000"/>
              </a:solidFill>
            </a:rPr>
            <a:t>These have already been entered in previous sheets - ... this is a double up ??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584200</xdr:colOff>
      <xdr:row>60</xdr:row>
      <xdr:rowOff>63500</xdr:rowOff>
    </xdr:to>
    <xdr:sp macro="" textlink="">
      <xdr:nvSpPr>
        <xdr:cNvPr id="3074" name="_x0000_t202" hidden="1">
          <a:extLst>
            <a:ext uri="{FF2B5EF4-FFF2-40B4-BE49-F238E27FC236}">
              <a16:creationId xmlns:a16="http://schemas.microsoft.com/office/drawing/2014/main" id="{7A2D4AF3-86B4-5C40-8929-14BD49BF7A1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584200</xdr:colOff>
      <xdr:row>60</xdr:row>
      <xdr:rowOff>63500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F0D2784-61F5-C341-85DF-D5E57067C2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illnmb2017/Desktop/New%20CBIX%20Monday%20new%20method%20for%20Data%20Team%20II%20populated%20II%20used%20for%20chec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FX rates"/>
      <sheetName val="China Price Series"/>
      <sheetName val="Indices Mines Exporting Ports"/>
      <sheetName val="Ship Time Charter Rates"/>
      <sheetName val="Ship Fuel Prices"/>
      <sheetName val="Ship Speeds"/>
      <sheetName val="Canals"/>
      <sheetName val="China n Importing Ports"/>
      <sheetName val="Port Linkages"/>
      <sheetName val="Ship Fuel Zones n Types"/>
      <sheetName val="AllowedShip Class Time Charters"/>
      <sheetName val="Processing Factors"/>
      <sheetName val="Global factors"/>
    </sheetNames>
    <sheetDataSet>
      <sheetData sheetId="0" refreshError="1"/>
      <sheetData sheetId="1" refreshError="1"/>
      <sheetData sheetId="2" refreshError="1"/>
      <sheetData sheetId="3" refreshError="1">
        <row r="26">
          <cell r="C26" t="str">
            <v>SMB Generic</v>
          </cell>
          <cell r="Q26" t="str">
            <v>SMB-WAP_Nunez_Offshore</v>
          </cell>
        </row>
        <row r="27">
          <cell r="C27" t="str">
            <v>Alufer Bel Air</v>
          </cell>
          <cell r="Q27" t="str">
            <v>Alufer_Cape_Verga_Offshore</v>
          </cell>
        </row>
        <row r="28">
          <cell r="C28" t="str">
            <v>CBG LT</v>
          </cell>
          <cell r="Q28" t="str">
            <v>CBG_Wharf</v>
          </cell>
        </row>
        <row r="29">
          <cell r="C29" t="str">
            <v>GAC Generic</v>
          </cell>
          <cell r="Q29" t="str">
            <v>GAC_Offshore</v>
          </cell>
        </row>
        <row r="30">
          <cell r="C30" t="str">
            <v>Weipa/Amrun Generic</v>
          </cell>
          <cell r="Q30" t="str">
            <v>Weipa_Amrun_Wharf</v>
          </cell>
        </row>
        <row r="31">
          <cell r="C31" t="str">
            <v>West Kalimantan Generic</v>
          </cell>
          <cell r="Q31" t="str">
            <v>West_Kal_Generic_Offshore</v>
          </cell>
        </row>
        <row r="32">
          <cell r="C32" t="str">
            <v>MRN</v>
          </cell>
          <cell r="Q32" t="str">
            <v>Pt_Lisas</v>
          </cell>
        </row>
        <row r="33">
          <cell r="C33" t="str">
            <v>Juruti</v>
          </cell>
          <cell r="Q33" t="str">
            <v>Pt_Lisas</v>
          </cell>
        </row>
        <row r="34">
          <cell r="C34" t="str">
            <v>MRN</v>
          </cell>
          <cell r="Q34" t="str">
            <v>MRN_wharf</v>
          </cell>
        </row>
        <row r="35">
          <cell r="C35" t="str">
            <v>Juruti</v>
          </cell>
          <cell r="Q35" t="str">
            <v>Juruti_wharf</v>
          </cell>
        </row>
        <row r="36">
          <cell r="C36" t="str">
            <v>Gove</v>
          </cell>
          <cell r="Q36" t="str">
            <v>Gove_wharf</v>
          </cell>
        </row>
        <row r="37">
          <cell r="C37" t="str">
            <v>Central Kalimantan Generic</v>
          </cell>
          <cell r="Q37" t="str">
            <v>Central_Kal_Generic_Offshore</v>
          </cell>
        </row>
        <row r="38">
          <cell r="C38" t="str">
            <v>Huntly</v>
          </cell>
          <cell r="Q38" t="str">
            <v>Kwinana_wharf</v>
          </cell>
        </row>
        <row r="39">
          <cell r="C39" t="str">
            <v>Turkey</v>
          </cell>
          <cell r="Q39" t="str">
            <v>Turkey</v>
          </cell>
        </row>
        <row r="40">
          <cell r="C40" t="str">
            <v>Bauxite Hills</v>
          </cell>
          <cell r="Q40" t="str">
            <v>Bauxite_Hills_offshore</v>
          </cell>
        </row>
        <row r="41">
          <cell r="C41" t="str">
            <v>Chalco Boffa</v>
          </cell>
          <cell r="Q41" t="str">
            <v>Chalco_Boffa_offshore</v>
          </cell>
        </row>
        <row r="42">
          <cell r="C42" t="str">
            <v>Rennell Island</v>
          </cell>
          <cell r="Q42" t="str">
            <v>Rennell_Is._offshore</v>
          </cell>
        </row>
        <row r="43">
          <cell r="C43" t="str">
            <v>Discovery Bay</v>
          </cell>
          <cell r="Q43" t="str">
            <v>Discovery_Bay_wharf</v>
          </cell>
        </row>
        <row r="44">
          <cell r="C44" t="str">
            <v>Montenegro</v>
          </cell>
          <cell r="Q44" t="str">
            <v>Turkey</v>
          </cell>
        </row>
        <row r="45">
          <cell r="C45" t="str">
            <v>Sierra Leone</v>
          </cell>
          <cell r="Q45" t="str">
            <v>Chalco_Boffa_offshore</v>
          </cell>
        </row>
        <row r="46">
          <cell r="C46" t="str">
            <v>Johor</v>
          </cell>
          <cell r="Q46" t="str">
            <v>West_Kal_Generic_Offshore</v>
          </cell>
        </row>
        <row r="47">
          <cell r="C47" t="str">
            <v>Gujarat &amp; Maharashtra</v>
          </cell>
          <cell r="Q47" t="str">
            <v>Sikka</v>
          </cell>
        </row>
        <row r="48">
          <cell r="C48" t="str">
            <v>SMB Generic</v>
          </cell>
          <cell r="Q48" t="str">
            <v>SMB-WAP_Nunez_Offshore</v>
          </cell>
        </row>
        <row r="49">
          <cell r="C49" t="str">
            <v>Weipa/Amrun Generic</v>
          </cell>
          <cell r="Q49" t="str">
            <v>Weipa_Amrun_Wharf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W31"/>
  <sheetViews>
    <sheetView zoomScaleNormal="100" workbookViewId="0">
      <selection activeCell="F43" sqref="F43"/>
    </sheetView>
  </sheetViews>
  <sheetFormatPr baseColWidth="10" defaultColWidth="8.5" defaultRowHeight="15"/>
  <cols>
    <col min="1" max="1" width="17.5" customWidth="1"/>
    <col min="2" max="2" width="14.6640625" style="1" customWidth="1"/>
    <col min="3" max="3" width="16.83203125" customWidth="1"/>
  </cols>
  <sheetData>
    <row r="1" spans="1:23" ht="16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90" t="s">
        <v>23</v>
      </c>
      <c r="B2" s="91">
        <v>43466</v>
      </c>
      <c r="C2" s="92">
        <v>0.45</v>
      </c>
      <c r="D2" s="92">
        <v>0.41</v>
      </c>
      <c r="E2" s="92">
        <v>0.03</v>
      </c>
      <c r="F2" s="92">
        <v>1.6E-2</v>
      </c>
      <c r="G2" s="92">
        <v>1.3999999999999999E-2</v>
      </c>
      <c r="H2" s="92">
        <v>2.4000000000000035E-2</v>
      </c>
      <c r="I2" s="92">
        <v>0.1</v>
      </c>
      <c r="J2" s="93" t="s">
        <v>24</v>
      </c>
      <c r="K2" s="94">
        <v>0.33</v>
      </c>
      <c r="L2" s="95"/>
      <c r="M2" s="93" t="s">
        <v>23</v>
      </c>
      <c r="N2" s="93" t="s">
        <v>25</v>
      </c>
      <c r="O2" s="96"/>
      <c r="P2" s="97"/>
      <c r="Q2" s="97"/>
      <c r="R2" s="97"/>
      <c r="S2" s="97"/>
      <c r="T2" s="97"/>
      <c r="U2" s="97"/>
      <c r="V2" s="97"/>
    </row>
    <row r="3" spans="1:23">
      <c r="A3" s="90" t="s">
        <v>26</v>
      </c>
      <c r="B3" s="91">
        <v>43466</v>
      </c>
      <c r="C3" s="92">
        <v>0.54</v>
      </c>
      <c r="D3" s="92">
        <v>0.37250000000000005</v>
      </c>
      <c r="E3" s="92">
        <v>0.09</v>
      </c>
      <c r="F3" s="92">
        <v>6.7500000000000004E-2</v>
      </c>
      <c r="G3" s="92">
        <v>2.2499999999999992E-2</v>
      </c>
      <c r="H3" s="92">
        <v>0.1</v>
      </c>
      <c r="I3" s="92">
        <v>0.125</v>
      </c>
      <c r="J3" s="93" t="s">
        <v>27</v>
      </c>
      <c r="K3" s="94">
        <v>0.67</v>
      </c>
      <c r="L3" s="95"/>
      <c r="M3" s="93" t="s">
        <v>26</v>
      </c>
      <c r="N3" s="93" t="s">
        <v>28</v>
      </c>
      <c r="O3" s="96"/>
      <c r="P3" s="97"/>
      <c r="Q3" s="97"/>
      <c r="R3" s="97"/>
      <c r="S3" s="97"/>
      <c r="T3" s="97"/>
      <c r="U3" s="97"/>
      <c r="V3" s="97"/>
    </row>
    <row r="4" spans="1:23">
      <c r="A4" s="90" t="s">
        <v>29</v>
      </c>
      <c r="B4" s="91">
        <v>43466</v>
      </c>
      <c r="C4" s="92">
        <v>0.48</v>
      </c>
      <c r="D4" s="92">
        <v>0.44</v>
      </c>
      <c r="E4" s="92">
        <v>0.08</v>
      </c>
      <c r="F4" s="92">
        <v>3.5000000000000003E-2</v>
      </c>
      <c r="G4" s="92">
        <v>4.4999999999999998E-2</v>
      </c>
      <c r="H4" s="92">
        <v>5.0000000000000001E-3</v>
      </c>
      <c r="I4" s="92">
        <v>0.15</v>
      </c>
      <c r="J4" s="93" t="s">
        <v>24</v>
      </c>
      <c r="K4" s="94">
        <v>0.33</v>
      </c>
      <c r="L4" s="95"/>
      <c r="M4" s="93" t="s">
        <v>29</v>
      </c>
      <c r="N4" s="93" t="s">
        <v>25</v>
      </c>
      <c r="O4" s="96"/>
      <c r="P4" s="97"/>
      <c r="Q4" s="97"/>
      <c r="R4" s="97"/>
      <c r="S4" s="97"/>
      <c r="T4" s="97"/>
      <c r="U4" s="97"/>
      <c r="V4" s="97"/>
    </row>
    <row r="5" spans="1:23">
      <c r="A5" s="90" t="s">
        <v>25</v>
      </c>
      <c r="B5" s="91">
        <v>43466</v>
      </c>
      <c r="C5" s="92">
        <v>0.5</v>
      </c>
      <c r="D5" s="92">
        <v>0.45</v>
      </c>
      <c r="E5" s="92">
        <v>0.05</v>
      </c>
      <c r="F5" s="92">
        <v>0.05</v>
      </c>
      <c r="G5" s="92">
        <v>0</v>
      </c>
      <c r="H5" s="92">
        <v>0</v>
      </c>
      <c r="I5" s="92">
        <v>0.1</v>
      </c>
      <c r="J5" s="93" t="s">
        <v>24</v>
      </c>
      <c r="K5" s="94">
        <v>0</v>
      </c>
      <c r="L5" s="95"/>
      <c r="M5" s="93" t="s">
        <v>25</v>
      </c>
      <c r="N5" s="93" t="s">
        <v>25</v>
      </c>
      <c r="O5" s="96"/>
      <c r="P5" s="93"/>
      <c r="Q5" s="93"/>
      <c r="R5" s="93"/>
      <c r="S5" s="93"/>
      <c r="T5" s="93"/>
      <c r="U5" s="93"/>
      <c r="V5" s="93"/>
    </row>
    <row r="6" spans="1:23">
      <c r="A6" s="90" t="s">
        <v>28</v>
      </c>
      <c r="B6" s="91">
        <v>43466</v>
      </c>
      <c r="C6" s="92">
        <v>0.5</v>
      </c>
      <c r="D6" s="92">
        <v>0.45</v>
      </c>
      <c r="E6" s="92">
        <v>0.05</v>
      </c>
      <c r="F6" s="92">
        <v>0.05</v>
      </c>
      <c r="G6" s="92">
        <v>0</v>
      </c>
      <c r="H6" s="92">
        <v>0</v>
      </c>
      <c r="I6" s="92">
        <v>0.1</v>
      </c>
      <c r="J6" s="93" t="s">
        <v>24</v>
      </c>
      <c r="K6" s="94">
        <v>0</v>
      </c>
      <c r="L6" s="95"/>
      <c r="M6" s="93" t="s">
        <v>28</v>
      </c>
      <c r="N6" s="93" t="s">
        <v>28</v>
      </c>
      <c r="O6" s="96"/>
      <c r="P6" s="93"/>
      <c r="Q6" s="93"/>
      <c r="R6" s="93"/>
      <c r="S6" s="93"/>
      <c r="T6" s="93"/>
      <c r="U6" s="93"/>
      <c r="V6" s="93"/>
    </row>
    <row r="7" spans="1:23">
      <c r="A7" s="90" t="s">
        <v>30</v>
      </c>
      <c r="B7" s="91">
        <v>43466</v>
      </c>
      <c r="C7" s="92">
        <v>0.5</v>
      </c>
      <c r="D7" s="92">
        <v>0.45</v>
      </c>
      <c r="E7" s="92">
        <v>0.05</v>
      </c>
      <c r="F7" s="92">
        <v>0.05</v>
      </c>
      <c r="G7" s="92">
        <v>0</v>
      </c>
      <c r="H7" s="92">
        <v>0</v>
      </c>
      <c r="I7" s="92">
        <v>0.1</v>
      </c>
      <c r="J7" s="93" t="s">
        <v>24</v>
      </c>
      <c r="K7" s="94">
        <v>0</v>
      </c>
      <c r="L7" s="95"/>
      <c r="M7" s="93" t="s">
        <v>30</v>
      </c>
      <c r="N7" s="93" t="s">
        <v>30</v>
      </c>
      <c r="O7" s="96"/>
      <c r="P7" s="93"/>
      <c r="Q7" s="93"/>
      <c r="R7" s="93"/>
      <c r="S7" s="93"/>
      <c r="T7" s="93"/>
      <c r="U7" s="93"/>
      <c r="V7" s="93"/>
    </row>
    <row r="8" spans="1:23">
      <c r="A8" s="90" t="s">
        <v>31</v>
      </c>
      <c r="B8" s="91">
        <v>43466</v>
      </c>
      <c r="C8" s="98">
        <v>0.44800000000000001</v>
      </c>
      <c r="D8" s="98">
        <v>0.4</v>
      </c>
      <c r="E8" s="98">
        <v>2.3E-2</v>
      </c>
      <c r="F8" s="92">
        <v>1.2999999999999999E-2</v>
      </c>
      <c r="G8" s="98">
        <v>0.01</v>
      </c>
      <c r="H8" s="98">
        <v>3.5000000000000003E-2</v>
      </c>
      <c r="I8" s="98">
        <v>0.1</v>
      </c>
      <c r="J8" s="93" t="s">
        <v>24</v>
      </c>
      <c r="K8" s="94">
        <v>0.33</v>
      </c>
      <c r="L8" s="97">
        <v>180000</v>
      </c>
      <c r="M8" s="93" t="s">
        <v>23</v>
      </c>
      <c r="N8" s="93" t="s">
        <v>25</v>
      </c>
      <c r="O8" s="93" t="s">
        <v>32</v>
      </c>
      <c r="P8" s="97">
        <v>30000</v>
      </c>
      <c r="Q8" s="97">
        <v>30000</v>
      </c>
      <c r="R8" s="97">
        <v>30000</v>
      </c>
      <c r="S8" s="97">
        <v>30000</v>
      </c>
      <c r="T8" s="97">
        <v>30000</v>
      </c>
      <c r="U8" s="97">
        <v>30000</v>
      </c>
      <c r="V8" s="97">
        <v>30000</v>
      </c>
    </row>
    <row r="9" spans="1:23">
      <c r="A9" s="90" t="s">
        <v>33</v>
      </c>
      <c r="B9" s="91">
        <v>43466</v>
      </c>
      <c r="C9" s="98">
        <v>0.46</v>
      </c>
      <c r="D9" s="98">
        <v>0.40500000000000003</v>
      </c>
      <c r="E9" s="98">
        <v>4.8000000000000001E-2</v>
      </c>
      <c r="F9" s="98">
        <v>1.7000000000000001E-2</v>
      </c>
      <c r="G9" s="98">
        <v>3.1E-2</v>
      </c>
      <c r="H9" s="98">
        <v>3.7999999999999992E-2</v>
      </c>
      <c r="I9" s="98">
        <v>0.10100000000000001</v>
      </c>
      <c r="J9" s="93" t="s">
        <v>24</v>
      </c>
      <c r="K9" s="94">
        <v>0.33</v>
      </c>
      <c r="L9" s="97">
        <v>180000</v>
      </c>
      <c r="M9" s="93" t="s">
        <v>23</v>
      </c>
      <c r="N9" s="93" t="s">
        <v>25</v>
      </c>
      <c r="O9" s="93" t="s">
        <v>34</v>
      </c>
      <c r="P9" s="97">
        <v>18000</v>
      </c>
      <c r="Q9" s="97">
        <v>18000</v>
      </c>
      <c r="R9" s="97">
        <v>18000</v>
      </c>
      <c r="S9" s="97">
        <v>18000</v>
      </c>
      <c r="T9" s="97">
        <v>18000</v>
      </c>
      <c r="U9" s="97">
        <v>18000</v>
      </c>
      <c r="V9" s="97">
        <v>18000</v>
      </c>
    </row>
    <row r="10" spans="1:23">
      <c r="A10" s="90" t="s">
        <v>35</v>
      </c>
      <c r="B10" s="91">
        <v>43466</v>
      </c>
      <c r="C10" s="98">
        <v>0.48699999999999999</v>
      </c>
      <c r="D10" s="98">
        <v>0.43299999999999994</v>
      </c>
      <c r="E10" s="98">
        <v>2.1999999999999999E-2</v>
      </c>
      <c r="F10" s="98">
        <v>1.9E-2</v>
      </c>
      <c r="G10" s="98">
        <v>2.9999999999999992E-3</v>
      </c>
      <c r="H10" s="98">
        <v>3.5000000000000003E-2</v>
      </c>
      <c r="I10" s="98">
        <v>7.0999999999999994E-2</v>
      </c>
      <c r="J10" s="93" t="s">
        <v>24</v>
      </c>
      <c r="K10" s="94">
        <v>0.33</v>
      </c>
      <c r="L10" s="97">
        <v>66000</v>
      </c>
      <c r="M10" s="93" t="s">
        <v>23</v>
      </c>
      <c r="N10" s="93" t="s">
        <v>25</v>
      </c>
      <c r="O10" s="93" t="s">
        <v>36</v>
      </c>
      <c r="P10" s="97">
        <v>30000</v>
      </c>
      <c r="Q10" s="97">
        <v>30000</v>
      </c>
      <c r="R10" s="97">
        <v>30000</v>
      </c>
      <c r="S10" s="97">
        <v>30000</v>
      </c>
      <c r="T10" s="97">
        <v>30000</v>
      </c>
      <c r="U10" s="97">
        <v>20000</v>
      </c>
      <c r="V10" s="97">
        <v>20000</v>
      </c>
    </row>
    <row r="11" spans="1:23">
      <c r="A11" s="90" t="s">
        <v>37</v>
      </c>
      <c r="B11" s="91">
        <v>43466</v>
      </c>
      <c r="C11" s="98">
        <v>0.47</v>
      </c>
      <c r="D11" s="92">
        <v>0.41</v>
      </c>
      <c r="E11" s="92">
        <v>0.02</v>
      </c>
      <c r="F11" s="92">
        <v>0.01</v>
      </c>
      <c r="G11" s="92">
        <v>0.01</v>
      </c>
      <c r="H11" s="92">
        <v>3.9E-2</v>
      </c>
      <c r="I11" s="92">
        <v>8.7999999999999995E-2</v>
      </c>
      <c r="J11" s="93" t="s">
        <v>24</v>
      </c>
      <c r="K11" s="94">
        <v>0.33</v>
      </c>
      <c r="L11" s="97">
        <v>180000</v>
      </c>
      <c r="M11" s="93" t="s">
        <v>23</v>
      </c>
      <c r="N11" s="93" t="s">
        <v>25</v>
      </c>
      <c r="O11" s="93" t="s">
        <v>38</v>
      </c>
      <c r="P11" s="97">
        <v>30000</v>
      </c>
      <c r="Q11" s="97">
        <v>30000</v>
      </c>
      <c r="R11" s="97">
        <v>30000</v>
      </c>
      <c r="S11" s="97">
        <v>30000</v>
      </c>
      <c r="T11" s="97">
        <v>30000</v>
      </c>
      <c r="U11" s="97">
        <v>30000</v>
      </c>
      <c r="V11" s="97">
        <v>30000</v>
      </c>
    </row>
    <row r="12" spans="1:23">
      <c r="A12" s="90" t="s">
        <v>39</v>
      </c>
      <c r="B12" s="91">
        <v>43466</v>
      </c>
      <c r="C12" s="92">
        <v>0.53</v>
      </c>
      <c r="D12" s="92">
        <v>0.36250000000000004</v>
      </c>
      <c r="E12" s="92">
        <v>0.09</v>
      </c>
      <c r="F12" s="92">
        <v>6.7500000000000004E-2</v>
      </c>
      <c r="G12" s="92">
        <v>2.2499999999999999E-2</v>
      </c>
      <c r="H12" s="92">
        <v>0.1</v>
      </c>
      <c r="I12" s="92">
        <v>0.13</v>
      </c>
      <c r="J12" s="93" t="s">
        <v>27</v>
      </c>
      <c r="K12" s="94">
        <v>0.67</v>
      </c>
      <c r="L12" s="97">
        <v>76000</v>
      </c>
      <c r="M12" s="93" t="s">
        <v>26</v>
      </c>
      <c r="N12" s="93" t="s">
        <v>28</v>
      </c>
      <c r="O12" s="93" t="s">
        <v>40</v>
      </c>
      <c r="P12" s="97">
        <v>80000</v>
      </c>
      <c r="Q12" s="97">
        <v>80000</v>
      </c>
      <c r="R12" s="97">
        <v>80000</v>
      </c>
      <c r="S12" s="97">
        <v>80000</v>
      </c>
      <c r="T12" s="97">
        <v>80000</v>
      </c>
      <c r="U12" s="97">
        <v>40000</v>
      </c>
      <c r="V12" s="97">
        <v>40000</v>
      </c>
    </row>
    <row r="13" spans="1:23">
      <c r="A13" s="90" t="s">
        <v>41</v>
      </c>
      <c r="B13" s="91">
        <v>43466</v>
      </c>
      <c r="C13" s="92">
        <v>0.48</v>
      </c>
      <c r="D13" s="92">
        <v>0.44</v>
      </c>
      <c r="E13" s="92">
        <v>0.08</v>
      </c>
      <c r="F13" s="92">
        <v>3.5000000000000003E-2</v>
      </c>
      <c r="G13" s="92">
        <v>4.4999999999999998E-2</v>
      </c>
      <c r="H13" s="92">
        <v>5.0000000000000001E-3</v>
      </c>
      <c r="I13" s="92">
        <v>0.15</v>
      </c>
      <c r="J13" s="93" t="s">
        <v>24</v>
      </c>
      <c r="K13" s="94">
        <v>0.33</v>
      </c>
      <c r="L13" s="97">
        <v>57000</v>
      </c>
      <c r="M13" s="93" t="s">
        <v>29</v>
      </c>
      <c r="N13" s="93" t="s">
        <v>25</v>
      </c>
      <c r="O13" s="93" t="s">
        <v>42</v>
      </c>
      <c r="P13" s="97">
        <v>15000</v>
      </c>
      <c r="Q13" s="97">
        <v>15000</v>
      </c>
      <c r="R13" s="97">
        <v>15000</v>
      </c>
      <c r="S13" s="97">
        <v>15000</v>
      </c>
      <c r="T13" s="97">
        <v>15000</v>
      </c>
      <c r="U13" s="97">
        <v>15000</v>
      </c>
      <c r="V13" s="97">
        <v>15000</v>
      </c>
    </row>
    <row r="14" spans="1:23">
      <c r="A14" s="90" t="s">
        <v>43</v>
      </c>
      <c r="B14" s="91">
        <v>43466</v>
      </c>
      <c r="C14" s="92">
        <v>0.55000000000000004</v>
      </c>
      <c r="D14" s="92">
        <v>0.49</v>
      </c>
      <c r="E14" s="92">
        <v>0.06</v>
      </c>
      <c r="F14" s="92">
        <v>5.5E-2</v>
      </c>
      <c r="G14" s="92">
        <v>4.9999999999999975E-3</v>
      </c>
      <c r="H14" s="98">
        <v>5.000000000000053E-3</v>
      </c>
      <c r="I14" s="92">
        <v>0.12</v>
      </c>
      <c r="J14" s="93" t="s">
        <v>24</v>
      </c>
      <c r="K14" s="94">
        <v>0</v>
      </c>
      <c r="L14" s="97">
        <v>180000</v>
      </c>
      <c r="M14" s="93" t="s">
        <v>25</v>
      </c>
      <c r="N14" s="93" t="s">
        <v>25</v>
      </c>
      <c r="O14" s="93" t="s">
        <v>44</v>
      </c>
      <c r="P14" s="97">
        <v>30000</v>
      </c>
      <c r="Q14" s="97">
        <v>30000</v>
      </c>
      <c r="R14" s="97">
        <v>30000</v>
      </c>
      <c r="S14" s="97">
        <v>30000</v>
      </c>
      <c r="T14" s="97">
        <v>30000</v>
      </c>
      <c r="U14" s="97">
        <v>30000</v>
      </c>
      <c r="V14" s="97">
        <v>30000</v>
      </c>
    </row>
    <row r="15" spans="1:23">
      <c r="A15" s="90" t="s">
        <v>45</v>
      </c>
      <c r="B15" s="91">
        <v>43466</v>
      </c>
      <c r="C15" s="92">
        <v>0.52</v>
      </c>
      <c r="D15" s="92">
        <v>0.47499999999999998</v>
      </c>
      <c r="E15" s="92">
        <v>4.4999999999999998E-2</v>
      </c>
      <c r="F15" s="92">
        <v>4.1000000000000002E-2</v>
      </c>
      <c r="G15" s="92">
        <v>3.9999999999999966E-3</v>
      </c>
      <c r="H15" s="98">
        <v>4.0000000000000382E-3</v>
      </c>
      <c r="I15" s="92">
        <v>0.12</v>
      </c>
      <c r="J15" s="93" t="s">
        <v>24</v>
      </c>
      <c r="K15" s="94">
        <v>0</v>
      </c>
      <c r="L15" s="97">
        <v>180000</v>
      </c>
      <c r="M15" s="93" t="s">
        <v>25</v>
      </c>
      <c r="N15" s="93" t="s">
        <v>25</v>
      </c>
      <c r="O15" s="93" t="s">
        <v>44</v>
      </c>
      <c r="P15" s="97">
        <v>30000</v>
      </c>
      <c r="Q15" s="97">
        <v>30000</v>
      </c>
      <c r="R15" s="97">
        <v>30000</v>
      </c>
      <c r="S15" s="97">
        <v>30000</v>
      </c>
      <c r="T15" s="97">
        <v>30000</v>
      </c>
      <c r="U15" s="97">
        <v>30000</v>
      </c>
      <c r="V15" s="97">
        <v>30000</v>
      </c>
    </row>
    <row r="16" spans="1:23">
      <c r="A16" s="90" t="s">
        <v>43</v>
      </c>
      <c r="B16" s="91">
        <v>43466</v>
      </c>
      <c r="C16" s="92">
        <v>0.55000000000000004</v>
      </c>
      <c r="D16" s="92">
        <v>0.49</v>
      </c>
      <c r="E16" s="92">
        <v>0.06</v>
      </c>
      <c r="F16" s="92">
        <v>5.5E-2</v>
      </c>
      <c r="G16" s="92">
        <v>4.9999999999999975E-3</v>
      </c>
      <c r="H16" s="98">
        <v>5.000000000000053E-3</v>
      </c>
      <c r="I16" s="92">
        <v>0.12</v>
      </c>
      <c r="J16" s="93" t="s">
        <v>24</v>
      </c>
      <c r="K16" s="94">
        <v>0</v>
      </c>
      <c r="L16" s="97">
        <v>57000</v>
      </c>
      <c r="M16" s="93" t="s">
        <v>25</v>
      </c>
      <c r="N16" s="93" t="s">
        <v>25</v>
      </c>
      <c r="O16" s="93" t="s">
        <v>46</v>
      </c>
      <c r="P16" s="97">
        <v>30000</v>
      </c>
      <c r="Q16" s="97">
        <v>30000</v>
      </c>
      <c r="R16" s="97">
        <v>30000</v>
      </c>
      <c r="S16" s="97">
        <v>30000</v>
      </c>
      <c r="T16" s="97">
        <v>30000</v>
      </c>
      <c r="U16" s="97">
        <v>30000</v>
      </c>
      <c r="V16" s="97">
        <v>30000</v>
      </c>
    </row>
    <row r="17" spans="1:22">
      <c r="A17" s="90" t="s">
        <v>45</v>
      </c>
      <c r="B17" s="91">
        <v>43466</v>
      </c>
      <c r="C17" s="92">
        <v>0.52</v>
      </c>
      <c r="D17" s="92">
        <v>0.47499999999999998</v>
      </c>
      <c r="E17" s="92">
        <v>4.4999999999999998E-2</v>
      </c>
      <c r="F17" s="92">
        <v>4.1000000000000002E-2</v>
      </c>
      <c r="G17" s="92">
        <v>3.9999999999999966E-3</v>
      </c>
      <c r="H17" s="98">
        <v>4.0000000000000382E-3</v>
      </c>
      <c r="I17" s="92">
        <v>0.12</v>
      </c>
      <c r="J17" s="93" t="s">
        <v>24</v>
      </c>
      <c r="K17" s="94">
        <v>0</v>
      </c>
      <c r="L17" s="97">
        <v>57000</v>
      </c>
      <c r="M17" s="93" t="s">
        <v>25</v>
      </c>
      <c r="N17" s="93" t="s">
        <v>25</v>
      </c>
      <c r="O17" s="93" t="s">
        <v>47</v>
      </c>
      <c r="P17" s="97">
        <v>30000</v>
      </c>
      <c r="Q17" s="97">
        <v>30000</v>
      </c>
      <c r="R17" s="97">
        <v>30000</v>
      </c>
      <c r="S17" s="97">
        <v>30000</v>
      </c>
      <c r="T17" s="97">
        <v>30000</v>
      </c>
      <c r="U17" s="97">
        <v>30000</v>
      </c>
      <c r="V17" s="97">
        <v>30000</v>
      </c>
    </row>
    <row r="18" spans="1:22">
      <c r="A18" s="90" t="s">
        <v>48</v>
      </c>
      <c r="B18" s="91">
        <v>43466</v>
      </c>
      <c r="C18" s="92">
        <v>0.495</v>
      </c>
      <c r="D18" s="92">
        <v>0.42499999999999999</v>
      </c>
      <c r="E18" s="92">
        <v>0.05</v>
      </c>
      <c r="F18" s="92">
        <v>4.2000000000000003E-2</v>
      </c>
      <c r="G18" s="92">
        <v>8.0000000000000002E-3</v>
      </c>
      <c r="H18" s="98">
        <v>2.8000000000000004E-2</v>
      </c>
      <c r="I18" s="92">
        <v>9.5000000000000001E-2</v>
      </c>
      <c r="J18" s="93" t="s">
        <v>24</v>
      </c>
      <c r="K18" s="94">
        <v>0.67</v>
      </c>
      <c r="L18" s="97">
        <v>95000</v>
      </c>
      <c r="M18" s="93" t="s">
        <v>25</v>
      </c>
      <c r="N18" s="93" t="s">
        <v>25</v>
      </c>
      <c r="O18" s="93" t="s">
        <v>49</v>
      </c>
      <c r="P18" s="97">
        <v>80000</v>
      </c>
      <c r="Q18" s="97">
        <v>80000</v>
      </c>
      <c r="R18" s="97">
        <v>80000</v>
      </c>
      <c r="S18" s="97">
        <v>80000</v>
      </c>
      <c r="T18" s="97">
        <v>80000</v>
      </c>
      <c r="U18" s="97">
        <v>40000</v>
      </c>
      <c r="V18" s="97">
        <v>40000</v>
      </c>
    </row>
    <row r="19" spans="1:22">
      <c r="A19" s="90" t="s">
        <v>50</v>
      </c>
      <c r="B19" s="91">
        <v>43466</v>
      </c>
      <c r="C19" s="92">
        <v>0.48</v>
      </c>
      <c r="D19" s="92">
        <v>0.44</v>
      </c>
      <c r="E19" s="92">
        <v>0.08</v>
      </c>
      <c r="F19" s="92">
        <v>3.5000000000000003E-2</v>
      </c>
      <c r="G19" s="92">
        <v>4.4999999999999998E-2</v>
      </c>
      <c r="H19" s="92">
        <v>5.0000000000000001E-3</v>
      </c>
      <c r="I19" s="92">
        <v>0.15</v>
      </c>
      <c r="J19" s="93" t="s">
        <v>24</v>
      </c>
      <c r="K19" s="94">
        <v>0.33</v>
      </c>
      <c r="L19" s="97">
        <v>57000</v>
      </c>
      <c r="M19" s="93" t="s">
        <v>29</v>
      </c>
      <c r="N19" s="93" t="s">
        <v>25</v>
      </c>
      <c r="O19" s="93" t="s">
        <v>51</v>
      </c>
      <c r="P19" s="97">
        <v>15000</v>
      </c>
      <c r="Q19" s="97">
        <v>15000</v>
      </c>
      <c r="R19" s="97">
        <v>15000</v>
      </c>
      <c r="S19" s="97">
        <v>15000</v>
      </c>
      <c r="T19" s="97">
        <v>15000</v>
      </c>
      <c r="U19" s="97">
        <v>15000</v>
      </c>
      <c r="V19" s="97">
        <v>15000</v>
      </c>
    </row>
    <row r="20" spans="1:22">
      <c r="A20" s="90" t="s">
        <v>52</v>
      </c>
      <c r="B20" s="91">
        <v>43466</v>
      </c>
      <c r="C20" s="92">
        <v>0.35</v>
      </c>
      <c r="D20" s="92">
        <v>0.33</v>
      </c>
      <c r="E20" s="92">
        <v>0.2</v>
      </c>
      <c r="F20" s="92">
        <v>1.0999999999999999E-2</v>
      </c>
      <c r="G20" s="92">
        <v>0.189</v>
      </c>
      <c r="H20" s="98">
        <v>8.9999999999999629E-3</v>
      </c>
      <c r="I20" s="92">
        <v>0.08</v>
      </c>
      <c r="J20" s="93" t="s">
        <v>24</v>
      </c>
      <c r="K20" s="94">
        <v>1</v>
      </c>
      <c r="L20" s="97">
        <v>47500</v>
      </c>
      <c r="M20" s="93" t="s">
        <v>25</v>
      </c>
      <c r="N20" s="93" t="s">
        <v>25</v>
      </c>
      <c r="O20" s="93" t="s">
        <v>53</v>
      </c>
      <c r="P20" s="97">
        <v>30000</v>
      </c>
      <c r="Q20" s="97">
        <v>30000</v>
      </c>
      <c r="R20" s="97">
        <v>30000</v>
      </c>
      <c r="S20" s="97">
        <v>30000</v>
      </c>
      <c r="T20" s="97">
        <v>30000</v>
      </c>
      <c r="U20" s="97">
        <v>30000</v>
      </c>
      <c r="V20" s="97">
        <v>30000</v>
      </c>
    </row>
    <row r="21" spans="1:22">
      <c r="A21" s="90" t="s">
        <v>54</v>
      </c>
      <c r="B21" s="91">
        <v>43466</v>
      </c>
      <c r="C21" s="92">
        <v>0.56200000000000006</v>
      </c>
      <c r="D21" s="92">
        <v>0.45</v>
      </c>
      <c r="E21" s="92">
        <v>8.2000000000000003E-2</v>
      </c>
      <c r="F21" s="92">
        <v>0.05</v>
      </c>
      <c r="G21" s="92">
        <v>3.2000000000000001E-2</v>
      </c>
      <c r="H21" s="92">
        <v>6.2000000000000041E-2</v>
      </c>
      <c r="I21" s="92">
        <v>0.05</v>
      </c>
      <c r="J21" s="93" t="s">
        <v>27</v>
      </c>
      <c r="K21" s="94">
        <v>0</v>
      </c>
      <c r="L21" s="97">
        <v>84000</v>
      </c>
      <c r="M21" s="93" t="s">
        <v>28</v>
      </c>
      <c r="N21" s="93" t="s">
        <v>28</v>
      </c>
      <c r="O21" s="93" t="s">
        <v>54</v>
      </c>
      <c r="P21" s="97">
        <v>30000</v>
      </c>
      <c r="Q21" s="97">
        <v>30000</v>
      </c>
      <c r="R21" s="97">
        <v>30000</v>
      </c>
      <c r="S21" s="97">
        <v>30000</v>
      </c>
      <c r="T21" s="97">
        <v>30000</v>
      </c>
      <c r="U21" s="97">
        <v>30000</v>
      </c>
      <c r="V21" s="97">
        <v>30000</v>
      </c>
    </row>
    <row r="22" spans="1:22">
      <c r="A22" s="90" t="s">
        <v>55</v>
      </c>
      <c r="B22" s="91">
        <v>43466</v>
      </c>
      <c r="C22" s="92">
        <v>0.51300000000000001</v>
      </c>
      <c r="D22" s="92">
        <v>0.40500000000000003</v>
      </c>
      <c r="E22" s="92">
        <v>9.5000000000000001E-2</v>
      </c>
      <c r="F22" s="92">
        <v>5.0999999999999997E-2</v>
      </c>
      <c r="G22" s="92">
        <v>4.4000000000000004E-2</v>
      </c>
      <c r="H22" s="98">
        <v>5.6999999999999988E-2</v>
      </c>
      <c r="I22" s="92">
        <v>0.1</v>
      </c>
      <c r="J22" s="93" t="s">
        <v>27</v>
      </c>
      <c r="K22" s="94">
        <v>0.67</v>
      </c>
      <c r="L22" s="97">
        <v>63500</v>
      </c>
      <c r="M22" s="93" t="s">
        <v>26</v>
      </c>
      <c r="N22" s="93" t="s">
        <v>28</v>
      </c>
      <c r="O22" s="93" t="s">
        <v>56</v>
      </c>
      <c r="P22" s="97">
        <v>15000</v>
      </c>
      <c r="Q22" s="97">
        <v>15000</v>
      </c>
      <c r="R22" s="97">
        <v>15000</v>
      </c>
      <c r="S22" s="97">
        <v>15000</v>
      </c>
      <c r="T22" s="97">
        <v>15000</v>
      </c>
      <c r="U22" s="97">
        <v>15000</v>
      </c>
      <c r="V22" s="97">
        <v>15000</v>
      </c>
    </row>
    <row r="23" spans="1:22">
      <c r="A23" s="90" t="s">
        <v>57</v>
      </c>
      <c r="B23" s="91">
        <v>43466</v>
      </c>
      <c r="C23" s="92">
        <v>0.42</v>
      </c>
      <c r="D23" s="92">
        <v>0.371</v>
      </c>
      <c r="E23" s="92">
        <v>1.9E-2</v>
      </c>
      <c r="F23" s="92">
        <v>1.4E-2</v>
      </c>
      <c r="G23" s="92">
        <v>4.9999999999999992E-3</v>
      </c>
      <c r="H23" s="92">
        <v>3.5000000000000003E-2</v>
      </c>
      <c r="I23" s="92">
        <v>0.1</v>
      </c>
      <c r="J23" s="93" t="s">
        <v>24</v>
      </c>
      <c r="K23" s="94">
        <v>0.33</v>
      </c>
      <c r="L23" s="97">
        <v>180000</v>
      </c>
      <c r="M23" s="93" t="s">
        <v>23</v>
      </c>
      <c r="N23" s="93" t="s">
        <v>25</v>
      </c>
      <c r="O23" s="93" t="s">
        <v>58</v>
      </c>
      <c r="P23" s="97">
        <v>30000</v>
      </c>
      <c r="Q23" s="97">
        <v>30000</v>
      </c>
      <c r="R23" s="97">
        <v>30000</v>
      </c>
      <c r="S23" s="97">
        <v>30000</v>
      </c>
      <c r="T23" s="97">
        <v>30000</v>
      </c>
      <c r="U23" s="97">
        <v>30000</v>
      </c>
      <c r="V23" s="97">
        <v>30000</v>
      </c>
    </row>
    <row r="24" spans="1:22">
      <c r="A24" s="90" t="s">
        <v>59</v>
      </c>
      <c r="B24" s="91">
        <v>43466</v>
      </c>
      <c r="C24" s="92">
        <v>0.48</v>
      </c>
      <c r="D24" s="92">
        <v>0.47</v>
      </c>
      <c r="E24" s="92">
        <v>1.0999999999999999E-2</v>
      </c>
      <c r="F24" s="92">
        <v>0.01</v>
      </c>
      <c r="G24" s="92">
        <v>9.9999999999999915E-4</v>
      </c>
      <c r="H24" s="98">
        <v>0</v>
      </c>
      <c r="I24" s="92">
        <v>0.15</v>
      </c>
      <c r="J24" s="93" t="s">
        <v>27</v>
      </c>
      <c r="K24" s="94">
        <v>2.5</v>
      </c>
      <c r="L24" s="97">
        <v>72000</v>
      </c>
      <c r="M24" s="93" t="s">
        <v>28</v>
      </c>
      <c r="N24" s="93" t="s">
        <v>28</v>
      </c>
      <c r="O24" s="93" t="s">
        <v>60</v>
      </c>
      <c r="P24" s="97">
        <v>15000</v>
      </c>
      <c r="Q24" s="97">
        <v>15000</v>
      </c>
      <c r="R24" s="97">
        <v>15000</v>
      </c>
      <c r="S24" s="97">
        <v>15000</v>
      </c>
      <c r="T24" s="97">
        <v>15000</v>
      </c>
      <c r="U24" s="97">
        <v>15000</v>
      </c>
      <c r="V24" s="97">
        <v>15000</v>
      </c>
    </row>
    <row r="25" spans="1:22">
      <c r="A25" s="90" t="s">
        <v>61</v>
      </c>
      <c r="B25" s="91">
        <v>43466</v>
      </c>
      <c r="C25" s="92">
        <v>0.49</v>
      </c>
      <c r="D25" s="92">
        <v>0.43</v>
      </c>
      <c r="E25" s="92">
        <v>1.4999999999999999E-2</v>
      </c>
      <c r="F25" s="92">
        <v>0.01</v>
      </c>
      <c r="G25" s="92">
        <v>4.9999999999999992E-3</v>
      </c>
      <c r="H25" s="98">
        <v>4.9999999999999996E-2</v>
      </c>
      <c r="I25" s="92">
        <v>0.17</v>
      </c>
      <c r="J25" s="93" t="s">
        <v>27</v>
      </c>
      <c r="K25" s="94">
        <v>0.83000000000000007</v>
      </c>
      <c r="L25" s="97">
        <v>60000</v>
      </c>
      <c r="M25" s="93" t="s">
        <v>28</v>
      </c>
      <c r="N25" s="93" t="s">
        <v>28</v>
      </c>
      <c r="O25" s="93" t="s">
        <v>62</v>
      </c>
      <c r="P25" s="97">
        <v>30000</v>
      </c>
      <c r="Q25" s="97">
        <v>30000</v>
      </c>
      <c r="R25" s="97">
        <v>30000</v>
      </c>
      <c r="S25" s="97">
        <v>30000</v>
      </c>
      <c r="T25" s="97">
        <v>30000</v>
      </c>
      <c r="U25" s="97">
        <v>30000</v>
      </c>
      <c r="V25" s="97">
        <v>30000</v>
      </c>
    </row>
    <row r="26" spans="1:22">
      <c r="A26" s="90" t="s">
        <v>312</v>
      </c>
      <c r="B26" s="91">
        <v>43466</v>
      </c>
      <c r="C26" s="92">
        <v>0.57999999999999996</v>
      </c>
      <c r="D26" s="92">
        <v>0.24499999999999997</v>
      </c>
      <c r="E26" s="92">
        <v>3.5000000000000003E-2</v>
      </c>
      <c r="F26" s="92">
        <v>3.5000000000000003E-2</v>
      </c>
      <c r="G26" s="92">
        <v>0</v>
      </c>
      <c r="H26" s="98">
        <v>0.3</v>
      </c>
      <c r="I26" s="92">
        <v>0.09</v>
      </c>
      <c r="J26" s="93" t="s">
        <v>27</v>
      </c>
      <c r="K26" s="94">
        <v>0</v>
      </c>
      <c r="L26" s="97">
        <v>60000</v>
      </c>
      <c r="M26" s="93" t="s">
        <v>28</v>
      </c>
      <c r="N26" s="93" t="s">
        <v>28</v>
      </c>
      <c r="O26" s="93" t="s">
        <v>54</v>
      </c>
      <c r="P26" s="97">
        <v>30000</v>
      </c>
      <c r="Q26" s="97">
        <v>30000</v>
      </c>
      <c r="R26" s="97">
        <v>30000</v>
      </c>
      <c r="S26" s="97">
        <v>30000</v>
      </c>
      <c r="T26" s="97">
        <v>30000</v>
      </c>
      <c r="U26" s="97">
        <v>30000</v>
      </c>
      <c r="V26" s="97">
        <v>30000</v>
      </c>
    </row>
    <row r="27" spans="1:22">
      <c r="A27" s="90" t="s">
        <v>313</v>
      </c>
      <c r="B27" s="91">
        <v>43466</v>
      </c>
      <c r="C27" s="92">
        <v>0.5</v>
      </c>
      <c r="D27" s="92">
        <v>0.45999999999999996</v>
      </c>
      <c r="E27" s="92">
        <v>3.5000000000000003E-2</v>
      </c>
      <c r="F27" s="92">
        <v>2.5000000000000001E-2</v>
      </c>
      <c r="G27" s="92">
        <v>0.01</v>
      </c>
      <c r="H27" s="98">
        <v>1.4999999999999999E-2</v>
      </c>
      <c r="I27" s="92">
        <v>0.1</v>
      </c>
      <c r="J27" s="93" t="s">
        <v>24</v>
      </c>
      <c r="K27" s="94">
        <v>0</v>
      </c>
      <c r="L27" s="97">
        <v>60000</v>
      </c>
      <c r="M27" s="93" t="s">
        <v>25</v>
      </c>
      <c r="N27" s="93" t="s">
        <v>25</v>
      </c>
      <c r="O27" s="93" t="s">
        <v>58</v>
      </c>
      <c r="P27" s="97">
        <v>30000</v>
      </c>
      <c r="Q27" s="97">
        <v>30000</v>
      </c>
      <c r="R27" s="97">
        <v>30000</v>
      </c>
      <c r="S27" s="97">
        <v>30000</v>
      </c>
      <c r="T27" s="97">
        <v>30000</v>
      </c>
      <c r="U27" s="97">
        <v>30000</v>
      </c>
      <c r="V27" s="97">
        <v>30000</v>
      </c>
    </row>
    <row r="28" spans="1:22">
      <c r="A28" s="91" t="s">
        <v>314</v>
      </c>
      <c r="B28" s="91">
        <v>43466</v>
      </c>
      <c r="C28" s="99">
        <v>0.48</v>
      </c>
      <c r="D28" s="99">
        <v>0.41499999999999998</v>
      </c>
      <c r="E28" s="99">
        <v>0.09</v>
      </c>
      <c r="F28" s="99">
        <v>5.5E-2</v>
      </c>
      <c r="G28" s="99">
        <v>3.5000000000000003E-2</v>
      </c>
      <c r="H28" s="99">
        <v>0.01</v>
      </c>
      <c r="I28" s="99">
        <v>0.17</v>
      </c>
      <c r="J28" s="96" t="s">
        <v>24</v>
      </c>
      <c r="K28" s="100">
        <v>0</v>
      </c>
      <c r="L28" s="95">
        <v>45000</v>
      </c>
      <c r="M28" s="96" t="s">
        <v>25</v>
      </c>
      <c r="N28" s="96" t="s">
        <v>25</v>
      </c>
      <c r="O28" s="96" t="s">
        <v>42</v>
      </c>
      <c r="P28" s="96">
        <v>15000</v>
      </c>
      <c r="Q28" s="96">
        <v>15000</v>
      </c>
      <c r="R28" s="96">
        <v>15000</v>
      </c>
      <c r="S28" s="96">
        <v>15000</v>
      </c>
      <c r="T28" s="96">
        <v>15000</v>
      </c>
      <c r="U28" s="96">
        <v>15000</v>
      </c>
      <c r="V28" s="96">
        <v>15000</v>
      </c>
    </row>
    <row r="29" spans="1:22">
      <c r="A29" s="91" t="s">
        <v>315</v>
      </c>
      <c r="B29" s="91">
        <v>43466</v>
      </c>
      <c r="C29" s="99">
        <v>0.48</v>
      </c>
      <c r="D29" s="99">
        <v>0.40500000000000003</v>
      </c>
      <c r="E29" s="99">
        <v>7.0000000000000007E-2</v>
      </c>
      <c r="F29" s="99">
        <v>5.2500000000000005E-2</v>
      </c>
      <c r="G29" s="99">
        <v>1.7500000000000002E-2</v>
      </c>
      <c r="H29" s="99">
        <v>2.2499999999999951E-2</v>
      </c>
      <c r="I29" s="99">
        <v>0.08</v>
      </c>
      <c r="J29" s="96" t="s">
        <v>24</v>
      </c>
      <c r="K29" s="100">
        <v>0.83000000000000007</v>
      </c>
      <c r="L29" s="95">
        <v>60000</v>
      </c>
      <c r="M29" s="96" t="s">
        <v>25</v>
      </c>
      <c r="N29" s="96" t="s">
        <v>25</v>
      </c>
      <c r="O29" s="96" t="s">
        <v>316</v>
      </c>
      <c r="P29" s="96">
        <v>15000</v>
      </c>
      <c r="Q29" s="96">
        <v>15000</v>
      </c>
      <c r="R29" s="96">
        <v>15000</v>
      </c>
      <c r="S29" s="96">
        <v>15000</v>
      </c>
      <c r="T29" s="96">
        <v>15000</v>
      </c>
      <c r="U29" s="96">
        <v>15000</v>
      </c>
      <c r="V29" s="96">
        <v>15000</v>
      </c>
    </row>
    <row r="30" spans="1:22">
      <c r="A30" s="91" t="s">
        <v>31</v>
      </c>
      <c r="B30" s="91">
        <v>43994</v>
      </c>
      <c r="C30" s="99">
        <v>0.45</v>
      </c>
      <c r="D30" s="99">
        <v>0.41</v>
      </c>
      <c r="E30" s="99">
        <v>0.03</v>
      </c>
      <c r="F30" s="99">
        <v>1.6E-2</v>
      </c>
      <c r="G30" s="99">
        <v>1.3999999999999999E-2</v>
      </c>
      <c r="H30" s="99">
        <v>2.4000000000000035E-2</v>
      </c>
      <c r="I30" s="99">
        <v>0.1</v>
      </c>
      <c r="J30" s="96" t="s">
        <v>24</v>
      </c>
      <c r="K30" s="100">
        <v>0.33</v>
      </c>
      <c r="L30" s="95">
        <v>180000</v>
      </c>
      <c r="M30" s="96" t="s">
        <v>23</v>
      </c>
      <c r="N30" s="96" t="s">
        <v>25</v>
      </c>
      <c r="O30" s="96" t="s">
        <v>32</v>
      </c>
      <c r="P30" s="95">
        <v>30000</v>
      </c>
      <c r="Q30" s="95">
        <v>30000</v>
      </c>
      <c r="R30" s="95">
        <v>30000</v>
      </c>
      <c r="S30" s="95">
        <v>30000</v>
      </c>
      <c r="T30" s="95">
        <v>30000</v>
      </c>
      <c r="U30" s="95">
        <v>30000</v>
      </c>
      <c r="V30" s="95">
        <v>30000</v>
      </c>
    </row>
    <row r="31" spans="1:22">
      <c r="A31" s="91" t="s">
        <v>39</v>
      </c>
      <c r="B31" s="91">
        <v>43994</v>
      </c>
      <c r="C31" s="99">
        <v>0.54</v>
      </c>
      <c r="D31" s="99">
        <v>0.37250000000000005</v>
      </c>
      <c r="E31" s="99">
        <v>0.09</v>
      </c>
      <c r="F31" s="99">
        <v>6.7500000000000004E-2</v>
      </c>
      <c r="G31" s="99">
        <v>2.2499999999999992E-2</v>
      </c>
      <c r="H31" s="99">
        <v>0.1</v>
      </c>
      <c r="I31" s="99">
        <v>0.125</v>
      </c>
      <c r="J31" s="96" t="s">
        <v>27</v>
      </c>
      <c r="K31" s="100">
        <v>0.67</v>
      </c>
      <c r="L31" s="95">
        <v>76000</v>
      </c>
      <c r="M31" s="96" t="s">
        <v>26</v>
      </c>
      <c r="N31" s="96" t="s">
        <v>28</v>
      </c>
      <c r="O31" s="96" t="s">
        <v>40</v>
      </c>
      <c r="P31" s="95">
        <v>80000</v>
      </c>
      <c r="Q31" s="95">
        <v>80000</v>
      </c>
      <c r="R31" s="95">
        <v>80000</v>
      </c>
      <c r="S31" s="95">
        <v>80000</v>
      </c>
      <c r="T31" s="95">
        <v>80000</v>
      </c>
      <c r="U31" s="95">
        <v>40000</v>
      </c>
      <c r="V31" s="95">
        <v>40000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4"/>
  <sheetViews>
    <sheetView zoomScaleNormal="100" workbookViewId="0">
      <selection activeCell="J40" sqref="J40"/>
    </sheetView>
  </sheetViews>
  <sheetFormatPr baseColWidth="10" defaultColWidth="8.5" defaultRowHeight="15"/>
  <cols>
    <col min="1" max="1" width="10.33203125" style="1" customWidth="1"/>
  </cols>
  <sheetData>
    <row r="1" spans="1:11">
      <c r="A1" s="1" t="s">
        <v>1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</row>
    <row r="2" spans="1:11">
      <c r="A2" s="101">
        <v>43466</v>
      </c>
      <c r="B2" s="102" t="s">
        <v>27</v>
      </c>
      <c r="C2" s="103">
        <v>1</v>
      </c>
      <c r="D2" s="104">
        <v>1.23</v>
      </c>
      <c r="E2" s="104">
        <v>0.6</v>
      </c>
      <c r="F2" s="104">
        <v>0.22</v>
      </c>
      <c r="G2" s="104">
        <v>13.5</v>
      </c>
      <c r="H2" s="103">
        <v>1</v>
      </c>
      <c r="I2" s="105">
        <v>0.9</v>
      </c>
      <c r="J2" s="104">
        <v>3.5000000000000003E-2</v>
      </c>
      <c r="K2" s="104"/>
    </row>
    <row r="3" spans="1:11">
      <c r="A3" s="101">
        <v>43466</v>
      </c>
      <c r="B3" s="106" t="s">
        <v>75</v>
      </c>
      <c r="C3" s="103">
        <v>1</v>
      </c>
      <c r="D3" s="104">
        <v>1</v>
      </c>
      <c r="E3" s="104">
        <v>0.9</v>
      </c>
      <c r="F3" s="104">
        <v>3.5999999999999997E-2</v>
      </c>
      <c r="G3" s="104">
        <v>13.5</v>
      </c>
      <c r="H3" s="103">
        <v>0.5</v>
      </c>
      <c r="I3" s="105">
        <v>0.9</v>
      </c>
      <c r="J3" s="104">
        <v>3.5000000000000003E-2</v>
      </c>
      <c r="K3" s="104"/>
    </row>
    <row r="4" spans="1:11">
      <c r="A4" s="101">
        <v>43466</v>
      </c>
      <c r="B4" s="106" t="s">
        <v>24</v>
      </c>
      <c r="C4" s="103">
        <v>0</v>
      </c>
      <c r="D4" s="104">
        <v>1</v>
      </c>
      <c r="E4" s="104">
        <v>0.9</v>
      </c>
      <c r="F4" s="104">
        <v>3.5999999999999997E-2</v>
      </c>
      <c r="G4" s="104">
        <v>12.15</v>
      </c>
      <c r="H4" s="103">
        <v>0</v>
      </c>
      <c r="I4" s="105">
        <v>0.9</v>
      </c>
      <c r="J4" s="104">
        <v>3.5000000000000003E-2</v>
      </c>
      <c r="K4" s="10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2:C102"/>
  <sheetViews>
    <sheetView zoomScaleNormal="100" workbookViewId="0">
      <selection activeCell="L44" sqref="L43:L44"/>
    </sheetView>
  </sheetViews>
  <sheetFormatPr baseColWidth="10" defaultColWidth="8.5" defaultRowHeight="15"/>
  <cols>
    <col min="1" max="1" width="12.1640625" style="1" customWidth="1"/>
    <col min="2" max="2" width="15.5" style="2" customWidth="1"/>
  </cols>
  <sheetData>
    <row r="2" spans="1:3" ht="64">
      <c r="A2" s="1" t="s">
        <v>1</v>
      </c>
      <c r="B2" s="3" t="s">
        <v>76</v>
      </c>
      <c r="C2" s="3" t="s">
        <v>77</v>
      </c>
    </row>
    <row r="3" spans="1:3">
      <c r="A3" s="107">
        <v>40724</v>
      </c>
      <c r="B3" s="108">
        <v>632.47863247863256</v>
      </c>
      <c r="C3" s="108">
        <v>4000</v>
      </c>
    </row>
    <row r="4" spans="1:3">
      <c r="A4" s="107">
        <v>40755</v>
      </c>
      <c r="B4" s="108">
        <v>658.1196581196582</v>
      </c>
      <c r="C4" s="108">
        <v>4000</v>
      </c>
    </row>
    <row r="5" spans="1:3">
      <c r="A5" s="107">
        <v>40786</v>
      </c>
      <c r="B5" s="108">
        <v>658.1196581196582</v>
      </c>
      <c r="C5" s="108">
        <v>4000</v>
      </c>
    </row>
    <row r="6" spans="1:3">
      <c r="A6" s="107">
        <v>40816</v>
      </c>
      <c r="B6" s="108">
        <v>658.1196581196582</v>
      </c>
      <c r="C6" s="108">
        <v>4000</v>
      </c>
    </row>
    <row r="7" spans="1:3">
      <c r="A7" s="107">
        <v>40847</v>
      </c>
      <c r="B7" s="108">
        <v>658.1196581196582</v>
      </c>
      <c r="C7" s="108">
        <v>4000</v>
      </c>
    </row>
    <row r="8" spans="1:3">
      <c r="A8" s="107">
        <v>40877</v>
      </c>
      <c r="B8" s="108">
        <v>658.1196581196582</v>
      </c>
      <c r="C8" s="108">
        <v>4000</v>
      </c>
    </row>
    <row r="9" spans="1:3">
      <c r="A9" s="107">
        <v>40908</v>
      </c>
      <c r="B9" s="108">
        <v>658.1196581196582</v>
      </c>
      <c r="C9" s="108">
        <v>4000</v>
      </c>
    </row>
    <row r="10" spans="1:3">
      <c r="A10" s="107">
        <v>40939</v>
      </c>
      <c r="B10" s="108">
        <v>692.30769230769238</v>
      </c>
      <c r="C10" s="108">
        <v>4000</v>
      </c>
    </row>
    <row r="11" spans="1:3">
      <c r="A11" s="107">
        <v>40968</v>
      </c>
      <c r="B11" s="108">
        <v>685.79487179487182</v>
      </c>
      <c r="C11" s="108">
        <v>4000</v>
      </c>
    </row>
    <row r="12" spans="1:3">
      <c r="A12" s="107">
        <v>40999</v>
      </c>
      <c r="B12" s="108">
        <v>683.76068376068383</v>
      </c>
      <c r="C12" s="108">
        <v>4000</v>
      </c>
    </row>
    <row r="13" spans="1:3">
      <c r="A13" s="107">
        <v>41029</v>
      </c>
      <c r="B13" s="108">
        <v>683.76068376068383</v>
      </c>
      <c r="C13" s="108">
        <v>4000</v>
      </c>
    </row>
    <row r="14" spans="1:3">
      <c r="A14" s="107">
        <v>41060</v>
      </c>
      <c r="B14" s="108">
        <v>786.73504273504284</v>
      </c>
      <c r="C14" s="108">
        <v>4000</v>
      </c>
    </row>
    <row r="15" spans="1:3">
      <c r="A15" s="107">
        <v>41090</v>
      </c>
      <c r="B15" s="108">
        <v>676.0683760683761</v>
      </c>
      <c r="C15" s="108">
        <v>4000</v>
      </c>
    </row>
    <row r="16" spans="1:3">
      <c r="A16" s="107">
        <v>41121</v>
      </c>
      <c r="B16" s="108">
        <v>658.1196581196582</v>
      </c>
      <c r="C16" s="108">
        <v>4000</v>
      </c>
    </row>
    <row r="17" spans="1:3">
      <c r="A17" s="107">
        <v>41152</v>
      </c>
      <c r="B17" s="108">
        <v>610.55555555555566</v>
      </c>
      <c r="C17" s="108">
        <v>4000</v>
      </c>
    </row>
    <row r="18" spans="1:3">
      <c r="A18" s="107">
        <v>41182</v>
      </c>
      <c r="B18" s="108">
        <v>384.61538461538464</v>
      </c>
      <c r="C18" s="108">
        <v>4000</v>
      </c>
    </row>
    <row r="19" spans="1:3">
      <c r="A19" s="107">
        <v>41213</v>
      </c>
      <c r="B19" s="108">
        <v>384.61538461538464</v>
      </c>
      <c r="C19" s="108">
        <v>4000</v>
      </c>
    </row>
    <row r="20" spans="1:3">
      <c r="A20" s="107">
        <v>41243</v>
      </c>
      <c r="B20" s="108">
        <v>384.61538461538464</v>
      </c>
      <c r="C20" s="108">
        <v>4000</v>
      </c>
    </row>
    <row r="21" spans="1:3">
      <c r="A21" s="107">
        <v>41274</v>
      </c>
      <c r="B21" s="108">
        <v>384.61538461538464</v>
      </c>
      <c r="C21" s="108">
        <v>4000</v>
      </c>
    </row>
    <row r="22" spans="1:3">
      <c r="A22" s="107">
        <v>41304</v>
      </c>
      <c r="B22" s="108">
        <v>405.982905982906</v>
      </c>
      <c r="C22" s="108">
        <v>4000</v>
      </c>
    </row>
    <row r="23" spans="1:3">
      <c r="A23" s="107">
        <v>41333</v>
      </c>
      <c r="B23" s="108">
        <v>405.982905982906</v>
      </c>
      <c r="C23" s="108">
        <v>4000</v>
      </c>
    </row>
    <row r="24" spans="1:3">
      <c r="A24" s="107">
        <v>41364</v>
      </c>
      <c r="B24" s="108">
        <v>405.982905982906</v>
      </c>
      <c r="C24" s="108">
        <v>4000</v>
      </c>
    </row>
    <row r="25" spans="1:3">
      <c r="A25" s="107">
        <v>41394</v>
      </c>
      <c r="B25" s="108">
        <v>406</v>
      </c>
      <c r="C25" s="108">
        <v>4000</v>
      </c>
    </row>
    <row r="26" spans="1:3">
      <c r="A26" s="107">
        <v>41425</v>
      </c>
      <c r="B26" s="108">
        <v>406</v>
      </c>
      <c r="C26" s="108">
        <v>4000</v>
      </c>
    </row>
    <row r="27" spans="1:3">
      <c r="A27" s="107">
        <v>41455</v>
      </c>
      <c r="B27" s="108">
        <v>406</v>
      </c>
      <c r="C27" s="108">
        <v>4000</v>
      </c>
    </row>
    <row r="28" spans="1:3">
      <c r="A28" s="107">
        <v>41486</v>
      </c>
      <c r="B28" s="108">
        <v>393.16239316239319</v>
      </c>
      <c r="C28" s="108">
        <v>4000</v>
      </c>
    </row>
    <row r="29" spans="1:3">
      <c r="A29" s="107">
        <v>41517</v>
      </c>
      <c r="B29" s="108">
        <v>393.16239316239319</v>
      </c>
      <c r="C29" s="108">
        <v>4000</v>
      </c>
    </row>
    <row r="30" spans="1:3">
      <c r="A30" s="107">
        <v>41552</v>
      </c>
      <c r="B30" s="108">
        <v>393</v>
      </c>
      <c r="C30" s="108">
        <v>4000</v>
      </c>
    </row>
    <row r="31" spans="1:3">
      <c r="A31" s="107">
        <v>41587</v>
      </c>
      <c r="B31" s="108">
        <v>393</v>
      </c>
      <c r="C31" s="108">
        <v>4000</v>
      </c>
    </row>
    <row r="32" spans="1:3">
      <c r="A32" s="107">
        <v>41610</v>
      </c>
      <c r="B32" s="108">
        <v>393</v>
      </c>
      <c r="C32" s="108">
        <v>4000</v>
      </c>
    </row>
    <row r="33" spans="1:3">
      <c r="A33" s="107">
        <v>41678</v>
      </c>
      <c r="B33" s="108">
        <v>393</v>
      </c>
      <c r="C33" s="108">
        <v>4000</v>
      </c>
    </row>
    <row r="34" spans="1:3">
      <c r="A34" s="107">
        <v>41707</v>
      </c>
      <c r="B34" s="108">
        <v>460</v>
      </c>
      <c r="C34" s="108">
        <v>4000</v>
      </c>
    </row>
    <row r="35" spans="1:3">
      <c r="A35" s="107">
        <v>41726</v>
      </c>
      <c r="B35" s="108">
        <v>393</v>
      </c>
      <c r="C35" s="108">
        <v>4000</v>
      </c>
    </row>
    <row r="36" spans="1:3">
      <c r="A36" s="107">
        <v>41764</v>
      </c>
      <c r="B36" s="108">
        <v>376</v>
      </c>
      <c r="C36" s="108">
        <v>4000</v>
      </c>
    </row>
    <row r="37" spans="1:3">
      <c r="A37" s="107">
        <v>41841</v>
      </c>
      <c r="B37" s="108">
        <v>385</v>
      </c>
      <c r="C37" s="108">
        <v>4000</v>
      </c>
    </row>
    <row r="38" spans="1:3">
      <c r="A38" s="107">
        <v>41883</v>
      </c>
      <c r="B38" s="108">
        <v>355</v>
      </c>
      <c r="C38" s="108">
        <v>4000</v>
      </c>
    </row>
    <row r="39" spans="1:3">
      <c r="A39" s="107">
        <v>41909</v>
      </c>
      <c r="B39" s="108">
        <v>355</v>
      </c>
      <c r="C39" s="108">
        <v>4000</v>
      </c>
    </row>
    <row r="40" spans="1:3">
      <c r="A40" s="107">
        <v>41944</v>
      </c>
      <c r="B40" s="108">
        <v>355</v>
      </c>
      <c r="C40" s="108">
        <v>4000</v>
      </c>
    </row>
    <row r="41" spans="1:3">
      <c r="A41" s="107">
        <v>41980</v>
      </c>
      <c r="B41" s="108">
        <v>355</v>
      </c>
      <c r="C41" s="108">
        <v>4000</v>
      </c>
    </row>
    <row r="42" spans="1:3">
      <c r="A42" s="107">
        <v>42006</v>
      </c>
      <c r="B42" s="108">
        <v>359</v>
      </c>
      <c r="C42" s="108">
        <v>4000</v>
      </c>
    </row>
    <row r="43" spans="1:3">
      <c r="A43" s="107">
        <v>42049</v>
      </c>
      <c r="B43" s="108">
        <v>359</v>
      </c>
      <c r="C43" s="108">
        <v>4000</v>
      </c>
    </row>
    <row r="44" spans="1:3">
      <c r="A44" s="107">
        <v>42073</v>
      </c>
      <c r="B44" s="108">
        <v>359</v>
      </c>
      <c r="C44" s="108">
        <v>4000</v>
      </c>
    </row>
    <row r="45" spans="1:3">
      <c r="A45" s="107">
        <v>42103</v>
      </c>
      <c r="B45" s="108">
        <v>359</v>
      </c>
      <c r="C45" s="108">
        <v>4000</v>
      </c>
    </row>
    <row r="46" spans="1:3">
      <c r="A46" s="107">
        <v>42136</v>
      </c>
      <c r="B46" s="108">
        <v>322</v>
      </c>
      <c r="C46" s="108">
        <v>4000</v>
      </c>
    </row>
    <row r="47" spans="1:3">
      <c r="A47" s="107">
        <v>42153</v>
      </c>
      <c r="B47" s="108">
        <v>316</v>
      </c>
      <c r="C47" s="108">
        <v>4000</v>
      </c>
    </row>
    <row r="48" spans="1:3">
      <c r="A48" s="107">
        <v>42186</v>
      </c>
      <c r="B48" s="108">
        <v>316.23931623931628</v>
      </c>
      <c r="C48" s="108">
        <v>4000</v>
      </c>
    </row>
    <row r="49" spans="1:3">
      <c r="A49" s="107">
        <v>42219</v>
      </c>
      <c r="B49" s="108">
        <v>316.23931623931628</v>
      </c>
      <c r="C49" s="108">
        <v>4000</v>
      </c>
    </row>
    <row r="50" spans="1:3">
      <c r="A50" s="107">
        <v>42247</v>
      </c>
      <c r="B50" s="108">
        <v>316.23931623931628</v>
      </c>
      <c r="C50" s="108">
        <v>4000</v>
      </c>
    </row>
    <row r="51" spans="1:3">
      <c r="A51" s="107">
        <v>42277</v>
      </c>
      <c r="B51" s="108">
        <v>316</v>
      </c>
      <c r="C51" s="108">
        <v>4000</v>
      </c>
    </row>
    <row r="52" spans="1:3">
      <c r="A52" s="107">
        <v>42310</v>
      </c>
      <c r="B52" s="108">
        <v>314</v>
      </c>
      <c r="C52" s="108">
        <v>4000</v>
      </c>
    </row>
    <row r="53" spans="1:3">
      <c r="A53" s="107">
        <v>42341</v>
      </c>
      <c r="B53" s="108">
        <v>308</v>
      </c>
      <c r="C53" s="108">
        <v>4000</v>
      </c>
    </row>
    <row r="54" spans="1:3">
      <c r="A54" s="107">
        <v>42373</v>
      </c>
      <c r="B54" s="108">
        <v>308</v>
      </c>
      <c r="C54" s="108">
        <v>4000</v>
      </c>
    </row>
    <row r="55" spans="1:3">
      <c r="A55" s="107">
        <v>42406</v>
      </c>
      <c r="B55" s="108">
        <v>309</v>
      </c>
      <c r="C55" s="108">
        <v>4000</v>
      </c>
    </row>
    <row r="56" spans="1:3">
      <c r="A56" s="107">
        <v>42433</v>
      </c>
      <c r="B56" s="108">
        <v>316</v>
      </c>
      <c r="C56" s="108">
        <v>4000</v>
      </c>
    </row>
    <row r="57" spans="1:3">
      <c r="A57" s="107">
        <v>42466</v>
      </c>
      <c r="B57" s="108">
        <v>317</v>
      </c>
      <c r="C57" s="108">
        <v>4000</v>
      </c>
    </row>
    <row r="58" spans="1:3">
      <c r="A58" s="107">
        <v>42584</v>
      </c>
      <c r="B58" s="108">
        <v>333.33</v>
      </c>
      <c r="C58" s="108">
        <v>4000</v>
      </c>
    </row>
    <row r="59" spans="1:3">
      <c r="A59" s="107">
        <v>42616</v>
      </c>
      <c r="B59" s="108">
        <v>345.22222222222229</v>
      </c>
      <c r="C59" s="108">
        <v>4000</v>
      </c>
    </row>
    <row r="60" spans="1:3">
      <c r="A60" s="107">
        <v>42658</v>
      </c>
      <c r="B60" s="108">
        <v>370.77777777777783</v>
      </c>
      <c r="C60" s="108">
        <v>4000</v>
      </c>
    </row>
    <row r="61" spans="1:3">
      <c r="A61" s="107">
        <v>42679</v>
      </c>
      <c r="B61" s="108">
        <v>410.73504273504278</v>
      </c>
      <c r="C61" s="108">
        <v>4000</v>
      </c>
    </row>
    <row r="62" spans="1:3">
      <c r="A62" s="107">
        <v>42700</v>
      </c>
      <c r="B62" s="108">
        <v>421.91452991452991</v>
      </c>
      <c r="C62" s="108">
        <v>4000</v>
      </c>
    </row>
    <row r="63" spans="1:3">
      <c r="A63" s="107">
        <v>42735</v>
      </c>
      <c r="B63" s="108">
        <v>410.25641025641028</v>
      </c>
      <c r="C63" s="108">
        <v>4000</v>
      </c>
    </row>
    <row r="64" spans="1:3">
      <c r="A64" s="107">
        <v>42770</v>
      </c>
      <c r="B64" s="108">
        <v>410.25641025641028</v>
      </c>
      <c r="C64" s="108">
        <v>4000</v>
      </c>
    </row>
    <row r="65" spans="1:3">
      <c r="A65" s="107">
        <v>42798</v>
      </c>
      <c r="B65" s="108">
        <v>410.25641025641028</v>
      </c>
      <c r="C65" s="108">
        <v>4000</v>
      </c>
    </row>
    <row r="66" spans="1:3">
      <c r="A66" s="107">
        <v>42833</v>
      </c>
      <c r="B66" s="108">
        <v>410.25641025641028</v>
      </c>
      <c r="C66" s="108">
        <v>4000</v>
      </c>
    </row>
    <row r="67" spans="1:3">
      <c r="A67" s="107">
        <v>42854</v>
      </c>
      <c r="B67" s="108">
        <v>435</v>
      </c>
      <c r="C67" s="108">
        <v>4000</v>
      </c>
    </row>
    <row r="68" spans="1:3">
      <c r="A68" s="107">
        <v>42882</v>
      </c>
      <c r="B68" s="108">
        <v>435.89743589743591</v>
      </c>
      <c r="C68" s="108">
        <v>4000</v>
      </c>
    </row>
    <row r="69" spans="1:3">
      <c r="A69" s="107">
        <v>42924</v>
      </c>
      <c r="B69" s="108">
        <v>435.89743589743591</v>
      </c>
      <c r="C69" s="108">
        <v>4000</v>
      </c>
    </row>
    <row r="70" spans="1:3">
      <c r="A70" s="107">
        <v>42952</v>
      </c>
      <c r="B70" s="108">
        <v>435.89743589743603</v>
      </c>
      <c r="C70" s="108">
        <v>4000</v>
      </c>
    </row>
    <row r="71" spans="1:3">
      <c r="A71" s="107">
        <v>42980</v>
      </c>
      <c r="B71" s="108">
        <v>435.89743589743603</v>
      </c>
      <c r="C71" s="108">
        <v>4000</v>
      </c>
    </row>
    <row r="72" spans="1:3">
      <c r="A72" s="107">
        <v>43015</v>
      </c>
      <c r="B72" s="108">
        <v>435.89743589743603</v>
      </c>
      <c r="C72" s="108">
        <v>4000</v>
      </c>
    </row>
    <row r="73" spans="1:3">
      <c r="A73" s="107">
        <v>43022</v>
      </c>
      <c r="B73" s="108">
        <v>435.89743589743603</v>
      </c>
      <c r="C73" s="108">
        <v>4000</v>
      </c>
    </row>
    <row r="74" spans="1:3">
      <c r="A74" s="107">
        <v>43043</v>
      </c>
      <c r="B74" s="108">
        <v>435.89743589743603</v>
      </c>
      <c r="C74" s="108">
        <v>4000</v>
      </c>
    </row>
    <row r="75" spans="1:3">
      <c r="A75" s="107">
        <v>43064</v>
      </c>
      <c r="B75" s="108">
        <v>435.89743589743603</v>
      </c>
      <c r="C75" s="108">
        <v>4000</v>
      </c>
    </row>
    <row r="76" spans="1:3">
      <c r="A76" s="107">
        <v>43099</v>
      </c>
      <c r="B76" s="108">
        <v>435.89743589743603</v>
      </c>
      <c r="C76" s="108">
        <v>4000</v>
      </c>
    </row>
    <row r="77" spans="1:3">
      <c r="A77" s="107">
        <v>43120</v>
      </c>
      <c r="B77" s="108">
        <v>435.89743589743603</v>
      </c>
      <c r="C77" s="108">
        <v>4000</v>
      </c>
    </row>
    <row r="78" spans="1:3">
      <c r="A78" s="107">
        <v>43154</v>
      </c>
      <c r="B78" s="108">
        <v>435.89743589743603</v>
      </c>
      <c r="C78" s="108">
        <v>4000</v>
      </c>
    </row>
    <row r="79" spans="1:3">
      <c r="A79" s="107">
        <v>43162</v>
      </c>
      <c r="B79" s="108">
        <v>435.89743589743603</v>
      </c>
      <c r="C79" s="108">
        <v>4000</v>
      </c>
    </row>
    <row r="80" spans="1:3">
      <c r="A80" s="107">
        <v>43169</v>
      </c>
      <c r="B80" s="108">
        <v>435.89743589743603</v>
      </c>
      <c r="C80" s="108">
        <v>4000</v>
      </c>
    </row>
    <row r="81" spans="1:3">
      <c r="A81" s="107">
        <v>43176</v>
      </c>
      <c r="B81" s="108">
        <v>435.89743589743603</v>
      </c>
      <c r="C81" s="108">
        <v>4000</v>
      </c>
    </row>
    <row r="82" spans="1:3">
      <c r="A82" s="107">
        <v>43190</v>
      </c>
      <c r="B82" s="108">
        <v>435.89743589743603</v>
      </c>
      <c r="C82" s="108">
        <v>4000</v>
      </c>
    </row>
    <row r="83" spans="1:3">
      <c r="A83" s="107">
        <v>43197</v>
      </c>
      <c r="B83" s="108">
        <v>464</v>
      </c>
      <c r="C83" s="108">
        <v>4000</v>
      </c>
    </row>
    <row r="84" spans="1:3">
      <c r="A84" s="107">
        <v>43232</v>
      </c>
      <c r="B84" s="108">
        <v>470.51282051282055</v>
      </c>
      <c r="C84" s="108">
        <v>4000</v>
      </c>
    </row>
    <row r="85" spans="1:3">
      <c r="A85" s="107">
        <v>43301</v>
      </c>
      <c r="B85" s="108">
        <v>482.75862068965523</v>
      </c>
      <c r="C85" s="108">
        <v>4000</v>
      </c>
    </row>
    <row r="86" spans="1:3">
      <c r="A86" s="107">
        <v>43332</v>
      </c>
      <c r="B86" s="108">
        <v>482.75862068965523</v>
      </c>
      <c r="C86" s="108">
        <v>4000</v>
      </c>
    </row>
    <row r="87" spans="1:3">
      <c r="A87" s="107">
        <v>43374</v>
      </c>
      <c r="B87" s="108">
        <v>486</v>
      </c>
      <c r="C87" s="108">
        <v>4000</v>
      </c>
    </row>
    <row r="88" spans="1:3">
      <c r="A88" s="107">
        <v>43406</v>
      </c>
      <c r="B88" s="108">
        <v>486</v>
      </c>
      <c r="C88" s="108">
        <v>4000</v>
      </c>
    </row>
    <row r="89" spans="1:3">
      <c r="A89" s="107">
        <v>43436</v>
      </c>
      <c r="B89" s="108">
        <v>486</v>
      </c>
      <c r="C89" s="108">
        <v>4000</v>
      </c>
    </row>
    <row r="90" spans="1:3">
      <c r="A90" s="107">
        <v>43466</v>
      </c>
      <c r="B90" s="108">
        <v>486</v>
      </c>
      <c r="C90" s="108">
        <v>4000</v>
      </c>
    </row>
    <row r="91" spans="1:3">
      <c r="A91" s="107">
        <v>43547</v>
      </c>
      <c r="B91" s="108">
        <v>513</v>
      </c>
      <c r="C91" s="108">
        <v>4000</v>
      </c>
    </row>
    <row r="92" spans="1:3">
      <c r="A92" s="107">
        <v>43564</v>
      </c>
      <c r="B92" s="108">
        <v>491</v>
      </c>
      <c r="C92" s="108">
        <v>4000</v>
      </c>
    </row>
    <row r="93" spans="1:3">
      <c r="A93" s="107">
        <v>43596</v>
      </c>
      <c r="B93" s="108">
        <v>499.6</v>
      </c>
      <c r="C93" s="108">
        <v>4000</v>
      </c>
    </row>
    <row r="94" spans="1:3">
      <c r="A94" s="107">
        <v>43645</v>
      </c>
      <c r="B94" s="108">
        <v>491</v>
      </c>
      <c r="C94" s="108">
        <v>4000</v>
      </c>
    </row>
    <row r="95" spans="1:3">
      <c r="A95" s="107">
        <v>43932</v>
      </c>
      <c r="B95" s="108">
        <v>435</v>
      </c>
      <c r="C95" s="109">
        <v>4000</v>
      </c>
    </row>
    <row r="96" spans="1:3">
      <c r="A96" s="107">
        <v>43953</v>
      </c>
      <c r="B96" s="108">
        <v>403</v>
      </c>
      <c r="C96" s="109">
        <v>4000</v>
      </c>
    </row>
    <row r="97" spans="1:3">
      <c r="A97" s="107">
        <v>43961</v>
      </c>
      <c r="B97" s="108">
        <v>398.23008849557527</v>
      </c>
      <c r="C97" s="109">
        <v>4000</v>
      </c>
    </row>
    <row r="98" spans="1:3">
      <c r="A98" s="107">
        <v>43967</v>
      </c>
      <c r="B98" s="108">
        <v>406</v>
      </c>
      <c r="C98" s="109">
        <v>4000</v>
      </c>
    </row>
    <row r="99" spans="1:3">
      <c r="A99" s="107">
        <v>43974</v>
      </c>
      <c r="B99" s="108">
        <v>412</v>
      </c>
      <c r="C99" s="109">
        <v>4000</v>
      </c>
    </row>
    <row r="100" spans="1:3">
      <c r="A100" s="107">
        <v>43957</v>
      </c>
      <c r="B100" s="108">
        <v>415</v>
      </c>
      <c r="C100" s="109">
        <v>4000</v>
      </c>
    </row>
    <row r="101" spans="1:3">
      <c r="A101" s="107">
        <v>43995</v>
      </c>
      <c r="B101" s="108">
        <v>420.35399999999998</v>
      </c>
      <c r="C101" s="109">
        <v>4000</v>
      </c>
    </row>
    <row r="102" spans="1:3">
      <c r="A102" s="91">
        <v>44008</v>
      </c>
      <c r="B102" s="108">
        <v>426</v>
      </c>
      <c r="C102" s="109">
        <v>4000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110"/>
  <sheetViews>
    <sheetView zoomScaleNormal="100" workbookViewId="0">
      <selection activeCell="F11" sqref="F11"/>
    </sheetView>
  </sheetViews>
  <sheetFormatPr baseColWidth="10" defaultColWidth="8.5" defaultRowHeight="15"/>
  <cols>
    <col min="1" max="1" width="12.1640625" style="1" customWidth="1"/>
    <col min="2" max="2" width="23.5" style="2" customWidth="1"/>
  </cols>
  <sheetData>
    <row r="1" spans="1:3" ht="48">
      <c r="A1" s="1" t="s">
        <v>1</v>
      </c>
      <c r="B1" s="3" t="s">
        <v>78</v>
      </c>
      <c r="C1" s="2" t="s">
        <v>79</v>
      </c>
    </row>
    <row r="2" spans="1:3" ht="16">
      <c r="A2" s="110">
        <v>40724</v>
      </c>
      <c r="B2" s="111">
        <v>2386.1</v>
      </c>
      <c r="C2" s="112">
        <v>1</v>
      </c>
    </row>
    <row r="3" spans="1:3" ht="16">
      <c r="A3" s="110">
        <v>40755</v>
      </c>
      <c r="B3" s="111">
        <v>2365.4</v>
      </c>
      <c r="C3" s="112">
        <v>1</v>
      </c>
    </row>
    <row r="4" spans="1:3" ht="16">
      <c r="A4" s="110">
        <v>40786</v>
      </c>
      <c r="B4" s="111">
        <v>2257.8000000000002</v>
      </c>
      <c r="C4" s="112">
        <v>1</v>
      </c>
    </row>
    <row r="5" spans="1:3" ht="16">
      <c r="A5" s="110">
        <v>40816</v>
      </c>
      <c r="B5" s="111">
        <v>2402.8000000000002</v>
      </c>
      <c r="C5" s="112">
        <v>1</v>
      </c>
    </row>
    <row r="6" spans="1:3" ht="16">
      <c r="A6" s="110">
        <v>40847</v>
      </c>
      <c r="B6" s="111">
        <v>2498.5</v>
      </c>
      <c r="C6" s="112">
        <v>1</v>
      </c>
    </row>
    <row r="7" spans="1:3" ht="16">
      <c r="A7" s="110">
        <v>40877</v>
      </c>
      <c r="B7" s="111">
        <v>2636.1</v>
      </c>
      <c r="C7" s="112">
        <v>1</v>
      </c>
    </row>
    <row r="8" spans="1:3" ht="16">
      <c r="A8" s="110">
        <v>40908</v>
      </c>
      <c r="B8" s="111">
        <v>2700</v>
      </c>
      <c r="C8" s="112">
        <v>1</v>
      </c>
    </row>
    <row r="9" spans="1:3" ht="16">
      <c r="A9" s="110">
        <v>40939</v>
      </c>
      <c r="B9" s="111">
        <v>2640.5</v>
      </c>
      <c r="C9" s="112">
        <v>1</v>
      </c>
    </row>
    <row r="10" spans="1:3" ht="16">
      <c r="A10" s="110">
        <v>40968</v>
      </c>
      <c r="B10" s="111">
        <v>2494.6</v>
      </c>
      <c r="C10" s="112">
        <v>1</v>
      </c>
    </row>
    <row r="11" spans="1:3" ht="16">
      <c r="A11" s="110">
        <v>40999</v>
      </c>
      <c r="B11" s="111">
        <v>2256</v>
      </c>
      <c r="C11" s="112">
        <v>1</v>
      </c>
    </row>
    <row r="12" spans="1:3" ht="16">
      <c r="A12" s="110">
        <v>41029</v>
      </c>
      <c r="B12" s="111">
        <v>2593.9</v>
      </c>
      <c r="C12" s="112">
        <v>1</v>
      </c>
    </row>
    <row r="13" spans="1:3" ht="16">
      <c r="A13" s="110">
        <v>41060</v>
      </c>
      <c r="B13" s="111">
        <v>2698</v>
      </c>
      <c r="C13" s="112">
        <v>1</v>
      </c>
    </row>
    <row r="14" spans="1:3" ht="16">
      <c r="A14" s="110">
        <v>41090</v>
      </c>
      <c r="B14" s="111">
        <v>2729.1</v>
      </c>
      <c r="C14" s="112">
        <v>1</v>
      </c>
    </row>
    <row r="15" spans="1:3" ht="16">
      <c r="A15" s="110">
        <v>41121</v>
      </c>
      <c r="B15" s="111">
        <v>2812.8</v>
      </c>
      <c r="C15" s="112">
        <v>1</v>
      </c>
    </row>
    <row r="16" spans="1:3" ht="16">
      <c r="A16" s="110">
        <v>41152</v>
      </c>
      <c r="B16" s="111">
        <v>2828.6</v>
      </c>
      <c r="C16" s="112">
        <v>1</v>
      </c>
    </row>
    <row r="17" spans="1:3" ht="16">
      <c r="A17" s="110">
        <v>41182</v>
      </c>
      <c r="B17" s="111">
        <v>2800</v>
      </c>
      <c r="C17" s="112">
        <v>1</v>
      </c>
    </row>
    <row r="18" spans="1:3" ht="16">
      <c r="A18" s="110">
        <v>41213</v>
      </c>
      <c r="B18" s="111">
        <v>2600.6999999999998</v>
      </c>
      <c r="C18" s="112">
        <v>1</v>
      </c>
    </row>
    <row r="19" spans="1:3" ht="16">
      <c r="A19" s="110">
        <v>41243</v>
      </c>
      <c r="B19" s="111">
        <v>2286.6</v>
      </c>
      <c r="C19" s="112">
        <v>1</v>
      </c>
    </row>
    <row r="20" spans="1:3" ht="16">
      <c r="A20" s="110">
        <v>41274</v>
      </c>
      <c r="B20" s="111">
        <v>2226.5</v>
      </c>
      <c r="C20" s="112">
        <v>1</v>
      </c>
    </row>
    <row r="21" spans="1:3" ht="16">
      <c r="A21" s="110">
        <v>41304</v>
      </c>
      <c r="B21" s="111">
        <v>2035.7</v>
      </c>
      <c r="C21" s="112">
        <v>1</v>
      </c>
    </row>
    <row r="22" spans="1:3" ht="16">
      <c r="A22" s="110">
        <v>41333</v>
      </c>
      <c r="B22" s="111">
        <v>2016.3</v>
      </c>
      <c r="C22" s="112">
        <v>1</v>
      </c>
    </row>
    <row r="23" spans="1:3" ht="16">
      <c r="A23" s="110">
        <v>41364</v>
      </c>
      <c r="B23" s="111">
        <v>1925.7</v>
      </c>
      <c r="C23" s="112">
        <v>1</v>
      </c>
    </row>
    <row r="24" spans="1:3" ht="16">
      <c r="A24" s="110">
        <v>41394</v>
      </c>
      <c r="B24" s="111">
        <v>1954</v>
      </c>
      <c r="C24" s="112">
        <v>1</v>
      </c>
    </row>
    <row r="25" spans="1:3" ht="16">
      <c r="A25" s="110">
        <v>41425</v>
      </c>
      <c r="B25" s="111">
        <v>1972</v>
      </c>
      <c r="C25" s="112">
        <v>1</v>
      </c>
    </row>
    <row r="26" spans="1:3" ht="16">
      <c r="A26" s="110">
        <v>41455</v>
      </c>
      <c r="B26" s="111">
        <v>1885</v>
      </c>
      <c r="C26" s="112">
        <v>1</v>
      </c>
    </row>
    <row r="27" spans="1:3" ht="16">
      <c r="A27" s="110">
        <v>41486</v>
      </c>
      <c r="B27" s="111">
        <v>1902.7</v>
      </c>
      <c r="C27" s="112">
        <v>1</v>
      </c>
    </row>
    <row r="28" spans="1:3" ht="16">
      <c r="A28" s="110">
        <v>41517</v>
      </c>
      <c r="B28" s="111">
        <v>1825.8</v>
      </c>
      <c r="C28" s="112">
        <v>1</v>
      </c>
    </row>
    <row r="29" spans="1:3" ht="16">
      <c r="A29" s="110">
        <v>41552</v>
      </c>
      <c r="B29" s="111">
        <v>1753</v>
      </c>
      <c r="C29" s="112">
        <v>1</v>
      </c>
    </row>
    <row r="30" spans="1:3" ht="16">
      <c r="A30" s="110">
        <v>41587</v>
      </c>
      <c r="B30" s="111">
        <v>1844</v>
      </c>
      <c r="C30" s="112">
        <v>1</v>
      </c>
    </row>
    <row r="31" spans="1:3" ht="16">
      <c r="A31" s="110">
        <v>41610</v>
      </c>
      <c r="B31" s="111">
        <v>1950</v>
      </c>
      <c r="C31" s="112">
        <v>1</v>
      </c>
    </row>
    <row r="32" spans="1:3" ht="16">
      <c r="A32" s="110">
        <v>41678</v>
      </c>
      <c r="B32" s="111">
        <v>2112.8000000000002</v>
      </c>
      <c r="C32" s="112">
        <v>1</v>
      </c>
    </row>
    <row r="33" spans="1:3" ht="16">
      <c r="A33" s="110">
        <v>41707</v>
      </c>
      <c r="B33" s="111">
        <v>2112.8000000000002</v>
      </c>
      <c r="C33" s="112">
        <v>1</v>
      </c>
    </row>
    <row r="34" spans="1:3" ht="16">
      <c r="A34" s="110">
        <v>41726</v>
      </c>
      <c r="B34" s="111">
        <v>1795.9</v>
      </c>
      <c r="C34" s="112">
        <v>1</v>
      </c>
    </row>
    <row r="35" spans="1:3" ht="16">
      <c r="A35" s="110">
        <v>41764</v>
      </c>
      <c r="B35" s="111">
        <v>1769</v>
      </c>
      <c r="C35" s="112">
        <v>1</v>
      </c>
    </row>
    <row r="36" spans="1:3" ht="16">
      <c r="A36" s="110">
        <v>41841</v>
      </c>
      <c r="B36" s="111">
        <v>1600</v>
      </c>
      <c r="C36" s="112">
        <v>1</v>
      </c>
    </row>
    <row r="37" spans="1:3" ht="16">
      <c r="A37" s="110">
        <v>41883</v>
      </c>
      <c r="B37" s="111">
        <v>1595</v>
      </c>
      <c r="C37" s="112">
        <v>1</v>
      </c>
    </row>
    <row r="38" spans="1:3" ht="16">
      <c r="A38" s="110">
        <v>41909</v>
      </c>
      <c r="B38" s="111">
        <v>1635</v>
      </c>
      <c r="C38" s="112">
        <v>1</v>
      </c>
    </row>
    <row r="39" spans="1:3" ht="16">
      <c r="A39" s="110">
        <v>41944</v>
      </c>
      <c r="B39" s="111">
        <v>1756</v>
      </c>
      <c r="C39" s="112">
        <v>1</v>
      </c>
    </row>
    <row r="40" spans="1:3" ht="16">
      <c r="A40" s="110">
        <v>41980</v>
      </c>
      <c r="B40" s="111">
        <v>1812</v>
      </c>
      <c r="C40" s="112">
        <v>1</v>
      </c>
    </row>
    <row r="41" spans="1:3" ht="16">
      <c r="A41" s="110">
        <v>42006</v>
      </c>
      <c r="B41" s="111">
        <v>1700</v>
      </c>
      <c r="C41" s="112">
        <v>1</v>
      </c>
    </row>
    <row r="42" spans="1:3" ht="16">
      <c r="A42" s="110">
        <v>42049</v>
      </c>
      <c r="B42" s="111">
        <v>1598</v>
      </c>
      <c r="C42" s="112">
        <v>1</v>
      </c>
    </row>
    <row r="43" spans="1:3" ht="16">
      <c r="A43" s="110">
        <v>42073</v>
      </c>
      <c r="B43" s="111">
        <v>1575.9</v>
      </c>
      <c r="C43" s="112">
        <v>1</v>
      </c>
    </row>
    <row r="44" spans="1:3" ht="16">
      <c r="A44" s="110">
        <v>42103</v>
      </c>
      <c r="B44" s="111">
        <v>1651</v>
      </c>
      <c r="C44" s="112">
        <v>1</v>
      </c>
    </row>
    <row r="45" spans="1:3" ht="16">
      <c r="A45" s="110">
        <v>42136</v>
      </c>
      <c r="B45" s="111">
        <v>1738.375</v>
      </c>
      <c r="C45" s="112">
        <v>1</v>
      </c>
    </row>
    <row r="46" spans="1:3" ht="16">
      <c r="A46" s="110">
        <v>42153</v>
      </c>
      <c r="B46" s="111">
        <v>1760</v>
      </c>
      <c r="C46" s="112">
        <v>1</v>
      </c>
    </row>
    <row r="47" spans="1:3" ht="16">
      <c r="A47" s="110">
        <v>42186</v>
      </c>
      <c r="B47" s="111">
        <v>1858.4</v>
      </c>
      <c r="C47" s="112">
        <v>1</v>
      </c>
    </row>
    <row r="48" spans="1:3" ht="16">
      <c r="A48" s="110">
        <v>42219</v>
      </c>
      <c r="B48" s="111">
        <v>1827</v>
      </c>
      <c r="C48" s="112">
        <v>1</v>
      </c>
    </row>
    <row r="49" spans="1:3" ht="16">
      <c r="A49" s="110">
        <v>42247</v>
      </c>
      <c r="B49" s="111">
        <v>1837</v>
      </c>
      <c r="C49" s="112">
        <v>1</v>
      </c>
    </row>
    <row r="50" spans="1:3" ht="16">
      <c r="A50" s="110">
        <v>42277</v>
      </c>
      <c r="B50" s="111">
        <v>2034</v>
      </c>
      <c r="C50" s="112">
        <v>1</v>
      </c>
    </row>
    <row r="51" spans="1:3" ht="16">
      <c r="A51" s="110">
        <v>42310</v>
      </c>
      <c r="B51" s="111">
        <v>2027</v>
      </c>
      <c r="C51" s="112">
        <v>1</v>
      </c>
    </row>
    <row r="52" spans="1:3" ht="16">
      <c r="A52" s="110">
        <v>42341</v>
      </c>
      <c r="B52" s="111">
        <v>1960</v>
      </c>
      <c r="C52" s="112">
        <v>1</v>
      </c>
    </row>
    <row r="53" spans="1:3" ht="16">
      <c r="A53" s="110">
        <v>42373</v>
      </c>
      <c r="B53" s="111">
        <v>1805</v>
      </c>
      <c r="C53" s="112">
        <v>1</v>
      </c>
    </row>
    <row r="54" spans="1:3" ht="16">
      <c r="A54" s="110">
        <v>42406</v>
      </c>
      <c r="B54" s="111">
        <v>1540</v>
      </c>
      <c r="C54" s="112">
        <v>1</v>
      </c>
    </row>
    <row r="55" spans="1:3" ht="16">
      <c r="A55" s="110">
        <v>42433</v>
      </c>
      <c r="B55" s="111">
        <v>1588.3</v>
      </c>
      <c r="C55" s="112">
        <v>1</v>
      </c>
    </row>
    <row r="56" spans="1:3" ht="16">
      <c r="A56" s="110">
        <v>42466</v>
      </c>
      <c r="B56" s="111">
        <v>1582</v>
      </c>
      <c r="C56" s="112">
        <v>1</v>
      </c>
    </row>
    <row r="57" spans="1:3" ht="16">
      <c r="A57" s="110">
        <v>42584</v>
      </c>
      <c r="B57" s="111">
        <v>1785.7</v>
      </c>
      <c r="C57" s="112">
        <v>1</v>
      </c>
    </row>
    <row r="58" spans="1:3" ht="16">
      <c r="A58" s="110">
        <v>42616</v>
      </c>
      <c r="B58" s="111">
        <v>1734</v>
      </c>
      <c r="C58" s="112">
        <v>1</v>
      </c>
    </row>
    <row r="59" spans="1:3" ht="16">
      <c r="A59" s="110">
        <v>42658</v>
      </c>
      <c r="B59" s="111">
        <v>2002.1</v>
      </c>
      <c r="C59" s="112">
        <v>1</v>
      </c>
    </row>
    <row r="60" spans="1:3" ht="16">
      <c r="A60" s="110">
        <v>42679</v>
      </c>
      <c r="B60" s="111">
        <v>2548.5</v>
      </c>
      <c r="C60" s="112">
        <v>1</v>
      </c>
    </row>
    <row r="61" spans="1:3" ht="16">
      <c r="A61" s="110">
        <v>42700</v>
      </c>
      <c r="B61" s="111">
        <v>2864</v>
      </c>
      <c r="C61" s="112">
        <v>1</v>
      </c>
    </row>
    <row r="62" spans="1:3" ht="16">
      <c r="A62" s="110">
        <v>42735</v>
      </c>
      <c r="B62" s="111">
        <v>2880.859375</v>
      </c>
      <c r="C62" s="112">
        <v>1</v>
      </c>
    </row>
    <row r="63" spans="1:3" ht="16">
      <c r="A63" s="110">
        <v>42770</v>
      </c>
      <c r="B63" s="111">
        <v>2825.8928571428573</v>
      </c>
      <c r="C63" s="112">
        <v>1</v>
      </c>
    </row>
    <row r="64" spans="1:3" ht="16">
      <c r="A64" s="110">
        <v>42798</v>
      </c>
      <c r="B64" s="111">
        <v>2818</v>
      </c>
      <c r="C64" s="112">
        <v>1</v>
      </c>
    </row>
    <row r="65" spans="1:3" ht="16">
      <c r="A65" s="110">
        <v>42833</v>
      </c>
      <c r="B65" s="111">
        <v>2939.0625</v>
      </c>
      <c r="C65" s="112">
        <v>1</v>
      </c>
    </row>
    <row r="66" spans="1:3" ht="16">
      <c r="A66" s="110">
        <v>42854</v>
      </c>
      <c r="B66" s="111">
        <v>2961</v>
      </c>
      <c r="C66" s="112">
        <v>1</v>
      </c>
    </row>
    <row r="67" spans="1:3" ht="16">
      <c r="A67" s="110">
        <v>42882</v>
      </c>
      <c r="B67" s="111">
        <v>2961</v>
      </c>
      <c r="C67" s="112">
        <v>1</v>
      </c>
    </row>
    <row r="68" spans="1:3" ht="16">
      <c r="A68" s="110">
        <v>42924</v>
      </c>
      <c r="B68" s="111">
        <v>3109</v>
      </c>
      <c r="C68" s="112">
        <v>1</v>
      </c>
    </row>
    <row r="69" spans="1:3" ht="16">
      <c r="A69" s="110">
        <v>42952</v>
      </c>
      <c r="B69" s="111">
        <v>3175</v>
      </c>
      <c r="C69" s="112">
        <v>1</v>
      </c>
    </row>
    <row r="70" spans="1:3" ht="16">
      <c r="A70" s="110">
        <v>42980</v>
      </c>
      <c r="B70" s="111">
        <v>3300</v>
      </c>
      <c r="C70" s="112">
        <v>1</v>
      </c>
    </row>
    <row r="71" spans="1:3" ht="16">
      <c r="A71" s="110">
        <v>43015</v>
      </c>
      <c r="B71" s="111">
        <v>3750</v>
      </c>
      <c r="C71" s="112">
        <v>1</v>
      </c>
    </row>
    <row r="72" spans="1:3" ht="16">
      <c r="A72" s="110">
        <v>43022</v>
      </c>
      <c r="B72" s="111">
        <v>4100</v>
      </c>
      <c r="C72" s="112">
        <v>1</v>
      </c>
    </row>
    <row r="73" spans="1:3" ht="16">
      <c r="A73" s="110">
        <v>43043</v>
      </c>
      <c r="B73" s="111">
        <v>4300</v>
      </c>
      <c r="C73" s="112">
        <v>1</v>
      </c>
    </row>
    <row r="74" spans="1:3" ht="16">
      <c r="A74" s="110">
        <v>43064</v>
      </c>
      <c r="B74" s="111">
        <v>3250</v>
      </c>
      <c r="C74" s="112">
        <v>1</v>
      </c>
    </row>
    <row r="75" spans="1:3" ht="16">
      <c r="A75" s="110">
        <v>43099</v>
      </c>
      <c r="B75" s="111">
        <v>3300</v>
      </c>
      <c r="C75" s="112">
        <v>1</v>
      </c>
    </row>
    <row r="76" spans="1:3" ht="16">
      <c r="A76" s="110">
        <v>43120</v>
      </c>
      <c r="B76" s="111">
        <v>2350</v>
      </c>
      <c r="C76" s="112">
        <v>1</v>
      </c>
    </row>
    <row r="77" spans="1:3" ht="16">
      <c r="A77" s="110">
        <v>43154</v>
      </c>
      <c r="B77" s="111">
        <v>2650</v>
      </c>
      <c r="C77" s="112">
        <v>1</v>
      </c>
    </row>
    <row r="78" spans="1:3" ht="16">
      <c r="A78" s="110">
        <v>43162</v>
      </c>
      <c r="B78" s="111">
        <v>2850</v>
      </c>
      <c r="C78" s="112">
        <v>1</v>
      </c>
    </row>
    <row r="79" spans="1:3" ht="16">
      <c r="A79" s="110">
        <v>43169</v>
      </c>
      <c r="B79" s="111">
        <v>3000</v>
      </c>
      <c r="C79" s="112">
        <v>1</v>
      </c>
    </row>
    <row r="80" spans="1:3" ht="16">
      <c r="A80" s="110">
        <v>43176</v>
      </c>
      <c r="B80" s="111">
        <v>2950</v>
      </c>
      <c r="C80" s="112">
        <v>1</v>
      </c>
    </row>
    <row r="81" spans="1:3" ht="16">
      <c r="A81" s="110">
        <v>43190</v>
      </c>
      <c r="B81" s="111">
        <v>2900</v>
      </c>
      <c r="C81" s="112">
        <v>1</v>
      </c>
    </row>
    <row r="82" spans="1:3" ht="16">
      <c r="A82" s="110">
        <v>43219</v>
      </c>
      <c r="B82" s="111">
        <v>2800</v>
      </c>
      <c r="C82" s="112">
        <v>1</v>
      </c>
    </row>
    <row r="83" spans="1:3" ht="16">
      <c r="A83" s="110">
        <v>43232</v>
      </c>
      <c r="B83" s="111">
        <v>2750</v>
      </c>
      <c r="C83" s="112">
        <v>1</v>
      </c>
    </row>
    <row r="84" spans="1:3" ht="16">
      <c r="A84" s="110">
        <v>43261</v>
      </c>
      <c r="B84" s="111">
        <v>2600</v>
      </c>
      <c r="C84" s="112">
        <v>1</v>
      </c>
    </row>
    <row r="85" spans="1:3" ht="16">
      <c r="A85" s="110">
        <v>43332</v>
      </c>
      <c r="B85" s="111">
        <v>2600</v>
      </c>
      <c r="C85" s="112">
        <v>1</v>
      </c>
    </row>
    <row r="86" spans="1:3" ht="16">
      <c r="A86" s="110">
        <v>43337</v>
      </c>
      <c r="B86" s="111">
        <v>2700</v>
      </c>
      <c r="C86" s="112">
        <v>1</v>
      </c>
    </row>
    <row r="87" spans="1:3" ht="16">
      <c r="A87" s="110">
        <v>43406</v>
      </c>
      <c r="B87" s="111">
        <v>2700</v>
      </c>
      <c r="C87" s="112">
        <v>1</v>
      </c>
    </row>
    <row r="88" spans="1:3" ht="16">
      <c r="A88" s="110">
        <v>43436</v>
      </c>
      <c r="B88" s="111">
        <v>2700</v>
      </c>
      <c r="C88" s="112">
        <v>1</v>
      </c>
    </row>
    <row r="89" spans="1:3" ht="16">
      <c r="A89" s="110">
        <v>43473</v>
      </c>
      <c r="B89" s="111">
        <v>2600</v>
      </c>
      <c r="C89" s="112">
        <v>1</v>
      </c>
    </row>
    <row r="90" spans="1:3" ht="16">
      <c r="A90" s="110">
        <v>43484</v>
      </c>
      <c r="B90" s="111">
        <v>2500</v>
      </c>
      <c r="C90" s="112">
        <v>1</v>
      </c>
    </row>
    <row r="91" spans="1:3" ht="16">
      <c r="A91" s="110">
        <v>43547</v>
      </c>
      <c r="B91" s="111">
        <v>2450</v>
      </c>
      <c r="C91" s="112">
        <v>1</v>
      </c>
    </row>
    <row r="92" spans="1:3" ht="16">
      <c r="A92" s="110">
        <v>43564</v>
      </c>
      <c r="B92" s="111">
        <v>2350</v>
      </c>
      <c r="C92" s="112">
        <v>1</v>
      </c>
    </row>
    <row r="93" spans="1:3" ht="16">
      <c r="A93" s="110">
        <v>43722</v>
      </c>
      <c r="B93" s="111">
        <v>2500</v>
      </c>
      <c r="C93" s="112">
        <v>1</v>
      </c>
    </row>
    <row r="94" spans="1:3" ht="16">
      <c r="A94" s="110">
        <v>43764</v>
      </c>
      <c r="B94" s="111">
        <v>2450</v>
      </c>
      <c r="C94" s="112">
        <v>1</v>
      </c>
    </row>
    <row r="95" spans="1:3" ht="16">
      <c r="A95" s="110">
        <v>43771</v>
      </c>
      <c r="B95" s="111">
        <v>2250</v>
      </c>
      <c r="C95" s="112">
        <v>1</v>
      </c>
    </row>
    <row r="96" spans="1:3" ht="16">
      <c r="A96" s="110">
        <v>43778</v>
      </c>
      <c r="B96" s="111">
        <v>2230</v>
      </c>
      <c r="C96" s="112">
        <v>1</v>
      </c>
    </row>
    <row r="97" spans="1:3" ht="16">
      <c r="A97" s="110">
        <v>43785</v>
      </c>
      <c r="B97" s="111">
        <v>2200</v>
      </c>
      <c r="C97" s="112">
        <v>1</v>
      </c>
    </row>
    <row r="98" spans="1:3" ht="16">
      <c r="A98" s="110">
        <v>43806</v>
      </c>
      <c r="B98" s="111">
        <v>2100</v>
      </c>
      <c r="C98" s="112">
        <v>1</v>
      </c>
    </row>
    <row r="99" spans="1:3" ht="16">
      <c r="A99" s="110">
        <v>43819</v>
      </c>
      <c r="B99" s="111">
        <v>1900</v>
      </c>
      <c r="C99" s="112">
        <v>1</v>
      </c>
    </row>
    <row r="100" spans="1:3" ht="16">
      <c r="A100" s="110">
        <v>43834</v>
      </c>
      <c r="B100" s="111">
        <v>1850</v>
      </c>
      <c r="C100" s="112">
        <v>1</v>
      </c>
    </row>
    <row r="101" spans="1:3" ht="16">
      <c r="A101" s="110">
        <v>43843</v>
      </c>
      <c r="B101" s="111">
        <v>1850</v>
      </c>
      <c r="C101" s="112">
        <v>1</v>
      </c>
    </row>
    <row r="102" spans="1:3" ht="16">
      <c r="A102" s="110">
        <v>43847</v>
      </c>
      <c r="B102" s="111">
        <v>1850</v>
      </c>
      <c r="C102" s="112">
        <v>1</v>
      </c>
    </row>
    <row r="103" spans="1:3" ht="16">
      <c r="A103" s="110">
        <v>43868</v>
      </c>
      <c r="B103" s="111">
        <v>1850</v>
      </c>
      <c r="C103" s="112">
        <v>1</v>
      </c>
    </row>
    <row r="104" spans="1:3" ht="16">
      <c r="A104" s="110">
        <v>43875</v>
      </c>
      <c r="B104" s="111">
        <v>1850</v>
      </c>
      <c r="C104" s="112">
        <v>1</v>
      </c>
    </row>
    <row r="105" spans="1:3" ht="16">
      <c r="A105" s="110">
        <v>43897</v>
      </c>
      <c r="B105" s="111">
        <v>1750</v>
      </c>
      <c r="C105" s="113">
        <v>1</v>
      </c>
    </row>
    <row r="106" spans="1:3" ht="16">
      <c r="A106" s="110">
        <v>43904</v>
      </c>
      <c r="B106" s="111">
        <v>1700</v>
      </c>
      <c r="C106" s="113">
        <v>1</v>
      </c>
    </row>
    <row r="107" spans="1:3" ht="16">
      <c r="A107" s="110">
        <v>43925</v>
      </c>
      <c r="B107" s="111">
        <v>1650</v>
      </c>
      <c r="C107" s="113">
        <v>1</v>
      </c>
    </row>
    <row r="108" spans="1:3" ht="16">
      <c r="A108" s="110">
        <v>43939</v>
      </c>
      <c r="B108" s="111">
        <v>1600</v>
      </c>
      <c r="C108" s="113">
        <v>1</v>
      </c>
    </row>
    <row r="109" spans="1:3" ht="16">
      <c r="A109" s="110">
        <v>43946</v>
      </c>
      <c r="B109" s="111">
        <v>1550</v>
      </c>
      <c r="C109" s="113">
        <v>1</v>
      </c>
    </row>
    <row r="110" spans="1:3" ht="16">
      <c r="A110" s="110">
        <v>43953</v>
      </c>
      <c r="B110" s="111">
        <v>1500</v>
      </c>
      <c r="C110" s="113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27"/>
  <sheetViews>
    <sheetView zoomScaleNormal="100" workbookViewId="0">
      <selection activeCell="H31" sqref="H31"/>
    </sheetView>
  </sheetViews>
  <sheetFormatPr baseColWidth="10" defaultColWidth="8.5" defaultRowHeight="15"/>
  <cols>
    <col min="1" max="1" width="12.1640625" style="1" customWidth="1"/>
  </cols>
  <sheetData>
    <row r="1" spans="1:2" ht="48">
      <c r="A1" s="1" t="s">
        <v>1</v>
      </c>
      <c r="B1" s="3" t="s">
        <v>80</v>
      </c>
    </row>
    <row r="2" spans="1:2">
      <c r="A2" s="114">
        <v>40724</v>
      </c>
      <c r="B2" s="93">
        <v>300</v>
      </c>
    </row>
    <row r="3" spans="1:2">
      <c r="A3" s="114">
        <v>41090</v>
      </c>
      <c r="B3" s="93">
        <v>300</v>
      </c>
    </row>
    <row r="4" spans="1:2">
      <c r="A4" s="114">
        <v>41764</v>
      </c>
      <c r="B4" s="93">
        <v>340</v>
      </c>
    </row>
    <row r="5" spans="1:2">
      <c r="A5" s="114">
        <v>42049</v>
      </c>
      <c r="B5" s="93">
        <v>240</v>
      </c>
    </row>
    <row r="6" spans="1:2">
      <c r="A6" s="114">
        <v>42073</v>
      </c>
      <c r="B6" s="93">
        <v>240</v>
      </c>
    </row>
    <row r="7" spans="1:2">
      <c r="A7" s="114">
        <v>42103</v>
      </c>
      <c r="B7" s="93">
        <v>240</v>
      </c>
    </row>
    <row r="8" spans="1:2">
      <c r="A8" s="114">
        <v>42136</v>
      </c>
      <c r="B8" s="93">
        <v>240</v>
      </c>
    </row>
    <row r="9" spans="1:2">
      <c r="A9" s="114">
        <v>42153</v>
      </c>
      <c r="B9" s="93">
        <v>240</v>
      </c>
    </row>
    <row r="10" spans="1:2">
      <c r="A10" s="114">
        <v>42219</v>
      </c>
      <c r="B10" s="93">
        <v>240</v>
      </c>
    </row>
    <row r="11" spans="1:2">
      <c r="A11" s="114">
        <v>42277</v>
      </c>
      <c r="B11" s="93">
        <v>241</v>
      </c>
    </row>
    <row r="12" spans="1:2">
      <c r="A12" s="114">
        <v>42310</v>
      </c>
      <c r="B12" s="93">
        <v>240</v>
      </c>
    </row>
    <row r="13" spans="1:2">
      <c r="A13" s="114">
        <v>42341</v>
      </c>
      <c r="B13" s="93">
        <v>240</v>
      </c>
    </row>
    <row r="14" spans="1:2">
      <c r="A14" s="114">
        <v>42373</v>
      </c>
      <c r="B14" s="93">
        <v>240</v>
      </c>
    </row>
    <row r="15" spans="1:2">
      <c r="A15" s="114">
        <v>42406</v>
      </c>
      <c r="B15" s="93">
        <v>240</v>
      </c>
    </row>
    <row r="16" spans="1:2">
      <c r="A16" s="114">
        <v>42433</v>
      </c>
      <c r="B16" s="93">
        <v>240</v>
      </c>
    </row>
    <row r="17" spans="1:2">
      <c r="A17" s="114">
        <v>42584</v>
      </c>
      <c r="B17" s="93">
        <v>240</v>
      </c>
    </row>
    <row r="18" spans="1:2">
      <c r="A18" s="114">
        <v>42616</v>
      </c>
      <c r="B18" s="93">
        <v>240</v>
      </c>
    </row>
    <row r="19" spans="1:2">
      <c r="A19" s="114">
        <v>42658</v>
      </c>
      <c r="B19" s="93">
        <v>240</v>
      </c>
    </row>
    <row r="20" spans="1:2">
      <c r="A20" s="114">
        <v>42679</v>
      </c>
      <c r="B20" s="93">
        <v>240</v>
      </c>
    </row>
    <row r="21" spans="1:2">
      <c r="A21" s="114">
        <v>42700</v>
      </c>
      <c r="B21" s="93">
        <v>240</v>
      </c>
    </row>
    <row r="22" spans="1:2">
      <c r="A22" s="114">
        <v>42735</v>
      </c>
      <c r="B22" s="93">
        <v>240</v>
      </c>
    </row>
    <row r="23" spans="1:2">
      <c r="A23" s="114">
        <v>42770</v>
      </c>
      <c r="B23" s="93">
        <v>240</v>
      </c>
    </row>
    <row r="24" spans="1:2">
      <c r="A24" s="114">
        <v>42798</v>
      </c>
      <c r="B24" s="93">
        <v>240</v>
      </c>
    </row>
    <row r="25" spans="1:2">
      <c r="A25" s="114">
        <v>42833</v>
      </c>
      <c r="B25" s="93">
        <v>240</v>
      </c>
    </row>
    <row r="26" spans="1:2">
      <c r="A26" s="114">
        <v>42854</v>
      </c>
      <c r="B26" s="93">
        <v>240</v>
      </c>
    </row>
    <row r="27" spans="1:2">
      <c r="A27" s="114">
        <v>42882</v>
      </c>
      <c r="B27" s="93">
        <v>240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B5"/>
  <sheetViews>
    <sheetView zoomScaleNormal="100" workbookViewId="0">
      <selection activeCell="F10" sqref="F10"/>
    </sheetView>
  </sheetViews>
  <sheetFormatPr baseColWidth="10" defaultColWidth="8.5" defaultRowHeight="15"/>
  <cols>
    <col min="1" max="1" width="11.5" style="1" customWidth="1"/>
  </cols>
  <sheetData>
    <row r="1" spans="1:2" ht="80">
      <c r="A1" s="1" t="s">
        <v>1</v>
      </c>
      <c r="B1" s="3" t="s">
        <v>81</v>
      </c>
    </row>
    <row r="2" spans="1:2">
      <c r="A2" s="115">
        <v>40724</v>
      </c>
      <c r="B2" s="116">
        <v>20</v>
      </c>
    </row>
    <row r="3" spans="1:2">
      <c r="A3" s="115">
        <v>41090</v>
      </c>
      <c r="B3" s="116">
        <v>20</v>
      </c>
    </row>
    <row r="4" spans="1:2">
      <c r="A4" s="115">
        <v>41764</v>
      </c>
      <c r="B4" s="116">
        <v>22</v>
      </c>
    </row>
    <row r="5" spans="1:2">
      <c r="A5" s="115">
        <v>43253</v>
      </c>
      <c r="B5" s="116">
        <v>30</v>
      </c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F2"/>
  <sheetViews>
    <sheetView zoomScaleNormal="100" workbookViewId="0">
      <selection activeCell="L28" sqref="L28"/>
    </sheetView>
  </sheetViews>
  <sheetFormatPr baseColWidth="10" defaultColWidth="8.5" defaultRowHeight="15"/>
  <cols>
    <col min="1" max="1" width="10.33203125" style="1" customWidth="1"/>
  </cols>
  <sheetData>
    <row r="1" spans="1:32">
      <c r="A1" s="1" t="s">
        <v>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106</v>
      </c>
      <c r="AA1" s="2" t="s">
        <v>107</v>
      </c>
      <c r="AB1" s="2" t="s">
        <v>108</v>
      </c>
      <c r="AC1" s="2" t="s">
        <v>109</v>
      </c>
      <c r="AD1" s="2" t="s">
        <v>110</v>
      </c>
      <c r="AE1" s="2" t="s">
        <v>111</v>
      </c>
      <c r="AF1" s="2" t="s">
        <v>112</v>
      </c>
    </row>
    <row r="2" spans="1:32">
      <c r="A2" s="91">
        <v>43466</v>
      </c>
      <c r="B2" s="108">
        <v>239000</v>
      </c>
      <c r="C2" s="117">
        <v>1000</v>
      </c>
      <c r="D2" s="117">
        <v>24</v>
      </c>
      <c r="E2" s="117">
        <v>2</v>
      </c>
      <c r="F2" s="118">
        <v>0.08</v>
      </c>
      <c r="G2" s="94">
        <v>101.96</v>
      </c>
      <c r="H2" s="94">
        <v>60.08</v>
      </c>
      <c r="I2" s="94">
        <v>0.84853528628495334</v>
      </c>
      <c r="J2" s="98">
        <v>0.97499999999999998</v>
      </c>
      <c r="K2" s="93">
        <v>8.7299999999999997E-4</v>
      </c>
      <c r="L2" s="93">
        <v>145.88999999999999</v>
      </c>
      <c r="M2" s="93">
        <v>0.40339999999999998</v>
      </c>
      <c r="N2" s="93">
        <v>0</v>
      </c>
      <c r="O2" s="93">
        <v>0.51890000000000003</v>
      </c>
      <c r="P2" s="93">
        <v>4797</v>
      </c>
      <c r="Q2" s="93">
        <v>7</v>
      </c>
      <c r="R2" s="98">
        <v>0.12</v>
      </c>
      <c r="S2" s="98">
        <v>0.5</v>
      </c>
      <c r="T2" s="93">
        <v>0.5</v>
      </c>
      <c r="U2" s="108">
        <v>10000</v>
      </c>
      <c r="V2" s="119">
        <v>0.10680000000000001</v>
      </c>
      <c r="W2" s="120">
        <v>1.2</v>
      </c>
      <c r="X2" s="120">
        <v>23643.7088248818</v>
      </c>
      <c r="Y2" s="121">
        <v>0.62802869915581405</v>
      </c>
      <c r="Z2" s="120">
        <v>0</v>
      </c>
      <c r="AA2" s="121">
        <v>6.2556361557795204E-2</v>
      </c>
      <c r="AB2" s="121">
        <v>8.6923129044225601E-4</v>
      </c>
      <c r="AC2" s="120">
        <v>1.1499999999999999</v>
      </c>
      <c r="AD2" s="120" t="s">
        <v>113</v>
      </c>
      <c r="AE2" s="98">
        <v>3.0000000000000001E-3</v>
      </c>
      <c r="AF2" s="98">
        <v>0.05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D381"/>
  <sheetViews>
    <sheetView zoomScaleNormal="100" workbookViewId="0">
      <selection activeCell="C5" sqref="C5"/>
    </sheetView>
  </sheetViews>
  <sheetFormatPr baseColWidth="10" defaultColWidth="8.5" defaultRowHeight="15"/>
  <cols>
    <col min="1" max="1" width="11.5" style="1" bestFit="1" customWidth="1"/>
    <col min="2" max="2" width="10.1640625" bestFit="1" customWidth="1"/>
    <col min="3" max="3" width="24" bestFit="1" customWidth="1"/>
    <col min="4" max="4" width="20.1640625" bestFit="1" customWidth="1"/>
  </cols>
  <sheetData>
    <row r="1" spans="1:4">
      <c r="A1" s="1" t="s">
        <v>1</v>
      </c>
      <c r="B1" s="2" t="s">
        <v>114</v>
      </c>
      <c r="C1" s="2" t="s">
        <v>115</v>
      </c>
      <c r="D1" s="2" t="s">
        <v>116</v>
      </c>
    </row>
    <row r="2" spans="1:4">
      <c r="A2" s="91">
        <v>43483</v>
      </c>
      <c r="B2" s="93" t="s">
        <v>117</v>
      </c>
      <c r="C2" s="93" t="s">
        <v>118</v>
      </c>
      <c r="D2" s="108">
        <v>14050</v>
      </c>
    </row>
    <row r="3" spans="1:4">
      <c r="A3" s="91">
        <v>43483</v>
      </c>
      <c r="B3" s="93" t="s">
        <v>119</v>
      </c>
      <c r="C3" s="93" t="s">
        <v>120</v>
      </c>
      <c r="D3" s="108">
        <v>9777</v>
      </c>
    </row>
    <row r="4" spans="1:4">
      <c r="A4" s="91">
        <v>43483</v>
      </c>
      <c r="B4" s="93" t="s">
        <v>121</v>
      </c>
      <c r="C4" s="93" t="s">
        <v>122</v>
      </c>
      <c r="D4" s="108">
        <v>8850</v>
      </c>
    </row>
    <row r="5" spans="1:4">
      <c r="A5" s="91">
        <v>43483</v>
      </c>
      <c r="B5" s="93" t="s">
        <v>15</v>
      </c>
      <c r="C5" s="93" t="s">
        <v>123</v>
      </c>
      <c r="D5" s="108">
        <v>8850</v>
      </c>
    </row>
    <row r="6" spans="1:4">
      <c r="A6" s="91">
        <v>43483</v>
      </c>
      <c r="B6" s="93" t="s">
        <v>119</v>
      </c>
      <c r="C6" s="93" t="s">
        <v>124</v>
      </c>
      <c r="D6" s="108">
        <v>9777</v>
      </c>
    </row>
    <row r="7" spans="1:4">
      <c r="A7" s="91">
        <v>43490</v>
      </c>
      <c r="B7" s="93" t="s">
        <v>117</v>
      </c>
      <c r="C7" s="93" t="s">
        <v>118</v>
      </c>
      <c r="D7" s="108">
        <v>12725</v>
      </c>
    </row>
    <row r="8" spans="1:4">
      <c r="A8" s="91">
        <v>43490</v>
      </c>
      <c r="B8" s="93" t="s">
        <v>119</v>
      </c>
      <c r="C8" s="93" t="s">
        <v>120</v>
      </c>
      <c r="D8" s="108">
        <v>9312</v>
      </c>
    </row>
    <row r="9" spans="1:4">
      <c r="A9" s="91">
        <v>43490</v>
      </c>
      <c r="B9" s="93" t="s">
        <v>121</v>
      </c>
      <c r="C9" s="93" t="s">
        <v>122</v>
      </c>
      <c r="D9" s="108">
        <v>8786</v>
      </c>
    </row>
    <row r="10" spans="1:4">
      <c r="A10" s="91">
        <v>43490</v>
      </c>
      <c r="B10" s="93" t="s">
        <v>15</v>
      </c>
      <c r="C10" s="93" t="s">
        <v>123</v>
      </c>
      <c r="D10" s="108">
        <v>8786</v>
      </c>
    </row>
    <row r="11" spans="1:4">
      <c r="A11" s="91">
        <v>43490</v>
      </c>
      <c r="B11" s="93" t="s">
        <v>119</v>
      </c>
      <c r="C11" s="93" t="s">
        <v>124</v>
      </c>
      <c r="D11" s="108">
        <v>9312</v>
      </c>
    </row>
    <row r="12" spans="1:4">
      <c r="A12" s="91">
        <v>43497</v>
      </c>
      <c r="B12" s="93" t="s">
        <v>117</v>
      </c>
      <c r="C12" s="93" t="s">
        <v>118</v>
      </c>
      <c r="D12" s="108">
        <v>11979</v>
      </c>
    </row>
    <row r="13" spans="1:4">
      <c r="A13" s="91">
        <v>43497</v>
      </c>
      <c r="B13" s="93" t="s">
        <v>119</v>
      </c>
      <c r="C13" s="93" t="s">
        <v>120</v>
      </c>
      <c r="D13" s="108">
        <v>8319</v>
      </c>
    </row>
    <row r="14" spans="1:4">
      <c r="A14" s="91">
        <v>43497</v>
      </c>
      <c r="B14" s="93" t="s">
        <v>121</v>
      </c>
      <c r="C14" s="93" t="s">
        <v>122</v>
      </c>
      <c r="D14" s="108">
        <v>8114</v>
      </c>
    </row>
    <row r="15" spans="1:4">
      <c r="A15" s="91">
        <v>43497</v>
      </c>
      <c r="B15" s="93" t="s">
        <v>15</v>
      </c>
      <c r="C15" s="93" t="s">
        <v>123</v>
      </c>
      <c r="D15" s="108">
        <v>8114</v>
      </c>
    </row>
    <row r="16" spans="1:4">
      <c r="A16" s="91">
        <v>43497</v>
      </c>
      <c r="B16" s="93" t="s">
        <v>119</v>
      </c>
      <c r="C16" s="93" t="s">
        <v>124</v>
      </c>
      <c r="D16" s="108">
        <v>8319</v>
      </c>
    </row>
    <row r="17" spans="1:4">
      <c r="A17" s="91">
        <v>43504</v>
      </c>
      <c r="B17" s="93" t="s">
        <v>117</v>
      </c>
      <c r="C17" s="93" t="s">
        <v>118</v>
      </c>
      <c r="D17" s="108">
        <v>10988</v>
      </c>
    </row>
    <row r="18" spans="1:4">
      <c r="A18" s="91">
        <v>43504</v>
      </c>
      <c r="B18" s="93" t="s">
        <v>119</v>
      </c>
      <c r="C18" s="93" t="s">
        <v>120</v>
      </c>
      <c r="D18" s="108">
        <v>6117</v>
      </c>
    </row>
    <row r="19" spans="1:4">
      <c r="A19" s="91">
        <v>43504</v>
      </c>
      <c r="B19" s="93" t="s">
        <v>121</v>
      </c>
      <c r="C19" s="93" t="s">
        <v>122</v>
      </c>
      <c r="D19" s="108">
        <v>7714</v>
      </c>
    </row>
    <row r="20" spans="1:4">
      <c r="A20" s="91">
        <v>43504</v>
      </c>
      <c r="B20" s="93" t="s">
        <v>15</v>
      </c>
      <c r="C20" s="93" t="s">
        <v>123</v>
      </c>
      <c r="D20" s="108">
        <v>7714</v>
      </c>
    </row>
    <row r="21" spans="1:4">
      <c r="A21" s="91">
        <v>43504</v>
      </c>
      <c r="B21" s="93" t="s">
        <v>119</v>
      </c>
      <c r="C21" s="93" t="s">
        <v>124</v>
      </c>
      <c r="D21" s="108">
        <v>6117</v>
      </c>
    </row>
    <row r="22" spans="1:4">
      <c r="A22" s="91">
        <v>43511</v>
      </c>
      <c r="B22" s="93" t="s">
        <v>117</v>
      </c>
      <c r="C22" s="93" t="s">
        <v>118</v>
      </c>
      <c r="D22" s="108">
        <v>6142</v>
      </c>
    </row>
    <row r="23" spans="1:4">
      <c r="A23" s="91">
        <v>43511</v>
      </c>
      <c r="B23" s="93" t="s">
        <v>119</v>
      </c>
      <c r="C23" s="93" t="s">
        <v>120</v>
      </c>
      <c r="D23" s="108">
        <v>5740</v>
      </c>
    </row>
    <row r="24" spans="1:4">
      <c r="A24" s="91">
        <v>43511</v>
      </c>
      <c r="B24" s="93" t="s">
        <v>121</v>
      </c>
      <c r="C24" s="93" t="s">
        <v>122</v>
      </c>
      <c r="D24" s="108">
        <v>6271</v>
      </c>
    </row>
    <row r="25" spans="1:4">
      <c r="A25" s="91">
        <v>43511</v>
      </c>
      <c r="B25" s="93" t="s">
        <v>15</v>
      </c>
      <c r="C25" s="93" t="s">
        <v>123</v>
      </c>
      <c r="D25" s="108">
        <v>6271</v>
      </c>
    </row>
    <row r="26" spans="1:4">
      <c r="A26" s="91">
        <v>43511</v>
      </c>
      <c r="B26" s="93" t="s">
        <v>119</v>
      </c>
      <c r="C26" s="93" t="s">
        <v>124</v>
      </c>
      <c r="D26" s="108">
        <v>5740</v>
      </c>
    </row>
    <row r="27" spans="1:4">
      <c r="A27" s="91">
        <v>43518</v>
      </c>
      <c r="B27" s="93" t="s">
        <v>117</v>
      </c>
      <c r="C27" s="93" t="s">
        <v>118</v>
      </c>
      <c r="D27" s="108">
        <v>7050</v>
      </c>
    </row>
    <row r="28" spans="1:4">
      <c r="A28" s="91">
        <v>43518</v>
      </c>
      <c r="B28" s="93" t="s">
        <v>119</v>
      </c>
      <c r="C28" s="93" t="s">
        <v>120</v>
      </c>
      <c r="D28" s="108">
        <v>6286</v>
      </c>
    </row>
    <row r="29" spans="1:4">
      <c r="A29" s="91">
        <v>43518</v>
      </c>
      <c r="B29" s="93" t="s">
        <v>121</v>
      </c>
      <c r="C29" s="93" t="s">
        <v>122</v>
      </c>
      <c r="D29" s="108">
        <v>7050</v>
      </c>
    </row>
    <row r="30" spans="1:4">
      <c r="A30" s="91">
        <v>43518</v>
      </c>
      <c r="B30" s="93" t="s">
        <v>15</v>
      </c>
      <c r="C30" s="93" t="s">
        <v>123</v>
      </c>
      <c r="D30" s="108">
        <v>7050</v>
      </c>
    </row>
    <row r="31" spans="1:4">
      <c r="A31" s="91">
        <v>43518</v>
      </c>
      <c r="B31" s="93" t="s">
        <v>119</v>
      </c>
      <c r="C31" s="93" t="s">
        <v>124</v>
      </c>
      <c r="D31" s="108">
        <v>6286</v>
      </c>
    </row>
    <row r="32" spans="1:4">
      <c r="A32" s="91">
        <v>43525</v>
      </c>
      <c r="B32" s="93" t="s">
        <v>117</v>
      </c>
      <c r="C32" s="93" t="s">
        <v>118</v>
      </c>
      <c r="D32" s="108">
        <v>4329</v>
      </c>
    </row>
    <row r="33" spans="1:4">
      <c r="A33" s="91">
        <v>43525</v>
      </c>
      <c r="B33" s="93" t="s">
        <v>119</v>
      </c>
      <c r="C33" s="93" t="s">
        <v>120</v>
      </c>
      <c r="D33" s="108">
        <v>7922</v>
      </c>
    </row>
    <row r="34" spans="1:4">
      <c r="A34" s="91">
        <v>43525</v>
      </c>
      <c r="B34" s="93" t="s">
        <v>121</v>
      </c>
      <c r="C34" s="93" t="s">
        <v>122</v>
      </c>
      <c r="D34" s="108">
        <v>8421</v>
      </c>
    </row>
    <row r="35" spans="1:4">
      <c r="A35" s="91">
        <v>43525</v>
      </c>
      <c r="B35" s="93" t="s">
        <v>15</v>
      </c>
      <c r="C35" s="93" t="s">
        <v>123</v>
      </c>
      <c r="D35" s="108">
        <v>8421</v>
      </c>
    </row>
    <row r="36" spans="1:4">
      <c r="A36" s="91">
        <v>43525</v>
      </c>
      <c r="B36" s="93" t="s">
        <v>119</v>
      </c>
      <c r="C36" s="93" t="s">
        <v>124</v>
      </c>
      <c r="D36" s="108">
        <v>7922</v>
      </c>
    </row>
    <row r="37" spans="1:4">
      <c r="A37" s="91">
        <v>43532</v>
      </c>
      <c r="B37" s="93" t="s">
        <v>117</v>
      </c>
      <c r="C37" s="93" t="s">
        <v>118</v>
      </c>
      <c r="D37" s="108">
        <v>3117</v>
      </c>
    </row>
    <row r="38" spans="1:4">
      <c r="A38" s="91">
        <v>43532</v>
      </c>
      <c r="B38" s="93" t="s">
        <v>119</v>
      </c>
      <c r="C38" s="93" t="s">
        <v>120</v>
      </c>
      <c r="D38" s="108">
        <v>8698</v>
      </c>
    </row>
    <row r="39" spans="1:4">
      <c r="A39" s="91">
        <v>43532</v>
      </c>
      <c r="B39" s="93" t="s">
        <v>121</v>
      </c>
      <c r="C39" s="93" t="s">
        <v>122</v>
      </c>
      <c r="D39" s="108">
        <v>9036</v>
      </c>
    </row>
    <row r="40" spans="1:4">
      <c r="A40" s="91">
        <v>43532</v>
      </c>
      <c r="B40" s="93" t="s">
        <v>15</v>
      </c>
      <c r="C40" s="93" t="s">
        <v>123</v>
      </c>
      <c r="D40" s="108">
        <v>9036</v>
      </c>
    </row>
    <row r="41" spans="1:4">
      <c r="A41" s="91">
        <v>43532</v>
      </c>
      <c r="B41" s="93" t="s">
        <v>119</v>
      </c>
      <c r="C41" s="93" t="s">
        <v>124</v>
      </c>
      <c r="D41" s="108">
        <v>8698</v>
      </c>
    </row>
    <row r="42" spans="1:4">
      <c r="A42" s="91">
        <v>43539</v>
      </c>
      <c r="B42" s="93" t="s">
        <v>117</v>
      </c>
      <c r="C42" s="93" t="s">
        <v>118</v>
      </c>
      <c r="D42" s="108">
        <v>6650</v>
      </c>
    </row>
    <row r="43" spans="1:4">
      <c r="A43" s="91">
        <v>43539</v>
      </c>
      <c r="B43" s="93" t="s">
        <v>119</v>
      </c>
      <c r="C43" s="93" t="s">
        <v>120</v>
      </c>
      <c r="D43" s="108">
        <v>7761</v>
      </c>
    </row>
    <row r="44" spans="1:4">
      <c r="A44" s="91">
        <v>43539</v>
      </c>
      <c r="B44" s="93" t="s">
        <v>121</v>
      </c>
      <c r="C44" s="93" t="s">
        <v>122</v>
      </c>
      <c r="D44" s="108">
        <v>9036</v>
      </c>
    </row>
    <row r="45" spans="1:4">
      <c r="A45" s="91">
        <v>43539</v>
      </c>
      <c r="B45" s="93" t="s">
        <v>15</v>
      </c>
      <c r="C45" s="93" t="s">
        <v>123</v>
      </c>
      <c r="D45" s="108">
        <v>9036</v>
      </c>
    </row>
    <row r="46" spans="1:4">
      <c r="A46" s="91">
        <v>43539</v>
      </c>
      <c r="B46" s="93" t="s">
        <v>119</v>
      </c>
      <c r="C46" s="93" t="s">
        <v>124</v>
      </c>
      <c r="D46" s="108">
        <v>7761</v>
      </c>
    </row>
    <row r="47" spans="1:4">
      <c r="A47" s="91">
        <v>43546</v>
      </c>
      <c r="B47" s="96" t="s">
        <v>117</v>
      </c>
      <c r="C47" s="96" t="s">
        <v>118</v>
      </c>
      <c r="D47" s="109">
        <v>4746</v>
      </c>
    </row>
    <row r="48" spans="1:4">
      <c r="A48" s="91">
        <v>43546</v>
      </c>
      <c r="B48" s="96" t="s">
        <v>119</v>
      </c>
      <c r="C48" s="96" t="s">
        <v>120</v>
      </c>
      <c r="D48" s="109">
        <v>8216</v>
      </c>
    </row>
    <row r="49" spans="1:4">
      <c r="A49" s="91">
        <v>43546</v>
      </c>
      <c r="B49" s="96" t="s">
        <v>121</v>
      </c>
      <c r="C49" s="96" t="s">
        <v>122</v>
      </c>
      <c r="D49" s="109">
        <v>9063</v>
      </c>
    </row>
    <row r="50" spans="1:4">
      <c r="A50" s="91">
        <v>43546</v>
      </c>
      <c r="B50" s="96" t="s">
        <v>15</v>
      </c>
      <c r="C50" s="96" t="s">
        <v>123</v>
      </c>
      <c r="D50" s="109">
        <v>9063</v>
      </c>
    </row>
    <row r="51" spans="1:4">
      <c r="A51" s="91">
        <v>43546</v>
      </c>
      <c r="B51" s="96" t="s">
        <v>119</v>
      </c>
      <c r="C51" s="96" t="s">
        <v>124</v>
      </c>
      <c r="D51" s="109">
        <v>8216</v>
      </c>
    </row>
    <row r="52" spans="1:4">
      <c r="A52" s="91">
        <v>43553</v>
      </c>
      <c r="B52" s="96" t="s">
        <v>117</v>
      </c>
      <c r="C52" s="96" t="s">
        <v>118</v>
      </c>
      <c r="D52" s="109">
        <v>4146</v>
      </c>
    </row>
    <row r="53" spans="1:4">
      <c r="A53" s="91">
        <v>43553</v>
      </c>
      <c r="B53" s="96" t="s">
        <v>119</v>
      </c>
      <c r="C53" s="96" t="s">
        <v>120</v>
      </c>
      <c r="D53" s="109">
        <v>7322</v>
      </c>
    </row>
    <row r="54" spans="1:4">
      <c r="A54" s="91">
        <v>43553</v>
      </c>
      <c r="B54" s="96" t="s">
        <v>121</v>
      </c>
      <c r="C54" s="96" t="s">
        <v>122</v>
      </c>
      <c r="D54" s="109">
        <v>8518</v>
      </c>
    </row>
    <row r="55" spans="1:4">
      <c r="A55" s="91">
        <v>43553</v>
      </c>
      <c r="B55" s="96" t="s">
        <v>15</v>
      </c>
      <c r="C55" s="96" t="s">
        <v>123</v>
      </c>
      <c r="D55" s="109">
        <v>8518</v>
      </c>
    </row>
    <row r="56" spans="1:4">
      <c r="A56" s="91">
        <v>43553</v>
      </c>
      <c r="B56" s="96" t="s">
        <v>119</v>
      </c>
      <c r="C56" s="96" t="s">
        <v>124</v>
      </c>
      <c r="D56" s="109">
        <v>7322</v>
      </c>
    </row>
    <row r="57" spans="1:4">
      <c r="A57" s="91">
        <v>43560</v>
      </c>
      <c r="B57" s="96" t="s">
        <v>117</v>
      </c>
      <c r="C57" s="96" t="s">
        <v>118</v>
      </c>
      <c r="D57" s="109">
        <v>3188</v>
      </c>
    </row>
    <row r="58" spans="1:4">
      <c r="A58" s="91">
        <v>43560</v>
      </c>
      <c r="B58" s="96" t="s">
        <v>119</v>
      </c>
      <c r="C58" s="96" t="s">
        <v>120</v>
      </c>
      <c r="D58" s="109">
        <v>7271</v>
      </c>
    </row>
    <row r="59" spans="1:4">
      <c r="A59" s="91">
        <v>43560</v>
      </c>
      <c r="B59" s="96" t="s">
        <v>121</v>
      </c>
      <c r="C59" s="96" t="s">
        <v>122</v>
      </c>
      <c r="D59" s="109">
        <v>8225</v>
      </c>
    </row>
    <row r="60" spans="1:4">
      <c r="A60" s="91">
        <v>43560</v>
      </c>
      <c r="B60" s="96" t="s">
        <v>15</v>
      </c>
      <c r="C60" s="96" t="s">
        <v>123</v>
      </c>
      <c r="D60" s="109">
        <v>8225</v>
      </c>
    </row>
    <row r="61" spans="1:4">
      <c r="A61" s="91">
        <v>43560</v>
      </c>
      <c r="B61" s="96" t="s">
        <v>119</v>
      </c>
      <c r="C61" s="96" t="s">
        <v>124</v>
      </c>
      <c r="D61" s="109">
        <v>7271</v>
      </c>
    </row>
    <row r="62" spans="1:4">
      <c r="A62" s="91">
        <v>43567</v>
      </c>
      <c r="B62" s="96" t="s">
        <v>117</v>
      </c>
      <c r="C62" s="96" t="s">
        <v>118</v>
      </c>
      <c r="D62" s="109">
        <v>4733</v>
      </c>
    </row>
    <row r="63" spans="1:4">
      <c r="A63" s="91">
        <v>43567</v>
      </c>
      <c r="B63" s="96" t="s">
        <v>119</v>
      </c>
      <c r="C63" s="96" t="s">
        <v>120</v>
      </c>
      <c r="D63" s="109">
        <v>6694</v>
      </c>
    </row>
    <row r="64" spans="1:4">
      <c r="A64" s="91">
        <v>43567</v>
      </c>
      <c r="B64" s="96" t="s">
        <v>121</v>
      </c>
      <c r="C64" s="96" t="s">
        <v>122</v>
      </c>
      <c r="D64" s="109">
        <v>7511</v>
      </c>
    </row>
    <row r="65" spans="1:4">
      <c r="A65" s="91">
        <v>43567</v>
      </c>
      <c r="B65" s="96" t="s">
        <v>15</v>
      </c>
      <c r="C65" s="96" t="s">
        <v>123</v>
      </c>
      <c r="D65" s="109">
        <v>7511</v>
      </c>
    </row>
    <row r="66" spans="1:4">
      <c r="A66" s="91">
        <v>43567</v>
      </c>
      <c r="B66" s="96" t="s">
        <v>119</v>
      </c>
      <c r="C66" s="96" t="s">
        <v>124</v>
      </c>
      <c r="D66" s="109">
        <v>6694</v>
      </c>
    </row>
    <row r="67" spans="1:4">
      <c r="A67" s="91">
        <v>43574</v>
      </c>
      <c r="B67" s="96" t="s">
        <v>117</v>
      </c>
      <c r="C67" s="96" t="s">
        <v>118</v>
      </c>
      <c r="D67" s="109">
        <v>6146</v>
      </c>
    </row>
    <row r="68" spans="1:4">
      <c r="A68" s="91">
        <v>43574</v>
      </c>
      <c r="B68" s="96" t="s">
        <v>119</v>
      </c>
      <c r="C68" s="96" t="s">
        <v>120</v>
      </c>
      <c r="D68" s="109">
        <v>7621</v>
      </c>
    </row>
    <row r="69" spans="1:4">
      <c r="A69" s="91">
        <v>43574</v>
      </c>
      <c r="B69" s="96" t="s">
        <v>121</v>
      </c>
      <c r="C69" s="96" t="s">
        <v>122</v>
      </c>
      <c r="D69" s="109">
        <v>7536</v>
      </c>
    </row>
    <row r="70" spans="1:4">
      <c r="A70" s="91">
        <v>43574</v>
      </c>
      <c r="B70" s="96" t="s">
        <v>15</v>
      </c>
      <c r="C70" s="96" t="s">
        <v>123</v>
      </c>
      <c r="D70" s="109">
        <v>7536</v>
      </c>
    </row>
    <row r="71" spans="1:4">
      <c r="A71" s="91">
        <v>43574</v>
      </c>
      <c r="B71" s="96" t="s">
        <v>119</v>
      </c>
      <c r="C71" s="96" t="s">
        <v>124</v>
      </c>
      <c r="D71" s="109">
        <v>7621</v>
      </c>
    </row>
    <row r="72" spans="1:4">
      <c r="A72" s="91">
        <v>43581</v>
      </c>
      <c r="B72" s="96" t="s">
        <v>117</v>
      </c>
      <c r="C72" s="96" t="s">
        <v>118</v>
      </c>
      <c r="D72" s="109">
        <v>9458</v>
      </c>
    </row>
    <row r="73" spans="1:4">
      <c r="A73" s="91">
        <v>43581</v>
      </c>
      <c r="B73" s="96" t="s">
        <v>119</v>
      </c>
      <c r="C73" s="96" t="s">
        <v>120</v>
      </c>
      <c r="D73" s="109">
        <v>7979</v>
      </c>
    </row>
    <row r="74" spans="1:4">
      <c r="A74" s="91">
        <v>43581</v>
      </c>
      <c r="B74" s="96" t="s">
        <v>121</v>
      </c>
      <c r="C74" s="96" t="s">
        <v>122</v>
      </c>
      <c r="D74" s="109">
        <v>8014</v>
      </c>
    </row>
    <row r="75" spans="1:4">
      <c r="A75" s="91">
        <v>43581</v>
      </c>
      <c r="B75" s="96" t="s">
        <v>15</v>
      </c>
      <c r="C75" s="96" t="s">
        <v>123</v>
      </c>
      <c r="D75" s="109">
        <v>8014</v>
      </c>
    </row>
    <row r="76" spans="1:4">
      <c r="A76" s="91">
        <v>43581</v>
      </c>
      <c r="B76" s="96" t="s">
        <v>119</v>
      </c>
      <c r="C76" s="96" t="s">
        <v>124</v>
      </c>
      <c r="D76" s="109">
        <v>7979</v>
      </c>
    </row>
    <row r="77" spans="1:4">
      <c r="A77" s="91">
        <v>43588</v>
      </c>
      <c r="B77" s="96" t="s">
        <v>117</v>
      </c>
      <c r="C77" s="96" t="s">
        <v>118</v>
      </c>
      <c r="D77" s="109">
        <v>12929</v>
      </c>
    </row>
    <row r="78" spans="1:4">
      <c r="A78" s="91">
        <v>43588</v>
      </c>
      <c r="B78" s="96" t="s">
        <v>119</v>
      </c>
      <c r="C78" s="96" t="s">
        <v>120</v>
      </c>
      <c r="D78" s="109">
        <v>8246</v>
      </c>
    </row>
    <row r="79" spans="1:4">
      <c r="A79" s="91">
        <v>43588</v>
      </c>
      <c r="B79" s="96" t="s">
        <v>121</v>
      </c>
      <c r="C79" s="96" t="s">
        <v>122</v>
      </c>
      <c r="D79" s="109">
        <v>7610</v>
      </c>
    </row>
    <row r="80" spans="1:4">
      <c r="A80" s="91">
        <v>43588</v>
      </c>
      <c r="B80" s="96" t="s">
        <v>15</v>
      </c>
      <c r="C80" s="96" t="s">
        <v>123</v>
      </c>
      <c r="D80" s="109">
        <v>7610</v>
      </c>
    </row>
    <row r="81" spans="1:4">
      <c r="A81" s="91">
        <v>43588</v>
      </c>
      <c r="B81" s="96" t="s">
        <v>119</v>
      </c>
      <c r="C81" s="96" t="s">
        <v>124</v>
      </c>
      <c r="D81" s="109">
        <v>8246</v>
      </c>
    </row>
    <row r="82" spans="1:4">
      <c r="A82" s="91">
        <v>43595</v>
      </c>
      <c r="B82" s="96" t="s">
        <v>117</v>
      </c>
      <c r="C82" s="96" t="s">
        <v>118</v>
      </c>
      <c r="D82" s="109">
        <v>11508</v>
      </c>
    </row>
    <row r="83" spans="1:4">
      <c r="A83" s="91">
        <v>43595</v>
      </c>
      <c r="B83" s="96" t="s">
        <v>119</v>
      </c>
      <c r="C83" s="96" t="s">
        <v>120</v>
      </c>
      <c r="D83" s="109">
        <v>8226</v>
      </c>
    </row>
    <row r="84" spans="1:4">
      <c r="A84" s="91">
        <v>43595</v>
      </c>
      <c r="B84" s="96" t="s">
        <v>121</v>
      </c>
      <c r="C84" s="96" t="s">
        <v>122</v>
      </c>
      <c r="D84" s="109">
        <v>7993</v>
      </c>
    </row>
    <row r="85" spans="1:4">
      <c r="A85" s="91">
        <v>43595</v>
      </c>
      <c r="B85" s="96" t="s">
        <v>15</v>
      </c>
      <c r="C85" s="96" t="s">
        <v>123</v>
      </c>
      <c r="D85" s="109">
        <v>7993</v>
      </c>
    </row>
    <row r="86" spans="1:4">
      <c r="A86" s="91">
        <v>43595</v>
      </c>
      <c r="B86" s="96" t="s">
        <v>119</v>
      </c>
      <c r="C86" s="96" t="s">
        <v>124</v>
      </c>
      <c r="D86" s="109">
        <v>8226</v>
      </c>
    </row>
    <row r="87" spans="1:4">
      <c r="A87" s="91">
        <v>43602</v>
      </c>
      <c r="B87" s="96" t="s">
        <v>117</v>
      </c>
      <c r="C87" s="96" t="s">
        <v>118</v>
      </c>
      <c r="D87" s="109">
        <v>11492</v>
      </c>
    </row>
    <row r="88" spans="1:4">
      <c r="A88" s="91">
        <v>43602</v>
      </c>
      <c r="B88" s="96" t="s">
        <v>119</v>
      </c>
      <c r="C88" s="96" t="s">
        <v>120</v>
      </c>
      <c r="D88" s="109">
        <v>8730</v>
      </c>
    </row>
    <row r="89" spans="1:4">
      <c r="A89" s="91">
        <v>43602</v>
      </c>
      <c r="B89" s="96" t="s">
        <v>121</v>
      </c>
      <c r="C89" s="96" t="s">
        <v>122</v>
      </c>
      <c r="D89" s="109">
        <v>7957</v>
      </c>
    </row>
    <row r="90" spans="1:4">
      <c r="A90" s="91">
        <v>43602</v>
      </c>
      <c r="B90" s="96" t="s">
        <v>15</v>
      </c>
      <c r="C90" s="96" t="s">
        <v>123</v>
      </c>
      <c r="D90" s="109">
        <v>7957</v>
      </c>
    </row>
    <row r="91" spans="1:4">
      <c r="A91" s="91">
        <v>43602</v>
      </c>
      <c r="B91" s="96" t="s">
        <v>119</v>
      </c>
      <c r="C91" s="96" t="s">
        <v>124</v>
      </c>
      <c r="D91" s="109">
        <v>8730</v>
      </c>
    </row>
    <row r="92" spans="1:4">
      <c r="A92" s="91">
        <v>43609</v>
      </c>
      <c r="B92" s="96" t="s">
        <v>117</v>
      </c>
      <c r="C92" s="96" t="s">
        <v>118</v>
      </c>
      <c r="D92" s="109">
        <v>13708</v>
      </c>
    </row>
    <row r="93" spans="1:4">
      <c r="A93" s="91">
        <v>43609</v>
      </c>
      <c r="B93" s="96" t="s">
        <v>119</v>
      </c>
      <c r="C93" s="96" t="s">
        <v>120</v>
      </c>
      <c r="D93" s="109">
        <v>9356</v>
      </c>
    </row>
    <row r="94" spans="1:4">
      <c r="A94" s="91">
        <v>43609</v>
      </c>
      <c r="B94" s="96" t="s">
        <v>121</v>
      </c>
      <c r="C94" s="96" t="s">
        <v>122</v>
      </c>
      <c r="D94" s="109">
        <v>7800</v>
      </c>
    </row>
    <row r="95" spans="1:4">
      <c r="A95" s="91">
        <v>43609</v>
      </c>
      <c r="B95" s="96" t="s">
        <v>15</v>
      </c>
      <c r="C95" s="96" t="s">
        <v>123</v>
      </c>
      <c r="D95" s="109">
        <v>7800</v>
      </c>
    </row>
    <row r="96" spans="1:4">
      <c r="A96" s="91">
        <v>43609</v>
      </c>
      <c r="B96" s="96" t="s">
        <v>119</v>
      </c>
      <c r="C96" s="96" t="s">
        <v>124</v>
      </c>
      <c r="D96" s="109">
        <v>9356</v>
      </c>
    </row>
    <row r="97" spans="1:4">
      <c r="A97" s="91">
        <v>43616</v>
      </c>
      <c r="B97" s="96" t="s">
        <v>117</v>
      </c>
      <c r="C97" s="96" t="s">
        <v>118</v>
      </c>
      <c r="D97" s="109">
        <v>15625</v>
      </c>
    </row>
    <row r="98" spans="1:4">
      <c r="A98" s="91">
        <v>43616</v>
      </c>
      <c r="B98" s="96" t="s">
        <v>119</v>
      </c>
      <c r="C98" s="96" t="s">
        <v>120</v>
      </c>
      <c r="D98" s="109">
        <v>10442</v>
      </c>
    </row>
    <row r="99" spans="1:4">
      <c r="A99" s="91">
        <v>43616</v>
      </c>
      <c r="B99" s="96" t="s">
        <v>121</v>
      </c>
      <c r="C99" s="96" t="s">
        <v>122</v>
      </c>
      <c r="D99" s="109">
        <v>7471</v>
      </c>
    </row>
    <row r="100" spans="1:4">
      <c r="A100" s="91">
        <v>43616</v>
      </c>
      <c r="B100" s="96" t="s">
        <v>15</v>
      </c>
      <c r="C100" s="96" t="s">
        <v>123</v>
      </c>
      <c r="D100" s="109">
        <v>7471</v>
      </c>
    </row>
    <row r="101" spans="1:4">
      <c r="A101" s="91">
        <v>43616</v>
      </c>
      <c r="B101" s="96" t="s">
        <v>119</v>
      </c>
      <c r="C101" s="96" t="s">
        <v>124</v>
      </c>
      <c r="D101" s="109">
        <v>10442</v>
      </c>
    </row>
    <row r="102" spans="1:4">
      <c r="A102" s="91">
        <v>43623</v>
      </c>
      <c r="B102" s="96" t="s">
        <v>117</v>
      </c>
      <c r="C102" s="96" t="s">
        <v>118</v>
      </c>
      <c r="D102" s="109">
        <v>17208</v>
      </c>
    </row>
    <row r="103" spans="1:4">
      <c r="A103" s="91">
        <v>43623</v>
      </c>
      <c r="B103" s="96" t="s">
        <v>119</v>
      </c>
      <c r="C103" s="96" t="s">
        <v>120</v>
      </c>
      <c r="D103" s="109">
        <v>10220</v>
      </c>
    </row>
    <row r="104" spans="1:4">
      <c r="A104" s="91">
        <v>43623</v>
      </c>
      <c r="B104" s="96" t="s">
        <v>121</v>
      </c>
      <c r="C104" s="96" t="s">
        <v>122</v>
      </c>
      <c r="D104" s="109">
        <v>7200</v>
      </c>
    </row>
    <row r="105" spans="1:4">
      <c r="A105" s="91">
        <v>43623</v>
      </c>
      <c r="B105" s="96" t="s">
        <v>15</v>
      </c>
      <c r="C105" s="96" t="s">
        <v>123</v>
      </c>
      <c r="D105" s="109">
        <v>7200</v>
      </c>
    </row>
    <row r="106" spans="1:4">
      <c r="A106" s="91">
        <v>43623</v>
      </c>
      <c r="B106" s="96" t="s">
        <v>119</v>
      </c>
      <c r="C106" s="96" t="s">
        <v>124</v>
      </c>
      <c r="D106" s="109">
        <v>10220</v>
      </c>
    </row>
    <row r="107" spans="1:4">
      <c r="A107" s="91">
        <v>43630</v>
      </c>
      <c r="B107" s="96" t="s">
        <v>117</v>
      </c>
      <c r="C107" s="96" t="s">
        <v>118</v>
      </c>
      <c r="D107" s="109">
        <v>15458</v>
      </c>
    </row>
    <row r="108" spans="1:4">
      <c r="A108" s="91">
        <v>43630</v>
      </c>
      <c r="B108" s="96" t="s">
        <v>119</v>
      </c>
      <c r="C108" s="96" t="s">
        <v>120</v>
      </c>
      <c r="D108" s="109">
        <v>9627</v>
      </c>
    </row>
    <row r="109" spans="1:4">
      <c r="A109" s="91">
        <v>43630</v>
      </c>
      <c r="B109" s="96" t="s">
        <v>121</v>
      </c>
      <c r="C109" s="96" t="s">
        <v>122</v>
      </c>
      <c r="D109" s="109">
        <v>6814</v>
      </c>
    </row>
    <row r="110" spans="1:4">
      <c r="A110" s="91">
        <v>43630</v>
      </c>
      <c r="B110" s="96" t="s">
        <v>15</v>
      </c>
      <c r="C110" s="96" t="s">
        <v>123</v>
      </c>
      <c r="D110" s="109">
        <v>6814</v>
      </c>
    </row>
    <row r="111" spans="1:4">
      <c r="A111" s="91">
        <v>43630</v>
      </c>
      <c r="B111" s="96" t="s">
        <v>119</v>
      </c>
      <c r="C111" s="96" t="s">
        <v>124</v>
      </c>
      <c r="D111" s="109">
        <v>9627</v>
      </c>
    </row>
    <row r="112" spans="1:4">
      <c r="A112" s="91">
        <v>43637</v>
      </c>
      <c r="B112" s="96" t="s">
        <v>117</v>
      </c>
      <c r="C112" s="96" t="s">
        <v>118</v>
      </c>
      <c r="D112" s="109">
        <v>17350</v>
      </c>
    </row>
    <row r="113" spans="1:4">
      <c r="A113" s="91">
        <v>43637</v>
      </c>
      <c r="B113" s="96" t="s">
        <v>119</v>
      </c>
      <c r="C113" s="96" t="s">
        <v>120</v>
      </c>
      <c r="D113" s="109">
        <v>8894</v>
      </c>
    </row>
    <row r="114" spans="1:4">
      <c r="A114" s="91">
        <v>43637</v>
      </c>
      <c r="B114" s="96" t="s">
        <v>121</v>
      </c>
      <c r="C114" s="96" t="s">
        <v>122</v>
      </c>
      <c r="D114" s="109">
        <v>7121</v>
      </c>
    </row>
    <row r="115" spans="1:4">
      <c r="A115" s="91">
        <v>43637</v>
      </c>
      <c r="B115" s="96" t="s">
        <v>15</v>
      </c>
      <c r="C115" s="96" t="s">
        <v>123</v>
      </c>
      <c r="D115" s="109">
        <v>7121</v>
      </c>
    </row>
    <row r="116" spans="1:4">
      <c r="A116" s="91">
        <v>43637</v>
      </c>
      <c r="B116" s="96" t="s">
        <v>119</v>
      </c>
      <c r="C116" s="96" t="s">
        <v>124</v>
      </c>
      <c r="D116" s="109">
        <v>8894</v>
      </c>
    </row>
    <row r="117" spans="1:4">
      <c r="A117" s="91">
        <v>43644</v>
      </c>
      <c r="B117" s="96" t="s">
        <v>117</v>
      </c>
      <c r="C117" s="96" t="s">
        <v>118</v>
      </c>
      <c r="D117" s="109">
        <v>15988</v>
      </c>
    </row>
    <row r="118" spans="1:4">
      <c r="A118" s="91">
        <v>43644</v>
      </c>
      <c r="B118" s="96" t="s">
        <v>119</v>
      </c>
      <c r="C118" s="96" t="s">
        <v>120</v>
      </c>
      <c r="D118" s="109">
        <v>9459</v>
      </c>
    </row>
    <row r="119" spans="1:4">
      <c r="A119" s="91">
        <v>43644</v>
      </c>
      <c r="B119" s="96" t="s">
        <v>121</v>
      </c>
      <c r="C119" s="96" t="s">
        <v>122</v>
      </c>
      <c r="D119" s="109">
        <v>7564</v>
      </c>
    </row>
    <row r="120" spans="1:4">
      <c r="A120" s="91">
        <v>43644</v>
      </c>
      <c r="B120" s="96" t="s">
        <v>15</v>
      </c>
      <c r="C120" s="96" t="s">
        <v>123</v>
      </c>
      <c r="D120" s="109">
        <v>7564</v>
      </c>
    </row>
    <row r="121" spans="1:4">
      <c r="A121" s="91">
        <v>43644</v>
      </c>
      <c r="B121" s="96" t="s">
        <v>119</v>
      </c>
      <c r="C121" s="96" t="s">
        <v>124</v>
      </c>
      <c r="D121" s="109">
        <v>9459</v>
      </c>
    </row>
    <row r="122" spans="1:4">
      <c r="A122" s="91">
        <v>43651</v>
      </c>
      <c r="B122" s="96" t="s">
        <v>117</v>
      </c>
      <c r="C122" s="96" t="s">
        <v>118</v>
      </c>
      <c r="D122" s="109">
        <v>23142</v>
      </c>
    </row>
    <row r="123" spans="1:4">
      <c r="A123" s="91">
        <v>43651</v>
      </c>
      <c r="B123" s="96" t="s">
        <v>119</v>
      </c>
      <c r="C123" s="96" t="s">
        <v>120</v>
      </c>
      <c r="D123" s="109">
        <v>10784</v>
      </c>
    </row>
    <row r="124" spans="1:4">
      <c r="A124" s="91">
        <v>43651</v>
      </c>
      <c r="B124" s="96" t="s">
        <v>121</v>
      </c>
      <c r="C124" s="96" t="s">
        <v>122</v>
      </c>
      <c r="D124" s="109">
        <v>7721</v>
      </c>
    </row>
    <row r="125" spans="1:4">
      <c r="A125" s="91">
        <v>43651</v>
      </c>
      <c r="B125" s="96" t="s">
        <v>15</v>
      </c>
      <c r="C125" s="96" t="s">
        <v>123</v>
      </c>
      <c r="D125" s="109">
        <v>7721</v>
      </c>
    </row>
    <row r="126" spans="1:4">
      <c r="A126" s="91">
        <v>43651</v>
      </c>
      <c r="B126" s="96" t="s">
        <v>119</v>
      </c>
      <c r="C126" s="96" t="s">
        <v>124</v>
      </c>
      <c r="D126" s="109">
        <v>10784</v>
      </c>
    </row>
    <row r="127" spans="1:4">
      <c r="A127" s="91">
        <v>43658</v>
      </c>
      <c r="B127" s="96" t="s">
        <v>117</v>
      </c>
      <c r="C127" s="96" t="s">
        <v>118</v>
      </c>
      <c r="D127" s="109">
        <v>23717</v>
      </c>
    </row>
    <row r="128" spans="1:4">
      <c r="A128" s="91">
        <v>43658</v>
      </c>
      <c r="B128" s="96" t="s">
        <v>119</v>
      </c>
      <c r="C128" s="96" t="s">
        <v>120</v>
      </c>
      <c r="D128" s="109">
        <v>12055</v>
      </c>
    </row>
    <row r="129" spans="1:4">
      <c r="A129" s="91">
        <v>43658</v>
      </c>
      <c r="B129" s="96" t="s">
        <v>121</v>
      </c>
      <c r="C129" s="96" t="s">
        <v>122</v>
      </c>
      <c r="D129" s="109">
        <v>7921</v>
      </c>
    </row>
    <row r="130" spans="1:4">
      <c r="A130" s="91">
        <v>43658</v>
      </c>
      <c r="B130" s="96" t="s">
        <v>15</v>
      </c>
      <c r="C130" s="96" t="s">
        <v>123</v>
      </c>
      <c r="D130" s="109">
        <v>7921</v>
      </c>
    </row>
    <row r="131" spans="1:4">
      <c r="A131" s="91">
        <v>43658</v>
      </c>
      <c r="B131" s="96" t="s">
        <v>119</v>
      </c>
      <c r="C131" s="96" t="s">
        <v>124</v>
      </c>
      <c r="D131" s="109">
        <v>12055</v>
      </c>
    </row>
    <row r="132" spans="1:4">
      <c r="A132" s="91">
        <v>43665</v>
      </c>
      <c r="B132" s="96" t="s">
        <v>117</v>
      </c>
      <c r="C132" s="96" t="s">
        <v>118</v>
      </c>
      <c r="D132" s="109">
        <v>29979</v>
      </c>
    </row>
    <row r="133" spans="1:4">
      <c r="A133" s="91">
        <v>43665</v>
      </c>
      <c r="B133" s="96" t="s">
        <v>119</v>
      </c>
      <c r="C133" s="96" t="s">
        <v>120</v>
      </c>
      <c r="D133" s="109">
        <v>13982</v>
      </c>
    </row>
    <row r="134" spans="1:4">
      <c r="A134" s="91">
        <v>43665</v>
      </c>
      <c r="B134" s="96" t="s">
        <v>121</v>
      </c>
      <c r="C134" s="96" t="s">
        <v>122</v>
      </c>
      <c r="D134" s="109">
        <v>8900</v>
      </c>
    </row>
    <row r="135" spans="1:4">
      <c r="A135" s="91">
        <v>43665</v>
      </c>
      <c r="B135" s="96" t="s">
        <v>15</v>
      </c>
      <c r="C135" s="96" t="s">
        <v>123</v>
      </c>
      <c r="D135" s="109">
        <v>8900</v>
      </c>
    </row>
    <row r="136" spans="1:4">
      <c r="A136" s="91">
        <v>43665</v>
      </c>
      <c r="B136" s="96" t="s">
        <v>119</v>
      </c>
      <c r="C136" s="96" t="s">
        <v>124</v>
      </c>
      <c r="D136" s="109">
        <v>13982</v>
      </c>
    </row>
    <row r="137" spans="1:4">
      <c r="A137" s="91">
        <v>43672</v>
      </c>
      <c r="B137" s="96" t="s">
        <v>117</v>
      </c>
      <c r="C137" s="96" t="s">
        <v>118</v>
      </c>
      <c r="D137" s="109">
        <v>24667</v>
      </c>
    </row>
    <row r="138" spans="1:4">
      <c r="A138" s="91">
        <v>43672</v>
      </c>
      <c r="B138" s="96" t="s">
        <v>119</v>
      </c>
      <c r="C138" s="96" t="s">
        <v>120</v>
      </c>
      <c r="D138" s="109">
        <v>13945</v>
      </c>
    </row>
    <row r="139" spans="1:4">
      <c r="A139" s="91">
        <v>43672</v>
      </c>
      <c r="B139" s="96" t="s">
        <v>121</v>
      </c>
      <c r="C139" s="96" t="s">
        <v>122</v>
      </c>
      <c r="D139" s="109">
        <v>9971</v>
      </c>
    </row>
    <row r="140" spans="1:4">
      <c r="A140" s="91">
        <v>43672</v>
      </c>
      <c r="B140" s="96" t="s">
        <v>15</v>
      </c>
      <c r="C140" s="96" t="s">
        <v>123</v>
      </c>
      <c r="D140" s="109">
        <v>9971</v>
      </c>
    </row>
    <row r="141" spans="1:4">
      <c r="A141" s="91">
        <v>43672</v>
      </c>
      <c r="B141" s="96" t="s">
        <v>119</v>
      </c>
      <c r="C141" s="96" t="s">
        <v>124</v>
      </c>
      <c r="D141" s="109">
        <v>13945</v>
      </c>
    </row>
    <row r="142" spans="1:4">
      <c r="A142" s="91">
        <v>43679</v>
      </c>
      <c r="B142" s="96" t="s">
        <v>117</v>
      </c>
      <c r="C142" s="96" t="s">
        <v>118</v>
      </c>
      <c r="D142" s="109">
        <v>24708</v>
      </c>
    </row>
    <row r="143" spans="1:4">
      <c r="A143" s="91">
        <v>43679</v>
      </c>
      <c r="B143" s="96" t="s">
        <v>119</v>
      </c>
      <c r="C143" s="96" t="s">
        <v>120</v>
      </c>
      <c r="D143" s="109">
        <v>11496</v>
      </c>
    </row>
    <row r="144" spans="1:4">
      <c r="A144" s="91">
        <v>43679</v>
      </c>
      <c r="B144" s="96" t="s">
        <v>121</v>
      </c>
      <c r="C144" s="96" t="s">
        <v>122</v>
      </c>
      <c r="D144" s="109">
        <v>9743</v>
      </c>
    </row>
    <row r="145" spans="1:4">
      <c r="A145" s="91">
        <v>43679</v>
      </c>
      <c r="B145" s="96" t="s">
        <v>15</v>
      </c>
      <c r="C145" s="96" t="s">
        <v>123</v>
      </c>
      <c r="D145" s="109">
        <v>9743</v>
      </c>
    </row>
    <row r="146" spans="1:4">
      <c r="A146" s="91">
        <v>43679</v>
      </c>
      <c r="B146" s="96" t="s">
        <v>119</v>
      </c>
      <c r="C146" s="96" t="s">
        <v>124</v>
      </c>
      <c r="D146" s="109">
        <v>11496</v>
      </c>
    </row>
    <row r="147" spans="1:4">
      <c r="A147" s="91">
        <v>43686</v>
      </c>
      <c r="B147" s="96" t="s">
        <v>117</v>
      </c>
      <c r="C147" s="96" t="s">
        <v>118</v>
      </c>
      <c r="D147" s="109">
        <v>22138</v>
      </c>
    </row>
    <row r="148" spans="1:4">
      <c r="A148" s="91">
        <v>43686</v>
      </c>
      <c r="B148" s="96" t="s">
        <v>119</v>
      </c>
      <c r="C148" s="96" t="s">
        <v>120</v>
      </c>
      <c r="D148" s="109">
        <v>11058</v>
      </c>
    </row>
    <row r="149" spans="1:4">
      <c r="A149" s="91">
        <v>43686</v>
      </c>
      <c r="B149" s="96" t="s">
        <v>121</v>
      </c>
      <c r="C149" s="96" t="s">
        <v>122</v>
      </c>
      <c r="D149" s="109">
        <v>9429</v>
      </c>
    </row>
    <row r="150" spans="1:4">
      <c r="A150" s="91">
        <v>43686</v>
      </c>
      <c r="B150" s="96" t="s">
        <v>15</v>
      </c>
      <c r="C150" s="96" t="s">
        <v>123</v>
      </c>
      <c r="D150" s="109">
        <v>9429</v>
      </c>
    </row>
    <row r="151" spans="1:4">
      <c r="A151" s="91">
        <v>43686</v>
      </c>
      <c r="B151" s="96" t="s">
        <v>119</v>
      </c>
      <c r="C151" s="96" t="s">
        <v>124</v>
      </c>
      <c r="D151" s="109">
        <v>11058</v>
      </c>
    </row>
    <row r="152" spans="1:4">
      <c r="A152" s="91">
        <v>43693</v>
      </c>
      <c r="B152" s="96" t="s">
        <v>117</v>
      </c>
      <c r="C152" s="96" t="s">
        <v>118</v>
      </c>
      <c r="D152" s="109">
        <v>28750</v>
      </c>
    </row>
    <row r="153" spans="1:4">
      <c r="A153" s="91">
        <v>43693</v>
      </c>
      <c r="B153" s="96" t="s">
        <v>119</v>
      </c>
      <c r="C153" s="96" t="s">
        <v>120</v>
      </c>
      <c r="D153" s="109">
        <v>14225</v>
      </c>
    </row>
    <row r="154" spans="1:4">
      <c r="A154" s="91">
        <v>43693</v>
      </c>
      <c r="B154" s="96" t="s">
        <v>121</v>
      </c>
      <c r="C154" s="96" t="s">
        <v>122</v>
      </c>
      <c r="D154" s="109">
        <v>10350</v>
      </c>
    </row>
    <row r="155" spans="1:4">
      <c r="A155" s="91">
        <v>43693</v>
      </c>
      <c r="B155" s="96" t="s">
        <v>15</v>
      </c>
      <c r="C155" s="96" t="s">
        <v>123</v>
      </c>
      <c r="D155" s="109">
        <v>10350</v>
      </c>
    </row>
    <row r="156" spans="1:4">
      <c r="A156" s="91">
        <v>43693</v>
      </c>
      <c r="B156" s="96" t="s">
        <v>119</v>
      </c>
      <c r="C156" s="96" t="s">
        <v>124</v>
      </c>
      <c r="D156" s="109">
        <v>14225</v>
      </c>
    </row>
    <row r="157" spans="1:4">
      <c r="A157" s="91">
        <v>43700</v>
      </c>
      <c r="B157" s="96" t="s">
        <v>117</v>
      </c>
      <c r="C157" s="96" t="s">
        <v>118</v>
      </c>
      <c r="D157" s="109">
        <v>29683</v>
      </c>
    </row>
    <row r="158" spans="1:4">
      <c r="A158" s="91">
        <v>43700</v>
      </c>
      <c r="B158" s="96" t="s">
        <v>119</v>
      </c>
      <c r="C158" s="96" t="s">
        <v>120</v>
      </c>
      <c r="D158" s="109">
        <v>15307</v>
      </c>
    </row>
    <row r="159" spans="1:4">
      <c r="A159" s="91">
        <v>43700</v>
      </c>
      <c r="B159" s="96" t="s">
        <v>121</v>
      </c>
      <c r="C159" s="96" t="s">
        <v>122</v>
      </c>
      <c r="D159" s="109">
        <v>11850</v>
      </c>
    </row>
    <row r="160" spans="1:4">
      <c r="A160" s="91">
        <v>43700</v>
      </c>
      <c r="B160" s="96" t="s">
        <v>15</v>
      </c>
      <c r="C160" s="96" t="s">
        <v>123</v>
      </c>
      <c r="D160" s="109">
        <v>11850</v>
      </c>
    </row>
    <row r="161" spans="1:4">
      <c r="A161" s="91">
        <v>43700</v>
      </c>
      <c r="B161" s="96" t="s">
        <v>119</v>
      </c>
      <c r="C161" s="96" t="s">
        <v>124</v>
      </c>
      <c r="D161" s="109">
        <v>15307</v>
      </c>
    </row>
    <row r="162" spans="1:4">
      <c r="A162" s="91">
        <v>43707</v>
      </c>
      <c r="B162" s="96" t="s">
        <v>117</v>
      </c>
      <c r="C162" s="96" t="s">
        <v>118</v>
      </c>
      <c r="D162" s="109">
        <v>30188</v>
      </c>
    </row>
    <row r="163" spans="1:4">
      <c r="A163" s="91">
        <v>43707</v>
      </c>
      <c r="B163" s="96" t="s">
        <v>119</v>
      </c>
      <c r="C163" s="96" t="s">
        <v>120</v>
      </c>
      <c r="D163" s="109">
        <v>16112</v>
      </c>
    </row>
    <row r="164" spans="1:4">
      <c r="A164" s="91">
        <v>43707</v>
      </c>
      <c r="B164" s="96" t="s">
        <v>121</v>
      </c>
      <c r="C164" s="96" t="s">
        <v>122</v>
      </c>
      <c r="D164" s="109">
        <v>12686</v>
      </c>
    </row>
    <row r="165" spans="1:4">
      <c r="A165" s="91">
        <v>43707</v>
      </c>
      <c r="B165" s="96" t="s">
        <v>15</v>
      </c>
      <c r="C165" s="96" t="s">
        <v>123</v>
      </c>
      <c r="D165" s="109">
        <v>12686</v>
      </c>
    </row>
    <row r="166" spans="1:4">
      <c r="A166" s="91">
        <v>43707</v>
      </c>
      <c r="B166" s="96" t="s">
        <v>119</v>
      </c>
      <c r="C166" s="96" t="s">
        <v>124</v>
      </c>
      <c r="D166" s="109">
        <v>16112</v>
      </c>
    </row>
    <row r="167" spans="1:4">
      <c r="A167" s="91">
        <v>43714</v>
      </c>
      <c r="B167" s="96" t="s">
        <v>117</v>
      </c>
      <c r="C167" s="96" t="s">
        <v>118</v>
      </c>
      <c r="D167" s="109">
        <v>33250</v>
      </c>
    </row>
    <row r="168" spans="1:4">
      <c r="A168" s="91">
        <v>43714</v>
      </c>
      <c r="B168" s="96" t="s">
        <v>119</v>
      </c>
      <c r="C168" s="96" t="s">
        <v>120</v>
      </c>
      <c r="D168" s="109">
        <v>15673</v>
      </c>
    </row>
    <row r="169" spans="1:4">
      <c r="A169" s="91">
        <v>43714</v>
      </c>
      <c r="B169" s="96" t="s">
        <v>121</v>
      </c>
      <c r="C169" s="96" t="s">
        <v>122</v>
      </c>
      <c r="D169" s="109">
        <v>12543</v>
      </c>
    </row>
    <row r="170" spans="1:4">
      <c r="A170" s="91">
        <v>43714</v>
      </c>
      <c r="B170" s="96" t="s">
        <v>15</v>
      </c>
      <c r="C170" s="96" t="s">
        <v>123</v>
      </c>
      <c r="D170" s="109">
        <v>12543</v>
      </c>
    </row>
    <row r="171" spans="1:4">
      <c r="A171" s="91">
        <v>43714</v>
      </c>
      <c r="B171" s="96" t="s">
        <v>119</v>
      </c>
      <c r="C171" s="96" t="s">
        <v>124</v>
      </c>
      <c r="D171" s="109">
        <v>15673</v>
      </c>
    </row>
    <row r="172" spans="1:4">
      <c r="A172" s="91">
        <v>43721</v>
      </c>
      <c r="B172" s="96" t="s">
        <v>117</v>
      </c>
      <c r="C172" s="96" t="s">
        <v>118</v>
      </c>
      <c r="D172" s="109">
        <v>30868</v>
      </c>
    </row>
    <row r="173" spans="1:4">
      <c r="A173" s="91">
        <v>43721</v>
      </c>
      <c r="B173" s="96" t="s">
        <v>119</v>
      </c>
      <c r="C173" s="96" t="s">
        <v>120</v>
      </c>
      <c r="D173" s="109">
        <v>14284</v>
      </c>
    </row>
    <row r="174" spans="1:4">
      <c r="A174" s="91">
        <v>43721</v>
      </c>
      <c r="B174" s="96" t="s">
        <v>121</v>
      </c>
      <c r="C174" s="96" t="s">
        <v>122</v>
      </c>
      <c r="D174" s="109">
        <v>12086</v>
      </c>
    </row>
    <row r="175" spans="1:4">
      <c r="A175" s="91">
        <v>43721</v>
      </c>
      <c r="B175" s="96" t="s">
        <v>15</v>
      </c>
      <c r="C175" s="96" t="s">
        <v>123</v>
      </c>
      <c r="D175" s="109">
        <v>12086</v>
      </c>
    </row>
    <row r="176" spans="1:4">
      <c r="A176" s="91">
        <v>43721</v>
      </c>
      <c r="B176" s="96" t="s">
        <v>119</v>
      </c>
      <c r="C176" s="96" t="s">
        <v>124</v>
      </c>
      <c r="D176" s="109">
        <v>14284</v>
      </c>
    </row>
    <row r="177" spans="1:4">
      <c r="A177" s="91">
        <v>43728</v>
      </c>
      <c r="B177" s="96" t="s">
        <v>117</v>
      </c>
      <c r="C177" s="96" t="s">
        <v>118</v>
      </c>
      <c r="D177" s="109">
        <v>24896</v>
      </c>
    </row>
    <row r="178" spans="1:4">
      <c r="A178" s="91">
        <v>43728</v>
      </c>
      <c r="B178" s="96" t="s">
        <v>119</v>
      </c>
      <c r="C178" s="96" t="s">
        <v>120</v>
      </c>
      <c r="D178" s="109">
        <v>13227</v>
      </c>
    </row>
    <row r="179" spans="1:4">
      <c r="A179" s="91">
        <v>43728</v>
      </c>
      <c r="B179" s="96" t="s">
        <v>121</v>
      </c>
      <c r="C179" s="96" t="s">
        <v>122</v>
      </c>
      <c r="D179" s="109">
        <v>11807</v>
      </c>
    </row>
    <row r="180" spans="1:4">
      <c r="A180" s="91">
        <v>43728</v>
      </c>
      <c r="B180" s="96" t="s">
        <v>15</v>
      </c>
      <c r="C180" s="96" t="s">
        <v>123</v>
      </c>
      <c r="D180" s="109">
        <v>11807</v>
      </c>
    </row>
    <row r="181" spans="1:4">
      <c r="A181" s="91">
        <v>43728</v>
      </c>
      <c r="B181" s="96" t="s">
        <v>119</v>
      </c>
      <c r="C181" s="96" t="s">
        <v>124</v>
      </c>
      <c r="D181" s="109">
        <v>13227</v>
      </c>
    </row>
    <row r="182" spans="1:4">
      <c r="A182" s="91">
        <v>43735</v>
      </c>
      <c r="B182" s="96" t="s">
        <v>117</v>
      </c>
      <c r="C182" s="96" t="s">
        <v>118</v>
      </c>
      <c r="D182" s="109">
        <v>20438</v>
      </c>
    </row>
    <row r="183" spans="1:4">
      <c r="A183" s="91">
        <v>43735</v>
      </c>
      <c r="B183" s="96" t="s">
        <v>119</v>
      </c>
      <c r="C183" s="96" t="s">
        <v>120</v>
      </c>
      <c r="D183" s="109">
        <v>11941</v>
      </c>
    </row>
    <row r="184" spans="1:4">
      <c r="A184" s="91">
        <v>43735</v>
      </c>
      <c r="B184" s="96" t="s">
        <v>121</v>
      </c>
      <c r="C184" s="96" t="s">
        <v>122</v>
      </c>
      <c r="D184" s="109">
        <v>11671</v>
      </c>
    </row>
    <row r="185" spans="1:4">
      <c r="A185" s="91">
        <v>43735</v>
      </c>
      <c r="B185" s="96" t="s">
        <v>15</v>
      </c>
      <c r="C185" s="96" t="s">
        <v>123</v>
      </c>
      <c r="D185" s="109">
        <v>11671</v>
      </c>
    </row>
    <row r="186" spans="1:4">
      <c r="A186" s="91">
        <v>43735</v>
      </c>
      <c r="B186" s="96" t="s">
        <v>119</v>
      </c>
      <c r="C186" s="96" t="s">
        <v>124</v>
      </c>
      <c r="D186" s="109">
        <v>11941</v>
      </c>
    </row>
    <row r="187" spans="1:4">
      <c r="A187" s="91">
        <v>43742</v>
      </c>
      <c r="B187" s="96" t="s">
        <v>117</v>
      </c>
      <c r="C187" s="96" t="s">
        <v>118</v>
      </c>
      <c r="D187" s="109">
        <v>20438</v>
      </c>
    </row>
    <row r="188" spans="1:4">
      <c r="A188" s="91">
        <v>43742</v>
      </c>
      <c r="B188" s="96" t="s">
        <v>119</v>
      </c>
      <c r="C188" s="96" t="s">
        <v>120</v>
      </c>
      <c r="D188" s="109">
        <v>11941</v>
      </c>
    </row>
    <row r="189" spans="1:4">
      <c r="A189" s="91">
        <v>43742</v>
      </c>
      <c r="B189" s="96" t="s">
        <v>121</v>
      </c>
      <c r="C189" s="96" t="s">
        <v>122</v>
      </c>
      <c r="D189" s="109">
        <v>11671</v>
      </c>
    </row>
    <row r="190" spans="1:4">
      <c r="A190" s="91">
        <v>43742</v>
      </c>
      <c r="B190" s="96" t="s">
        <v>15</v>
      </c>
      <c r="C190" s="96" t="s">
        <v>123</v>
      </c>
      <c r="D190" s="109">
        <v>11671</v>
      </c>
    </row>
    <row r="191" spans="1:4">
      <c r="A191" s="91">
        <v>43742</v>
      </c>
      <c r="B191" s="96" t="s">
        <v>119</v>
      </c>
      <c r="C191" s="96" t="s">
        <v>124</v>
      </c>
      <c r="D191" s="109">
        <v>11941</v>
      </c>
    </row>
    <row r="192" spans="1:4">
      <c r="A192" s="91">
        <v>43749</v>
      </c>
      <c r="B192" s="96" t="s">
        <v>117</v>
      </c>
      <c r="C192" s="96" t="s">
        <v>118</v>
      </c>
      <c r="D192" s="109">
        <v>24633</v>
      </c>
    </row>
    <row r="193" spans="1:4">
      <c r="A193" s="91">
        <v>43749</v>
      </c>
      <c r="B193" s="96" t="s">
        <v>119</v>
      </c>
      <c r="C193" s="96" t="s">
        <v>120</v>
      </c>
      <c r="D193" s="109">
        <v>13525</v>
      </c>
    </row>
    <row r="194" spans="1:4">
      <c r="A194" s="91">
        <v>43749</v>
      </c>
      <c r="B194" s="96" t="s">
        <v>121</v>
      </c>
      <c r="C194" s="96" t="s">
        <v>122</v>
      </c>
      <c r="D194" s="109">
        <v>12086</v>
      </c>
    </row>
    <row r="195" spans="1:4">
      <c r="A195" s="91">
        <v>43749</v>
      </c>
      <c r="B195" s="96" t="s">
        <v>15</v>
      </c>
      <c r="C195" s="96" t="s">
        <v>123</v>
      </c>
      <c r="D195" s="109">
        <v>12086</v>
      </c>
    </row>
    <row r="196" spans="1:4">
      <c r="A196" s="91">
        <v>43749</v>
      </c>
      <c r="B196" s="96" t="s">
        <v>119</v>
      </c>
      <c r="C196" s="96" t="s">
        <v>124</v>
      </c>
      <c r="D196" s="109">
        <v>13525</v>
      </c>
    </row>
    <row r="197" spans="1:4">
      <c r="A197" s="91">
        <v>43756</v>
      </c>
      <c r="B197" s="96" t="s">
        <v>117</v>
      </c>
      <c r="C197" s="96" t="s">
        <v>118</v>
      </c>
      <c r="D197" s="109">
        <v>23125</v>
      </c>
    </row>
    <row r="198" spans="1:4">
      <c r="A198" s="91">
        <v>43756</v>
      </c>
      <c r="B198" s="96" t="s">
        <v>119</v>
      </c>
      <c r="C198" s="96" t="s">
        <v>120</v>
      </c>
      <c r="D198" s="109">
        <v>13442</v>
      </c>
    </row>
    <row r="199" spans="1:4">
      <c r="A199" s="91">
        <v>43756</v>
      </c>
      <c r="B199" s="96" t="s">
        <v>121</v>
      </c>
      <c r="C199" s="96" t="s">
        <v>122</v>
      </c>
      <c r="D199" s="109">
        <v>12314</v>
      </c>
    </row>
    <row r="200" spans="1:4">
      <c r="A200" s="91">
        <v>43756</v>
      </c>
      <c r="B200" s="96" t="s">
        <v>15</v>
      </c>
      <c r="C200" s="96" t="s">
        <v>123</v>
      </c>
      <c r="D200" s="109">
        <v>12314</v>
      </c>
    </row>
    <row r="201" spans="1:4">
      <c r="A201" s="91">
        <v>43756</v>
      </c>
      <c r="B201" s="96" t="s">
        <v>119</v>
      </c>
      <c r="C201" s="96" t="s">
        <v>124</v>
      </c>
      <c r="D201" s="109">
        <v>13442</v>
      </c>
    </row>
    <row r="202" spans="1:4">
      <c r="A202" s="91">
        <v>43763</v>
      </c>
      <c r="B202" s="96" t="s">
        <v>117</v>
      </c>
      <c r="C202" s="96" t="s">
        <v>118</v>
      </c>
      <c r="D202" s="109">
        <v>23388</v>
      </c>
    </row>
    <row r="203" spans="1:4">
      <c r="A203" s="91">
        <v>43763</v>
      </c>
      <c r="B203" s="96" t="s">
        <v>119</v>
      </c>
      <c r="C203" s="96" t="s">
        <v>120</v>
      </c>
      <c r="D203" s="109">
        <v>11884</v>
      </c>
    </row>
    <row r="204" spans="1:4">
      <c r="A204" s="91">
        <v>43763</v>
      </c>
      <c r="B204" s="96" t="s">
        <v>121</v>
      </c>
      <c r="C204" s="96" t="s">
        <v>122</v>
      </c>
      <c r="D204" s="109">
        <v>12100</v>
      </c>
    </row>
    <row r="205" spans="1:4">
      <c r="A205" s="91">
        <v>43763</v>
      </c>
      <c r="B205" s="96" t="s">
        <v>15</v>
      </c>
      <c r="C205" s="96" t="s">
        <v>123</v>
      </c>
      <c r="D205" s="109">
        <v>12100</v>
      </c>
    </row>
    <row r="206" spans="1:4">
      <c r="A206" s="91">
        <v>43763</v>
      </c>
      <c r="B206" s="96" t="s">
        <v>119</v>
      </c>
      <c r="C206" s="96" t="s">
        <v>124</v>
      </c>
      <c r="D206" s="109">
        <v>11884</v>
      </c>
    </row>
    <row r="207" spans="1:4">
      <c r="A207" s="91">
        <v>43770</v>
      </c>
      <c r="B207" s="96" t="s">
        <v>117</v>
      </c>
      <c r="C207" s="96" t="s">
        <v>118</v>
      </c>
      <c r="D207" s="109">
        <v>22496</v>
      </c>
    </row>
    <row r="208" spans="1:4">
      <c r="A208" s="91">
        <v>43770</v>
      </c>
      <c r="B208" s="96" t="s">
        <v>119</v>
      </c>
      <c r="C208" s="96" t="s">
        <v>120</v>
      </c>
      <c r="D208" s="109">
        <v>10908</v>
      </c>
    </row>
    <row r="209" spans="1:4">
      <c r="A209" s="91">
        <v>43770</v>
      </c>
      <c r="B209" s="96" t="s">
        <v>121</v>
      </c>
      <c r="C209" s="96" t="s">
        <v>122</v>
      </c>
      <c r="D209" s="109">
        <v>11521</v>
      </c>
    </row>
    <row r="210" spans="1:4">
      <c r="A210" s="91">
        <v>43770</v>
      </c>
      <c r="B210" s="96" t="s">
        <v>15</v>
      </c>
      <c r="C210" s="96" t="s">
        <v>123</v>
      </c>
      <c r="D210" s="109">
        <v>11521</v>
      </c>
    </row>
    <row r="211" spans="1:4">
      <c r="A211" s="91">
        <v>43770</v>
      </c>
      <c r="B211" s="96" t="s">
        <v>119</v>
      </c>
      <c r="C211" s="96" t="s">
        <v>124</v>
      </c>
      <c r="D211" s="109">
        <v>10908</v>
      </c>
    </row>
    <row r="212" spans="1:4">
      <c r="A212" s="91">
        <v>43777</v>
      </c>
      <c r="B212" s="96" t="s">
        <v>117</v>
      </c>
      <c r="C212" s="96" t="s">
        <v>118</v>
      </c>
      <c r="D212" s="109">
        <v>20558</v>
      </c>
    </row>
    <row r="213" spans="1:4">
      <c r="A213" s="91">
        <v>43777</v>
      </c>
      <c r="B213" s="96" t="s">
        <v>119</v>
      </c>
      <c r="C213" s="96" t="s">
        <v>120</v>
      </c>
      <c r="D213" s="109">
        <v>9582</v>
      </c>
    </row>
    <row r="214" spans="1:4">
      <c r="A214" s="91">
        <v>43777</v>
      </c>
      <c r="B214" s="96" t="s">
        <v>121</v>
      </c>
      <c r="C214" s="96" t="s">
        <v>122</v>
      </c>
      <c r="D214" s="109">
        <v>9314</v>
      </c>
    </row>
    <row r="215" spans="1:4">
      <c r="A215" s="91">
        <v>43777</v>
      </c>
      <c r="B215" s="96" t="s">
        <v>15</v>
      </c>
      <c r="C215" s="96" t="s">
        <v>123</v>
      </c>
      <c r="D215" s="109">
        <v>9314</v>
      </c>
    </row>
    <row r="216" spans="1:4">
      <c r="A216" s="91">
        <v>43777</v>
      </c>
      <c r="B216" s="96" t="s">
        <v>119</v>
      </c>
      <c r="C216" s="96" t="s">
        <v>124</v>
      </c>
      <c r="D216" s="109">
        <v>9582</v>
      </c>
    </row>
    <row r="217" spans="1:4">
      <c r="A217" s="91">
        <v>43784</v>
      </c>
      <c r="B217" s="96" t="s">
        <v>117</v>
      </c>
      <c r="C217" s="96" t="s">
        <v>118</v>
      </c>
      <c r="D217" s="109">
        <v>23171</v>
      </c>
    </row>
    <row r="218" spans="1:4">
      <c r="A218" s="91">
        <v>43784</v>
      </c>
      <c r="B218" s="96" t="s">
        <v>119</v>
      </c>
      <c r="C218" s="96" t="s">
        <v>120</v>
      </c>
      <c r="D218" s="109">
        <v>7793</v>
      </c>
    </row>
    <row r="219" spans="1:4">
      <c r="A219" s="91">
        <v>43784</v>
      </c>
      <c r="B219" s="96" t="s">
        <v>121</v>
      </c>
      <c r="C219" s="96" t="s">
        <v>122</v>
      </c>
      <c r="D219" s="109">
        <v>7943</v>
      </c>
    </row>
    <row r="220" spans="1:4">
      <c r="A220" s="91">
        <v>43784</v>
      </c>
      <c r="B220" s="96" t="s">
        <v>15</v>
      </c>
      <c r="C220" s="96" t="s">
        <v>123</v>
      </c>
      <c r="D220" s="109">
        <v>7943</v>
      </c>
    </row>
    <row r="221" spans="1:4">
      <c r="A221" s="91">
        <v>43784</v>
      </c>
      <c r="B221" s="96" t="s">
        <v>119</v>
      </c>
      <c r="C221" s="96" t="s">
        <v>124</v>
      </c>
      <c r="D221" s="109">
        <v>7793</v>
      </c>
    </row>
    <row r="222" spans="1:4">
      <c r="A222" s="91">
        <v>43791</v>
      </c>
      <c r="B222" s="96" t="s">
        <v>117</v>
      </c>
      <c r="C222" s="96" t="s">
        <v>118</v>
      </c>
      <c r="D222" s="109">
        <v>22717</v>
      </c>
    </row>
    <row r="223" spans="1:4">
      <c r="A223" s="91">
        <v>43791</v>
      </c>
      <c r="B223" s="96" t="s">
        <v>119</v>
      </c>
      <c r="C223" s="96" t="s">
        <v>120</v>
      </c>
      <c r="D223" s="109">
        <v>8186</v>
      </c>
    </row>
    <row r="224" spans="1:4">
      <c r="A224" s="91">
        <v>43791</v>
      </c>
      <c r="B224" s="96" t="s">
        <v>121</v>
      </c>
      <c r="C224" s="96" t="s">
        <v>122</v>
      </c>
      <c r="D224" s="109">
        <v>7879</v>
      </c>
    </row>
    <row r="225" spans="1:4">
      <c r="A225" s="91">
        <v>43791</v>
      </c>
      <c r="B225" s="96" t="s">
        <v>15</v>
      </c>
      <c r="C225" s="96" t="s">
        <v>123</v>
      </c>
      <c r="D225" s="109">
        <v>7879</v>
      </c>
    </row>
    <row r="226" spans="1:4">
      <c r="A226" s="91">
        <v>43791</v>
      </c>
      <c r="B226" s="96" t="s">
        <v>119</v>
      </c>
      <c r="C226" s="96" t="s">
        <v>124</v>
      </c>
      <c r="D226" s="109">
        <v>8186</v>
      </c>
    </row>
    <row r="227" spans="1:4">
      <c r="A227" s="91">
        <v>43798</v>
      </c>
      <c r="B227" s="96" t="s">
        <v>117</v>
      </c>
      <c r="C227" s="96" t="s">
        <v>118</v>
      </c>
      <c r="D227" s="109">
        <v>27225</v>
      </c>
    </row>
    <row r="228" spans="1:4">
      <c r="A228" s="91">
        <v>43798</v>
      </c>
      <c r="B228" s="96" t="s">
        <v>119</v>
      </c>
      <c r="C228" s="96" t="s">
        <v>120</v>
      </c>
      <c r="D228" s="109">
        <v>8920</v>
      </c>
    </row>
    <row r="229" spans="1:4">
      <c r="A229" s="91">
        <v>43798</v>
      </c>
      <c r="B229" s="96" t="s">
        <v>121</v>
      </c>
      <c r="C229" s="96" t="s">
        <v>122</v>
      </c>
      <c r="D229" s="109">
        <v>8264</v>
      </c>
    </row>
    <row r="230" spans="1:4">
      <c r="A230" s="91">
        <v>43798</v>
      </c>
      <c r="B230" s="96" t="s">
        <v>15</v>
      </c>
      <c r="C230" s="96" t="s">
        <v>123</v>
      </c>
      <c r="D230" s="109">
        <v>8264</v>
      </c>
    </row>
    <row r="231" spans="1:4">
      <c r="A231" s="91">
        <v>43798</v>
      </c>
      <c r="B231" s="96" t="s">
        <v>119</v>
      </c>
      <c r="C231" s="96" t="s">
        <v>124</v>
      </c>
      <c r="D231" s="109">
        <v>8920</v>
      </c>
    </row>
    <row r="232" spans="1:4">
      <c r="A232" s="91">
        <v>43805</v>
      </c>
      <c r="B232" s="96" t="s">
        <v>117</v>
      </c>
      <c r="C232" s="96" t="s">
        <v>118</v>
      </c>
      <c r="D232" s="109">
        <v>29775</v>
      </c>
    </row>
    <row r="233" spans="1:4">
      <c r="A233" s="91">
        <v>43805</v>
      </c>
      <c r="B233" s="96" t="s">
        <v>119</v>
      </c>
      <c r="C233" s="96" t="s">
        <v>120</v>
      </c>
      <c r="D233" s="109">
        <v>9635</v>
      </c>
    </row>
    <row r="234" spans="1:4">
      <c r="A234" s="91">
        <v>43805</v>
      </c>
      <c r="B234" s="96" t="s">
        <v>121</v>
      </c>
      <c r="C234" s="96" t="s">
        <v>122</v>
      </c>
      <c r="D234" s="109">
        <v>8264</v>
      </c>
    </row>
    <row r="235" spans="1:4">
      <c r="A235" s="91">
        <v>43805</v>
      </c>
      <c r="B235" s="96" t="s">
        <v>15</v>
      </c>
      <c r="C235" s="96" t="s">
        <v>123</v>
      </c>
      <c r="D235" s="109">
        <v>8264</v>
      </c>
    </row>
    <row r="236" spans="1:4">
      <c r="A236" s="91">
        <v>43805</v>
      </c>
      <c r="B236" s="96" t="s">
        <v>119</v>
      </c>
      <c r="C236" s="96" t="s">
        <v>124</v>
      </c>
      <c r="D236" s="109">
        <v>9635</v>
      </c>
    </row>
    <row r="237" spans="1:4">
      <c r="A237" s="91">
        <v>43812</v>
      </c>
      <c r="B237" s="96" t="s">
        <v>117</v>
      </c>
      <c r="C237" s="96" t="s">
        <v>118</v>
      </c>
      <c r="D237" s="109">
        <v>20679</v>
      </c>
    </row>
    <row r="238" spans="1:4">
      <c r="A238" s="91">
        <v>43812</v>
      </c>
      <c r="B238" s="96" t="s">
        <v>119</v>
      </c>
      <c r="C238" s="96" t="s">
        <v>120</v>
      </c>
      <c r="D238" s="109">
        <v>10382</v>
      </c>
    </row>
    <row r="239" spans="1:4">
      <c r="A239" s="91">
        <v>43812</v>
      </c>
      <c r="B239" s="96" t="s">
        <v>121</v>
      </c>
      <c r="C239" s="96" t="s">
        <v>122</v>
      </c>
      <c r="D239" s="109">
        <v>8121</v>
      </c>
    </row>
    <row r="240" spans="1:4">
      <c r="A240" s="91">
        <v>43812</v>
      </c>
      <c r="B240" s="96" t="s">
        <v>15</v>
      </c>
      <c r="C240" s="96" t="s">
        <v>123</v>
      </c>
      <c r="D240" s="109">
        <v>8121</v>
      </c>
    </row>
    <row r="241" spans="1:4">
      <c r="A241" s="91">
        <v>43812</v>
      </c>
      <c r="B241" s="96" t="s">
        <v>119</v>
      </c>
      <c r="C241" s="96" t="s">
        <v>124</v>
      </c>
      <c r="D241" s="109">
        <v>10382</v>
      </c>
    </row>
    <row r="242" spans="1:4">
      <c r="A242" s="91">
        <v>43819</v>
      </c>
      <c r="B242" s="96" t="s">
        <v>117</v>
      </c>
      <c r="C242" s="96" t="s">
        <v>118</v>
      </c>
      <c r="D242" s="109">
        <v>11729</v>
      </c>
    </row>
    <row r="243" spans="1:4">
      <c r="A243" s="91">
        <v>43819</v>
      </c>
      <c r="B243" s="96" t="s">
        <v>119</v>
      </c>
      <c r="C243" s="96" t="s">
        <v>120</v>
      </c>
      <c r="D243" s="109">
        <v>8149</v>
      </c>
    </row>
    <row r="244" spans="1:4">
      <c r="A244" s="91">
        <v>43819</v>
      </c>
      <c r="B244" s="96" t="s">
        <v>121</v>
      </c>
      <c r="C244" s="96" t="s">
        <v>122</v>
      </c>
      <c r="D244" s="109">
        <v>7414</v>
      </c>
    </row>
    <row r="245" spans="1:4">
      <c r="A245" s="91">
        <v>43819</v>
      </c>
      <c r="B245" s="96" t="s">
        <v>15</v>
      </c>
      <c r="C245" s="96" t="s">
        <v>123</v>
      </c>
      <c r="D245" s="109">
        <v>7414</v>
      </c>
    </row>
    <row r="246" spans="1:4">
      <c r="A246" s="91">
        <v>43819</v>
      </c>
      <c r="B246" s="96" t="s">
        <v>119</v>
      </c>
      <c r="C246" s="96" t="s">
        <v>124</v>
      </c>
      <c r="D246" s="109">
        <v>8149</v>
      </c>
    </row>
    <row r="247" spans="1:4">
      <c r="A247" s="91">
        <v>43826</v>
      </c>
      <c r="B247" s="96" t="s">
        <v>117</v>
      </c>
      <c r="C247" s="96" t="s">
        <v>118</v>
      </c>
      <c r="D247" s="109">
        <v>11525</v>
      </c>
    </row>
    <row r="248" spans="1:4">
      <c r="A248" s="91">
        <v>43826</v>
      </c>
      <c r="B248" s="96" t="s">
        <v>119</v>
      </c>
      <c r="C248" s="96" t="s">
        <v>120</v>
      </c>
      <c r="D248" s="109">
        <v>5931</v>
      </c>
    </row>
    <row r="249" spans="1:4">
      <c r="A249" s="91">
        <v>43826</v>
      </c>
      <c r="B249" s="96" t="s">
        <v>121</v>
      </c>
      <c r="C249" s="96" t="s">
        <v>122</v>
      </c>
      <c r="D249" s="109">
        <v>7088</v>
      </c>
    </row>
    <row r="250" spans="1:4">
      <c r="A250" s="91">
        <v>43826</v>
      </c>
      <c r="B250" s="96" t="s">
        <v>15</v>
      </c>
      <c r="C250" s="96" t="s">
        <v>123</v>
      </c>
      <c r="D250" s="109">
        <v>7088</v>
      </c>
    </row>
    <row r="251" spans="1:4">
      <c r="A251" s="91">
        <v>43826</v>
      </c>
      <c r="B251" s="96" t="s">
        <v>119</v>
      </c>
      <c r="C251" s="96" t="s">
        <v>124</v>
      </c>
      <c r="D251" s="109">
        <v>5931</v>
      </c>
    </row>
    <row r="252" spans="1:4">
      <c r="A252" s="91">
        <v>43833</v>
      </c>
      <c r="B252" s="96" t="s">
        <v>117</v>
      </c>
      <c r="C252" s="96" t="s">
        <v>118</v>
      </c>
      <c r="D252" s="109">
        <v>11525</v>
      </c>
    </row>
    <row r="253" spans="1:4">
      <c r="A253" s="91">
        <v>43833</v>
      </c>
      <c r="B253" s="96" t="s">
        <v>119</v>
      </c>
      <c r="C253" s="96" t="s">
        <v>120</v>
      </c>
      <c r="D253" s="109">
        <v>5931</v>
      </c>
    </row>
    <row r="254" spans="1:4">
      <c r="A254" s="91">
        <v>43833</v>
      </c>
      <c r="B254" s="96" t="s">
        <v>121</v>
      </c>
      <c r="C254" s="96" t="s">
        <v>122</v>
      </c>
      <c r="D254" s="109">
        <v>7088</v>
      </c>
    </row>
    <row r="255" spans="1:4">
      <c r="A255" s="91">
        <v>43833</v>
      </c>
      <c r="B255" s="96" t="s">
        <v>15</v>
      </c>
      <c r="C255" s="96" t="s">
        <v>123</v>
      </c>
      <c r="D255" s="109">
        <v>7088</v>
      </c>
    </row>
    <row r="256" spans="1:4">
      <c r="A256" s="91">
        <v>43833</v>
      </c>
      <c r="B256" s="96" t="s">
        <v>119</v>
      </c>
      <c r="C256" s="96" t="s">
        <v>124</v>
      </c>
      <c r="D256" s="109">
        <v>5931</v>
      </c>
    </row>
    <row r="257" spans="1:4">
      <c r="A257" s="91">
        <v>43840</v>
      </c>
      <c r="B257" s="96" t="s">
        <v>117</v>
      </c>
      <c r="C257" s="96" t="s">
        <v>118</v>
      </c>
      <c r="D257" s="109">
        <v>5758</v>
      </c>
    </row>
    <row r="258" spans="1:4">
      <c r="A258" s="91">
        <v>43840</v>
      </c>
      <c r="B258" s="96" t="s">
        <v>119</v>
      </c>
      <c r="C258" s="96" t="s">
        <v>120</v>
      </c>
      <c r="D258" s="109">
        <v>2607</v>
      </c>
    </row>
    <row r="259" spans="1:4">
      <c r="A259" s="91">
        <v>43840</v>
      </c>
      <c r="B259" s="96" t="s">
        <v>121</v>
      </c>
      <c r="C259" s="96" t="s">
        <v>122</v>
      </c>
      <c r="D259" s="109">
        <v>4421</v>
      </c>
    </row>
    <row r="260" spans="1:4">
      <c r="A260" s="91">
        <v>43840</v>
      </c>
      <c r="B260" s="96" t="s">
        <v>15</v>
      </c>
      <c r="C260" s="96" t="s">
        <v>123</v>
      </c>
      <c r="D260" s="109">
        <v>4421</v>
      </c>
    </row>
    <row r="261" spans="1:4">
      <c r="A261" s="91">
        <v>43840</v>
      </c>
      <c r="B261" s="96" t="s">
        <v>119</v>
      </c>
      <c r="C261" s="96" t="s">
        <v>124</v>
      </c>
      <c r="D261" s="109">
        <v>2607</v>
      </c>
    </row>
    <row r="262" spans="1:4">
      <c r="A262" s="91">
        <v>43847</v>
      </c>
      <c r="B262" s="96" t="s">
        <v>117</v>
      </c>
      <c r="C262" s="96" t="s">
        <v>118</v>
      </c>
      <c r="D262" s="109">
        <v>3871</v>
      </c>
    </row>
    <row r="263" spans="1:4">
      <c r="A263" s="91">
        <v>43847</v>
      </c>
      <c r="B263" s="96" t="s">
        <v>119</v>
      </c>
      <c r="C263" s="96" t="s">
        <v>120</v>
      </c>
      <c r="D263" s="109">
        <v>5538</v>
      </c>
    </row>
    <row r="264" spans="1:4">
      <c r="A264" s="91">
        <v>43847</v>
      </c>
      <c r="B264" s="96" t="s">
        <v>121</v>
      </c>
      <c r="C264" s="96" t="s">
        <v>122</v>
      </c>
      <c r="D264" s="109">
        <v>4414</v>
      </c>
    </row>
    <row r="265" spans="1:4">
      <c r="A265" s="91">
        <v>43847</v>
      </c>
      <c r="B265" s="96" t="s">
        <v>15</v>
      </c>
      <c r="C265" s="96" t="s">
        <v>123</v>
      </c>
      <c r="D265" s="109">
        <v>4414</v>
      </c>
    </row>
    <row r="266" spans="1:4">
      <c r="A266" s="91">
        <v>43847</v>
      </c>
      <c r="B266" s="96" t="s">
        <v>119</v>
      </c>
      <c r="C266" s="96" t="s">
        <v>124</v>
      </c>
      <c r="D266" s="109">
        <v>5538</v>
      </c>
    </row>
    <row r="267" spans="1:4">
      <c r="A267" s="91">
        <v>43854</v>
      </c>
      <c r="B267" s="96" t="s">
        <v>117</v>
      </c>
      <c r="C267" s="96" t="s">
        <v>118</v>
      </c>
      <c r="D267" s="109">
        <v>4772</v>
      </c>
    </row>
    <row r="268" spans="1:4">
      <c r="A268" s="91">
        <v>43854</v>
      </c>
      <c r="B268" s="96" t="s">
        <v>119</v>
      </c>
      <c r="C268" s="96" t="s">
        <v>120</v>
      </c>
      <c r="D268" s="109">
        <v>4880</v>
      </c>
    </row>
    <row r="269" spans="1:4">
      <c r="A269" s="91">
        <v>43854</v>
      </c>
      <c r="B269" s="96" t="s">
        <v>121</v>
      </c>
      <c r="C269" s="96" t="s">
        <v>122</v>
      </c>
      <c r="D269" s="109">
        <v>5976</v>
      </c>
    </row>
    <row r="270" spans="1:4">
      <c r="A270" s="91">
        <v>43854</v>
      </c>
      <c r="B270" s="96" t="s">
        <v>15</v>
      </c>
      <c r="C270" s="96" t="s">
        <v>123</v>
      </c>
      <c r="D270" s="109">
        <v>5976</v>
      </c>
    </row>
    <row r="271" spans="1:4">
      <c r="A271" s="91">
        <v>43854</v>
      </c>
      <c r="B271" s="96" t="s">
        <v>119</v>
      </c>
      <c r="C271" s="96" t="s">
        <v>124</v>
      </c>
      <c r="D271" s="109">
        <v>4880</v>
      </c>
    </row>
    <row r="272" spans="1:4">
      <c r="A272" s="91">
        <v>43861</v>
      </c>
      <c r="B272" s="96" t="s">
        <v>117</v>
      </c>
      <c r="C272" s="96" t="s">
        <v>118</v>
      </c>
      <c r="D272" s="109">
        <v>3973</v>
      </c>
    </row>
    <row r="273" spans="1:4">
      <c r="A273" s="91">
        <v>43861</v>
      </c>
      <c r="B273" s="96" t="s">
        <v>119</v>
      </c>
      <c r="C273" s="96" t="s">
        <v>120</v>
      </c>
      <c r="D273" s="109">
        <v>3827</v>
      </c>
    </row>
    <row r="274" spans="1:4">
      <c r="A274" s="91">
        <v>43861</v>
      </c>
      <c r="B274" s="96" t="s">
        <v>121</v>
      </c>
      <c r="C274" s="96" t="s">
        <v>122</v>
      </c>
      <c r="D274" s="109">
        <v>5764</v>
      </c>
    </row>
    <row r="275" spans="1:4">
      <c r="A275" s="91">
        <v>43861</v>
      </c>
      <c r="B275" s="96" t="s">
        <v>15</v>
      </c>
      <c r="C275" s="96" t="s">
        <v>123</v>
      </c>
      <c r="D275" s="109">
        <v>5764</v>
      </c>
    </row>
    <row r="276" spans="1:4">
      <c r="A276" s="91">
        <v>43861</v>
      </c>
      <c r="B276" s="96" t="s">
        <v>119</v>
      </c>
      <c r="C276" s="96" t="s">
        <v>124</v>
      </c>
      <c r="D276" s="109">
        <v>3827</v>
      </c>
    </row>
    <row r="277" spans="1:4">
      <c r="A277" s="91">
        <v>43868</v>
      </c>
      <c r="B277" s="96" t="s">
        <v>117</v>
      </c>
      <c r="C277" s="96" t="s">
        <v>118</v>
      </c>
      <c r="D277" s="109">
        <v>2660</v>
      </c>
    </row>
    <row r="278" spans="1:4">
      <c r="A278" s="91">
        <v>43868</v>
      </c>
      <c r="B278" s="96" t="s">
        <v>119</v>
      </c>
      <c r="C278" s="96" t="s">
        <v>120</v>
      </c>
      <c r="D278" s="109">
        <v>3535</v>
      </c>
    </row>
    <row r="279" spans="1:4">
      <c r="A279" s="91">
        <v>43868</v>
      </c>
      <c r="B279" s="96" t="s">
        <v>121</v>
      </c>
      <c r="C279" s="96" t="s">
        <v>122</v>
      </c>
      <c r="D279" s="109">
        <v>5400</v>
      </c>
    </row>
    <row r="280" spans="1:4">
      <c r="A280" s="91">
        <v>43868</v>
      </c>
      <c r="B280" s="96" t="s">
        <v>15</v>
      </c>
      <c r="C280" s="96" t="s">
        <v>123</v>
      </c>
      <c r="D280" s="109">
        <v>5400</v>
      </c>
    </row>
    <row r="281" spans="1:4">
      <c r="A281" s="91">
        <v>43868</v>
      </c>
      <c r="B281" s="96" t="s">
        <v>119</v>
      </c>
      <c r="C281" s="96" t="s">
        <v>124</v>
      </c>
      <c r="D281" s="109">
        <v>3535</v>
      </c>
    </row>
    <row r="282" spans="1:4">
      <c r="A282" s="91">
        <v>43875</v>
      </c>
      <c r="B282" s="96" t="s">
        <v>117</v>
      </c>
      <c r="C282" s="96" t="s">
        <v>118</v>
      </c>
      <c r="D282" s="109">
        <v>2445</v>
      </c>
    </row>
    <row r="283" spans="1:4">
      <c r="A283" s="91">
        <v>43875</v>
      </c>
      <c r="B283" s="96" t="s">
        <v>119</v>
      </c>
      <c r="C283" s="96" t="s">
        <v>120</v>
      </c>
      <c r="D283" s="109">
        <v>4388</v>
      </c>
    </row>
    <row r="284" spans="1:4">
      <c r="A284" s="91">
        <v>43875</v>
      </c>
      <c r="B284" s="96" t="s">
        <v>121</v>
      </c>
      <c r="C284" s="96" t="s">
        <v>122</v>
      </c>
      <c r="D284" s="109">
        <v>5171</v>
      </c>
    </row>
    <row r="285" spans="1:4">
      <c r="A285" s="91">
        <v>43875</v>
      </c>
      <c r="B285" s="96" t="s">
        <v>15</v>
      </c>
      <c r="C285" s="96" t="s">
        <v>123</v>
      </c>
      <c r="D285" s="109">
        <v>5171</v>
      </c>
    </row>
    <row r="286" spans="1:4">
      <c r="A286" s="91">
        <v>43875</v>
      </c>
      <c r="B286" s="96" t="s">
        <v>119</v>
      </c>
      <c r="C286" s="96" t="s">
        <v>124</v>
      </c>
      <c r="D286" s="109">
        <v>4388</v>
      </c>
    </row>
    <row r="287" spans="1:4">
      <c r="A287" s="91">
        <v>43882</v>
      </c>
      <c r="B287" s="96" t="s">
        <v>117</v>
      </c>
      <c r="C287" s="96" t="s">
        <v>118</v>
      </c>
      <c r="D287" s="109">
        <v>3980</v>
      </c>
    </row>
    <row r="288" spans="1:4">
      <c r="A288" s="91">
        <v>43882</v>
      </c>
      <c r="B288" s="96" t="s">
        <v>119</v>
      </c>
      <c r="C288" s="96" t="s">
        <v>120</v>
      </c>
      <c r="D288" s="109">
        <v>5301</v>
      </c>
    </row>
    <row r="289" spans="1:4">
      <c r="A289" s="91">
        <v>43882</v>
      </c>
      <c r="B289" s="96" t="s">
        <v>121</v>
      </c>
      <c r="C289" s="96" t="s">
        <v>122</v>
      </c>
      <c r="D289" s="109">
        <v>5389</v>
      </c>
    </row>
    <row r="290" spans="1:4">
      <c r="A290" s="91">
        <v>43882</v>
      </c>
      <c r="B290" s="96" t="s">
        <v>15</v>
      </c>
      <c r="C290" s="96" t="s">
        <v>123</v>
      </c>
      <c r="D290" s="109">
        <v>5389</v>
      </c>
    </row>
    <row r="291" spans="1:4">
      <c r="A291" s="91">
        <v>43882</v>
      </c>
      <c r="B291" s="96" t="s">
        <v>119</v>
      </c>
      <c r="C291" s="96" t="s">
        <v>124</v>
      </c>
      <c r="D291" s="109">
        <v>5301</v>
      </c>
    </row>
    <row r="292" spans="1:4">
      <c r="A292" s="91">
        <v>43889</v>
      </c>
      <c r="B292" s="96" t="s">
        <v>117</v>
      </c>
      <c r="C292" s="96" t="s">
        <v>118</v>
      </c>
      <c r="D292" s="109">
        <v>4134</v>
      </c>
    </row>
    <row r="293" spans="1:4">
      <c r="A293" s="91">
        <v>43889</v>
      </c>
      <c r="B293" s="96" t="s">
        <v>119</v>
      </c>
      <c r="C293" s="96" t="s">
        <v>120</v>
      </c>
      <c r="D293" s="109">
        <v>6467</v>
      </c>
    </row>
    <row r="294" spans="1:4">
      <c r="A294" s="91">
        <v>43889</v>
      </c>
      <c r="B294" s="96" t="s">
        <v>121</v>
      </c>
      <c r="C294" s="96" t="s">
        <v>122</v>
      </c>
      <c r="D294" s="109">
        <v>4673</v>
      </c>
    </row>
    <row r="295" spans="1:4">
      <c r="A295" s="91">
        <v>43889</v>
      </c>
      <c r="B295" s="96" t="s">
        <v>15</v>
      </c>
      <c r="C295" s="96" t="s">
        <v>123</v>
      </c>
      <c r="D295" s="109">
        <v>4673</v>
      </c>
    </row>
    <row r="296" spans="1:4">
      <c r="A296" s="91">
        <v>43889</v>
      </c>
      <c r="B296" s="96" t="s">
        <v>119</v>
      </c>
      <c r="C296" s="96" t="s">
        <v>124</v>
      </c>
      <c r="D296" s="109">
        <v>6467</v>
      </c>
    </row>
    <row r="297" spans="1:4">
      <c r="A297" s="91">
        <v>43896</v>
      </c>
      <c r="B297" s="96" t="s">
        <v>117</v>
      </c>
      <c r="C297" s="96" t="s">
        <v>118</v>
      </c>
      <c r="D297" s="109">
        <v>3351.3333333333335</v>
      </c>
    </row>
    <row r="298" spans="1:4">
      <c r="A298" s="91">
        <v>43896</v>
      </c>
      <c r="B298" s="96" t="s">
        <v>119</v>
      </c>
      <c r="C298" s="96" t="s">
        <v>120</v>
      </c>
      <c r="D298" s="109">
        <v>6946.333333333333</v>
      </c>
    </row>
    <row r="299" spans="1:4">
      <c r="A299" s="91">
        <v>43896</v>
      </c>
      <c r="B299" s="96" t="s">
        <v>121</v>
      </c>
      <c r="C299" s="96" t="s">
        <v>122</v>
      </c>
      <c r="D299" s="109">
        <v>5566.333333333333</v>
      </c>
    </row>
    <row r="300" spans="1:4">
      <c r="A300" s="91">
        <v>43896</v>
      </c>
      <c r="B300" s="96" t="s">
        <v>15</v>
      </c>
      <c r="C300" s="96" t="s">
        <v>123</v>
      </c>
      <c r="D300" s="109">
        <v>5566.333333333333</v>
      </c>
    </row>
    <row r="301" spans="1:4">
      <c r="A301" s="91">
        <v>43896</v>
      </c>
      <c r="B301" s="96" t="s">
        <v>119</v>
      </c>
      <c r="C301" s="96" t="s">
        <v>124</v>
      </c>
      <c r="D301" s="109">
        <v>6946.333333333333</v>
      </c>
    </row>
    <row r="302" spans="1:4">
      <c r="A302" s="91">
        <v>43903</v>
      </c>
      <c r="B302" s="96" t="s">
        <v>117</v>
      </c>
      <c r="C302" s="96" t="s">
        <v>118</v>
      </c>
      <c r="D302" s="109">
        <v>3422.3333333333335</v>
      </c>
    </row>
    <row r="303" spans="1:4">
      <c r="A303" s="91">
        <v>43903</v>
      </c>
      <c r="B303" s="96" t="s">
        <v>119</v>
      </c>
      <c r="C303" s="96" t="s">
        <v>120</v>
      </c>
      <c r="D303" s="109">
        <v>7538.666666666667</v>
      </c>
    </row>
    <row r="304" spans="1:4">
      <c r="A304" s="91">
        <v>43903</v>
      </c>
      <c r="B304" s="96" t="s">
        <v>121</v>
      </c>
      <c r="C304" s="96" t="s">
        <v>122</v>
      </c>
      <c r="D304" s="109">
        <v>6395</v>
      </c>
    </row>
    <row r="305" spans="1:4">
      <c r="A305" s="91">
        <v>43903</v>
      </c>
      <c r="B305" s="96" t="s">
        <v>15</v>
      </c>
      <c r="C305" s="96" t="s">
        <v>123</v>
      </c>
      <c r="D305" s="109">
        <v>6395</v>
      </c>
    </row>
    <row r="306" spans="1:4">
      <c r="A306" s="91">
        <v>43903</v>
      </c>
      <c r="B306" s="96" t="s">
        <v>119</v>
      </c>
      <c r="C306" s="96" t="s">
        <v>124</v>
      </c>
      <c r="D306" s="109">
        <v>7538.666666666667</v>
      </c>
    </row>
    <row r="307" spans="1:4">
      <c r="A307" s="91">
        <v>43910</v>
      </c>
      <c r="B307" s="96" t="s">
        <v>117</v>
      </c>
      <c r="C307" s="96" t="s">
        <v>118</v>
      </c>
      <c r="D307" s="109">
        <v>3451.3333333333335</v>
      </c>
    </row>
    <row r="308" spans="1:4">
      <c r="A308" s="91">
        <v>43910</v>
      </c>
      <c r="B308" s="96" t="s">
        <v>119</v>
      </c>
      <c r="C308" s="96" t="s">
        <v>120</v>
      </c>
      <c r="D308" s="109">
        <v>6764.666666666667</v>
      </c>
    </row>
    <row r="309" spans="1:4">
      <c r="A309" s="91">
        <v>43910</v>
      </c>
      <c r="B309" s="96" t="s">
        <v>121</v>
      </c>
      <c r="C309" s="96" t="s">
        <v>122</v>
      </c>
      <c r="D309" s="109">
        <v>6671.333333333333</v>
      </c>
    </row>
    <row r="310" spans="1:4">
      <c r="A310" s="91">
        <v>43910</v>
      </c>
      <c r="B310" s="96" t="s">
        <v>15</v>
      </c>
      <c r="C310" s="96" t="s">
        <v>123</v>
      </c>
      <c r="D310" s="109">
        <v>6671.333333333333</v>
      </c>
    </row>
    <row r="311" spans="1:4">
      <c r="A311" s="91">
        <v>43910</v>
      </c>
      <c r="B311" s="96" t="s">
        <v>119</v>
      </c>
      <c r="C311" s="96" t="s">
        <v>124</v>
      </c>
      <c r="D311" s="109">
        <v>6764.666666666667</v>
      </c>
    </row>
    <row r="312" spans="1:4">
      <c r="A312" s="91">
        <v>43917</v>
      </c>
      <c r="B312" s="96" t="s">
        <v>117</v>
      </c>
      <c r="C312" s="96" t="s">
        <v>118</v>
      </c>
      <c r="D312" s="109">
        <v>3771</v>
      </c>
    </row>
    <row r="313" spans="1:4">
      <c r="A313" s="91">
        <v>43917</v>
      </c>
      <c r="B313" s="96" t="s">
        <v>119</v>
      </c>
      <c r="C313" s="96" t="s">
        <v>120</v>
      </c>
      <c r="D313" s="109">
        <v>5208.5</v>
      </c>
    </row>
    <row r="314" spans="1:4">
      <c r="A314" s="91">
        <v>43917</v>
      </c>
      <c r="B314" s="96" t="s">
        <v>121</v>
      </c>
      <c r="C314" s="96" t="s">
        <v>122</v>
      </c>
      <c r="D314" s="109">
        <v>6593</v>
      </c>
    </row>
    <row r="315" spans="1:4">
      <c r="A315" s="91">
        <v>43917</v>
      </c>
      <c r="B315" s="96" t="s">
        <v>15</v>
      </c>
      <c r="C315" s="96" t="s">
        <v>123</v>
      </c>
      <c r="D315" s="109">
        <v>6593</v>
      </c>
    </row>
    <row r="316" spans="1:4">
      <c r="A316" s="91">
        <v>43917</v>
      </c>
      <c r="B316" s="96" t="s">
        <v>119</v>
      </c>
      <c r="C316" s="96" t="s">
        <v>124</v>
      </c>
      <c r="D316" s="109">
        <v>5208.5</v>
      </c>
    </row>
    <row r="317" spans="1:4">
      <c r="A317" s="91">
        <v>43924</v>
      </c>
      <c r="B317" s="96" t="s">
        <v>117</v>
      </c>
      <c r="C317" s="96" t="s">
        <v>118</v>
      </c>
      <c r="D317" s="109">
        <v>8446</v>
      </c>
    </row>
    <row r="318" spans="1:4">
      <c r="A318" s="91">
        <v>43924</v>
      </c>
      <c r="B318" s="96" t="s">
        <v>119</v>
      </c>
      <c r="C318" s="96" t="s">
        <v>120</v>
      </c>
      <c r="D318" s="109">
        <v>5854</v>
      </c>
    </row>
    <row r="319" spans="1:4">
      <c r="A319" s="91">
        <v>43924</v>
      </c>
      <c r="B319" s="96" t="s">
        <v>121</v>
      </c>
      <c r="C319" s="96" t="s">
        <v>122</v>
      </c>
      <c r="D319" s="109">
        <v>5521</v>
      </c>
    </row>
    <row r="320" spans="1:4">
      <c r="A320" s="91">
        <v>43924</v>
      </c>
      <c r="B320" s="96" t="s">
        <v>15</v>
      </c>
      <c r="C320" s="96" t="s">
        <v>123</v>
      </c>
      <c r="D320" s="109">
        <v>5521</v>
      </c>
    </row>
    <row r="321" spans="1:4">
      <c r="A321" s="91">
        <v>43924</v>
      </c>
      <c r="B321" s="96" t="s">
        <v>119</v>
      </c>
      <c r="C321" s="96" t="s">
        <v>124</v>
      </c>
      <c r="D321" s="109">
        <v>5854</v>
      </c>
    </row>
    <row r="322" spans="1:4">
      <c r="A322" s="91">
        <v>43931</v>
      </c>
      <c r="B322" s="96" t="s">
        <v>117</v>
      </c>
      <c r="C322" s="96" t="s">
        <v>118</v>
      </c>
      <c r="D322" s="109">
        <v>6424</v>
      </c>
    </row>
    <row r="323" spans="1:4">
      <c r="A323" s="91">
        <v>43931</v>
      </c>
      <c r="B323" s="96" t="s">
        <v>119</v>
      </c>
      <c r="C323" s="96" t="s">
        <v>120</v>
      </c>
      <c r="D323" s="109">
        <v>6758</v>
      </c>
    </row>
    <row r="324" spans="1:4">
      <c r="A324" s="91">
        <v>43931</v>
      </c>
      <c r="B324" s="96" t="s">
        <v>121</v>
      </c>
      <c r="C324" s="96" t="s">
        <v>122</v>
      </c>
      <c r="D324" s="109">
        <v>5117.666666666667</v>
      </c>
    </row>
    <row r="325" spans="1:4">
      <c r="A325" s="91">
        <v>43931</v>
      </c>
      <c r="B325" s="96" t="s">
        <v>15</v>
      </c>
      <c r="C325" s="96" t="s">
        <v>123</v>
      </c>
      <c r="D325" s="109">
        <v>5117.666666666667</v>
      </c>
    </row>
    <row r="326" spans="1:4">
      <c r="A326" s="91">
        <v>43931</v>
      </c>
      <c r="B326" s="96" t="s">
        <v>119</v>
      </c>
      <c r="C326" s="96" t="s">
        <v>124</v>
      </c>
      <c r="D326" s="109">
        <v>6758</v>
      </c>
    </row>
    <row r="327" spans="1:4">
      <c r="A327" s="91">
        <v>43938</v>
      </c>
      <c r="B327" s="96" t="s">
        <v>117</v>
      </c>
      <c r="C327" s="96" t="s">
        <v>118</v>
      </c>
      <c r="D327" s="109">
        <v>6906</v>
      </c>
    </row>
    <row r="328" spans="1:4">
      <c r="A328" s="91">
        <v>43938</v>
      </c>
      <c r="B328" s="96" t="s">
        <v>119</v>
      </c>
      <c r="C328" s="96" t="s">
        <v>120</v>
      </c>
      <c r="D328" s="109">
        <v>7422</v>
      </c>
    </row>
    <row r="329" spans="1:4">
      <c r="A329" s="91">
        <v>43938</v>
      </c>
      <c r="B329" s="96" t="s">
        <v>121</v>
      </c>
      <c r="C329" s="96" t="s">
        <v>122</v>
      </c>
      <c r="D329" s="109">
        <v>4903.5</v>
      </c>
    </row>
    <row r="330" spans="1:4">
      <c r="A330" s="91">
        <v>43938</v>
      </c>
      <c r="B330" s="96" t="s">
        <v>15</v>
      </c>
      <c r="C330" s="96" t="s">
        <v>123</v>
      </c>
      <c r="D330" s="109">
        <v>4903.5</v>
      </c>
    </row>
    <row r="331" spans="1:4">
      <c r="A331" s="91">
        <v>43938</v>
      </c>
      <c r="B331" s="96" t="s">
        <v>119</v>
      </c>
      <c r="C331" s="96" t="s">
        <v>124</v>
      </c>
      <c r="D331" s="109">
        <v>7422</v>
      </c>
    </row>
    <row r="332" spans="1:4">
      <c r="A332" s="91">
        <v>43945</v>
      </c>
      <c r="B332" s="96" t="s">
        <v>117</v>
      </c>
      <c r="C332" s="96" t="s">
        <v>118</v>
      </c>
      <c r="D332" s="109">
        <v>7919.333333333333</v>
      </c>
    </row>
    <row r="333" spans="1:4">
      <c r="A333" s="91">
        <v>43945</v>
      </c>
      <c r="B333" s="96" t="s">
        <v>119</v>
      </c>
      <c r="C333" s="96" t="s">
        <v>120</v>
      </c>
      <c r="D333" s="109">
        <v>6759</v>
      </c>
    </row>
    <row r="334" spans="1:4">
      <c r="A334" s="91">
        <v>43945</v>
      </c>
      <c r="B334" s="96" t="s">
        <v>121</v>
      </c>
      <c r="C334" s="96" t="s">
        <v>122</v>
      </c>
      <c r="D334" s="109">
        <v>4711.666666666667</v>
      </c>
    </row>
    <row r="335" spans="1:4">
      <c r="A335" s="91">
        <v>43945</v>
      </c>
      <c r="B335" s="96" t="s">
        <v>15</v>
      </c>
      <c r="C335" s="96" t="s">
        <v>123</v>
      </c>
      <c r="D335" s="109">
        <v>4711.666666666667</v>
      </c>
    </row>
    <row r="336" spans="1:4">
      <c r="A336" s="91">
        <v>43945</v>
      </c>
      <c r="B336" s="96" t="s">
        <v>119</v>
      </c>
      <c r="C336" s="96" t="s">
        <v>124</v>
      </c>
      <c r="D336" s="109">
        <v>6759</v>
      </c>
    </row>
    <row r="337" spans="1:4">
      <c r="A337" s="91">
        <v>43952</v>
      </c>
      <c r="B337" s="96" t="s">
        <v>117</v>
      </c>
      <c r="C337" s="96" t="s">
        <v>118</v>
      </c>
      <c r="D337" s="109">
        <v>6668</v>
      </c>
    </row>
    <row r="338" spans="1:4">
      <c r="A338" s="91">
        <v>43952</v>
      </c>
      <c r="B338" s="96" t="s">
        <v>119</v>
      </c>
      <c r="C338" s="96" t="s">
        <v>120</v>
      </c>
      <c r="D338" s="109">
        <v>5884</v>
      </c>
    </row>
    <row r="339" spans="1:4">
      <c r="A339" s="91">
        <v>43952</v>
      </c>
      <c r="B339" s="96" t="s">
        <v>121</v>
      </c>
      <c r="C339" s="96" t="s">
        <v>122</v>
      </c>
      <c r="D339" s="109">
        <v>4724</v>
      </c>
    </row>
    <row r="340" spans="1:4">
      <c r="A340" s="91">
        <v>43952</v>
      </c>
      <c r="B340" s="96" t="s">
        <v>15</v>
      </c>
      <c r="C340" s="96" t="s">
        <v>123</v>
      </c>
      <c r="D340" s="109">
        <v>4724</v>
      </c>
    </row>
    <row r="341" spans="1:4">
      <c r="A341" s="91">
        <v>43952</v>
      </c>
      <c r="B341" s="96" t="s">
        <v>119</v>
      </c>
      <c r="C341" s="96" t="s">
        <v>124</v>
      </c>
      <c r="D341" s="109">
        <v>5884</v>
      </c>
    </row>
    <row r="342" spans="1:4">
      <c r="A342" s="91">
        <v>43959</v>
      </c>
      <c r="B342" s="96" t="s">
        <v>117</v>
      </c>
      <c r="C342" s="96" t="s">
        <v>118</v>
      </c>
      <c r="D342" s="109">
        <v>6592.5</v>
      </c>
    </row>
    <row r="343" spans="1:4">
      <c r="A343" s="91">
        <v>43959</v>
      </c>
      <c r="B343" s="96" t="s">
        <v>119</v>
      </c>
      <c r="C343" s="96" t="s">
        <v>120</v>
      </c>
      <c r="D343" s="109">
        <v>5856.5</v>
      </c>
    </row>
    <row r="344" spans="1:4">
      <c r="A344" s="91">
        <v>43959</v>
      </c>
      <c r="B344" s="96" t="s">
        <v>121</v>
      </c>
      <c r="C344" s="96" t="s">
        <v>122</v>
      </c>
      <c r="D344" s="109">
        <v>4866.5</v>
      </c>
    </row>
    <row r="345" spans="1:4">
      <c r="A345" s="91">
        <v>43959</v>
      </c>
      <c r="B345" s="96" t="s">
        <v>15</v>
      </c>
      <c r="C345" s="96" t="s">
        <v>123</v>
      </c>
      <c r="D345" s="109">
        <v>4866.5</v>
      </c>
    </row>
    <row r="346" spans="1:4">
      <c r="A346" s="91">
        <v>43959</v>
      </c>
      <c r="B346" s="96" t="s">
        <v>119</v>
      </c>
      <c r="C346" s="96" t="s">
        <v>124</v>
      </c>
      <c r="D346" s="109">
        <v>5856.5</v>
      </c>
    </row>
    <row r="347" spans="1:4">
      <c r="A347" s="91">
        <v>43966</v>
      </c>
      <c r="B347" s="96" t="s">
        <v>117</v>
      </c>
      <c r="C347" s="96" t="s">
        <v>118</v>
      </c>
      <c r="D347" s="109">
        <v>3118.3333333333335</v>
      </c>
    </row>
    <row r="348" spans="1:4">
      <c r="A348" s="91">
        <v>43966</v>
      </c>
      <c r="B348" s="96" t="s">
        <v>119</v>
      </c>
      <c r="C348" s="96" t="s">
        <v>120</v>
      </c>
      <c r="D348" s="109">
        <v>6013.333333333333</v>
      </c>
    </row>
    <row r="349" spans="1:4">
      <c r="A349" s="91">
        <v>43966</v>
      </c>
      <c r="B349" s="96" t="s">
        <v>121</v>
      </c>
      <c r="C349" s="96" t="s">
        <v>122</v>
      </c>
      <c r="D349" s="109">
        <v>5138</v>
      </c>
    </row>
    <row r="350" spans="1:4">
      <c r="A350" s="91">
        <v>43966</v>
      </c>
      <c r="B350" s="96" t="s">
        <v>15</v>
      </c>
      <c r="C350" s="96" t="s">
        <v>123</v>
      </c>
      <c r="D350" s="109">
        <v>5138</v>
      </c>
    </row>
    <row r="351" spans="1:4">
      <c r="A351" s="91">
        <v>43966</v>
      </c>
      <c r="B351" s="96" t="s">
        <v>119</v>
      </c>
      <c r="C351" s="96" t="s">
        <v>124</v>
      </c>
      <c r="D351" s="109">
        <v>6013.333333333333</v>
      </c>
    </row>
    <row r="352" spans="1:4">
      <c r="A352" s="91">
        <v>43973</v>
      </c>
      <c r="B352" s="96" t="s">
        <v>117</v>
      </c>
      <c r="C352" s="96" t="s">
        <v>118</v>
      </c>
      <c r="D352" s="109">
        <v>5601.666666666667</v>
      </c>
    </row>
    <row r="353" spans="1:4">
      <c r="A353" s="91">
        <v>43973</v>
      </c>
      <c r="B353" s="96" t="s">
        <v>119</v>
      </c>
      <c r="C353" s="96" t="s">
        <v>120</v>
      </c>
      <c r="D353" s="109">
        <v>6048</v>
      </c>
    </row>
    <row r="354" spans="1:4">
      <c r="A354" s="91">
        <v>43973</v>
      </c>
      <c r="B354" s="96" t="s">
        <v>121</v>
      </c>
      <c r="C354" s="96" t="s">
        <v>122</v>
      </c>
      <c r="D354" s="109">
        <v>5471.666666666667</v>
      </c>
    </row>
    <row r="355" spans="1:4">
      <c r="A355" s="91">
        <v>43973</v>
      </c>
      <c r="B355" s="96" t="s">
        <v>15</v>
      </c>
      <c r="C355" s="96" t="s">
        <v>123</v>
      </c>
      <c r="D355" s="109">
        <v>5471.666666666667</v>
      </c>
    </row>
    <row r="356" spans="1:4">
      <c r="A356" s="91">
        <v>43973</v>
      </c>
      <c r="B356" s="96" t="s">
        <v>119</v>
      </c>
      <c r="C356" s="96" t="s">
        <v>124</v>
      </c>
      <c r="D356" s="109">
        <v>6048</v>
      </c>
    </row>
    <row r="357" spans="1:4">
      <c r="A357" s="91">
        <v>43980</v>
      </c>
      <c r="B357" s="96" t="s">
        <v>117</v>
      </c>
      <c r="C357" s="96" t="s">
        <v>118</v>
      </c>
      <c r="D357" s="109">
        <v>4581</v>
      </c>
    </row>
    <row r="358" spans="1:4">
      <c r="A358" s="91">
        <v>43980</v>
      </c>
      <c r="B358" s="96" t="s">
        <v>119</v>
      </c>
      <c r="C358" s="96" t="s">
        <v>120</v>
      </c>
      <c r="D358" s="109">
        <v>7256</v>
      </c>
    </row>
    <row r="359" spans="1:4">
      <c r="A359" s="91">
        <v>43980</v>
      </c>
      <c r="B359" s="96" t="s">
        <v>121</v>
      </c>
      <c r="C359" s="96" t="s">
        <v>122</v>
      </c>
      <c r="D359" s="109">
        <v>6350</v>
      </c>
    </row>
    <row r="360" spans="1:4">
      <c r="A360" s="91">
        <v>43980</v>
      </c>
      <c r="B360" s="96" t="s">
        <v>15</v>
      </c>
      <c r="C360" s="96" t="s">
        <v>123</v>
      </c>
      <c r="D360" s="109">
        <v>6350</v>
      </c>
    </row>
    <row r="361" spans="1:4">
      <c r="A361" s="91">
        <v>43980</v>
      </c>
      <c r="B361" s="96" t="s">
        <v>119</v>
      </c>
      <c r="C361" s="96" t="s">
        <v>124</v>
      </c>
      <c r="D361" s="109">
        <v>7256</v>
      </c>
    </row>
    <row r="362" spans="1:4">
      <c r="A362" s="91">
        <v>43987</v>
      </c>
      <c r="B362" s="96" t="s">
        <v>117</v>
      </c>
      <c r="C362" s="96" t="s">
        <v>118</v>
      </c>
      <c r="D362" s="109">
        <v>6862.75</v>
      </c>
    </row>
    <row r="363" spans="1:4">
      <c r="A363" s="91">
        <v>43987</v>
      </c>
      <c r="B363" s="96" t="s">
        <v>119</v>
      </c>
      <c r="C363" s="96" t="s">
        <v>120</v>
      </c>
      <c r="D363" s="109">
        <v>7580</v>
      </c>
    </row>
    <row r="364" spans="1:4">
      <c r="A364" s="91">
        <v>43987</v>
      </c>
      <c r="B364" s="96" t="s">
        <v>121</v>
      </c>
      <c r="C364" s="96" t="s">
        <v>122</v>
      </c>
      <c r="D364" s="109">
        <v>6249.25</v>
      </c>
    </row>
    <row r="365" spans="1:4">
      <c r="A365" s="91">
        <v>43987</v>
      </c>
      <c r="B365" s="96" t="s">
        <v>15</v>
      </c>
      <c r="C365" s="96" t="s">
        <v>123</v>
      </c>
      <c r="D365" s="109">
        <v>6249.25</v>
      </c>
    </row>
    <row r="366" spans="1:4">
      <c r="A366" s="91">
        <v>43987</v>
      </c>
      <c r="B366" s="96" t="s">
        <v>119</v>
      </c>
      <c r="C366" s="96" t="s">
        <v>124</v>
      </c>
      <c r="D366" s="109">
        <v>7580</v>
      </c>
    </row>
    <row r="367" spans="1:4">
      <c r="A367" s="91">
        <v>43994</v>
      </c>
      <c r="B367" s="96" t="s">
        <v>117</v>
      </c>
      <c r="C367" s="96" t="s">
        <v>118</v>
      </c>
      <c r="D367" s="109">
        <v>11097</v>
      </c>
    </row>
    <row r="368" spans="1:4">
      <c r="A368" s="91">
        <v>43994</v>
      </c>
      <c r="B368" s="96" t="s">
        <v>119</v>
      </c>
      <c r="C368" s="96" t="s">
        <v>120</v>
      </c>
      <c r="D368" s="109">
        <v>7532.25</v>
      </c>
    </row>
    <row r="369" spans="1:4">
      <c r="A369" s="91">
        <v>43994</v>
      </c>
      <c r="B369" s="96" t="s">
        <v>121</v>
      </c>
      <c r="C369" s="96" t="s">
        <v>122</v>
      </c>
      <c r="D369" s="109">
        <v>6475.75</v>
      </c>
    </row>
    <row r="370" spans="1:4">
      <c r="A370" s="91">
        <v>43994</v>
      </c>
      <c r="B370" s="96" t="s">
        <v>15</v>
      </c>
      <c r="C370" s="96" t="s">
        <v>123</v>
      </c>
      <c r="D370" s="109">
        <v>6475.75</v>
      </c>
    </row>
    <row r="371" spans="1:4">
      <c r="A371" s="91">
        <v>43994</v>
      </c>
      <c r="B371" s="96" t="s">
        <v>119</v>
      </c>
      <c r="C371" s="96" t="s">
        <v>124</v>
      </c>
      <c r="D371" s="109">
        <v>7532.25</v>
      </c>
    </row>
    <row r="372" spans="1:4">
      <c r="A372" s="91">
        <v>44001</v>
      </c>
      <c r="B372" s="96" t="s">
        <v>117</v>
      </c>
      <c r="C372" s="96" t="s">
        <v>118</v>
      </c>
      <c r="D372" s="109">
        <v>18873.75</v>
      </c>
    </row>
    <row r="373" spans="1:4">
      <c r="A373" s="91">
        <v>44001</v>
      </c>
      <c r="B373" s="96" t="s">
        <v>119</v>
      </c>
      <c r="C373" s="96" t="s">
        <v>120</v>
      </c>
      <c r="D373" s="109">
        <v>8390.75</v>
      </c>
    </row>
    <row r="374" spans="1:4">
      <c r="A374" s="91">
        <v>44001</v>
      </c>
      <c r="B374" s="96" t="s">
        <v>121</v>
      </c>
      <c r="C374" s="96" t="s">
        <v>122</v>
      </c>
      <c r="D374" s="109">
        <v>7105.25</v>
      </c>
    </row>
    <row r="375" spans="1:4">
      <c r="A375" s="91">
        <v>44001</v>
      </c>
      <c r="B375" s="96" t="s">
        <v>15</v>
      </c>
      <c r="C375" s="96" t="s">
        <v>123</v>
      </c>
      <c r="D375" s="109">
        <v>7105.25</v>
      </c>
    </row>
    <row r="376" spans="1:4">
      <c r="A376" s="91">
        <v>44001</v>
      </c>
      <c r="B376" s="96" t="s">
        <v>119</v>
      </c>
      <c r="C376" s="96" t="s">
        <v>124</v>
      </c>
      <c r="D376" s="109">
        <v>8390.75</v>
      </c>
    </row>
    <row r="377" spans="1:4">
      <c r="A377" s="91">
        <v>44008</v>
      </c>
      <c r="B377" s="96" t="s">
        <v>117</v>
      </c>
      <c r="C377" s="96" t="s">
        <v>118</v>
      </c>
      <c r="D377" s="109">
        <v>28206</v>
      </c>
    </row>
    <row r="378" spans="1:4">
      <c r="A378" s="91">
        <v>44008</v>
      </c>
      <c r="B378" s="96" t="s">
        <v>119</v>
      </c>
      <c r="C378" s="96" t="s">
        <v>120</v>
      </c>
      <c r="D378" s="109">
        <v>9770.7999999999993</v>
      </c>
    </row>
    <row r="379" spans="1:4">
      <c r="A379" s="91">
        <v>44008</v>
      </c>
      <c r="B379" s="96" t="s">
        <v>121</v>
      </c>
      <c r="C379" s="96" t="s">
        <v>122</v>
      </c>
      <c r="D379" s="109">
        <v>7322.8</v>
      </c>
    </row>
    <row r="380" spans="1:4">
      <c r="A380" s="91">
        <v>44008</v>
      </c>
      <c r="B380" s="96" t="s">
        <v>15</v>
      </c>
      <c r="C380" s="96" t="s">
        <v>123</v>
      </c>
      <c r="D380" s="109">
        <v>7322.8</v>
      </c>
    </row>
    <row r="381" spans="1:4">
      <c r="A381" s="91">
        <v>44008</v>
      </c>
      <c r="B381" s="96" t="s">
        <v>119</v>
      </c>
      <c r="C381" s="96" t="s">
        <v>124</v>
      </c>
      <c r="D381" s="109">
        <v>9770.7999999999993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C11"/>
  <sheetViews>
    <sheetView zoomScaleNormal="100" workbookViewId="0">
      <selection activeCell="H14" sqref="H14"/>
    </sheetView>
  </sheetViews>
  <sheetFormatPr baseColWidth="10" defaultColWidth="8.5" defaultRowHeight="15"/>
  <cols>
    <col min="1" max="1" width="11.33203125" style="1" bestFit="1" customWidth="1"/>
    <col min="2" max="2" width="10.1640625" bestFit="1" customWidth="1"/>
    <col min="3" max="3" width="17" bestFit="1" customWidth="1"/>
  </cols>
  <sheetData>
    <row r="1" spans="1:3">
      <c r="A1" s="1" t="s">
        <v>1</v>
      </c>
      <c r="B1" s="2" t="s">
        <v>114</v>
      </c>
      <c r="C1" s="2" t="s">
        <v>125</v>
      </c>
    </row>
    <row r="2" spans="1:3">
      <c r="A2" s="91">
        <v>43466</v>
      </c>
      <c r="B2" s="93" t="s">
        <v>126</v>
      </c>
      <c r="C2" s="94">
        <v>11.25</v>
      </c>
    </row>
    <row r="3" spans="1:3">
      <c r="A3" s="91">
        <v>43466</v>
      </c>
      <c r="B3" s="93" t="s">
        <v>117</v>
      </c>
      <c r="C3" s="94">
        <v>11.25</v>
      </c>
    </row>
    <row r="4" spans="1:3">
      <c r="A4" s="91">
        <v>43466</v>
      </c>
      <c r="B4" s="93" t="s">
        <v>119</v>
      </c>
      <c r="C4" s="94">
        <v>11.25</v>
      </c>
    </row>
    <row r="5" spans="1:3">
      <c r="A5" s="91">
        <v>43466</v>
      </c>
      <c r="B5" s="93" t="s">
        <v>121</v>
      </c>
      <c r="C5" s="94">
        <v>11.25</v>
      </c>
    </row>
    <row r="6" spans="1:3">
      <c r="A6" s="91">
        <v>43466</v>
      </c>
      <c r="B6" s="93" t="s">
        <v>15</v>
      </c>
      <c r="C6" s="94">
        <v>11.25</v>
      </c>
    </row>
    <row r="7" spans="1:3">
      <c r="A7" s="91">
        <v>43973</v>
      </c>
      <c r="B7" s="96" t="s">
        <v>126</v>
      </c>
      <c r="C7" s="100">
        <v>11</v>
      </c>
    </row>
    <row r="8" spans="1:3">
      <c r="A8" s="91">
        <v>43973</v>
      </c>
      <c r="B8" s="96" t="s">
        <v>117</v>
      </c>
      <c r="C8" s="100">
        <v>11</v>
      </c>
    </row>
    <row r="9" spans="1:3">
      <c r="A9" s="91">
        <v>43973</v>
      </c>
      <c r="B9" s="96" t="s">
        <v>119</v>
      </c>
      <c r="C9" s="100">
        <v>11</v>
      </c>
    </row>
    <row r="10" spans="1:3">
      <c r="A10" s="91">
        <v>43973</v>
      </c>
      <c r="B10" s="96" t="s">
        <v>121</v>
      </c>
      <c r="C10" s="100">
        <v>11</v>
      </c>
    </row>
    <row r="11" spans="1:3">
      <c r="A11" s="91">
        <v>43973</v>
      </c>
      <c r="B11" s="96" t="s">
        <v>15</v>
      </c>
      <c r="C11" s="100">
        <v>11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S15"/>
  <sheetViews>
    <sheetView zoomScaleNormal="100" workbookViewId="0">
      <selection activeCell="L11" sqref="L11"/>
    </sheetView>
  </sheetViews>
  <sheetFormatPr baseColWidth="10" defaultColWidth="9.1640625" defaultRowHeight="15"/>
  <cols>
    <col min="1" max="1" width="9.83203125" bestFit="1" customWidth="1"/>
    <col min="2" max="2" width="13" bestFit="1" customWidth="1"/>
    <col min="3" max="3" width="24" bestFit="1" customWidth="1"/>
    <col min="4" max="4" width="8.6640625" bestFit="1" customWidth="1"/>
    <col min="5" max="5" width="8.83203125" bestFit="1" customWidth="1"/>
    <col min="6" max="6" width="9" bestFit="1" customWidth="1"/>
    <col min="18" max="18" width="20" customWidth="1"/>
    <col min="19" max="19" width="27.1640625" customWidth="1"/>
  </cols>
  <sheetData>
    <row r="1" spans="1:19" ht="32">
      <c r="A1" s="2" t="s">
        <v>1</v>
      </c>
      <c r="B1" s="2" t="s">
        <v>127</v>
      </c>
      <c r="C1" s="3" t="s">
        <v>0</v>
      </c>
      <c r="D1" s="2" t="s">
        <v>128</v>
      </c>
      <c r="E1" s="2" t="s">
        <v>129</v>
      </c>
      <c r="F1" s="2" t="s">
        <v>130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131</v>
      </c>
      <c r="M1" s="2" t="s">
        <v>8</v>
      </c>
      <c r="N1" s="3" t="s">
        <v>132</v>
      </c>
      <c r="O1" s="3" t="s">
        <v>14</v>
      </c>
      <c r="P1" s="3" t="s">
        <v>133</v>
      </c>
      <c r="Q1" t="s">
        <v>134</v>
      </c>
      <c r="R1" t="s">
        <v>135</v>
      </c>
      <c r="S1" t="s">
        <v>136</v>
      </c>
    </row>
    <row r="2" spans="1:19" ht="16">
      <c r="A2" s="122">
        <v>43525</v>
      </c>
      <c r="B2" s="123" t="s">
        <v>317</v>
      </c>
      <c r="C2" s="126" t="s">
        <v>31</v>
      </c>
      <c r="D2" s="124">
        <v>55</v>
      </c>
      <c r="E2" s="125" t="s">
        <v>140</v>
      </c>
      <c r="F2" s="125" t="s">
        <v>139</v>
      </c>
      <c r="N2" s="127">
        <v>153450</v>
      </c>
      <c r="P2" s="93" t="s">
        <v>113</v>
      </c>
      <c r="Q2" s="125" t="s">
        <v>140</v>
      </c>
      <c r="R2" s="96" t="s">
        <v>139</v>
      </c>
      <c r="S2" s="96" t="s">
        <v>30</v>
      </c>
    </row>
    <row r="3" spans="1:19" ht="16">
      <c r="A3" s="122">
        <v>43530</v>
      </c>
      <c r="B3" s="123" t="s">
        <v>317</v>
      </c>
      <c r="C3" s="126" t="s">
        <v>41</v>
      </c>
      <c r="D3" s="124">
        <v>54</v>
      </c>
      <c r="E3" s="125" t="s">
        <v>140</v>
      </c>
      <c r="F3" s="125" t="s">
        <v>139</v>
      </c>
      <c r="N3" s="127">
        <v>174396</v>
      </c>
      <c r="P3" s="93" t="s">
        <v>113</v>
      </c>
      <c r="Q3" s="125" t="s">
        <v>140</v>
      </c>
      <c r="R3" s="96" t="s">
        <v>139</v>
      </c>
      <c r="S3" s="96" t="s">
        <v>30</v>
      </c>
    </row>
    <row r="4" spans="1:19" ht="16">
      <c r="A4" s="122">
        <v>43531</v>
      </c>
      <c r="B4" s="123" t="s">
        <v>317</v>
      </c>
      <c r="C4" s="126" t="s">
        <v>39</v>
      </c>
      <c r="D4" s="124">
        <v>49</v>
      </c>
      <c r="E4" s="125" t="s">
        <v>140</v>
      </c>
      <c r="F4" s="125" t="s">
        <v>139</v>
      </c>
      <c r="N4" s="127">
        <v>74154</v>
      </c>
      <c r="P4" s="93" t="s">
        <v>113</v>
      </c>
      <c r="Q4" s="125" t="s">
        <v>140</v>
      </c>
      <c r="R4" s="96" t="s">
        <v>139</v>
      </c>
      <c r="S4" s="96" t="s">
        <v>30</v>
      </c>
    </row>
    <row r="5" spans="1:19" ht="16">
      <c r="A5" s="91">
        <v>43923</v>
      </c>
      <c r="B5" s="123" t="s">
        <v>137</v>
      </c>
      <c r="C5" s="126" t="s">
        <v>48</v>
      </c>
      <c r="D5" s="124">
        <v>50</v>
      </c>
      <c r="E5" s="125" t="s">
        <v>138</v>
      </c>
      <c r="F5" s="125" t="s">
        <v>139</v>
      </c>
      <c r="N5" s="127"/>
      <c r="P5" s="93" t="s">
        <v>113</v>
      </c>
      <c r="Q5" s="125" t="s">
        <v>138</v>
      </c>
      <c r="R5" s="96" t="s">
        <v>139</v>
      </c>
      <c r="S5" s="96" t="s">
        <v>30</v>
      </c>
    </row>
    <row r="6" spans="1:19" ht="16">
      <c r="A6" s="91">
        <v>43923</v>
      </c>
      <c r="B6" s="123" t="s">
        <v>137</v>
      </c>
      <c r="C6" s="126" t="s">
        <v>33</v>
      </c>
      <c r="D6" s="124">
        <v>50</v>
      </c>
      <c r="E6" s="125" t="s">
        <v>138</v>
      </c>
      <c r="F6" s="125" t="s">
        <v>139</v>
      </c>
      <c r="N6" s="127"/>
      <c r="P6" s="93" t="s">
        <v>113</v>
      </c>
      <c r="Q6" s="125" t="s">
        <v>138</v>
      </c>
      <c r="R6" s="96" t="s">
        <v>139</v>
      </c>
      <c r="S6" s="96" t="s">
        <v>30</v>
      </c>
    </row>
    <row r="7" spans="1:19" ht="16">
      <c r="A7" s="91">
        <v>43923</v>
      </c>
      <c r="B7" s="123" t="s">
        <v>137</v>
      </c>
      <c r="C7" s="126" t="s">
        <v>50</v>
      </c>
      <c r="D7" s="124">
        <v>50</v>
      </c>
      <c r="E7" s="125" t="s">
        <v>138</v>
      </c>
      <c r="F7" s="125" t="s">
        <v>139</v>
      </c>
      <c r="N7" s="127"/>
      <c r="P7" s="93" t="s">
        <v>113</v>
      </c>
      <c r="Q7" s="125" t="s">
        <v>138</v>
      </c>
      <c r="R7" s="96" t="s">
        <v>139</v>
      </c>
      <c r="S7" s="96" t="s">
        <v>30</v>
      </c>
    </row>
    <row r="8" spans="1:19" ht="16">
      <c r="A8" s="91">
        <v>43923</v>
      </c>
      <c r="B8" s="123" t="s">
        <v>137</v>
      </c>
      <c r="C8" s="126" t="s">
        <v>35</v>
      </c>
      <c r="D8" s="124">
        <v>50</v>
      </c>
      <c r="E8" s="125" t="s">
        <v>138</v>
      </c>
      <c r="F8" s="125" t="s">
        <v>139</v>
      </c>
      <c r="N8" s="127"/>
      <c r="P8" s="93" t="s">
        <v>113</v>
      </c>
      <c r="Q8" s="125" t="s">
        <v>138</v>
      </c>
      <c r="R8" s="96" t="s">
        <v>139</v>
      </c>
      <c r="S8" s="96" t="s">
        <v>30</v>
      </c>
    </row>
    <row r="9" spans="1:19" ht="16">
      <c r="A9" s="91">
        <v>43923</v>
      </c>
      <c r="B9" s="123" t="s">
        <v>137</v>
      </c>
      <c r="C9" s="126" t="s">
        <v>52</v>
      </c>
      <c r="D9" s="124">
        <v>50</v>
      </c>
      <c r="E9" s="125" t="s">
        <v>138</v>
      </c>
      <c r="F9" s="125" t="s">
        <v>139</v>
      </c>
      <c r="N9" s="127"/>
      <c r="P9" s="93" t="s">
        <v>113</v>
      </c>
      <c r="Q9" s="125" t="s">
        <v>138</v>
      </c>
      <c r="R9" s="96" t="s">
        <v>139</v>
      </c>
      <c r="S9" s="96" t="s">
        <v>30</v>
      </c>
    </row>
    <row r="10" spans="1:19" ht="16">
      <c r="A10" s="91">
        <v>43923</v>
      </c>
      <c r="B10" s="123" t="s">
        <v>137</v>
      </c>
      <c r="C10" s="126" t="s">
        <v>54</v>
      </c>
      <c r="D10" s="124">
        <v>100</v>
      </c>
      <c r="E10" s="125" t="s">
        <v>138</v>
      </c>
      <c r="F10" s="125" t="s">
        <v>139</v>
      </c>
      <c r="N10" s="127"/>
      <c r="P10" s="93" t="s">
        <v>113</v>
      </c>
      <c r="Q10" s="125" t="s">
        <v>138</v>
      </c>
      <c r="R10" s="96" t="s">
        <v>139</v>
      </c>
      <c r="S10" s="96" t="s">
        <v>30</v>
      </c>
    </row>
    <row r="11" spans="1:19" ht="16">
      <c r="A11" s="91">
        <v>43923</v>
      </c>
      <c r="B11" s="123" t="s">
        <v>137</v>
      </c>
      <c r="C11" s="126" t="s">
        <v>55</v>
      </c>
      <c r="D11" s="124">
        <v>50</v>
      </c>
      <c r="E11" s="125" t="s">
        <v>138</v>
      </c>
      <c r="F11" s="125" t="s">
        <v>139</v>
      </c>
      <c r="N11" s="127"/>
      <c r="P11" s="93" t="s">
        <v>113</v>
      </c>
      <c r="Q11" s="125" t="s">
        <v>138</v>
      </c>
      <c r="R11" s="96" t="s">
        <v>139</v>
      </c>
      <c r="S11" s="96" t="s">
        <v>30</v>
      </c>
    </row>
    <row r="12" spans="1:19" ht="16">
      <c r="A12" s="91">
        <v>43923</v>
      </c>
      <c r="B12" s="123" t="s">
        <v>137</v>
      </c>
      <c r="C12" s="126" t="s">
        <v>57</v>
      </c>
      <c r="D12" s="124">
        <v>50</v>
      </c>
      <c r="E12" s="125" t="s">
        <v>138</v>
      </c>
      <c r="F12" s="125" t="s">
        <v>139</v>
      </c>
      <c r="N12" s="127"/>
      <c r="P12" s="93" t="s">
        <v>113</v>
      </c>
      <c r="Q12" s="125" t="s">
        <v>138</v>
      </c>
      <c r="R12" s="96" t="s">
        <v>139</v>
      </c>
      <c r="S12" s="96" t="s">
        <v>30</v>
      </c>
    </row>
    <row r="13" spans="1:19" ht="16">
      <c r="A13" s="91">
        <v>43923</v>
      </c>
      <c r="B13" s="123" t="s">
        <v>137</v>
      </c>
      <c r="C13" s="126" t="s">
        <v>59</v>
      </c>
      <c r="D13" s="124">
        <v>50</v>
      </c>
      <c r="E13" s="125" t="s">
        <v>138</v>
      </c>
      <c r="F13" s="125" t="s">
        <v>139</v>
      </c>
      <c r="N13" s="127"/>
      <c r="P13" s="93" t="s">
        <v>113</v>
      </c>
      <c r="Q13" s="125" t="s">
        <v>138</v>
      </c>
      <c r="R13" s="96" t="s">
        <v>139</v>
      </c>
      <c r="S13" s="96" t="s">
        <v>30</v>
      </c>
    </row>
    <row r="14" spans="1:19" ht="16">
      <c r="A14" s="91">
        <v>43923</v>
      </c>
      <c r="B14" s="123" t="s">
        <v>137</v>
      </c>
      <c r="C14" s="126" t="s">
        <v>61</v>
      </c>
      <c r="D14" s="124">
        <v>50</v>
      </c>
      <c r="E14" s="125" t="s">
        <v>138</v>
      </c>
      <c r="F14" s="125" t="s">
        <v>139</v>
      </c>
      <c r="N14" s="127"/>
      <c r="P14" s="93" t="s">
        <v>113</v>
      </c>
      <c r="Q14" s="125" t="s">
        <v>138</v>
      </c>
      <c r="R14" s="96" t="s">
        <v>139</v>
      </c>
      <c r="S14" s="96" t="s">
        <v>30</v>
      </c>
    </row>
    <row r="15" spans="1:19" ht="16">
      <c r="A15" s="91">
        <v>43923</v>
      </c>
      <c r="B15" s="123" t="s">
        <v>137</v>
      </c>
      <c r="C15" s="126" t="s">
        <v>43</v>
      </c>
      <c r="D15" s="124">
        <v>50</v>
      </c>
      <c r="E15" s="125" t="s">
        <v>138</v>
      </c>
      <c r="F15" s="125" t="s">
        <v>139</v>
      </c>
      <c r="N15" s="127">
        <v>140000</v>
      </c>
      <c r="P15" s="93" t="s">
        <v>113</v>
      </c>
      <c r="Q15" s="125" t="s">
        <v>138</v>
      </c>
      <c r="R15" s="96" t="s">
        <v>139</v>
      </c>
      <c r="S15" s="96" t="s">
        <v>30</v>
      </c>
    </row>
  </sheetData>
  <dataValidations disablePrompts="1" count="3">
    <dataValidation type="list" allowBlank="1" showInputMessage="1" showErrorMessage="1" sqref="F2:F15" xr:uid="{BE6737E2-2696-B743-ABF6-7E146F4FA18E}">
      <formula1>"dmt,wmt"</formula1>
    </dataValidation>
    <dataValidation type="list" allowBlank="1" showInputMessage="1" showErrorMessage="1" sqref="E2:E15 Q2:Q15" xr:uid="{3FA0A2FA-2883-3C4D-B100-B12C6A987E04}">
      <formula1>"FOB,CFR,CIF"</formula1>
    </dataValidation>
    <dataValidation type="decimal" allowBlank="1" showInputMessage="1" showErrorMessage="1" sqref="N2:N15" xr:uid="{26551444-69EF-3349-A216-50E2EE36FD53}">
      <formula1>0</formula1>
      <formula2>500000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E8"/>
  <sheetViews>
    <sheetView zoomScaleNormal="100" workbookViewId="0">
      <selection activeCell="I19" sqref="I19"/>
    </sheetView>
  </sheetViews>
  <sheetFormatPr baseColWidth="10" defaultColWidth="9.1640625" defaultRowHeight="15"/>
  <cols>
    <col min="1" max="5" width="17.33203125" customWidth="1"/>
  </cols>
  <sheetData>
    <row r="1" spans="1:5" ht="85">
      <c r="A1" s="4" t="s">
        <v>1</v>
      </c>
      <c r="B1" s="4" t="s">
        <v>0</v>
      </c>
      <c r="C1" s="5" t="s">
        <v>141</v>
      </c>
      <c r="D1" s="5" t="s">
        <v>142</v>
      </c>
      <c r="E1" s="5" t="s">
        <v>143</v>
      </c>
    </row>
    <row r="2" spans="1:5" ht="16">
      <c r="A2" s="128">
        <v>43466</v>
      </c>
      <c r="B2" s="129" t="s">
        <v>43</v>
      </c>
      <c r="C2" s="130" t="s">
        <v>46</v>
      </c>
      <c r="D2" s="129" t="s">
        <v>44</v>
      </c>
      <c r="E2" s="131">
        <v>48000</v>
      </c>
    </row>
    <row r="3" spans="1:5" ht="16">
      <c r="A3" s="128">
        <v>43466</v>
      </c>
      <c r="B3" s="129" t="s">
        <v>45</v>
      </c>
      <c r="C3" s="130" t="s">
        <v>47</v>
      </c>
      <c r="D3" s="129" t="s">
        <v>44</v>
      </c>
      <c r="E3" s="131">
        <v>48000</v>
      </c>
    </row>
    <row r="4" spans="1:5" ht="16">
      <c r="A4" s="6"/>
      <c r="B4" s="6"/>
      <c r="C4" s="6"/>
      <c r="D4" s="6"/>
      <c r="E4" s="7"/>
    </row>
    <row r="5" spans="1:5" ht="16">
      <c r="A5" s="6"/>
      <c r="B5" s="6"/>
      <c r="C5" s="6"/>
      <c r="D5" s="6"/>
      <c r="E5" s="7"/>
    </row>
    <row r="6" spans="1:5" ht="16">
      <c r="A6" s="6"/>
      <c r="B6" s="6"/>
      <c r="C6" s="6"/>
      <c r="D6" s="6"/>
      <c r="E6" s="7"/>
    </row>
    <row r="7" spans="1:5" ht="16">
      <c r="A7" s="6"/>
      <c r="B7" s="6"/>
      <c r="C7" s="6"/>
      <c r="D7" s="6"/>
      <c r="E7" s="7"/>
    </row>
    <row r="8" spans="1:5" ht="16">
      <c r="A8" s="6"/>
      <c r="B8" s="6"/>
      <c r="C8" s="6"/>
      <c r="D8" s="6"/>
      <c r="E8" s="7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2"/>
  <sheetViews>
    <sheetView zoomScaleNormal="100" workbookViewId="0">
      <selection activeCell="E25" sqref="E25"/>
    </sheetView>
  </sheetViews>
  <sheetFormatPr baseColWidth="10" defaultColWidth="9.1640625" defaultRowHeight="15"/>
  <cols>
    <col min="1" max="1" width="35.83203125" customWidth="1"/>
  </cols>
  <sheetData>
    <row r="1" spans="1:1">
      <c r="A1" s="8" t="s">
        <v>144</v>
      </c>
    </row>
    <row r="2" spans="1:1" ht="16">
      <c r="A2" s="9">
        <v>65000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E1001"/>
  <sheetViews>
    <sheetView zoomScaleNormal="100" workbookViewId="0">
      <selection activeCell="A2" sqref="A2:E468"/>
    </sheetView>
  </sheetViews>
  <sheetFormatPr baseColWidth="10" defaultColWidth="9.1640625" defaultRowHeight="15"/>
  <cols>
    <col min="1" max="1" width="19.83203125" customWidth="1"/>
  </cols>
  <sheetData>
    <row r="1" spans="1:5" ht="85">
      <c r="A1" s="10" t="s">
        <v>1</v>
      </c>
      <c r="B1" s="10" t="s">
        <v>145</v>
      </c>
      <c r="C1" s="10" t="s">
        <v>146</v>
      </c>
      <c r="D1" s="10" t="s">
        <v>147</v>
      </c>
      <c r="E1" s="11" t="s">
        <v>148</v>
      </c>
    </row>
    <row r="2" spans="1:5" ht="16">
      <c r="A2" s="12">
        <v>40724</v>
      </c>
      <c r="B2" s="132">
        <v>6.4733600000000013</v>
      </c>
      <c r="C2" s="132">
        <v>1.05426</v>
      </c>
      <c r="D2" s="132">
        <v>1</v>
      </c>
      <c r="E2" s="132">
        <v>1.35</v>
      </c>
    </row>
    <row r="3" spans="1:5" ht="16">
      <c r="A3" s="12">
        <v>40731</v>
      </c>
      <c r="B3" s="132">
        <v>6.4677800000000003</v>
      </c>
      <c r="C3" s="132">
        <v>1.0715599999999998</v>
      </c>
      <c r="D3" s="132">
        <v>1</v>
      </c>
      <c r="E3" s="132">
        <v>1.35</v>
      </c>
    </row>
    <row r="4" spans="1:5" ht="16">
      <c r="A4" s="12">
        <v>40738</v>
      </c>
      <c r="B4" s="132">
        <v>6.4706000000000001</v>
      </c>
      <c r="C4" s="132">
        <v>1.0693999999999999</v>
      </c>
      <c r="D4" s="132">
        <v>1</v>
      </c>
      <c r="E4" s="132">
        <v>1.35</v>
      </c>
    </row>
    <row r="5" spans="1:5" ht="16">
      <c r="A5" s="12">
        <v>40745</v>
      </c>
      <c r="B5" s="132">
        <v>6.4649799999999997</v>
      </c>
      <c r="C5" s="132">
        <v>1.0674400000000002</v>
      </c>
      <c r="D5" s="132">
        <v>1</v>
      </c>
      <c r="E5" s="132">
        <v>1.35</v>
      </c>
    </row>
    <row r="6" spans="1:5" ht="16">
      <c r="A6" s="12">
        <v>40752</v>
      </c>
      <c r="B6" s="132">
        <v>6.4466399999999995</v>
      </c>
      <c r="C6" s="132">
        <v>1.0940600000000003</v>
      </c>
      <c r="D6" s="132">
        <v>1</v>
      </c>
      <c r="E6" s="132">
        <v>1.35</v>
      </c>
    </row>
    <row r="7" spans="1:5" ht="16">
      <c r="A7" s="12">
        <v>40759</v>
      </c>
      <c r="B7" s="132">
        <v>6.4417400000000002</v>
      </c>
      <c r="C7" s="132">
        <v>1.0820000000000001</v>
      </c>
      <c r="D7" s="132">
        <v>1</v>
      </c>
      <c r="E7" s="132">
        <v>1.35</v>
      </c>
    </row>
    <row r="8" spans="1:5" ht="16">
      <c r="A8" s="12">
        <v>40766</v>
      </c>
      <c r="B8" s="132">
        <v>6.4249799999999997</v>
      </c>
      <c r="C8" s="132">
        <v>1.0314999999999999</v>
      </c>
      <c r="D8" s="132">
        <v>1</v>
      </c>
      <c r="E8" s="132">
        <v>1.35</v>
      </c>
    </row>
    <row r="9" spans="1:5" ht="16">
      <c r="A9" s="12">
        <v>40773</v>
      </c>
      <c r="B9" s="132">
        <v>6.3956999999999997</v>
      </c>
      <c r="C9" s="132">
        <v>1.04362</v>
      </c>
      <c r="D9" s="132">
        <v>1</v>
      </c>
      <c r="E9" s="132">
        <v>1.35</v>
      </c>
    </row>
    <row r="10" spans="1:5" ht="16">
      <c r="A10" s="12">
        <v>40780</v>
      </c>
      <c r="B10" s="132">
        <v>6.3961600000000001</v>
      </c>
      <c r="C10" s="132">
        <v>1.0422</v>
      </c>
      <c r="D10" s="132">
        <v>1</v>
      </c>
      <c r="E10" s="132">
        <v>1.35</v>
      </c>
    </row>
    <row r="11" spans="1:5" ht="16">
      <c r="A11" s="12">
        <v>40787</v>
      </c>
      <c r="B11" s="132">
        <v>6.388325</v>
      </c>
      <c r="C11" s="132">
        <v>1.0635999999999999</v>
      </c>
      <c r="D11" s="132">
        <v>1</v>
      </c>
      <c r="E11" s="132">
        <v>1.35</v>
      </c>
    </row>
    <row r="12" spans="1:5" ht="16">
      <c r="A12" s="12">
        <v>40794</v>
      </c>
      <c r="B12" s="132">
        <v>6.3940799999999998</v>
      </c>
      <c r="C12" s="132">
        <v>1.0598199999999998</v>
      </c>
      <c r="D12" s="132">
        <v>1</v>
      </c>
      <c r="E12" s="132">
        <v>1.35</v>
      </c>
    </row>
    <row r="13" spans="1:5" ht="16">
      <c r="A13" s="12">
        <v>40801</v>
      </c>
      <c r="B13" s="132">
        <v>6.3948499999999999</v>
      </c>
      <c r="C13" s="132">
        <v>1.0345199999999999</v>
      </c>
      <c r="D13" s="132">
        <v>1</v>
      </c>
      <c r="E13" s="132">
        <v>1.35</v>
      </c>
    </row>
    <row r="14" spans="1:5" ht="16">
      <c r="A14" s="12">
        <v>40808</v>
      </c>
      <c r="B14" s="132">
        <v>6.3805000000000005</v>
      </c>
      <c r="C14" s="132">
        <v>1.02128</v>
      </c>
      <c r="D14" s="132">
        <v>1</v>
      </c>
      <c r="E14" s="132">
        <v>1.35</v>
      </c>
    </row>
    <row r="15" spans="1:5" ht="16">
      <c r="A15" s="12">
        <v>40815</v>
      </c>
      <c r="B15" s="132">
        <v>6.3724600000000011</v>
      </c>
      <c r="C15" s="132">
        <v>0.97964000000000007</v>
      </c>
      <c r="D15" s="132">
        <v>1</v>
      </c>
      <c r="E15" s="132">
        <v>1.35</v>
      </c>
    </row>
    <row r="16" spans="1:5" ht="16">
      <c r="A16" s="12">
        <v>40822</v>
      </c>
      <c r="B16" s="132">
        <v>6.3666400000000012</v>
      </c>
      <c r="C16" s="132">
        <v>0.96164999999999989</v>
      </c>
      <c r="D16" s="132">
        <v>1</v>
      </c>
      <c r="E16" s="132">
        <v>1.35</v>
      </c>
    </row>
    <row r="17" spans="1:5" ht="16">
      <c r="A17" s="12">
        <v>40829</v>
      </c>
      <c r="B17" s="132">
        <v>6.3601000000000001</v>
      </c>
      <c r="C17" s="132">
        <v>0.99412</v>
      </c>
      <c r="D17" s="132">
        <v>1</v>
      </c>
      <c r="E17" s="132">
        <v>1.35</v>
      </c>
    </row>
    <row r="18" spans="1:5" ht="16">
      <c r="A18" s="12">
        <v>40836</v>
      </c>
      <c r="B18" s="132">
        <v>6.3719999999999999</v>
      </c>
      <c r="C18" s="132">
        <v>1.0238</v>
      </c>
      <c r="D18" s="132">
        <v>1</v>
      </c>
      <c r="E18" s="132">
        <v>1.35</v>
      </c>
    </row>
    <row r="19" spans="1:5" ht="16">
      <c r="A19" s="12">
        <v>40843</v>
      </c>
      <c r="B19" s="132">
        <v>6.3525600000000004</v>
      </c>
      <c r="C19" s="132">
        <v>1.03898</v>
      </c>
      <c r="D19" s="132">
        <v>1</v>
      </c>
      <c r="E19" s="132">
        <v>1.35</v>
      </c>
    </row>
    <row r="20" spans="1:5" ht="16">
      <c r="A20" s="12">
        <v>40850</v>
      </c>
      <c r="B20" s="132">
        <v>6.3262200000000002</v>
      </c>
      <c r="C20" s="132">
        <v>1.04464</v>
      </c>
      <c r="D20" s="132">
        <v>1</v>
      </c>
      <c r="E20" s="132">
        <v>1.35</v>
      </c>
    </row>
    <row r="21" spans="1:5" ht="16">
      <c r="A21" s="12">
        <v>40857</v>
      </c>
      <c r="B21" s="132">
        <v>6.3231999999999999</v>
      </c>
      <c r="C21" s="132">
        <v>1.0315599999999998</v>
      </c>
      <c r="D21" s="132">
        <v>1</v>
      </c>
      <c r="E21" s="132">
        <v>1.35</v>
      </c>
    </row>
    <row r="22" spans="1:5" ht="16">
      <c r="A22" s="12">
        <v>40864</v>
      </c>
      <c r="B22" s="132">
        <v>6.34232</v>
      </c>
      <c r="C22" s="132">
        <v>1.0162399999999998</v>
      </c>
      <c r="D22" s="132">
        <v>1</v>
      </c>
      <c r="E22" s="132">
        <v>1.35</v>
      </c>
    </row>
    <row r="23" spans="1:5" ht="16">
      <c r="A23" s="12">
        <v>40871</v>
      </c>
      <c r="B23" s="132">
        <v>6.3538600000000001</v>
      </c>
      <c r="C23" s="132">
        <v>0.98629999999999995</v>
      </c>
      <c r="D23" s="132">
        <v>1</v>
      </c>
      <c r="E23" s="132">
        <v>1.35</v>
      </c>
    </row>
    <row r="24" spans="1:5" ht="16">
      <c r="A24" s="12">
        <v>40878</v>
      </c>
      <c r="B24" s="132">
        <v>6.3512199999999996</v>
      </c>
      <c r="C24" s="132">
        <v>0.99490000000000001</v>
      </c>
      <c r="D24" s="132">
        <v>1</v>
      </c>
      <c r="E24" s="132">
        <v>1.35</v>
      </c>
    </row>
    <row r="25" spans="1:5" ht="16">
      <c r="A25" s="12">
        <v>40885</v>
      </c>
      <c r="B25" s="132">
        <v>6.3329200000000005</v>
      </c>
      <c r="C25" s="132">
        <v>1.0229600000000001</v>
      </c>
      <c r="D25" s="132">
        <v>1</v>
      </c>
      <c r="E25" s="132">
        <v>1.35</v>
      </c>
    </row>
    <row r="26" spans="1:5" ht="16">
      <c r="A26" s="12">
        <v>40892</v>
      </c>
      <c r="B26" s="132">
        <v>6.3363199999999997</v>
      </c>
      <c r="C26" s="132">
        <v>1.00604</v>
      </c>
      <c r="D26" s="132">
        <v>1</v>
      </c>
      <c r="E26" s="132">
        <v>1.35</v>
      </c>
    </row>
    <row r="27" spans="1:5" ht="16">
      <c r="A27" s="12">
        <v>40899</v>
      </c>
      <c r="B27" s="132">
        <v>6.3301400000000001</v>
      </c>
      <c r="C27" s="132">
        <v>1.0010400000000002</v>
      </c>
      <c r="D27" s="132">
        <v>1</v>
      </c>
      <c r="E27" s="132">
        <v>1.35</v>
      </c>
    </row>
    <row r="28" spans="1:5" ht="16">
      <c r="A28" s="12">
        <v>40906</v>
      </c>
      <c r="B28" s="132">
        <v>6.3166200000000003</v>
      </c>
      <c r="C28" s="132">
        <v>1.0142333333333333</v>
      </c>
      <c r="D28" s="132">
        <v>1</v>
      </c>
      <c r="E28" s="132">
        <v>1.35</v>
      </c>
    </row>
    <row r="29" spans="1:5" ht="16">
      <c r="A29" s="12">
        <v>40913</v>
      </c>
      <c r="B29" s="132">
        <v>6.3041666666666663</v>
      </c>
      <c r="C29" s="132">
        <v>1.0281500000000001</v>
      </c>
      <c r="D29" s="132">
        <v>1</v>
      </c>
      <c r="E29" s="132">
        <v>1.35</v>
      </c>
    </row>
    <row r="30" spans="1:5" ht="16">
      <c r="A30" s="12">
        <v>40920</v>
      </c>
      <c r="B30" s="132">
        <v>6.3193382508544236</v>
      </c>
      <c r="C30" s="132">
        <v>1.0256399999999999</v>
      </c>
      <c r="D30" s="132">
        <v>1</v>
      </c>
      <c r="E30" s="132">
        <v>1.35</v>
      </c>
    </row>
    <row r="31" spans="1:5" ht="16">
      <c r="A31" s="12">
        <v>40927</v>
      </c>
      <c r="B31" s="132">
        <v>6.3237067790307808</v>
      </c>
      <c r="C31" s="132">
        <v>1.0354000000000001</v>
      </c>
      <c r="D31" s="132">
        <v>1</v>
      </c>
      <c r="E31" s="132">
        <v>1.35</v>
      </c>
    </row>
    <row r="32" spans="1:5" ht="16">
      <c r="A32" s="12">
        <v>40934</v>
      </c>
      <c r="B32" s="132">
        <v>6.3225361994461426</v>
      </c>
      <c r="C32" s="132">
        <v>1.04586</v>
      </c>
      <c r="D32" s="132">
        <v>1</v>
      </c>
      <c r="E32" s="132">
        <v>1.35</v>
      </c>
    </row>
    <row r="33" spans="1:5" ht="16">
      <c r="A33" s="12">
        <v>40941</v>
      </c>
      <c r="B33" s="132">
        <v>6.3092035607041943</v>
      </c>
      <c r="C33" s="132">
        <v>1.0633199999999998</v>
      </c>
      <c r="D33" s="132">
        <v>1</v>
      </c>
      <c r="E33" s="132">
        <v>1.35</v>
      </c>
    </row>
    <row r="34" spans="1:5" ht="16">
      <c r="A34" s="12">
        <v>40948</v>
      </c>
      <c r="B34" s="132">
        <v>6.3077210768721326</v>
      </c>
      <c r="C34" s="132">
        <v>1.0754000000000001</v>
      </c>
      <c r="D34" s="132">
        <v>1</v>
      </c>
      <c r="E34" s="132">
        <v>1.35</v>
      </c>
    </row>
    <row r="35" spans="1:5" ht="16">
      <c r="A35" s="12">
        <v>40955</v>
      </c>
      <c r="B35" s="132">
        <v>6.2953249838564567</v>
      </c>
      <c r="C35" s="132">
        <v>1.0710199999999999</v>
      </c>
      <c r="D35" s="132">
        <v>1</v>
      </c>
      <c r="E35" s="132">
        <v>1.35</v>
      </c>
    </row>
    <row r="36" spans="1:5" ht="16">
      <c r="A36" s="12">
        <v>40962</v>
      </c>
      <c r="B36" s="132">
        <v>6.2973599999999994</v>
      </c>
      <c r="C36" s="132">
        <v>1.0714200000000003</v>
      </c>
      <c r="D36" s="132">
        <v>1</v>
      </c>
      <c r="E36" s="132">
        <v>1.35</v>
      </c>
    </row>
    <row r="37" spans="1:5" ht="16">
      <c r="A37" s="12">
        <v>40969</v>
      </c>
      <c r="B37" s="132">
        <v>6.2969200000000001</v>
      </c>
      <c r="C37" s="132">
        <v>1.0756599999999998</v>
      </c>
      <c r="D37" s="132">
        <v>1</v>
      </c>
      <c r="E37" s="132">
        <v>1.35</v>
      </c>
    </row>
    <row r="38" spans="1:5" ht="16">
      <c r="A38" s="12">
        <v>40976</v>
      </c>
      <c r="B38" s="132">
        <v>6.3137999999999996</v>
      </c>
      <c r="C38" s="132">
        <v>1.0652999999999999</v>
      </c>
      <c r="D38" s="132">
        <v>1</v>
      </c>
      <c r="E38" s="132">
        <v>1.35</v>
      </c>
    </row>
    <row r="39" spans="1:5" ht="16">
      <c r="A39" s="12">
        <v>40983</v>
      </c>
      <c r="B39" s="132">
        <v>6.3260199999999998</v>
      </c>
      <c r="C39" s="132">
        <v>1.0551600000000001</v>
      </c>
      <c r="D39" s="132">
        <v>1</v>
      </c>
      <c r="E39" s="132">
        <v>1.35</v>
      </c>
    </row>
    <row r="40" spans="1:5" ht="16">
      <c r="A40" s="12">
        <v>40990</v>
      </c>
      <c r="B40" s="132">
        <v>6.3081399999999999</v>
      </c>
      <c r="C40" s="132">
        <v>1.05202</v>
      </c>
      <c r="D40" s="132">
        <v>1</v>
      </c>
      <c r="E40" s="132">
        <v>1.35</v>
      </c>
    </row>
    <row r="41" spans="1:5" ht="16">
      <c r="A41" s="12">
        <v>40997</v>
      </c>
      <c r="B41" s="132">
        <v>6.2886599999999993</v>
      </c>
      <c r="C41" s="132">
        <v>1.0432599999999999</v>
      </c>
      <c r="D41" s="132">
        <v>1</v>
      </c>
      <c r="E41" s="132">
        <v>1.35</v>
      </c>
    </row>
    <row r="42" spans="1:5" ht="16">
      <c r="A42" s="12">
        <v>41004</v>
      </c>
      <c r="B42" s="132">
        <v>6.2988999999999997</v>
      </c>
      <c r="C42" s="132">
        <v>1.03562</v>
      </c>
      <c r="D42" s="132">
        <v>1</v>
      </c>
      <c r="E42" s="132">
        <v>1.35</v>
      </c>
    </row>
    <row r="43" spans="1:5" ht="16">
      <c r="A43" s="12">
        <v>41011</v>
      </c>
      <c r="B43" s="132">
        <v>6.3028600000000008</v>
      </c>
      <c r="C43" s="132">
        <v>1.0328666666666666</v>
      </c>
      <c r="D43" s="132">
        <v>1</v>
      </c>
      <c r="E43" s="132">
        <v>1.35</v>
      </c>
    </row>
    <row r="44" spans="1:5" ht="16">
      <c r="A44" s="12">
        <v>41018</v>
      </c>
      <c r="B44" s="132">
        <v>6.2937400000000006</v>
      </c>
      <c r="C44" s="132">
        <v>1.0360200000000002</v>
      </c>
      <c r="D44" s="132">
        <v>1</v>
      </c>
      <c r="E44" s="132">
        <v>1.35</v>
      </c>
    </row>
    <row r="45" spans="1:5" ht="16">
      <c r="A45" s="12">
        <v>41025</v>
      </c>
      <c r="B45" s="132">
        <v>6.2953400000000004</v>
      </c>
      <c r="C45" s="132">
        <v>1.03295</v>
      </c>
      <c r="D45" s="132">
        <v>1</v>
      </c>
      <c r="E45" s="132">
        <v>1.35</v>
      </c>
    </row>
    <row r="46" spans="1:5" ht="16">
      <c r="A46" s="12">
        <v>41032</v>
      </c>
      <c r="B46" s="132">
        <v>6.2717999999999998</v>
      </c>
      <c r="C46" s="132">
        <v>1.03616</v>
      </c>
      <c r="D46" s="132">
        <v>1</v>
      </c>
      <c r="E46" s="132">
        <v>1.35</v>
      </c>
    </row>
    <row r="47" spans="1:5" ht="16">
      <c r="A47" s="12">
        <v>41039</v>
      </c>
      <c r="B47" s="132">
        <v>6.2837800000000001</v>
      </c>
      <c r="C47" s="132">
        <v>1.0156800000000001</v>
      </c>
      <c r="D47" s="132">
        <v>1</v>
      </c>
      <c r="E47" s="132">
        <v>1.35</v>
      </c>
    </row>
    <row r="48" spans="1:5" ht="16">
      <c r="A48" s="12">
        <v>41046</v>
      </c>
      <c r="B48" s="132">
        <v>6.3107999999999995</v>
      </c>
      <c r="C48" s="132">
        <v>0.99868000000000001</v>
      </c>
      <c r="D48" s="132">
        <v>1</v>
      </c>
      <c r="E48" s="132">
        <v>1.35</v>
      </c>
    </row>
    <row r="49" spans="1:5" ht="16">
      <c r="A49" s="12">
        <v>41053</v>
      </c>
      <c r="B49" s="132">
        <v>6.3171400000000002</v>
      </c>
      <c r="C49" s="132">
        <v>0.98263999999999996</v>
      </c>
      <c r="D49" s="132">
        <v>1</v>
      </c>
      <c r="E49" s="132">
        <v>1.35</v>
      </c>
    </row>
    <row r="50" spans="1:5" ht="16">
      <c r="A50" s="12">
        <v>41060</v>
      </c>
      <c r="B50" s="132">
        <v>6.3281999999999998</v>
      </c>
      <c r="C50" s="132">
        <v>0.97995999999999994</v>
      </c>
      <c r="D50" s="132">
        <v>1</v>
      </c>
      <c r="E50" s="132">
        <v>1.35</v>
      </c>
    </row>
    <row r="51" spans="1:5" ht="16">
      <c r="A51" s="12">
        <v>41067</v>
      </c>
      <c r="B51" s="132">
        <v>6.3247999999999998</v>
      </c>
      <c r="C51" s="132">
        <v>0.97919999999999996</v>
      </c>
      <c r="D51" s="132">
        <v>1</v>
      </c>
      <c r="E51" s="132">
        <v>1.35</v>
      </c>
    </row>
    <row r="52" spans="1:5" ht="16">
      <c r="A52" s="12">
        <v>41074</v>
      </c>
      <c r="B52" s="132">
        <v>6.3222199999999997</v>
      </c>
      <c r="C52" s="132">
        <v>0.99130000000000007</v>
      </c>
      <c r="D52" s="132">
        <v>1</v>
      </c>
      <c r="E52" s="132">
        <v>1.35</v>
      </c>
    </row>
    <row r="53" spans="1:5" ht="16">
      <c r="A53" s="12">
        <v>41081</v>
      </c>
      <c r="B53" s="132">
        <v>6.3030799999999996</v>
      </c>
      <c r="C53" s="132">
        <v>1.0124</v>
      </c>
      <c r="D53" s="132">
        <v>1</v>
      </c>
      <c r="E53" s="132">
        <v>1.35</v>
      </c>
    </row>
    <row r="54" spans="1:5" ht="16">
      <c r="A54" s="12">
        <v>41088</v>
      </c>
      <c r="B54" s="132">
        <v>6.3201000000000001</v>
      </c>
      <c r="C54" s="132">
        <v>1.0061</v>
      </c>
      <c r="D54" s="132">
        <v>1</v>
      </c>
      <c r="E54" s="132">
        <v>1.35</v>
      </c>
    </row>
    <row r="55" spans="1:5" ht="16">
      <c r="A55" s="12">
        <v>41095</v>
      </c>
      <c r="B55" s="132">
        <v>6.3177400000000006</v>
      </c>
      <c r="C55" s="132">
        <v>1.0249999999999999</v>
      </c>
      <c r="D55" s="132">
        <v>1</v>
      </c>
      <c r="E55" s="132">
        <v>1.35</v>
      </c>
    </row>
    <row r="56" spans="1:5" ht="16">
      <c r="A56" s="12">
        <v>41102</v>
      </c>
      <c r="B56" s="132">
        <v>6.3223399999999996</v>
      </c>
      <c r="C56" s="132">
        <v>1.0201999999999998</v>
      </c>
      <c r="D56" s="132">
        <v>1</v>
      </c>
      <c r="E56" s="132">
        <v>1.35</v>
      </c>
    </row>
    <row r="57" spans="1:5" ht="16">
      <c r="A57" s="12">
        <v>41109</v>
      </c>
      <c r="B57" s="132">
        <v>6.3177599999999998</v>
      </c>
      <c r="C57" s="132">
        <v>1.02762</v>
      </c>
      <c r="D57" s="132">
        <v>1</v>
      </c>
      <c r="E57" s="132">
        <v>1.35</v>
      </c>
    </row>
    <row r="58" spans="1:5" ht="16">
      <c r="A58" s="12">
        <v>41116</v>
      </c>
      <c r="B58" s="132">
        <v>6.3306200000000006</v>
      </c>
      <c r="C58" s="132">
        <v>1.0314400000000001</v>
      </c>
      <c r="D58" s="132">
        <v>1</v>
      </c>
      <c r="E58" s="132">
        <v>1.35</v>
      </c>
    </row>
    <row r="59" spans="1:5" ht="16">
      <c r="A59" s="12">
        <v>41123</v>
      </c>
      <c r="B59" s="132">
        <v>6.3329000000000004</v>
      </c>
      <c r="C59" s="132">
        <v>1.0481199999999999</v>
      </c>
      <c r="D59" s="132">
        <v>1</v>
      </c>
      <c r="E59" s="132">
        <v>1.35</v>
      </c>
    </row>
    <row r="60" spans="1:5" ht="16">
      <c r="A60" s="12">
        <v>41130</v>
      </c>
      <c r="B60" s="132">
        <v>6.3374199999999998</v>
      </c>
      <c r="C60" s="132">
        <v>1.055075</v>
      </c>
      <c r="D60" s="132">
        <v>1</v>
      </c>
      <c r="E60" s="132">
        <v>1.35</v>
      </c>
    </row>
    <row r="61" spans="1:5" ht="16">
      <c r="A61" s="12">
        <v>41137</v>
      </c>
      <c r="B61" s="132">
        <v>6.3464600000000004</v>
      </c>
      <c r="C61" s="132">
        <v>1.05088</v>
      </c>
      <c r="D61" s="132">
        <v>1</v>
      </c>
      <c r="E61" s="132">
        <v>1.35</v>
      </c>
    </row>
    <row r="62" spans="1:5" ht="16">
      <c r="A62" s="12">
        <v>41144</v>
      </c>
      <c r="B62" s="132">
        <v>6.340180000000001</v>
      </c>
      <c r="C62" s="132">
        <v>1.0470400000000002</v>
      </c>
      <c r="D62" s="132">
        <v>1</v>
      </c>
      <c r="E62" s="132">
        <v>1.35</v>
      </c>
    </row>
    <row r="63" spans="1:5" ht="16">
      <c r="A63" s="12">
        <v>41151</v>
      </c>
      <c r="B63" s="132">
        <v>6.3386799999999992</v>
      </c>
      <c r="C63" s="132">
        <v>1.0381199999999999</v>
      </c>
      <c r="D63" s="132">
        <v>1</v>
      </c>
      <c r="E63" s="132">
        <v>1.35</v>
      </c>
    </row>
    <row r="64" spans="1:5" ht="16">
      <c r="A64" s="12">
        <v>41158</v>
      </c>
      <c r="B64" s="132">
        <v>6.3432999999999993</v>
      </c>
      <c r="C64" s="132">
        <v>1.0254799999999999</v>
      </c>
      <c r="D64" s="132">
        <v>1</v>
      </c>
      <c r="E64" s="132">
        <v>1.35</v>
      </c>
    </row>
    <row r="65" spans="1:5" ht="16">
      <c r="A65" s="12">
        <v>41165</v>
      </c>
      <c r="B65" s="132">
        <v>6.3374199999999998</v>
      </c>
      <c r="C65" s="132">
        <v>1.0389399999999998</v>
      </c>
      <c r="D65" s="132">
        <v>1</v>
      </c>
      <c r="E65" s="132">
        <v>1.35</v>
      </c>
    </row>
    <row r="66" spans="1:5" ht="16">
      <c r="A66" s="12">
        <v>41172</v>
      </c>
      <c r="B66" s="132">
        <v>6.3340199999999998</v>
      </c>
      <c r="C66" s="132">
        <v>1.0484800000000001</v>
      </c>
      <c r="D66" s="132">
        <v>1</v>
      </c>
      <c r="E66" s="132">
        <v>1.35</v>
      </c>
    </row>
    <row r="67" spans="1:5" ht="16">
      <c r="A67" s="12">
        <v>41179</v>
      </c>
      <c r="B67" s="132">
        <v>6.3433799999999998</v>
      </c>
      <c r="C67" s="132">
        <v>1.0417000000000001</v>
      </c>
      <c r="D67" s="132">
        <v>1</v>
      </c>
      <c r="E67" s="132">
        <v>1.35</v>
      </c>
    </row>
    <row r="68" spans="1:5" ht="16">
      <c r="A68" s="12">
        <v>41186</v>
      </c>
      <c r="B68" s="132">
        <v>6.3430600000000004</v>
      </c>
      <c r="C68" s="132">
        <v>1.0301</v>
      </c>
      <c r="D68" s="132">
        <v>1</v>
      </c>
      <c r="E68" s="132">
        <v>1.35</v>
      </c>
    </row>
    <row r="69" spans="1:5" ht="16">
      <c r="A69" s="12">
        <v>41193</v>
      </c>
      <c r="B69" s="132">
        <v>6.3426749999999998</v>
      </c>
      <c r="C69" s="132">
        <v>1.0232199999999998</v>
      </c>
      <c r="D69" s="132">
        <v>1</v>
      </c>
      <c r="E69" s="132">
        <v>1.35</v>
      </c>
    </row>
    <row r="70" spans="1:5" ht="16">
      <c r="A70" s="12">
        <v>41200</v>
      </c>
      <c r="B70" s="132">
        <v>6.3106200000000001</v>
      </c>
      <c r="C70" s="132">
        <v>1.0289199999999998</v>
      </c>
      <c r="D70" s="132">
        <v>1</v>
      </c>
      <c r="E70" s="132">
        <v>1.35</v>
      </c>
    </row>
    <row r="71" spans="1:5" ht="16">
      <c r="A71" s="12">
        <v>41207</v>
      </c>
      <c r="B71" s="132">
        <v>6.3065800000000003</v>
      </c>
      <c r="C71" s="132">
        <v>1.03382</v>
      </c>
      <c r="D71" s="132">
        <v>1</v>
      </c>
      <c r="E71" s="132">
        <v>1.35</v>
      </c>
    </row>
    <row r="72" spans="1:5" ht="16">
      <c r="A72" s="12">
        <v>41214</v>
      </c>
      <c r="B72" s="132">
        <v>6.3009800000000009</v>
      </c>
      <c r="C72" s="132">
        <v>1.03522</v>
      </c>
      <c r="D72" s="132">
        <v>1</v>
      </c>
      <c r="E72" s="132">
        <v>1.35</v>
      </c>
    </row>
    <row r="73" spans="1:5" ht="16">
      <c r="A73" s="12">
        <v>41221</v>
      </c>
      <c r="B73" s="132">
        <v>6.3066399999999998</v>
      </c>
      <c r="C73" s="132">
        <v>1.04098</v>
      </c>
      <c r="D73" s="132">
        <v>1</v>
      </c>
      <c r="E73" s="132">
        <v>1.35</v>
      </c>
    </row>
    <row r="74" spans="1:5" ht="16">
      <c r="A74" s="12">
        <v>41228</v>
      </c>
      <c r="B74" s="132">
        <v>6.2921800000000001</v>
      </c>
      <c r="C74" s="132">
        <v>1.04132</v>
      </c>
      <c r="D74" s="132">
        <v>1</v>
      </c>
      <c r="E74" s="132">
        <v>1.35</v>
      </c>
    </row>
    <row r="75" spans="1:5" ht="16">
      <c r="A75" s="12">
        <v>41235</v>
      </c>
      <c r="B75" s="132">
        <v>6.2934399999999995</v>
      </c>
      <c r="C75" s="132">
        <v>1.03688</v>
      </c>
      <c r="D75" s="132">
        <v>1</v>
      </c>
      <c r="E75" s="132">
        <v>1.35</v>
      </c>
    </row>
    <row r="76" spans="1:5" ht="16">
      <c r="A76" s="12">
        <v>41242</v>
      </c>
      <c r="B76" s="132">
        <v>6.2890600000000001</v>
      </c>
      <c r="C76" s="132">
        <v>1.0452600000000001</v>
      </c>
      <c r="D76" s="132">
        <v>1</v>
      </c>
      <c r="E76" s="132">
        <v>1.35</v>
      </c>
    </row>
    <row r="77" spans="1:5" ht="16">
      <c r="A77" s="12">
        <v>41249</v>
      </c>
      <c r="B77" s="132">
        <v>6.2893400000000002</v>
      </c>
      <c r="C77" s="132">
        <v>1.0444800000000001</v>
      </c>
      <c r="D77" s="132">
        <v>1</v>
      </c>
      <c r="E77" s="132">
        <v>1.35</v>
      </c>
    </row>
    <row r="78" spans="1:5" ht="16">
      <c r="A78" s="12">
        <v>41256</v>
      </c>
      <c r="B78" s="132">
        <v>6.2910200000000005</v>
      </c>
      <c r="C78" s="132">
        <v>1.05016</v>
      </c>
      <c r="D78" s="132">
        <v>1</v>
      </c>
      <c r="E78" s="132">
        <v>1.35</v>
      </c>
    </row>
    <row r="79" spans="1:5" ht="16">
      <c r="A79" s="12">
        <v>41263</v>
      </c>
      <c r="B79" s="132">
        <v>6.2887400000000007</v>
      </c>
      <c r="C79" s="132">
        <v>1.0524200000000001</v>
      </c>
      <c r="D79" s="132">
        <v>1</v>
      </c>
      <c r="E79" s="132">
        <v>1.35</v>
      </c>
    </row>
    <row r="80" spans="1:5" ht="16">
      <c r="A80" s="12">
        <v>41270</v>
      </c>
      <c r="B80" s="132">
        <v>6.2906999999999993</v>
      </c>
      <c r="C80" s="132">
        <v>1.0404333333333333</v>
      </c>
      <c r="D80" s="132">
        <v>1</v>
      </c>
      <c r="E80" s="132">
        <v>1.35</v>
      </c>
    </row>
    <row r="81" spans="1:5" ht="16">
      <c r="A81" s="12">
        <v>41277</v>
      </c>
      <c r="B81" s="132">
        <v>6.2923</v>
      </c>
      <c r="C81" s="132">
        <v>1.043075</v>
      </c>
      <c r="D81" s="132">
        <v>1</v>
      </c>
      <c r="E81" s="132">
        <v>1.35</v>
      </c>
    </row>
    <row r="82" spans="1:5" ht="16">
      <c r="A82" s="12">
        <v>41284</v>
      </c>
      <c r="B82" s="132">
        <v>6.2853428571428571</v>
      </c>
      <c r="C82" s="132">
        <v>1.04878</v>
      </c>
      <c r="D82" s="132">
        <v>1</v>
      </c>
      <c r="E82" s="132">
        <v>1.35</v>
      </c>
    </row>
    <row r="83" spans="1:5" ht="16">
      <c r="A83" s="12">
        <v>41291</v>
      </c>
      <c r="B83" s="132">
        <v>6.2722000000000007</v>
      </c>
      <c r="C83" s="132">
        <v>1.0552199999999998</v>
      </c>
      <c r="D83" s="132">
        <v>1</v>
      </c>
      <c r="E83" s="132">
        <v>1.35</v>
      </c>
    </row>
    <row r="84" spans="1:5" ht="16">
      <c r="A84" s="12">
        <v>41298</v>
      </c>
      <c r="B84" s="132">
        <v>6.2772399999999999</v>
      </c>
      <c r="C84" s="132">
        <v>1.05274</v>
      </c>
      <c r="D84" s="132">
        <v>1</v>
      </c>
      <c r="E84" s="132">
        <v>1.35</v>
      </c>
    </row>
    <row r="85" spans="1:5" ht="16">
      <c r="A85" s="12">
        <v>41305</v>
      </c>
      <c r="B85" s="132">
        <v>6.2814999999999994</v>
      </c>
      <c r="C85" s="132">
        <v>1.0441000000000003</v>
      </c>
      <c r="D85" s="132">
        <v>1</v>
      </c>
      <c r="E85" s="132">
        <v>1.35</v>
      </c>
    </row>
    <row r="86" spans="1:5" ht="16">
      <c r="A86" s="12">
        <v>41312</v>
      </c>
      <c r="B86" s="132">
        <v>6.2861599999999997</v>
      </c>
      <c r="C86" s="132">
        <v>1.0377800000000001</v>
      </c>
      <c r="D86" s="132">
        <v>1</v>
      </c>
      <c r="E86" s="132">
        <v>1.35</v>
      </c>
    </row>
    <row r="87" spans="1:5" ht="16">
      <c r="A87" s="12">
        <v>41319</v>
      </c>
      <c r="B87" s="132">
        <v>6.285639999999999</v>
      </c>
      <c r="C87" s="132">
        <v>1.0309999999999999</v>
      </c>
      <c r="D87" s="132">
        <v>1</v>
      </c>
      <c r="E87" s="132">
        <v>1.35</v>
      </c>
    </row>
    <row r="88" spans="1:5" ht="16">
      <c r="A88" s="12">
        <v>41326</v>
      </c>
      <c r="B88" s="132">
        <v>6.2821750000000005</v>
      </c>
      <c r="C88" s="132">
        <v>1.0316999999999998</v>
      </c>
      <c r="D88" s="132">
        <v>1</v>
      </c>
      <c r="E88" s="132">
        <v>1.35</v>
      </c>
    </row>
    <row r="89" spans="1:5" ht="16">
      <c r="A89" s="12">
        <v>41333</v>
      </c>
      <c r="B89" s="132">
        <v>6.2847999999999988</v>
      </c>
      <c r="C89" s="132">
        <v>1.0272000000000001</v>
      </c>
      <c r="D89" s="132">
        <v>1</v>
      </c>
      <c r="E89" s="132">
        <v>1.35</v>
      </c>
    </row>
    <row r="90" spans="1:5" ht="16">
      <c r="A90" s="12">
        <v>41340</v>
      </c>
      <c r="B90" s="132">
        <v>6.2789400000000004</v>
      </c>
      <c r="C90" s="132">
        <v>1.0225000000000002</v>
      </c>
      <c r="D90" s="132">
        <v>1</v>
      </c>
      <c r="E90" s="132">
        <v>1.35</v>
      </c>
    </row>
    <row r="91" spans="1:5" ht="16">
      <c r="A91" s="12">
        <v>41347</v>
      </c>
      <c r="B91" s="132">
        <v>6.2745999999999995</v>
      </c>
      <c r="C91" s="132">
        <v>1.0284599999999999</v>
      </c>
      <c r="D91" s="132">
        <v>1</v>
      </c>
      <c r="E91" s="132">
        <v>1.35</v>
      </c>
    </row>
    <row r="92" spans="1:5" ht="16">
      <c r="A92" s="12">
        <v>41354</v>
      </c>
      <c r="B92" s="132">
        <v>6.2733800000000004</v>
      </c>
      <c r="C92" s="132">
        <v>1.0375799999999997</v>
      </c>
      <c r="D92" s="132">
        <v>1</v>
      </c>
      <c r="E92" s="132">
        <v>1.35</v>
      </c>
    </row>
    <row r="93" spans="1:5" ht="16">
      <c r="A93" s="12">
        <v>41361</v>
      </c>
      <c r="B93" s="132">
        <v>6.2717399999999994</v>
      </c>
      <c r="C93" s="132">
        <v>1.0447</v>
      </c>
      <c r="D93" s="132">
        <v>1</v>
      </c>
      <c r="E93" s="132">
        <v>1.35</v>
      </c>
    </row>
    <row r="94" spans="1:5" ht="16">
      <c r="A94" s="12">
        <v>41368</v>
      </c>
      <c r="B94" s="132">
        <v>6.2633000000000001</v>
      </c>
      <c r="C94" s="132">
        <v>1.0459000000000001</v>
      </c>
      <c r="D94" s="132">
        <v>1</v>
      </c>
      <c r="E94" s="132">
        <v>1.35</v>
      </c>
    </row>
    <row r="95" spans="1:5" ht="16">
      <c r="A95" s="12">
        <v>41375</v>
      </c>
      <c r="B95" s="132">
        <v>6.2606000000000002</v>
      </c>
      <c r="C95" s="132">
        <v>1.0448999999999999</v>
      </c>
      <c r="D95" s="132">
        <v>1</v>
      </c>
      <c r="E95" s="132">
        <v>1.35</v>
      </c>
    </row>
    <row r="96" spans="1:5" ht="16">
      <c r="A96" s="12">
        <v>41382</v>
      </c>
      <c r="B96" s="132">
        <v>6.2424999999999997</v>
      </c>
      <c r="C96" s="132">
        <v>1.0428999999999999</v>
      </c>
      <c r="D96" s="132">
        <v>1</v>
      </c>
      <c r="E96" s="132">
        <v>1.35</v>
      </c>
    </row>
    <row r="97" spans="1:5" ht="16">
      <c r="A97" s="12">
        <v>41389</v>
      </c>
      <c r="B97" s="132">
        <v>6.2207999999999997</v>
      </c>
      <c r="C97" s="132">
        <v>1.0279</v>
      </c>
      <c r="D97" s="132">
        <v>1</v>
      </c>
      <c r="E97" s="132">
        <v>1.35</v>
      </c>
    </row>
    <row r="98" spans="1:5" ht="16">
      <c r="A98" s="12">
        <v>41396</v>
      </c>
      <c r="B98" s="132">
        <v>6.21</v>
      </c>
      <c r="C98" s="132">
        <v>1.0317000000000001</v>
      </c>
      <c r="D98" s="132">
        <v>1</v>
      </c>
      <c r="E98" s="132">
        <v>1.35</v>
      </c>
    </row>
    <row r="99" spans="1:5" ht="16">
      <c r="A99" s="12">
        <v>41403</v>
      </c>
      <c r="B99" s="132">
        <v>6.2016</v>
      </c>
      <c r="C99" s="132">
        <v>1.0236000000000001</v>
      </c>
      <c r="D99" s="132">
        <v>1</v>
      </c>
      <c r="E99" s="132">
        <v>1.35</v>
      </c>
    </row>
    <row r="100" spans="1:5" ht="16">
      <c r="A100" s="12">
        <v>41410</v>
      </c>
      <c r="B100" s="132">
        <v>6.1997</v>
      </c>
      <c r="C100" s="132">
        <v>0.99619999999999997</v>
      </c>
      <c r="D100" s="132">
        <v>1</v>
      </c>
      <c r="E100" s="132">
        <v>1.35</v>
      </c>
    </row>
    <row r="101" spans="1:5" ht="16">
      <c r="A101" s="12">
        <v>41417</v>
      </c>
      <c r="B101" s="132">
        <v>6.1870000000000003</v>
      </c>
      <c r="C101" s="132">
        <v>0.97840000000000005</v>
      </c>
      <c r="D101" s="132">
        <v>1</v>
      </c>
      <c r="E101" s="132">
        <v>1.35</v>
      </c>
    </row>
    <row r="102" spans="1:5" ht="16">
      <c r="A102" s="12">
        <v>41424</v>
      </c>
      <c r="B102" s="132">
        <v>6.18</v>
      </c>
      <c r="C102" s="132">
        <v>0.96362000000000003</v>
      </c>
      <c r="D102" s="132">
        <v>1</v>
      </c>
      <c r="E102" s="132">
        <v>1.35</v>
      </c>
    </row>
    <row r="103" spans="1:5" ht="16">
      <c r="A103" s="12">
        <v>41431</v>
      </c>
      <c r="B103" s="132">
        <v>6.16</v>
      </c>
      <c r="C103" s="132">
        <v>0.96153999999999995</v>
      </c>
      <c r="D103" s="132">
        <v>1</v>
      </c>
      <c r="E103" s="132">
        <v>1.35</v>
      </c>
    </row>
    <row r="104" spans="1:5" ht="16">
      <c r="A104" s="12">
        <v>41438</v>
      </c>
      <c r="B104" s="132">
        <v>6.16</v>
      </c>
      <c r="C104" s="132">
        <v>0.94479999999999997</v>
      </c>
      <c r="D104" s="132">
        <v>1</v>
      </c>
      <c r="E104" s="132">
        <v>1.35</v>
      </c>
    </row>
    <row r="105" spans="1:5" ht="16">
      <c r="A105" s="12">
        <v>41445</v>
      </c>
      <c r="B105" s="132">
        <v>6.18</v>
      </c>
      <c r="C105" s="132">
        <v>0.94890000000000008</v>
      </c>
      <c r="D105" s="132">
        <v>1</v>
      </c>
      <c r="E105" s="132">
        <v>1.35</v>
      </c>
    </row>
    <row r="106" spans="1:5" ht="16">
      <c r="A106" s="12">
        <v>41452</v>
      </c>
      <c r="B106" s="132">
        <v>6.18</v>
      </c>
      <c r="C106" s="132">
        <v>0.92547999999999997</v>
      </c>
      <c r="D106" s="132">
        <v>1</v>
      </c>
      <c r="E106" s="132">
        <v>1.35</v>
      </c>
    </row>
    <row r="107" spans="1:5" ht="16">
      <c r="A107" s="12">
        <v>41459</v>
      </c>
      <c r="B107" s="132">
        <v>6.1779999999999999</v>
      </c>
      <c r="C107" s="132">
        <v>0.91690000000000005</v>
      </c>
      <c r="D107" s="132">
        <v>1</v>
      </c>
      <c r="E107" s="132">
        <v>1.35</v>
      </c>
    </row>
    <row r="108" spans="1:5" ht="16">
      <c r="A108" s="12">
        <v>41466</v>
      </c>
      <c r="B108" s="132">
        <v>6.1715999999999998</v>
      </c>
      <c r="C108" s="132">
        <v>0.91620000000000001</v>
      </c>
      <c r="D108" s="132">
        <v>1</v>
      </c>
      <c r="E108" s="132">
        <v>1.35</v>
      </c>
    </row>
    <row r="109" spans="1:5" ht="16">
      <c r="A109" s="12">
        <v>41473</v>
      </c>
      <c r="B109" s="132">
        <v>6.1669999999999998</v>
      </c>
      <c r="C109" s="132">
        <v>0.9173</v>
      </c>
      <c r="D109" s="132">
        <v>1</v>
      </c>
      <c r="E109" s="132">
        <v>1.35</v>
      </c>
    </row>
    <row r="110" spans="1:5" ht="16">
      <c r="A110" s="12">
        <v>41480</v>
      </c>
      <c r="B110" s="132">
        <v>6.1750999999999996</v>
      </c>
      <c r="C110" s="132">
        <v>0.92159999999999997</v>
      </c>
      <c r="D110" s="132">
        <v>1</v>
      </c>
      <c r="E110" s="132">
        <v>1.35</v>
      </c>
    </row>
    <row r="111" spans="1:5" ht="16">
      <c r="A111" s="12">
        <v>41487</v>
      </c>
      <c r="B111" s="132">
        <v>6.1817000000000002</v>
      </c>
      <c r="C111" s="132">
        <v>0.91210000000000002</v>
      </c>
      <c r="D111" s="132">
        <v>1</v>
      </c>
      <c r="E111" s="132">
        <v>1.35</v>
      </c>
    </row>
    <row r="112" spans="1:5" ht="16">
      <c r="A112" s="12">
        <v>41494</v>
      </c>
      <c r="B112" s="132">
        <v>6.1218243036424855</v>
      </c>
      <c r="C112" s="132">
        <v>0.89810000000000001</v>
      </c>
      <c r="D112" s="132">
        <v>1</v>
      </c>
      <c r="E112" s="132">
        <v>1.35</v>
      </c>
    </row>
    <row r="113" spans="1:5" ht="16">
      <c r="A113" s="12">
        <v>41501</v>
      </c>
      <c r="B113" s="132">
        <v>6.1263623498275424</v>
      </c>
      <c r="C113" s="132">
        <v>0.9143</v>
      </c>
      <c r="D113" s="132">
        <v>1</v>
      </c>
      <c r="E113" s="132">
        <v>1.35</v>
      </c>
    </row>
    <row r="114" spans="1:5" ht="16">
      <c r="A114" s="12">
        <v>41508</v>
      </c>
      <c r="B114" s="132">
        <v>6.1183409506678164</v>
      </c>
      <c r="C114" s="132">
        <v>0.90900000000000003</v>
      </c>
      <c r="D114" s="132">
        <v>1</v>
      </c>
      <c r="E114" s="132">
        <v>1.35</v>
      </c>
    </row>
    <row r="115" spans="1:5" ht="16">
      <c r="A115" s="12">
        <v>41515</v>
      </c>
      <c r="B115" s="132">
        <v>6.121074860745547</v>
      </c>
      <c r="C115" s="132">
        <v>0.89810000000000001</v>
      </c>
      <c r="D115" s="132">
        <v>1</v>
      </c>
      <c r="E115" s="132">
        <v>1.35</v>
      </c>
    </row>
    <row r="116" spans="1:5" ht="16">
      <c r="A116" s="12">
        <v>41522</v>
      </c>
      <c r="B116" s="132">
        <v>6.119951040391677</v>
      </c>
      <c r="C116" s="132">
        <v>0.89700000000000002</v>
      </c>
      <c r="D116" s="132">
        <v>1</v>
      </c>
      <c r="E116" s="132">
        <v>1.35</v>
      </c>
    </row>
    <row r="117" spans="1:5" ht="16">
      <c r="A117" s="12">
        <v>41529</v>
      </c>
      <c r="B117" s="132">
        <v>6.119951040391677</v>
      </c>
      <c r="C117" s="132">
        <v>0.92200000000000004</v>
      </c>
      <c r="D117" s="132">
        <v>1</v>
      </c>
      <c r="E117" s="132">
        <v>1.35</v>
      </c>
    </row>
    <row r="118" spans="1:5" ht="16">
      <c r="A118" s="12">
        <v>41536</v>
      </c>
      <c r="B118" s="132">
        <v>6.1196139747504725</v>
      </c>
      <c r="C118" s="132">
        <v>0.92930000000000001</v>
      </c>
      <c r="D118" s="132">
        <v>1</v>
      </c>
      <c r="E118" s="132">
        <v>1.35</v>
      </c>
    </row>
    <row r="119" spans="1:5" ht="16">
      <c r="A119" s="12">
        <v>41543</v>
      </c>
      <c r="B119" s="132">
        <v>6.1274509803921564</v>
      </c>
      <c r="C119" s="132">
        <v>0.93940000000000001</v>
      </c>
      <c r="D119" s="132">
        <v>1</v>
      </c>
      <c r="E119" s="132">
        <v>1.35</v>
      </c>
    </row>
    <row r="120" spans="1:5" ht="16">
      <c r="A120" s="12">
        <v>41559</v>
      </c>
      <c r="B120" s="132">
        <v>6.1205503598883615</v>
      </c>
      <c r="C120" s="132">
        <v>0.93959999999999999</v>
      </c>
      <c r="D120" s="132">
        <v>1</v>
      </c>
      <c r="E120" s="132">
        <v>1.35</v>
      </c>
    </row>
    <row r="121" spans="1:5" ht="16">
      <c r="A121" s="12">
        <v>41565</v>
      </c>
      <c r="B121" s="132">
        <v>6.110228522546743</v>
      </c>
      <c r="C121" s="132">
        <v>0.95189999999999997</v>
      </c>
      <c r="D121" s="132">
        <v>1</v>
      </c>
      <c r="E121" s="132">
        <v>1.35</v>
      </c>
    </row>
    <row r="122" spans="1:5" ht="16">
      <c r="A122" s="12">
        <v>41572</v>
      </c>
      <c r="B122" s="132">
        <v>6.1052297397951083</v>
      </c>
      <c r="C122" s="132">
        <v>0.96589999999999998</v>
      </c>
      <c r="D122" s="132">
        <v>1</v>
      </c>
      <c r="E122" s="132">
        <v>1.35</v>
      </c>
    </row>
    <row r="123" spans="1:5" ht="16">
      <c r="A123" s="12">
        <v>41579</v>
      </c>
      <c r="B123" s="132">
        <v>6.1142633535511637</v>
      </c>
      <c r="C123" s="132">
        <v>0.95369999999999999</v>
      </c>
      <c r="D123" s="132">
        <v>1</v>
      </c>
      <c r="E123" s="132">
        <v>1.35</v>
      </c>
    </row>
    <row r="124" spans="1:5" ht="16">
      <c r="A124" s="12">
        <v>41586</v>
      </c>
      <c r="B124" s="132">
        <v>6.1256868426372302</v>
      </c>
      <c r="C124" s="132">
        <v>0.94708000000000003</v>
      </c>
      <c r="D124" s="132">
        <v>1</v>
      </c>
      <c r="E124" s="132">
        <v>1.35</v>
      </c>
    </row>
    <row r="125" spans="1:5" ht="16">
      <c r="A125" s="12">
        <v>41593</v>
      </c>
      <c r="B125" s="132">
        <v>6.117442664268629</v>
      </c>
      <c r="C125" s="132">
        <v>0.93489999999999995</v>
      </c>
      <c r="D125" s="132">
        <v>1</v>
      </c>
      <c r="E125" s="132">
        <v>1.35</v>
      </c>
    </row>
    <row r="126" spans="1:5" ht="16">
      <c r="A126" s="12">
        <v>41600</v>
      </c>
      <c r="B126" s="132">
        <v>6.1150485229100289</v>
      </c>
      <c r="C126" s="132">
        <v>0.93618999999999997</v>
      </c>
      <c r="D126" s="132">
        <v>1</v>
      </c>
      <c r="E126" s="132">
        <v>1.35</v>
      </c>
    </row>
    <row r="127" spans="1:5" ht="16">
      <c r="A127" s="12">
        <v>41607</v>
      </c>
      <c r="B127" s="132">
        <v>6.0980815435464004</v>
      </c>
      <c r="C127" s="133">
        <v>0.91318900000000003</v>
      </c>
      <c r="D127" s="132">
        <v>1</v>
      </c>
      <c r="E127" s="132">
        <v>1.35</v>
      </c>
    </row>
    <row r="128" spans="1:5" ht="16">
      <c r="A128" s="12">
        <v>41614</v>
      </c>
      <c r="B128" s="132">
        <v>6.0927313714738318</v>
      </c>
      <c r="C128" s="133">
        <v>0.909354</v>
      </c>
      <c r="D128" s="132">
        <v>1</v>
      </c>
      <c r="E128" s="132">
        <v>1.35</v>
      </c>
    </row>
    <row r="129" spans="1:5" ht="16">
      <c r="A129" s="12">
        <v>41621</v>
      </c>
      <c r="B129" s="132">
        <v>6.0774756597099833</v>
      </c>
      <c r="C129" s="133">
        <v>0.90756899999999996</v>
      </c>
      <c r="D129" s="132">
        <v>1</v>
      </c>
      <c r="E129" s="132">
        <v>1.35</v>
      </c>
    </row>
    <row r="130" spans="1:5" ht="16">
      <c r="A130" s="12">
        <v>41628</v>
      </c>
      <c r="B130" s="132">
        <v>6.0831690877679634</v>
      </c>
      <c r="C130" s="133">
        <v>0.892791</v>
      </c>
      <c r="D130" s="132">
        <v>1</v>
      </c>
      <c r="E130" s="132">
        <v>1.35</v>
      </c>
    </row>
    <row r="131" spans="1:5" ht="16">
      <c r="A131" s="12">
        <v>41635</v>
      </c>
      <c r="B131" s="132">
        <v>6.0841313685645098</v>
      </c>
      <c r="C131" s="133">
        <v>0.89196699999999995</v>
      </c>
      <c r="D131" s="132">
        <v>1</v>
      </c>
      <c r="E131" s="132">
        <v>1.35</v>
      </c>
    </row>
    <row r="132" spans="1:5" ht="16">
      <c r="A132" s="12">
        <v>41642</v>
      </c>
      <c r="B132" s="132">
        <v>6.0699869495280581</v>
      </c>
      <c r="C132" s="133">
        <v>0.89003200000000005</v>
      </c>
      <c r="D132" s="132">
        <v>1</v>
      </c>
      <c r="E132" s="132">
        <v>1.35</v>
      </c>
    </row>
    <row r="133" spans="1:5" ht="16">
      <c r="A133" s="12">
        <v>41649</v>
      </c>
      <c r="B133" s="132">
        <v>6.0732679039937807</v>
      </c>
      <c r="C133" s="133">
        <v>0.89320200000000005</v>
      </c>
      <c r="D133" s="132">
        <v>1</v>
      </c>
      <c r="E133" s="132">
        <v>1.35</v>
      </c>
    </row>
    <row r="134" spans="1:5" ht="16">
      <c r="A134" s="12">
        <v>41656</v>
      </c>
      <c r="B134" s="132">
        <v>6.0764047128594951</v>
      </c>
      <c r="C134" s="133">
        <v>0.89498999999999995</v>
      </c>
      <c r="D134" s="132">
        <v>1</v>
      </c>
      <c r="E134" s="132">
        <v>1.35</v>
      </c>
    </row>
    <row r="135" spans="1:5" ht="16">
      <c r="A135" s="12">
        <v>41663</v>
      </c>
      <c r="B135" s="132">
        <v>6.0661207158022448</v>
      </c>
      <c r="C135" s="133">
        <v>0.87953000000000003</v>
      </c>
      <c r="D135" s="132">
        <v>1</v>
      </c>
      <c r="E135" s="132">
        <v>1.35</v>
      </c>
    </row>
    <row r="136" spans="1:5" ht="16">
      <c r="A136" s="12">
        <v>41670</v>
      </c>
      <c r="B136" s="132">
        <v>6.0817262371751601</v>
      </c>
      <c r="C136" s="133">
        <v>0.87341500000000005</v>
      </c>
      <c r="D136" s="132">
        <v>1</v>
      </c>
      <c r="E136" s="132">
        <v>1.35</v>
      </c>
    </row>
    <row r="137" spans="1:5" ht="16">
      <c r="A137" s="12">
        <v>41677</v>
      </c>
      <c r="B137" s="132">
        <v>6.0676666181253331</v>
      </c>
      <c r="C137" s="133">
        <v>0.88329800000000003</v>
      </c>
      <c r="D137" s="132">
        <v>1</v>
      </c>
      <c r="E137" s="132">
        <v>1.35</v>
      </c>
    </row>
    <row r="138" spans="1:5" ht="16">
      <c r="A138" s="12">
        <v>41684</v>
      </c>
      <c r="B138" s="132">
        <v>6.0622594040799012</v>
      </c>
      <c r="C138" s="133">
        <v>0.89804399999999995</v>
      </c>
      <c r="D138" s="132">
        <v>1</v>
      </c>
      <c r="E138" s="132">
        <v>1.35</v>
      </c>
    </row>
    <row r="139" spans="1:5" ht="16">
      <c r="A139" s="12">
        <v>41691</v>
      </c>
      <c r="B139" s="132">
        <v>6.068771316559249</v>
      </c>
      <c r="C139" s="133">
        <v>0.90254599999999996</v>
      </c>
      <c r="D139" s="132">
        <v>1</v>
      </c>
      <c r="E139" s="132">
        <v>1.35</v>
      </c>
    </row>
    <row r="140" spans="1:5" ht="16">
      <c r="A140" s="12">
        <v>41698</v>
      </c>
      <c r="B140" s="132">
        <v>6.1018769373459278</v>
      </c>
      <c r="C140" s="133">
        <v>0.89849500000000004</v>
      </c>
      <c r="D140" s="132">
        <v>1</v>
      </c>
      <c r="E140" s="132">
        <v>1.35</v>
      </c>
    </row>
    <row r="141" spans="1:5" ht="16">
      <c r="A141" s="12">
        <v>41705</v>
      </c>
      <c r="B141" s="132">
        <v>6.1423929534468034</v>
      </c>
      <c r="C141" s="133">
        <v>0.89621300000000004</v>
      </c>
      <c r="D141" s="132">
        <v>1</v>
      </c>
      <c r="E141" s="132">
        <v>1.35</v>
      </c>
    </row>
    <row r="142" spans="1:5" ht="16">
      <c r="A142" s="12">
        <v>41712</v>
      </c>
      <c r="B142" s="132">
        <v>6.1351575201693302</v>
      </c>
      <c r="C142" s="133">
        <v>0.90378800000000004</v>
      </c>
      <c r="D142" s="132">
        <v>1</v>
      </c>
      <c r="E142" s="132">
        <v>1.35</v>
      </c>
    </row>
    <row r="143" spans="1:5" ht="16">
      <c r="A143" s="12">
        <v>41719</v>
      </c>
      <c r="B143" s="132">
        <v>6.1693359326802062</v>
      </c>
      <c r="C143" s="133">
        <v>0.90694699999999995</v>
      </c>
      <c r="D143" s="132">
        <v>1</v>
      </c>
      <c r="E143" s="132">
        <v>1.35</v>
      </c>
    </row>
    <row r="144" spans="1:5" ht="16">
      <c r="A144" s="12">
        <v>41726</v>
      </c>
      <c r="B144" s="132">
        <v>6.212685060356236</v>
      </c>
      <c r="C144" s="133">
        <v>0.91434300000000002</v>
      </c>
      <c r="D144" s="132">
        <v>1</v>
      </c>
      <c r="E144" s="132">
        <v>1.35</v>
      </c>
    </row>
    <row r="145" spans="1:5" ht="16">
      <c r="A145" s="12">
        <v>41733</v>
      </c>
      <c r="B145" s="132">
        <v>6.2115273524606964</v>
      </c>
      <c r="C145" s="133">
        <v>0.92443600000000004</v>
      </c>
      <c r="D145" s="132">
        <v>1</v>
      </c>
      <c r="E145" s="132">
        <v>1.35</v>
      </c>
    </row>
    <row r="146" spans="1:5" ht="16">
      <c r="A146" s="12">
        <v>41740</v>
      </c>
      <c r="B146" s="132">
        <v>6.2082880645661964</v>
      </c>
      <c r="C146" s="133">
        <v>0.93218800000000002</v>
      </c>
      <c r="D146" s="132">
        <v>1</v>
      </c>
      <c r="E146" s="132">
        <v>1.35</v>
      </c>
    </row>
    <row r="147" spans="1:5" ht="16">
      <c r="A147" s="12">
        <v>41747</v>
      </c>
      <c r="B147" s="132">
        <v>6.2161607747822796</v>
      </c>
      <c r="C147" s="133">
        <v>0.93801900000000005</v>
      </c>
      <c r="D147" s="132">
        <v>1</v>
      </c>
      <c r="E147" s="132">
        <v>1.35</v>
      </c>
    </row>
    <row r="148" spans="1:5" ht="16">
      <c r="A148" s="12">
        <v>41754</v>
      </c>
      <c r="B148" s="132">
        <v>6.23235464590877</v>
      </c>
      <c r="C148" s="133">
        <v>0.93184900000000004</v>
      </c>
      <c r="D148" s="132">
        <v>1</v>
      </c>
      <c r="E148" s="132">
        <v>1.35</v>
      </c>
    </row>
    <row r="149" spans="1:5" ht="16">
      <c r="A149" s="12">
        <v>41761</v>
      </c>
      <c r="B149" s="132">
        <v>6.2551213806303911</v>
      </c>
      <c r="C149" s="133">
        <v>0.92676599999999998</v>
      </c>
      <c r="D149" s="132">
        <v>1</v>
      </c>
      <c r="E149" s="132">
        <v>1.35</v>
      </c>
    </row>
    <row r="150" spans="1:5" ht="16">
      <c r="A150" s="12">
        <v>41768</v>
      </c>
      <c r="B150" s="132">
        <v>6.2466034093961404</v>
      </c>
      <c r="C150" s="133">
        <v>0.952654</v>
      </c>
      <c r="D150" s="132">
        <v>1</v>
      </c>
      <c r="E150" s="132">
        <v>1.35</v>
      </c>
    </row>
    <row r="151" spans="1:5" ht="16">
      <c r="A151" s="12">
        <v>41775</v>
      </c>
      <c r="B151" s="132">
        <v>6.2297533017692501</v>
      </c>
      <c r="C151" s="133">
        <v>0.93612399999999996</v>
      </c>
      <c r="D151" s="132">
        <v>1</v>
      </c>
      <c r="E151" s="132">
        <v>1.35</v>
      </c>
    </row>
    <row r="152" spans="1:5" ht="16">
      <c r="A152" s="12">
        <v>41782</v>
      </c>
      <c r="B152" s="132">
        <v>6.2358912959429293</v>
      </c>
      <c r="C152" s="133">
        <v>0.93018500000000004</v>
      </c>
      <c r="D152" s="132">
        <v>1</v>
      </c>
      <c r="E152" s="132">
        <v>1.35</v>
      </c>
    </row>
    <row r="153" spans="1:5" ht="16">
      <c r="A153" s="12">
        <v>41789</v>
      </c>
      <c r="B153" s="132">
        <v>6.2408727236416741</v>
      </c>
      <c r="C153" s="133">
        <v>0.92413299999999998</v>
      </c>
      <c r="D153" s="132">
        <v>1</v>
      </c>
      <c r="E153" s="132">
        <v>1.35</v>
      </c>
    </row>
    <row r="154" spans="1:5" ht="16">
      <c r="A154" s="12">
        <v>41796</v>
      </c>
      <c r="B154" s="132">
        <v>6.2511330178594866</v>
      </c>
      <c r="C154" s="133">
        <v>0.92883499999999997</v>
      </c>
      <c r="D154" s="132">
        <v>1</v>
      </c>
      <c r="E154" s="132">
        <v>1.35</v>
      </c>
    </row>
    <row r="155" spans="1:5" ht="16">
      <c r="A155" s="12">
        <v>41803</v>
      </c>
      <c r="B155" s="132">
        <v>6.2441071239018182</v>
      </c>
      <c r="C155" s="133">
        <v>0.936002</v>
      </c>
      <c r="D155" s="132">
        <v>1</v>
      </c>
      <c r="E155" s="132">
        <v>1.35</v>
      </c>
    </row>
    <row r="156" spans="1:5" ht="16">
      <c r="A156" s="12">
        <v>41810</v>
      </c>
      <c r="B156" s="132">
        <v>6.2221558525597951</v>
      </c>
      <c r="C156" s="133">
        <v>0.93810099999999996</v>
      </c>
      <c r="D156" s="132">
        <v>1</v>
      </c>
      <c r="E156" s="132">
        <v>1.35</v>
      </c>
    </row>
    <row r="157" spans="1:5" ht="16">
      <c r="A157" s="12">
        <v>41817</v>
      </c>
      <c r="B157" s="132">
        <v>6.2285116348597338</v>
      </c>
      <c r="C157" s="133">
        <v>0.93939700000000004</v>
      </c>
      <c r="D157" s="132">
        <v>1</v>
      </c>
      <c r="E157" s="132">
        <v>1.35</v>
      </c>
    </row>
    <row r="158" spans="1:5" ht="16">
      <c r="A158" s="12">
        <v>41824</v>
      </c>
      <c r="B158" s="132">
        <v>6.2095987978216733</v>
      </c>
      <c r="C158" s="133">
        <v>0.94255</v>
      </c>
      <c r="D158" s="132">
        <v>1</v>
      </c>
      <c r="E158" s="132">
        <v>1.35</v>
      </c>
    </row>
    <row r="159" spans="1:5" ht="16">
      <c r="A159" s="12">
        <v>41831</v>
      </c>
      <c r="B159" s="132">
        <v>6.203012182715927</v>
      </c>
      <c r="C159" s="133">
        <v>0.93793800000000005</v>
      </c>
      <c r="D159" s="132">
        <v>1</v>
      </c>
      <c r="E159" s="132">
        <v>1.35</v>
      </c>
    </row>
    <row r="160" spans="1:5" ht="16">
      <c r="A160" s="12">
        <v>41838</v>
      </c>
      <c r="B160" s="132">
        <v>6.20432068892777</v>
      </c>
      <c r="C160" s="133">
        <v>0.938087</v>
      </c>
      <c r="D160" s="132">
        <v>1</v>
      </c>
      <c r="E160" s="132">
        <v>1.35</v>
      </c>
    </row>
    <row r="161" spans="1:5" ht="16">
      <c r="A161" s="12">
        <v>41845</v>
      </c>
      <c r="B161" s="132">
        <v>6.1672000000000002</v>
      </c>
      <c r="C161" s="133">
        <v>0.94023400000000001</v>
      </c>
      <c r="D161" s="132">
        <v>1</v>
      </c>
      <c r="E161" s="132">
        <v>1.35</v>
      </c>
    </row>
    <row r="162" spans="1:5" ht="16">
      <c r="A162" s="12">
        <v>41852</v>
      </c>
      <c r="B162" s="132">
        <v>6.1841006771590248</v>
      </c>
      <c r="C162" s="133">
        <v>0.93731799999999998</v>
      </c>
      <c r="D162" s="132">
        <v>1</v>
      </c>
      <c r="E162" s="132">
        <v>1.35</v>
      </c>
    </row>
    <row r="163" spans="1:5" ht="16">
      <c r="A163" s="12">
        <v>41859</v>
      </c>
      <c r="B163" s="132">
        <v>6.1760418982682381</v>
      </c>
      <c r="C163" s="133">
        <v>0.93123999999999996</v>
      </c>
      <c r="D163" s="132">
        <v>1</v>
      </c>
      <c r="E163" s="132">
        <v>1.35</v>
      </c>
    </row>
    <row r="164" spans="1:5" ht="16">
      <c r="A164" s="12">
        <v>41866</v>
      </c>
      <c r="B164" s="132">
        <v>6.1576354679802963</v>
      </c>
      <c r="C164" s="133">
        <v>0.92835500000000004</v>
      </c>
      <c r="D164" s="132">
        <v>1</v>
      </c>
      <c r="E164" s="132">
        <v>1.35</v>
      </c>
    </row>
    <row r="165" spans="1:5" ht="16">
      <c r="A165" s="12">
        <v>41873</v>
      </c>
      <c r="B165" s="132">
        <v>6.1462814996926856</v>
      </c>
      <c r="C165" s="133">
        <v>0.93157000000000001</v>
      </c>
      <c r="D165" s="132">
        <v>1</v>
      </c>
      <c r="E165" s="132">
        <v>1.35</v>
      </c>
    </row>
    <row r="166" spans="1:5" ht="16">
      <c r="A166" s="12">
        <v>41880</v>
      </c>
      <c r="B166" s="132">
        <v>6.1493429427065713</v>
      </c>
      <c r="C166" s="133">
        <v>0.93197700000000006</v>
      </c>
      <c r="D166" s="132">
        <v>1</v>
      </c>
      <c r="E166" s="132">
        <v>1.35</v>
      </c>
    </row>
    <row r="167" spans="1:5" ht="16">
      <c r="A167" s="12">
        <v>41887</v>
      </c>
      <c r="B167" s="132">
        <v>6.1428834695005836</v>
      </c>
      <c r="C167" s="133">
        <v>0.93327700000000002</v>
      </c>
      <c r="D167" s="132">
        <v>1</v>
      </c>
      <c r="E167" s="132">
        <v>1.35</v>
      </c>
    </row>
    <row r="168" spans="1:5" ht="16">
      <c r="A168" s="12">
        <v>41894</v>
      </c>
      <c r="B168" s="132">
        <v>6.1374167612851753</v>
      </c>
      <c r="C168" s="133">
        <v>0.92517899999999997</v>
      </c>
      <c r="D168" s="132">
        <v>1</v>
      </c>
      <c r="E168" s="132">
        <v>1.35</v>
      </c>
    </row>
    <row r="169" spans="1:5" ht="16">
      <c r="A169" s="12">
        <v>41901</v>
      </c>
      <c r="B169" s="132">
        <v>6.1403939676769665</v>
      </c>
      <c r="C169" s="133">
        <v>0.90435399999999999</v>
      </c>
      <c r="D169" s="132">
        <v>1</v>
      </c>
      <c r="E169" s="132">
        <v>1.35</v>
      </c>
    </row>
    <row r="170" spans="1:5" ht="16">
      <c r="A170" s="12">
        <v>41908</v>
      </c>
      <c r="B170" s="132">
        <v>6.1401300479544156</v>
      </c>
      <c r="C170" s="133">
        <v>0.88821399999999995</v>
      </c>
      <c r="D170" s="132">
        <v>1</v>
      </c>
      <c r="E170" s="132">
        <v>1.35</v>
      </c>
    </row>
    <row r="171" spans="1:5" ht="16">
      <c r="A171" s="12">
        <v>41915</v>
      </c>
      <c r="B171" s="132">
        <v>6.1374167612851753</v>
      </c>
      <c r="C171" s="133">
        <v>0.87474799999999997</v>
      </c>
      <c r="D171" s="132">
        <v>1</v>
      </c>
      <c r="E171" s="132">
        <v>1.35</v>
      </c>
    </row>
    <row r="172" spans="1:5" ht="16">
      <c r="A172" s="12">
        <v>41922</v>
      </c>
      <c r="B172" s="132">
        <v>6.138358602909582</v>
      </c>
      <c r="C172" s="133">
        <v>0.87487199999999998</v>
      </c>
      <c r="D172" s="132">
        <v>1</v>
      </c>
      <c r="E172" s="132">
        <v>1.35</v>
      </c>
    </row>
    <row r="173" spans="1:5" ht="16">
      <c r="A173" s="12">
        <v>41929</v>
      </c>
      <c r="B173" s="132">
        <v>6.1270380060167513</v>
      </c>
      <c r="C173" s="133">
        <v>0.87360300000000002</v>
      </c>
      <c r="D173" s="132">
        <v>1</v>
      </c>
      <c r="E173" s="132">
        <v>1.35</v>
      </c>
    </row>
    <row r="174" spans="1:5" ht="16">
      <c r="A174" s="12">
        <v>41936</v>
      </c>
      <c r="B174" s="132">
        <v>6.122086652014473</v>
      </c>
      <c r="C174" s="133">
        <v>0.87701600000000002</v>
      </c>
      <c r="D174" s="132">
        <v>1</v>
      </c>
      <c r="E174" s="132">
        <v>1.35</v>
      </c>
    </row>
    <row r="175" spans="1:5" ht="16">
      <c r="A175" s="12">
        <v>41943</v>
      </c>
      <c r="B175" s="132">
        <v>6.1153850857988523</v>
      </c>
      <c r="C175" s="133">
        <v>0.88255300000000003</v>
      </c>
      <c r="D175" s="132">
        <v>1</v>
      </c>
      <c r="E175" s="132">
        <v>1.35</v>
      </c>
    </row>
    <row r="176" spans="1:5" ht="16">
      <c r="A176" s="12">
        <v>41950</v>
      </c>
      <c r="B176" s="132">
        <v>6.11396429444852</v>
      </c>
      <c r="C176" s="133">
        <v>0.87131000000000003</v>
      </c>
      <c r="D176" s="132">
        <v>1</v>
      </c>
      <c r="E176" s="132">
        <v>1.35</v>
      </c>
    </row>
    <row r="177" spans="1:5" ht="16">
      <c r="A177" s="12">
        <v>41957</v>
      </c>
      <c r="B177" s="132">
        <v>6.12332374012614</v>
      </c>
      <c r="C177" s="133">
        <v>0.86641400000000002</v>
      </c>
      <c r="D177" s="132">
        <v>1</v>
      </c>
      <c r="E177" s="132">
        <v>1.35</v>
      </c>
    </row>
    <row r="178" spans="1:5" ht="16">
      <c r="A178" s="12">
        <v>41964</v>
      </c>
      <c r="B178" s="132">
        <v>6.1253116252289335</v>
      </c>
      <c r="C178" s="133">
        <v>0.87022200000000005</v>
      </c>
      <c r="D178" s="132">
        <v>1</v>
      </c>
      <c r="E178" s="132">
        <v>1.35</v>
      </c>
    </row>
    <row r="179" spans="1:5" ht="16">
      <c r="A179" s="12">
        <v>41971</v>
      </c>
      <c r="B179" s="132">
        <v>6.1330127811986364</v>
      </c>
      <c r="C179" s="133">
        <v>0.86051599999999995</v>
      </c>
      <c r="D179" s="132">
        <v>1</v>
      </c>
      <c r="E179" s="132">
        <v>1.35</v>
      </c>
    </row>
    <row r="180" spans="1:5" ht="16">
      <c r="A180" s="12">
        <v>41978</v>
      </c>
      <c r="B180" s="132">
        <v>6.1479819249331413</v>
      </c>
      <c r="C180" s="133">
        <v>0.84761500000000001</v>
      </c>
      <c r="D180" s="132">
        <v>1</v>
      </c>
      <c r="E180" s="132">
        <v>1.35</v>
      </c>
    </row>
    <row r="181" spans="1:5" ht="16">
      <c r="A181" s="12">
        <v>41985</v>
      </c>
      <c r="B181" s="132">
        <v>6.1680859999999997</v>
      </c>
      <c r="C181" s="133">
        <v>0.83122700000000005</v>
      </c>
      <c r="D181" s="132">
        <v>1</v>
      </c>
      <c r="E181" s="132">
        <v>1.35</v>
      </c>
    </row>
    <row r="182" spans="1:5" ht="16">
      <c r="A182" s="12">
        <v>41992</v>
      </c>
      <c r="B182" s="133">
        <v>6.1931392403495407</v>
      </c>
      <c r="C182" s="133">
        <v>0.82172699999999999</v>
      </c>
      <c r="D182" s="132">
        <v>1</v>
      </c>
      <c r="E182" s="132">
        <v>1.35</v>
      </c>
    </row>
    <row r="183" spans="1:5" ht="16">
      <c r="A183" s="12">
        <v>41999</v>
      </c>
      <c r="B183" s="133">
        <v>6.2196790645602684</v>
      </c>
      <c r="C183" s="133">
        <v>0.81248200000000004</v>
      </c>
      <c r="D183" s="132">
        <v>1</v>
      </c>
      <c r="E183" s="132">
        <v>1.35</v>
      </c>
    </row>
    <row r="184" spans="1:5" ht="16">
      <c r="A184" s="12">
        <v>42006</v>
      </c>
      <c r="B184" s="133">
        <v>6.2140748796022987</v>
      </c>
      <c r="C184" s="133">
        <v>0.81499999999999995</v>
      </c>
      <c r="D184" s="132">
        <v>1</v>
      </c>
      <c r="E184" s="132">
        <v>1.35</v>
      </c>
    </row>
    <row r="185" spans="1:5" ht="16">
      <c r="A185" s="12">
        <v>42013</v>
      </c>
      <c r="B185" s="133">
        <v>6.2116816885835506</v>
      </c>
      <c r="C185" s="133">
        <v>0.80937999999999999</v>
      </c>
      <c r="D185" s="132">
        <v>1</v>
      </c>
      <c r="E185" s="132">
        <v>1.35</v>
      </c>
    </row>
    <row r="186" spans="1:5" ht="16">
      <c r="A186" s="12">
        <v>42020</v>
      </c>
      <c r="B186" s="133">
        <v>6.2018965399619201</v>
      </c>
      <c r="C186" s="133">
        <v>0.818523</v>
      </c>
      <c r="D186" s="132">
        <v>1</v>
      </c>
      <c r="E186" s="132">
        <v>1.35</v>
      </c>
    </row>
    <row r="187" spans="1:5" ht="16">
      <c r="A187" s="12">
        <v>42027</v>
      </c>
      <c r="B187" s="133">
        <v>6.2106400685654668</v>
      </c>
      <c r="C187" s="133">
        <v>0.81779999999999997</v>
      </c>
      <c r="D187" s="132">
        <v>1</v>
      </c>
      <c r="E187" s="132">
        <v>1.35</v>
      </c>
    </row>
    <row r="188" spans="1:5" ht="16">
      <c r="A188" s="12">
        <v>42034</v>
      </c>
      <c r="B188" s="133">
        <v>6.2396655539263097</v>
      </c>
      <c r="C188" s="133">
        <v>0.79104200000000002</v>
      </c>
      <c r="D188" s="132">
        <v>1</v>
      </c>
      <c r="E188" s="132">
        <v>1.35</v>
      </c>
    </row>
    <row r="189" spans="1:5" ht="16">
      <c r="A189" s="12">
        <v>42041</v>
      </c>
      <c r="B189" s="133">
        <v>6.2525791889154281</v>
      </c>
      <c r="C189" s="133">
        <v>0.777644</v>
      </c>
      <c r="D189" s="132">
        <v>1</v>
      </c>
      <c r="E189" s="132">
        <v>1.35</v>
      </c>
    </row>
    <row r="190" spans="1:5" ht="16">
      <c r="A190" s="12">
        <v>42048</v>
      </c>
      <c r="B190" s="133">
        <v>6.2439511723018333</v>
      </c>
      <c r="C190" s="133">
        <v>0.77813399999999999</v>
      </c>
      <c r="D190" s="132">
        <v>1</v>
      </c>
      <c r="E190" s="132">
        <v>1.35</v>
      </c>
    </row>
    <row r="191" spans="1:5" ht="16">
      <c r="A191" s="12">
        <v>42055</v>
      </c>
      <c r="B191" s="133">
        <v>6.2473839079885307</v>
      </c>
      <c r="C191" s="133">
        <v>0.77839199999999997</v>
      </c>
      <c r="D191" s="132">
        <v>1</v>
      </c>
      <c r="E191" s="132">
        <v>1.35</v>
      </c>
    </row>
    <row r="192" spans="1:5" ht="16">
      <c r="A192" s="12">
        <v>42062</v>
      </c>
      <c r="B192" s="133">
        <v>6.2559431459886898</v>
      </c>
      <c r="C192" s="133">
        <v>0.78362500000000002</v>
      </c>
      <c r="D192" s="132">
        <v>1</v>
      </c>
      <c r="E192" s="132">
        <v>1.35</v>
      </c>
    </row>
    <row r="193" spans="1:5" ht="16">
      <c r="A193" s="12">
        <v>42069</v>
      </c>
      <c r="B193" s="133">
        <v>6.2701821487914229</v>
      </c>
      <c r="C193" s="133">
        <v>0.78063400000000005</v>
      </c>
      <c r="D193" s="132">
        <v>1</v>
      </c>
      <c r="E193" s="132">
        <v>1.35</v>
      </c>
    </row>
    <row r="194" spans="1:5" ht="16">
      <c r="A194" s="12">
        <v>42076</v>
      </c>
      <c r="B194" s="133">
        <v>6.263191847829491</v>
      </c>
      <c r="C194" s="133">
        <v>0.767899</v>
      </c>
      <c r="D194" s="132">
        <v>1</v>
      </c>
      <c r="E194" s="132">
        <v>1.35</v>
      </c>
    </row>
    <row r="195" spans="1:5" ht="16">
      <c r="A195" s="12">
        <v>42083</v>
      </c>
      <c r="B195" s="133">
        <v>6.2444970369861554</v>
      </c>
      <c r="C195" s="133">
        <v>0.76396600000000003</v>
      </c>
      <c r="D195" s="132">
        <v>1</v>
      </c>
      <c r="E195" s="132">
        <v>1.35</v>
      </c>
    </row>
    <row r="196" spans="1:5" ht="16">
      <c r="A196" s="12">
        <v>42090</v>
      </c>
      <c r="B196" s="133">
        <v>6.2086735169031133</v>
      </c>
      <c r="C196" s="133">
        <v>0.78184100000000001</v>
      </c>
      <c r="D196" s="132">
        <v>1</v>
      </c>
      <c r="E196" s="132">
        <v>1.35</v>
      </c>
    </row>
    <row r="197" spans="1:5" ht="16">
      <c r="A197" s="12">
        <v>42097</v>
      </c>
      <c r="B197" s="133">
        <v>6.2062459659401226</v>
      </c>
      <c r="C197" s="133">
        <v>0.76739000000000002</v>
      </c>
      <c r="D197" s="132">
        <v>1</v>
      </c>
      <c r="E197" s="132">
        <v>1.35</v>
      </c>
    </row>
    <row r="198" spans="1:5" ht="16">
      <c r="A198" s="12">
        <v>42104</v>
      </c>
      <c r="B198" s="133">
        <v>6.1988978359647655</v>
      </c>
      <c r="C198" s="133">
        <v>0.76530600000000004</v>
      </c>
      <c r="D198" s="132">
        <v>1</v>
      </c>
      <c r="E198" s="132">
        <v>1.35</v>
      </c>
    </row>
    <row r="199" spans="1:5" ht="16">
      <c r="A199" s="12">
        <v>42111</v>
      </c>
      <c r="B199" s="133">
        <v>6.2078255849323654</v>
      </c>
      <c r="C199" s="133">
        <v>0.76790599999999998</v>
      </c>
      <c r="D199" s="132">
        <v>1</v>
      </c>
      <c r="E199" s="132">
        <v>1.35</v>
      </c>
    </row>
    <row r="200" spans="1:5" ht="16">
      <c r="A200" s="12">
        <v>42118</v>
      </c>
      <c r="B200" s="133">
        <v>6.198283075588062</v>
      </c>
      <c r="C200" s="133">
        <v>0.77614000000000005</v>
      </c>
      <c r="D200" s="132">
        <v>1</v>
      </c>
      <c r="E200" s="132">
        <v>1.35</v>
      </c>
    </row>
    <row r="201" spans="1:5" ht="16">
      <c r="A201" s="12">
        <v>42125</v>
      </c>
      <c r="B201" s="133">
        <v>6.2015888470626175</v>
      </c>
      <c r="C201" s="133">
        <v>0.78997499999999998</v>
      </c>
      <c r="D201" s="132">
        <v>1</v>
      </c>
      <c r="E201" s="132">
        <v>1.35</v>
      </c>
    </row>
    <row r="202" spans="1:5" ht="16">
      <c r="A202" s="12">
        <v>42132</v>
      </c>
      <c r="B202" s="133">
        <v>6.2033584982909744</v>
      </c>
      <c r="C202" s="133">
        <v>0.78864299999999998</v>
      </c>
      <c r="D202" s="132">
        <v>1</v>
      </c>
      <c r="E202" s="132">
        <v>1.35</v>
      </c>
    </row>
    <row r="203" spans="1:5" ht="16">
      <c r="A203" s="12">
        <v>42139</v>
      </c>
      <c r="B203" s="133">
        <v>6.2074017057939894</v>
      </c>
      <c r="C203" s="133">
        <v>0.79835100000000003</v>
      </c>
      <c r="D203" s="132">
        <v>1</v>
      </c>
      <c r="E203" s="132">
        <v>1.35</v>
      </c>
    </row>
    <row r="204" spans="1:5" ht="16">
      <c r="A204" s="12">
        <v>42146</v>
      </c>
      <c r="B204" s="133">
        <v>6.2042437026926418</v>
      </c>
      <c r="C204" s="133">
        <v>0.79688700000000001</v>
      </c>
      <c r="D204" s="132">
        <v>1</v>
      </c>
      <c r="E204" s="132">
        <v>1.35</v>
      </c>
    </row>
    <row r="205" spans="1:5" ht="16">
      <c r="A205" s="12">
        <v>42153</v>
      </c>
      <c r="B205" s="133">
        <v>6.200089281285651</v>
      </c>
      <c r="C205" s="133">
        <v>0.77717199999999997</v>
      </c>
      <c r="D205" s="132">
        <v>1</v>
      </c>
      <c r="E205" s="132">
        <v>1.35</v>
      </c>
    </row>
    <row r="206" spans="1:5" ht="16">
      <c r="A206" s="12">
        <v>42160</v>
      </c>
      <c r="B206" s="133">
        <v>6.1987825591053918</v>
      </c>
      <c r="C206" s="133">
        <v>0.76841400000000004</v>
      </c>
      <c r="D206" s="132">
        <v>1</v>
      </c>
      <c r="E206" s="132">
        <v>1.35</v>
      </c>
    </row>
    <row r="207" spans="1:5" ht="16">
      <c r="A207" s="12">
        <v>42167</v>
      </c>
      <c r="B207" s="133">
        <v>6.204859646074806</v>
      </c>
      <c r="C207" s="133">
        <v>0.76730500000000001</v>
      </c>
      <c r="D207" s="132">
        <v>1</v>
      </c>
      <c r="E207" s="132">
        <v>1.35</v>
      </c>
    </row>
    <row r="208" spans="1:5" ht="16">
      <c r="A208" s="12">
        <v>42174</v>
      </c>
      <c r="B208" s="133">
        <v>6.2085578761765223</v>
      </c>
      <c r="C208" s="133">
        <v>0.77412800000000004</v>
      </c>
      <c r="D208" s="132">
        <v>1</v>
      </c>
      <c r="E208" s="132">
        <v>1.35</v>
      </c>
    </row>
    <row r="209" spans="1:5" ht="16">
      <c r="A209" s="12">
        <v>42181</v>
      </c>
      <c r="B209" s="133">
        <v>6.2087506131141224</v>
      </c>
      <c r="C209" s="133">
        <v>0.774594</v>
      </c>
      <c r="D209" s="132">
        <v>1</v>
      </c>
      <c r="E209" s="132">
        <v>1.35</v>
      </c>
    </row>
    <row r="210" spans="1:5" ht="16">
      <c r="A210" s="12">
        <v>42188</v>
      </c>
      <c r="B210" s="133">
        <v>6.2061304156245543</v>
      </c>
      <c r="C210" s="133">
        <v>0.76646700000000001</v>
      </c>
      <c r="D210" s="132">
        <v>1</v>
      </c>
      <c r="E210" s="132">
        <v>1.35</v>
      </c>
    </row>
    <row r="211" spans="1:5" ht="16">
      <c r="A211" s="12">
        <v>42195</v>
      </c>
      <c r="B211" s="133">
        <v>6.207709975789931</v>
      </c>
      <c r="C211" s="133">
        <v>0.747973</v>
      </c>
      <c r="D211" s="132">
        <v>1</v>
      </c>
      <c r="E211" s="132">
        <v>1.35</v>
      </c>
    </row>
    <row r="212" spans="1:5" ht="16">
      <c r="A212" s="12">
        <v>42202</v>
      </c>
      <c r="B212" s="133">
        <v>6.2091361228912225</v>
      </c>
      <c r="C212" s="133">
        <v>0.74200999999999995</v>
      </c>
      <c r="D212" s="132">
        <v>1</v>
      </c>
      <c r="E212" s="132">
        <v>1.35</v>
      </c>
    </row>
    <row r="213" spans="1:5" ht="16">
      <c r="A213" s="12">
        <v>42209</v>
      </c>
      <c r="B213" s="133">
        <v>6.2095602389438787</v>
      </c>
      <c r="C213" s="133">
        <v>0.73839900000000003</v>
      </c>
      <c r="D213" s="132">
        <v>1</v>
      </c>
      <c r="E213" s="132">
        <v>1.35</v>
      </c>
    </row>
    <row r="214" spans="1:5" ht="16">
      <c r="A214" s="12">
        <v>42216</v>
      </c>
      <c r="B214" s="133">
        <v>6.2094831226248726</v>
      </c>
      <c r="C214" s="133">
        <v>0.72990299999999997</v>
      </c>
      <c r="D214" s="132">
        <v>1</v>
      </c>
      <c r="E214" s="132">
        <v>1.35</v>
      </c>
    </row>
    <row r="215" spans="1:5" ht="16">
      <c r="A215" s="12">
        <v>42223</v>
      </c>
      <c r="B215" s="133">
        <v>6.2097144773283333</v>
      </c>
      <c r="C215" s="133">
        <v>0.73282099999999994</v>
      </c>
      <c r="D215" s="132">
        <v>1</v>
      </c>
      <c r="E215" s="132">
        <v>1.35</v>
      </c>
    </row>
    <row r="216" spans="1:5" ht="16">
      <c r="A216" s="12">
        <v>42230</v>
      </c>
      <c r="B216" s="133">
        <v>6.2774244982768472</v>
      </c>
      <c r="C216" s="133">
        <v>0.73821199999999998</v>
      </c>
      <c r="D216" s="132">
        <v>1</v>
      </c>
      <c r="E216" s="132">
        <v>1.35</v>
      </c>
    </row>
    <row r="217" spans="1:5" ht="16">
      <c r="A217" s="12">
        <v>42237</v>
      </c>
      <c r="B217" s="133">
        <v>6.3926765497446123</v>
      </c>
      <c r="C217" s="133">
        <v>0.73622699999999996</v>
      </c>
      <c r="D217" s="132">
        <v>1</v>
      </c>
      <c r="E217" s="132">
        <v>1.35</v>
      </c>
    </row>
    <row r="218" spans="1:5" ht="16">
      <c r="A218" s="12">
        <v>42244</v>
      </c>
      <c r="B218" s="133">
        <v>6.400040960262146</v>
      </c>
      <c r="C218" s="133">
        <v>0.72273100000000001</v>
      </c>
      <c r="D218" s="132">
        <v>1</v>
      </c>
      <c r="E218" s="132">
        <v>1.35</v>
      </c>
    </row>
    <row r="219" spans="1:5" ht="16">
      <c r="A219" s="12">
        <v>42251</v>
      </c>
      <c r="B219" s="133">
        <v>6.3740144180206135</v>
      </c>
      <c r="C219" s="133">
        <v>0.70995399999999997</v>
      </c>
      <c r="D219" s="132">
        <v>1</v>
      </c>
      <c r="E219" s="132">
        <v>1.35</v>
      </c>
    </row>
    <row r="220" spans="1:5" ht="16">
      <c r="A220" s="12">
        <v>42258</v>
      </c>
      <c r="B220" s="133">
        <v>6.3650887611627747</v>
      </c>
      <c r="C220" s="133">
        <v>0.69722099999999998</v>
      </c>
      <c r="D220" s="132">
        <v>1</v>
      </c>
      <c r="E220" s="132">
        <v>1.35</v>
      </c>
    </row>
    <row r="221" spans="1:5" ht="16">
      <c r="A221" s="12">
        <v>42265</v>
      </c>
      <c r="B221" s="133">
        <v>6.3714152824766961</v>
      </c>
      <c r="C221" s="133">
        <v>0.71305700000000005</v>
      </c>
      <c r="D221" s="132">
        <v>1</v>
      </c>
      <c r="E221" s="132">
        <v>1.35</v>
      </c>
    </row>
    <row r="222" spans="1:5" ht="16">
      <c r="A222" s="12">
        <v>42272</v>
      </c>
      <c r="B222" s="133">
        <v>6.3721460750766257</v>
      </c>
      <c r="C222" s="133">
        <v>0.71277900000000005</v>
      </c>
      <c r="D222" s="132">
        <v>1</v>
      </c>
      <c r="E222" s="132">
        <v>1.35</v>
      </c>
    </row>
    <row r="223" spans="1:5" ht="16">
      <c r="A223" s="12">
        <v>42279</v>
      </c>
      <c r="B223" s="133">
        <v>6.3668313553710583</v>
      </c>
      <c r="C223" s="133">
        <v>0.70138100000000003</v>
      </c>
      <c r="D223" s="132">
        <v>1</v>
      </c>
      <c r="E223" s="132">
        <v>1.35</v>
      </c>
    </row>
    <row r="224" spans="1:5" ht="16">
      <c r="A224" s="12">
        <v>42286</v>
      </c>
      <c r="B224" s="133">
        <v>6.3557436855686484</v>
      </c>
      <c r="C224" s="133">
        <v>0.71188600000000002</v>
      </c>
      <c r="D224" s="132">
        <v>1</v>
      </c>
      <c r="E224" s="132">
        <v>1.35</v>
      </c>
    </row>
    <row r="225" spans="1:5" ht="16">
      <c r="A225" s="12">
        <v>42293</v>
      </c>
      <c r="B225" s="133">
        <v>6.3421595053115585</v>
      </c>
      <c r="C225" s="133">
        <v>0.73222200000000004</v>
      </c>
      <c r="D225" s="132">
        <v>1</v>
      </c>
      <c r="E225" s="132">
        <v>1.35</v>
      </c>
    </row>
    <row r="226" spans="1:5" ht="16">
      <c r="A226" s="12">
        <v>42300</v>
      </c>
      <c r="B226" s="133">
        <v>6.353361245767073</v>
      </c>
      <c r="C226" s="133">
        <v>0.72526199999999996</v>
      </c>
      <c r="D226" s="132">
        <v>1</v>
      </c>
      <c r="E226" s="132">
        <v>1.35</v>
      </c>
    </row>
    <row r="227" spans="1:5" ht="16">
      <c r="A227" s="12">
        <v>42307</v>
      </c>
      <c r="B227" s="133">
        <v>6.352796183240053</v>
      </c>
      <c r="C227" s="133">
        <v>0.71919699999999998</v>
      </c>
      <c r="D227" s="132">
        <v>1</v>
      </c>
      <c r="E227" s="132">
        <v>1.35</v>
      </c>
    </row>
    <row r="228" spans="1:5" ht="16">
      <c r="A228" s="12">
        <v>42314</v>
      </c>
      <c r="B228" s="133">
        <v>6.329955247216402</v>
      </c>
      <c r="C228" s="133">
        <v>0.714499</v>
      </c>
      <c r="D228" s="132">
        <v>1</v>
      </c>
      <c r="E228" s="132">
        <v>1.35</v>
      </c>
    </row>
    <row r="229" spans="1:5" ht="16">
      <c r="A229" s="12">
        <v>42321</v>
      </c>
      <c r="B229" s="133">
        <v>6.3599880432224785</v>
      </c>
      <c r="C229" s="133">
        <v>0.705403</v>
      </c>
      <c r="D229" s="132">
        <v>1</v>
      </c>
      <c r="E229" s="132">
        <v>1.35</v>
      </c>
    </row>
    <row r="230" spans="1:5" ht="16">
      <c r="A230" s="12">
        <v>42328</v>
      </c>
      <c r="B230" s="133">
        <v>6.3770223132010733</v>
      </c>
      <c r="C230" s="133">
        <v>0.712395</v>
      </c>
      <c r="D230" s="132">
        <v>1</v>
      </c>
      <c r="E230" s="132">
        <v>1.35</v>
      </c>
    </row>
    <row r="231" spans="1:5" ht="16">
      <c r="A231" s="12">
        <v>42335</v>
      </c>
      <c r="B231" s="133">
        <v>6.3875723392567423</v>
      </c>
      <c r="C231" s="133">
        <v>0.72303300000000004</v>
      </c>
      <c r="D231" s="132">
        <v>1</v>
      </c>
      <c r="E231" s="132">
        <v>1.35</v>
      </c>
    </row>
    <row r="232" spans="1:5" ht="16">
      <c r="A232" s="12">
        <v>42342</v>
      </c>
      <c r="B232" s="133">
        <v>6.3968885534076225</v>
      </c>
      <c r="C232" s="133">
        <v>0.72514000000000001</v>
      </c>
      <c r="D232" s="132">
        <v>1</v>
      </c>
      <c r="E232" s="132">
        <v>1.35</v>
      </c>
    </row>
    <row r="233" spans="1:5" ht="16">
      <c r="A233" s="12">
        <v>42349</v>
      </c>
      <c r="B233" s="133">
        <v>6.4134631418273234</v>
      </c>
      <c r="C233" s="133">
        <v>0.72893799999999997</v>
      </c>
      <c r="D233" s="132">
        <v>1</v>
      </c>
      <c r="E233" s="132">
        <v>1.35</v>
      </c>
    </row>
    <row r="234" spans="1:5" ht="16">
      <c r="A234" s="12">
        <v>42356</v>
      </c>
      <c r="B234" s="133">
        <v>6.4598648596271371</v>
      </c>
      <c r="C234" s="133">
        <v>0.72030000000000005</v>
      </c>
      <c r="D234" s="132">
        <v>1</v>
      </c>
      <c r="E234" s="132">
        <v>1.35</v>
      </c>
    </row>
    <row r="235" spans="1:5" ht="16">
      <c r="A235" s="12">
        <v>42363</v>
      </c>
      <c r="B235" s="133">
        <v>6.47</v>
      </c>
      <c r="C235" s="133">
        <v>0.72306579898770784</v>
      </c>
      <c r="D235" s="132">
        <v>1</v>
      </c>
      <c r="E235" s="132">
        <v>1.35</v>
      </c>
    </row>
    <row r="236" spans="1:5" ht="16">
      <c r="A236" s="12">
        <v>42370</v>
      </c>
      <c r="B236" s="133">
        <v>6.49</v>
      </c>
      <c r="C236" s="133">
        <v>0.72891610175668786</v>
      </c>
      <c r="D236" s="132">
        <v>1</v>
      </c>
      <c r="E236" s="132">
        <v>1.35</v>
      </c>
    </row>
    <row r="237" spans="1:5" ht="16">
      <c r="A237" s="12">
        <v>42377</v>
      </c>
      <c r="B237" s="133">
        <v>6.5472000000000001</v>
      </c>
      <c r="C237" s="133">
        <v>0.71027771858796795</v>
      </c>
      <c r="D237" s="132">
        <v>1</v>
      </c>
      <c r="E237" s="132">
        <v>1.35</v>
      </c>
    </row>
    <row r="238" spans="1:5" ht="16">
      <c r="A238" s="12">
        <v>42384</v>
      </c>
      <c r="B238" s="133">
        <v>6.5799000000000003</v>
      </c>
      <c r="C238" s="133">
        <v>0.69637883008356549</v>
      </c>
      <c r="D238" s="132">
        <v>1</v>
      </c>
      <c r="E238" s="132">
        <v>1.35</v>
      </c>
    </row>
    <row r="239" spans="1:5" ht="16">
      <c r="A239" s="12">
        <v>42391</v>
      </c>
      <c r="B239" s="133">
        <v>6.5747999999999998</v>
      </c>
      <c r="C239" s="133">
        <v>0.69041701187517268</v>
      </c>
      <c r="D239" s="132">
        <v>1</v>
      </c>
      <c r="E239" s="132">
        <v>1.35</v>
      </c>
    </row>
    <row r="240" spans="1:5" ht="16">
      <c r="A240" s="12">
        <v>42398</v>
      </c>
      <c r="B240" s="133">
        <v>6.5768000000000004</v>
      </c>
      <c r="C240" s="133">
        <v>0.70219787936240441</v>
      </c>
      <c r="D240" s="132">
        <v>1</v>
      </c>
      <c r="E240" s="132">
        <v>1.35</v>
      </c>
    </row>
    <row r="241" spans="1:5" ht="16">
      <c r="A241" s="12">
        <v>42405</v>
      </c>
      <c r="B241" s="133">
        <v>6.5812999999999997</v>
      </c>
      <c r="C241" s="133">
        <v>0.71053005542134429</v>
      </c>
      <c r="D241" s="132">
        <v>1</v>
      </c>
      <c r="E241" s="132">
        <v>1.35</v>
      </c>
    </row>
    <row r="242" spans="1:5" ht="16">
      <c r="A242" s="12">
        <v>42412</v>
      </c>
      <c r="B242" s="133">
        <v>6.5735000000000001</v>
      </c>
      <c r="C242" s="133">
        <v>0.70771408351026188</v>
      </c>
      <c r="D242" s="132">
        <v>1</v>
      </c>
      <c r="E242" s="132">
        <v>1.35</v>
      </c>
    </row>
    <row r="243" spans="1:5" ht="16">
      <c r="A243" s="12">
        <v>42419</v>
      </c>
      <c r="B243" s="133">
        <v>6.5327999999999999</v>
      </c>
      <c r="C243" s="133">
        <v>0.71285999429711999</v>
      </c>
      <c r="D243" s="132">
        <v>1</v>
      </c>
      <c r="E243" s="132">
        <v>1.35</v>
      </c>
    </row>
    <row r="244" spans="1:5" ht="16">
      <c r="A244" s="12">
        <v>42426</v>
      </c>
      <c r="B244" s="133">
        <v>6.5259</v>
      </c>
      <c r="C244" s="133">
        <v>0.71844241684029031</v>
      </c>
      <c r="D244" s="132">
        <v>1</v>
      </c>
      <c r="E244" s="132">
        <v>1.35</v>
      </c>
    </row>
    <row r="245" spans="1:5" ht="16">
      <c r="A245" s="12">
        <v>42433</v>
      </c>
      <c r="B245" s="133">
        <v>6.5495000000000001</v>
      </c>
      <c r="C245" s="133">
        <v>0.72098053352559477</v>
      </c>
      <c r="D245" s="132">
        <v>1</v>
      </c>
      <c r="E245" s="132">
        <v>1.35</v>
      </c>
    </row>
    <row r="246" spans="1:5" ht="16">
      <c r="A246" s="12">
        <v>42440</v>
      </c>
      <c r="B246" s="133">
        <v>6.5141</v>
      </c>
      <c r="C246" s="133">
        <v>0.74554536643554759</v>
      </c>
      <c r="D246" s="132">
        <v>1</v>
      </c>
      <c r="E246" s="132">
        <v>1.35</v>
      </c>
    </row>
    <row r="247" spans="1:5" ht="16">
      <c r="A247" s="12">
        <v>42447</v>
      </c>
      <c r="B247" s="133">
        <v>6.4897999999999998</v>
      </c>
      <c r="C247" s="133">
        <v>0.75494488902310131</v>
      </c>
      <c r="D247" s="132">
        <v>1</v>
      </c>
      <c r="E247" s="132">
        <v>1.35</v>
      </c>
    </row>
    <row r="248" spans="1:5" ht="16">
      <c r="A248" s="12">
        <v>42454</v>
      </c>
      <c r="B248" s="133">
        <v>6.49268</v>
      </c>
      <c r="C248" s="133">
        <v>0.75735773035035359</v>
      </c>
      <c r="D248" s="132">
        <v>1</v>
      </c>
      <c r="E248" s="132">
        <v>1.35</v>
      </c>
    </row>
    <row r="249" spans="1:5" ht="16">
      <c r="A249" s="12">
        <v>42461</v>
      </c>
      <c r="B249" s="133">
        <v>6.4885999999999999</v>
      </c>
      <c r="C249" s="133">
        <v>0.75838010010617318</v>
      </c>
      <c r="D249" s="132">
        <v>1</v>
      </c>
      <c r="E249" s="132">
        <v>1.35</v>
      </c>
    </row>
    <row r="250" spans="1:5" ht="16">
      <c r="A250" s="12">
        <v>42468</v>
      </c>
      <c r="B250" s="133">
        <v>6.4765100000000002</v>
      </c>
      <c r="C250" s="133">
        <v>0.76020768874056388</v>
      </c>
      <c r="D250" s="132">
        <v>1</v>
      </c>
      <c r="E250" s="132">
        <v>1.35</v>
      </c>
    </row>
    <row r="251" spans="1:5" ht="16">
      <c r="A251" s="12">
        <v>42475</v>
      </c>
      <c r="B251" s="133">
        <v>6.46943</v>
      </c>
      <c r="C251" s="133">
        <v>0.76246826225858344</v>
      </c>
      <c r="D251" s="132">
        <v>1</v>
      </c>
      <c r="E251" s="132">
        <v>1.35</v>
      </c>
    </row>
    <row r="252" spans="1:5" ht="16">
      <c r="A252" s="12">
        <v>42482</v>
      </c>
      <c r="B252" s="133">
        <v>6.4752000000000001</v>
      </c>
      <c r="C252" s="133">
        <v>0.77538013010878581</v>
      </c>
      <c r="D252" s="132">
        <v>1</v>
      </c>
      <c r="E252" s="132">
        <v>1.35</v>
      </c>
    </row>
    <row r="253" spans="1:5" ht="16">
      <c r="A253" s="12">
        <v>42489</v>
      </c>
      <c r="B253" s="133">
        <v>6.4911899999999996</v>
      </c>
      <c r="C253" s="133">
        <v>0.76783685002610647</v>
      </c>
      <c r="D253" s="132">
        <v>1</v>
      </c>
      <c r="E253" s="132">
        <v>1.35</v>
      </c>
    </row>
    <row r="254" spans="1:5" ht="16">
      <c r="A254" s="12">
        <v>42496</v>
      </c>
      <c r="B254" s="133">
        <v>6.4833100000000004</v>
      </c>
      <c r="C254" s="133">
        <v>0.75390901825967649</v>
      </c>
      <c r="D254" s="132">
        <v>1</v>
      </c>
      <c r="E254" s="132">
        <v>1.35</v>
      </c>
    </row>
    <row r="255" spans="1:5" ht="16">
      <c r="A255" s="12">
        <v>42503</v>
      </c>
      <c r="B255" s="133">
        <v>6.5079099999999999</v>
      </c>
      <c r="C255" s="133">
        <v>0.734635106742481</v>
      </c>
      <c r="D255" s="132">
        <v>1</v>
      </c>
      <c r="E255" s="132">
        <v>1.35</v>
      </c>
    </row>
    <row r="256" spans="1:5" ht="16">
      <c r="A256" s="12">
        <v>42510</v>
      </c>
      <c r="B256" s="133">
        <v>6.5331999999999999</v>
      </c>
      <c r="C256" s="133">
        <v>0.72697664951001784</v>
      </c>
      <c r="D256" s="132">
        <v>1</v>
      </c>
      <c r="E256" s="132">
        <v>1.35</v>
      </c>
    </row>
    <row r="257" spans="1:5" ht="16">
      <c r="A257" s="12">
        <v>42517</v>
      </c>
      <c r="B257" s="133">
        <v>6.5526999999999997</v>
      </c>
      <c r="C257" s="133">
        <v>0.72115731325631371</v>
      </c>
      <c r="D257" s="132">
        <v>1</v>
      </c>
      <c r="E257" s="132">
        <v>1.35</v>
      </c>
    </row>
    <row r="258" spans="1:5" ht="16">
      <c r="A258" s="12">
        <v>42524</v>
      </c>
      <c r="B258" s="133">
        <v>6.5760500000000004</v>
      </c>
      <c r="C258" s="133">
        <v>0.72209986641152479</v>
      </c>
      <c r="D258" s="132">
        <v>1</v>
      </c>
      <c r="E258" s="132">
        <v>1.35</v>
      </c>
    </row>
    <row r="259" spans="1:5" ht="16">
      <c r="A259" s="12">
        <v>42531</v>
      </c>
      <c r="B259" s="133">
        <v>6.5653300000000003</v>
      </c>
      <c r="C259" s="133">
        <v>0.74043359791493901</v>
      </c>
      <c r="D259" s="132">
        <v>1</v>
      </c>
      <c r="E259" s="132">
        <v>1.35</v>
      </c>
    </row>
    <row r="260" spans="1:5" ht="16">
      <c r="A260" s="12">
        <v>42538</v>
      </c>
      <c r="B260" s="133">
        <v>6.57972</v>
      </c>
      <c r="C260" s="133">
        <v>0.73799648713672128</v>
      </c>
      <c r="D260" s="132">
        <v>1</v>
      </c>
      <c r="E260" s="132">
        <v>1.35</v>
      </c>
    </row>
    <row r="261" spans="1:5" ht="16">
      <c r="A261" s="12">
        <v>42545</v>
      </c>
      <c r="B261" s="133">
        <v>6.5868200000000003</v>
      </c>
      <c r="C261" s="133">
        <v>0.74597360745376828</v>
      </c>
      <c r="D261" s="132">
        <v>1</v>
      </c>
      <c r="E261" s="132">
        <v>1.35</v>
      </c>
    </row>
    <row r="262" spans="1:5" ht="16">
      <c r="A262" s="12">
        <v>42552</v>
      </c>
      <c r="B262" s="133">
        <v>6.6371799999999999</v>
      </c>
      <c r="C262" s="133">
        <v>0.74392584547172336</v>
      </c>
      <c r="D262" s="132">
        <v>1</v>
      </c>
      <c r="E262" s="132">
        <v>1.35</v>
      </c>
    </row>
    <row r="263" spans="1:5" ht="16">
      <c r="A263" s="12">
        <v>42559</v>
      </c>
      <c r="B263" s="133">
        <v>6.6692200000000001</v>
      </c>
      <c r="C263" s="133">
        <v>0.75021005881646863</v>
      </c>
      <c r="D263" s="132">
        <v>1</v>
      </c>
      <c r="E263" s="132">
        <v>1.35</v>
      </c>
    </row>
    <row r="264" spans="1:5" ht="16">
      <c r="A264" s="12">
        <v>42566</v>
      </c>
      <c r="B264" s="133">
        <v>6.6880300000000004</v>
      </c>
      <c r="C264" s="133">
        <v>0.75948597988881117</v>
      </c>
      <c r="D264" s="132">
        <v>1</v>
      </c>
      <c r="E264" s="132">
        <v>1.35</v>
      </c>
    </row>
    <row r="265" spans="1:5" ht="16">
      <c r="A265" s="12">
        <v>42573</v>
      </c>
      <c r="B265" s="133">
        <v>6.6854399999999998</v>
      </c>
      <c r="C265" s="133">
        <v>0.75325027493635033</v>
      </c>
      <c r="D265" s="132">
        <v>1</v>
      </c>
      <c r="E265" s="132">
        <v>1.35</v>
      </c>
    </row>
    <row r="266" spans="1:5" ht="16">
      <c r="A266" s="12">
        <v>42580</v>
      </c>
      <c r="B266" s="133">
        <v>6.6715499999999999</v>
      </c>
      <c r="C266" s="133">
        <v>0.74924326430305388</v>
      </c>
      <c r="D266" s="132">
        <v>1</v>
      </c>
      <c r="E266" s="132">
        <v>1.35</v>
      </c>
    </row>
    <row r="267" spans="1:5" ht="16">
      <c r="A267" s="12">
        <v>42587</v>
      </c>
      <c r="B267" s="133">
        <v>6.6380699999999999</v>
      </c>
      <c r="C267" s="133">
        <v>0.7601499015605877</v>
      </c>
      <c r="D267" s="132">
        <v>1</v>
      </c>
      <c r="E267" s="132">
        <v>1.35</v>
      </c>
    </row>
    <row r="268" spans="1:5" ht="16">
      <c r="A268" s="12">
        <v>42594</v>
      </c>
      <c r="B268" s="133">
        <v>6.6497400000000004</v>
      </c>
      <c r="C268" s="133">
        <v>0.76620132706069843</v>
      </c>
      <c r="D268" s="132">
        <v>1</v>
      </c>
      <c r="E268" s="132">
        <v>1.35</v>
      </c>
    </row>
    <row r="269" spans="1:5" ht="16">
      <c r="A269" s="12">
        <v>42601</v>
      </c>
      <c r="B269" s="134">
        <v>6.6347800000000001</v>
      </c>
      <c r="C269" s="134">
        <v>0.766389233764044</v>
      </c>
      <c r="D269" s="135">
        <v>1</v>
      </c>
      <c r="E269" s="132">
        <v>1.35</v>
      </c>
    </row>
    <row r="270" spans="1:5" ht="16">
      <c r="A270" s="12">
        <v>42608</v>
      </c>
      <c r="B270" s="134">
        <v>6.65266</v>
      </c>
      <c r="C270" s="134">
        <v>0.76234038498189438</v>
      </c>
      <c r="D270" s="132">
        <v>1</v>
      </c>
      <c r="E270" s="132">
        <v>1.35</v>
      </c>
    </row>
    <row r="271" spans="1:5" ht="16">
      <c r="A271" s="12">
        <v>42615</v>
      </c>
      <c r="B271" s="134">
        <v>6.6772099999999996</v>
      </c>
      <c r="C271" s="134">
        <v>0.75500758782625765</v>
      </c>
      <c r="D271" s="132">
        <v>1</v>
      </c>
      <c r="E271" s="132">
        <v>1.35</v>
      </c>
    </row>
    <row r="272" spans="1:5" ht="16">
      <c r="A272" s="12">
        <v>42622</v>
      </c>
      <c r="B272" s="134">
        <v>6.67523</v>
      </c>
      <c r="C272" s="134">
        <v>0.7620441071129197</v>
      </c>
      <c r="D272" s="135">
        <v>1</v>
      </c>
      <c r="E272" s="132">
        <v>1.35</v>
      </c>
    </row>
    <row r="273" spans="1:5" ht="16">
      <c r="A273" s="12">
        <v>42629</v>
      </c>
      <c r="B273" s="134">
        <v>6.67821</v>
      </c>
      <c r="C273" s="134">
        <v>0.75137689816588904</v>
      </c>
      <c r="D273" s="135">
        <v>1</v>
      </c>
      <c r="E273" s="132">
        <v>1.35</v>
      </c>
    </row>
    <row r="274" spans="1:5" ht="16">
      <c r="A274" s="12">
        <v>42636</v>
      </c>
      <c r="B274" s="134">
        <v>6.6720199999999998</v>
      </c>
      <c r="C274" s="134">
        <v>0.75609792980386814</v>
      </c>
      <c r="D274" s="132">
        <v>1</v>
      </c>
      <c r="E274" s="132">
        <v>1.35</v>
      </c>
    </row>
    <row r="275" spans="1:5" ht="16">
      <c r="A275" s="12">
        <v>42643</v>
      </c>
      <c r="B275" s="134">
        <v>6.6678899999999999</v>
      </c>
      <c r="C275" s="134">
        <v>0.76471307965251445</v>
      </c>
      <c r="D275" s="135">
        <v>1</v>
      </c>
      <c r="E275" s="132">
        <v>1.35</v>
      </c>
    </row>
    <row r="276" spans="1:5" ht="16">
      <c r="A276" s="12">
        <v>42650</v>
      </c>
      <c r="B276" s="134">
        <v>6.6699799999999998</v>
      </c>
      <c r="C276" s="134">
        <v>0.76345785330920801</v>
      </c>
      <c r="D276" s="132">
        <v>1</v>
      </c>
      <c r="E276" s="132">
        <v>1.35</v>
      </c>
    </row>
    <row r="277" spans="1:5" ht="16">
      <c r="A277" s="12">
        <v>42657</v>
      </c>
      <c r="B277" s="134">
        <v>6.7035099999999996</v>
      </c>
      <c r="C277" s="134">
        <v>0.75801793470433521</v>
      </c>
      <c r="D277" s="132">
        <v>1</v>
      </c>
      <c r="E277" s="132">
        <v>1.35</v>
      </c>
    </row>
    <row r="278" spans="1:5" ht="16">
      <c r="A278" s="12">
        <v>42664</v>
      </c>
      <c r="B278" s="134">
        <v>6.7377599999999997</v>
      </c>
      <c r="C278" s="134">
        <v>0.764245536806065</v>
      </c>
      <c r="D278" s="132">
        <v>1</v>
      </c>
      <c r="E278" s="132">
        <v>1.35</v>
      </c>
    </row>
    <row r="279" spans="1:5" ht="16">
      <c r="A279" s="12">
        <v>42671</v>
      </c>
      <c r="B279" s="134">
        <v>6.7718600000000002</v>
      </c>
      <c r="C279" s="134">
        <v>0.76199184668724051</v>
      </c>
      <c r="D279" s="132">
        <v>1</v>
      </c>
      <c r="E279" s="132">
        <v>1.35</v>
      </c>
    </row>
    <row r="280" spans="1:5" ht="16">
      <c r="A280" s="12">
        <v>42678</v>
      </c>
      <c r="B280" s="134">
        <v>6.7687499999999998</v>
      </c>
      <c r="C280" s="134">
        <v>0.76363858513042948</v>
      </c>
      <c r="D280" s="132">
        <v>1</v>
      </c>
      <c r="E280" s="132">
        <v>1.35</v>
      </c>
    </row>
    <row r="281" spans="1:5" ht="16">
      <c r="A281" s="12">
        <v>42685</v>
      </c>
      <c r="B281" s="134">
        <v>6.7802800000000003</v>
      </c>
      <c r="C281" s="134">
        <v>0.76673592847887262</v>
      </c>
      <c r="D281" s="132">
        <v>1</v>
      </c>
      <c r="E281" s="132">
        <v>1.35</v>
      </c>
    </row>
    <row r="282" spans="1:5" ht="16">
      <c r="A282" s="12">
        <v>42692</v>
      </c>
      <c r="B282" s="134">
        <v>6.8474899999999996</v>
      </c>
      <c r="C282" s="134">
        <v>0.75091987684914019</v>
      </c>
      <c r="D282" s="132">
        <v>1</v>
      </c>
      <c r="E282" s="132">
        <v>1.35</v>
      </c>
    </row>
    <row r="283" spans="1:5" ht="16">
      <c r="A283" s="12">
        <v>42699</v>
      </c>
      <c r="B283" s="134">
        <v>6.89975</v>
      </c>
      <c r="C283" s="134">
        <v>0.73788213070844066</v>
      </c>
      <c r="D283" s="132">
        <v>1</v>
      </c>
      <c r="E283" s="132">
        <v>1.35</v>
      </c>
    </row>
    <row r="284" spans="1:5" ht="16">
      <c r="A284" s="12">
        <v>42706</v>
      </c>
      <c r="B284" s="134">
        <v>6.8990299999999998</v>
      </c>
      <c r="C284" s="134">
        <v>0.74450739668098609</v>
      </c>
      <c r="D284" s="132">
        <v>1</v>
      </c>
      <c r="E284" s="132">
        <v>1.35</v>
      </c>
    </row>
    <row r="285" spans="1:5" ht="16">
      <c r="A285" s="12">
        <v>42713</v>
      </c>
      <c r="B285" s="134">
        <v>6.9236300000000002</v>
      </c>
      <c r="C285" s="134">
        <v>0.74599030212607231</v>
      </c>
      <c r="D285" s="132">
        <v>1</v>
      </c>
      <c r="E285" s="132">
        <v>1.35</v>
      </c>
    </row>
    <row r="286" spans="1:5" ht="16">
      <c r="A286" s="12">
        <v>42720</v>
      </c>
      <c r="B286" s="134">
        <v>6.9097099999999996</v>
      </c>
      <c r="C286" s="134">
        <v>0.7441860465116279</v>
      </c>
      <c r="D286" s="132">
        <v>1</v>
      </c>
      <c r="E286" s="132">
        <v>1.35</v>
      </c>
    </row>
    <row r="287" spans="1:5" ht="16">
      <c r="A287" s="12">
        <v>42727</v>
      </c>
      <c r="B287" s="134">
        <v>6.9470000000000001</v>
      </c>
      <c r="C287" s="134">
        <v>0.72568940493468803</v>
      </c>
      <c r="D287" s="132">
        <v>1</v>
      </c>
      <c r="E287" s="132">
        <v>1.35</v>
      </c>
    </row>
    <row r="288" spans="1:5" ht="16">
      <c r="A288" s="12">
        <v>42734</v>
      </c>
      <c r="B288" s="134">
        <v>6.9486999999999997</v>
      </c>
      <c r="C288" s="134">
        <v>0.71928474325131098</v>
      </c>
      <c r="D288" s="132">
        <v>1</v>
      </c>
      <c r="E288" s="132">
        <v>1.35</v>
      </c>
    </row>
    <row r="289" spans="1:5" ht="16">
      <c r="A289" s="12">
        <v>42741</v>
      </c>
      <c r="B289" s="134">
        <v>6.9347099999999999</v>
      </c>
      <c r="C289" s="134">
        <v>0.72457467466597103</v>
      </c>
      <c r="D289" s="132">
        <v>1</v>
      </c>
      <c r="E289" s="132">
        <v>1.35</v>
      </c>
    </row>
    <row r="290" spans="1:5" ht="16">
      <c r="A290" s="12">
        <v>42748</v>
      </c>
      <c r="B290" s="134">
        <v>6.9218799999999998</v>
      </c>
      <c r="C290" s="134">
        <v>0.73779502578593614</v>
      </c>
      <c r="D290" s="132">
        <v>1</v>
      </c>
      <c r="E290" s="132">
        <v>1.35</v>
      </c>
    </row>
    <row r="291" spans="1:5" ht="16">
      <c r="A291" s="12">
        <v>42755</v>
      </c>
      <c r="B291" s="134">
        <v>6.87723</v>
      </c>
      <c r="C291" s="134">
        <v>0.75207195824496487</v>
      </c>
      <c r="D291" s="132">
        <v>1</v>
      </c>
      <c r="E291" s="132">
        <v>1.35</v>
      </c>
    </row>
    <row r="292" spans="1:5" ht="16">
      <c r="A292" s="12">
        <v>42762</v>
      </c>
      <c r="B292" s="134">
        <v>6.8721100000000002</v>
      </c>
      <c r="C292" s="134">
        <v>0.75593789214278162</v>
      </c>
      <c r="D292" s="132">
        <v>1</v>
      </c>
      <c r="E292" s="132">
        <v>1.35</v>
      </c>
    </row>
    <row r="293" spans="1:5" ht="16">
      <c r="A293" s="12">
        <v>42769</v>
      </c>
      <c r="B293" s="134">
        <v>6.87927</v>
      </c>
      <c r="C293" s="134">
        <v>0.75867353519107195</v>
      </c>
      <c r="D293" s="132">
        <v>1</v>
      </c>
      <c r="E293" s="132">
        <v>1.35</v>
      </c>
    </row>
    <row r="294" spans="1:5" ht="16">
      <c r="A294" s="12">
        <v>42776</v>
      </c>
      <c r="B294" s="134">
        <v>6.8707000000000003</v>
      </c>
      <c r="C294" s="134">
        <v>0.76570264703405078</v>
      </c>
      <c r="D294" s="132">
        <v>1</v>
      </c>
      <c r="E294" s="132">
        <v>1.35</v>
      </c>
    </row>
    <row r="295" spans="1:5" ht="16">
      <c r="A295" s="12">
        <v>42783</v>
      </c>
      <c r="B295" s="134">
        <v>6.8713800000000003</v>
      </c>
      <c r="C295" s="134">
        <v>0.7679606804131629</v>
      </c>
      <c r="D295" s="132">
        <v>1</v>
      </c>
      <c r="E295" s="132">
        <v>1.35</v>
      </c>
    </row>
    <row r="296" spans="1:5" ht="16">
      <c r="A296" s="12">
        <v>42790</v>
      </c>
      <c r="B296" s="134">
        <v>6.8720499999999998</v>
      </c>
      <c r="C296" s="134">
        <v>0.7682084610479899</v>
      </c>
      <c r="D296" s="132">
        <v>1</v>
      </c>
      <c r="E296" s="132">
        <v>1.35</v>
      </c>
    </row>
    <row r="297" spans="1:5" ht="16">
      <c r="A297" s="12">
        <v>42797</v>
      </c>
      <c r="B297" s="134">
        <v>6.8752599999999999</v>
      </c>
      <c r="C297" s="134">
        <v>0.76533345578668632</v>
      </c>
      <c r="D297" s="132">
        <v>1</v>
      </c>
      <c r="E297" s="132">
        <v>1.35</v>
      </c>
    </row>
    <row r="298" spans="1:5" ht="16">
      <c r="A298" s="12">
        <v>42804</v>
      </c>
      <c r="B298" s="134">
        <v>6.9039999999999999</v>
      </c>
      <c r="C298" s="134">
        <v>0.75540111799365461</v>
      </c>
      <c r="D298" s="132">
        <v>1</v>
      </c>
      <c r="E298" s="132">
        <v>1.35</v>
      </c>
    </row>
    <row r="299" spans="1:5" ht="16">
      <c r="A299" s="12">
        <v>42811</v>
      </c>
      <c r="B299" s="134">
        <v>6.9053800000000001</v>
      </c>
      <c r="C299" s="134">
        <v>0.75983222904382719</v>
      </c>
      <c r="D299" s="132">
        <v>1</v>
      </c>
      <c r="E299" s="132">
        <v>1.35</v>
      </c>
    </row>
    <row r="300" spans="1:5" ht="16">
      <c r="A300" s="12">
        <v>42818</v>
      </c>
      <c r="B300" s="134">
        <v>6.8919499999999996</v>
      </c>
      <c r="C300" s="134">
        <v>0.76858043194220282</v>
      </c>
      <c r="D300" s="132">
        <v>1</v>
      </c>
      <c r="E300" s="132">
        <v>1.35</v>
      </c>
    </row>
    <row r="301" spans="1:5" ht="16">
      <c r="A301" s="12">
        <v>42825</v>
      </c>
      <c r="B301" s="134">
        <v>6.8818700000000002</v>
      </c>
      <c r="C301" s="134">
        <v>0.76375114849078962</v>
      </c>
      <c r="D301" s="132">
        <v>1</v>
      </c>
      <c r="E301" s="132">
        <v>1.35</v>
      </c>
    </row>
    <row r="302" spans="1:5" ht="16">
      <c r="A302" s="12">
        <v>42832</v>
      </c>
      <c r="B302" s="134">
        <v>6.8905960000000004</v>
      </c>
      <c r="C302" s="134">
        <v>0.75854117361490381</v>
      </c>
      <c r="D302" s="132">
        <v>1</v>
      </c>
      <c r="E302" s="132">
        <v>1.35</v>
      </c>
    </row>
    <row r="303" spans="1:5" ht="16">
      <c r="A303" s="12">
        <v>42839</v>
      </c>
      <c r="B303" s="134">
        <v>6.8960670000000004</v>
      </c>
      <c r="C303" s="134">
        <v>0.75215454669901927</v>
      </c>
      <c r="D303" s="132">
        <v>1</v>
      </c>
      <c r="E303" s="132">
        <v>1.35</v>
      </c>
    </row>
    <row r="304" spans="1:5" ht="16">
      <c r="A304" s="12">
        <v>42846</v>
      </c>
      <c r="B304" s="134">
        <v>6.8834140000000001</v>
      </c>
      <c r="C304" s="134">
        <v>0.75557291694213602</v>
      </c>
      <c r="D304" s="132">
        <v>1</v>
      </c>
      <c r="E304" s="132">
        <v>1.35</v>
      </c>
    </row>
    <row r="305" spans="1:5" ht="16">
      <c r="A305" s="12">
        <v>42853</v>
      </c>
      <c r="B305" s="134">
        <v>6.8812689999999996</v>
      </c>
      <c r="C305" s="134">
        <v>0.75225922251000321</v>
      </c>
      <c r="D305" s="132">
        <v>1</v>
      </c>
      <c r="E305" s="132">
        <v>1.35</v>
      </c>
    </row>
    <row r="306" spans="1:5" ht="16">
      <c r="A306" s="12">
        <v>42860</v>
      </c>
      <c r="B306" s="134">
        <v>6.8966940000000001</v>
      </c>
      <c r="C306" s="134">
        <v>0.74736628122496318</v>
      </c>
      <c r="D306" s="132">
        <v>1</v>
      </c>
      <c r="E306" s="132">
        <v>1.35</v>
      </c>
    </row>
    <row r="307" spans="1:5" ht="16">
      <c r="A307" s="12">
        <v>42867</v>
      </c>
      <c r="B307" s="134">
        <v>6.897564</v>
      </c>
      <c r="C307" s="134">
        <v>0.73899397793807375</v>
      </c>
      <c r="D307" s="132">
        <v>1</v>
      </c>
      <c r="E307" s="132">
        <v>1.35</v>
      </c>
    </row>
    <row r="308" spans="1:5" ht="16">
      <c r="A308" s="12">
        <v>42874</v>
      </c>
      <c r="B308" s="134">
        <v>6.8924099999999999</v>
      </c>
      <c r="C308" s="134">
        <v>0.74158394915700443</v>
      </c>
      <c r="D308" s="132">
        <v>1</v>
      </c>
      <c r="E308" s="132">
        <v>1.35</v>
      </c>
    </row>
    <row r="309" spans="1:5" ht="16">
      <c r="A309" s="12">
        <v>42881</v>
      </c>
      <c r="B309" s="134">
        <v>6.8800730000000003</v>
      </c>
      <c r="C309" s="134">
        <v>0.74664309265542117</v>
      </c>
      <c r="D309" s="132">
        <v>1</v>
      </c>
      <c r="E309" s="132">
        <v>1.35</v>
      </c>
    </row>
    <row r="310" spans="1:5" ht="16">
      <c r="A310" s="12">
        <v>42888</v>
      </c>
      <c r="B310" s="134">
        <v>6.8375729999999999</v>
      </c>
      <c r="C310" s="134">
        <v>0.74343693870511118</v>
      </c>
      <c r="D310" s="132">
        <v>1</v>
      </c>
      <c r="E310" s="132">
        <v>1.35</v>
      </c>
    </row>
    <row r="311" spans="1:5" ht="16">
      <c r="A311" s="12">
        <v>42895</v>
      </c>
      <c r="B311" s="134">
        <v>6.8009839999999997</v>
      </c>
      <c r="C311" s="134">
        <v>0.74956450302374311</v>
      </c>
      <c r="D311" s="132">
        <v>1</v>
      </c>
      <c r="E311" s="132">
        <v>1.35</v>
      </c>
    </row>
    <row r="312" spans="1:5" ht="16">
      <c r="A312" s="12">
        <v>42902</v>
      </c>
      <c r="B312" s="134">
        <v>6.7983130000000003</v>
      </c>
      <c r="C312" s="134">
        <v>0.75603847933444424</v>
      </c>
      <c r="D312" s="132">
        <v>1</v>
      </c>
      <c r="E312" s="132">
        <v>1.35</v>
      </c>
    </row>
    <row r="313" spans="1:5" ht="16">
      <c r="A313" s="12">
        <v>42909</v>
      </c>
      <c r="B313" s="134">
        <v>6.8219919999999998</v>
      </c>
      <c r="C313" s="134">
        <v>0.75915445376939161</v>
      </c>
      <c r="D313" s="132">
        <v>1</v>
      </c>
      <c r="E313" s="132">
        <v>1.35</v>
      </c>
    </row>
    <row r="314" spans="1:5" ht="16">
      <c r="A314" s="12">
        <v>42916</v>
      </c>
      <c r="B314" s="134">
        <v>6.8113619999999999</v>
      </c>
      <c r="C314" s="134">
        <v>0.76105006643967077</v>
      </c>
      <c r="D314" s="132">
        <v>1</v>
      </c>
      <c r="E314" s="132">
        <v>1.35</v>
      </c>
    </row>
    <row r="315" spans="1:5" ht="16">
      <c r="A315" s="12">
        <v>42923</v>
      </c>
      <c r="B315" s="134">
        <v>6.7916689999999997</v>
      </c>
      <c r="C315" s="134">
        <v>0.76388883584105305</v>
      </c>
      <c r="D315" s="132">
        <v>1</v>
      </c>
      <c r="E315" s="132">
        <v>1.35</v>
      </c>
    </row>
    <row r="316" spans="1:5" ht="16">
      <c r="A316" s="12">
        <v>42930</v>
      </c>
      <c r="B316" s="134">
        <v>6.7947220000000002</v>
      </c>
      <c r="C316" s="134">
        <v>0.76575014032371325</v>
      </c>
      <c r="D316" s="132">
        <v>1</v>
      </c>
      <c r="E316" s="132">
        <v>1.35</v>
      </c>
    </row>
    <row r="317" spans="1:5" ht="16">
      <c r="A317" s="12">
        <v>42937</v>
      </c>
      <c r="B317" s="134">
        <v>6.7651810000000001</v>
      </c>
      <c r="C317" s="134">
        <v>0.78814814347764062</v>
      </c>
      <c r="D317" s="132">
        <v>1</v>
      </c>
      <c r="E317" s="132">
        <v>1.35</v>
      </c>
    </row>
    <row r="318" spans="1:5" ht="16">
      <c r="A318" s="12">
        <v>42944</v>
      </c>
      <c r="B318" s="134">
        <v>6.7511279999999996</v>
      </c>
      <c r="C318" s="134">
        <v>0.79443577185393499</v>
      </c>
      <c r="D318" s="132">
        <v>1</v>
      </c>
      <c r="E318" s="132">
        <v>1.35</v>
      </c>
    </row>
    <row r="319" spans="1:5" ht="16">
      <c r="A319" s="12">
        <v>42951</v>
      </c>
      <c r="B319" s="134">
        <v>6.7272568264838641</v>
      </c>
      <c r="C319" s="134">
        <v>0.79690300000000003</v>
      </c>
      <c r="D319" s="132">
        <v>1</v>
      </c>
      <c r="E319" s="132">
        <v>1.35</v>
      </c>
    </row>
    <row r="320" spans="1:5" ht="16">
      <c r="A320" s="12">
        <v>42958</v>
      </c>
      <c r="B320" s="134">
        <v>6.6999430504840713</v>
      </c>
      <c r="C320" s="134">
        <v>0.78994200000000003</v>
      </c>
      <c r="D320" s="132">
        <v>1</v>
      </c>
      <c r="E320" s="132">
        <v>1.35</v>
      </c>
    </row>
    <row r="321" spans="1:5" ht="16">
      <c r="A321" s="12">
        <v>42965</v>
      </c>
      <c r="B321" s="134">
        <v>6.6734989999999996</v>
      </c>
      <c r="C321" s="134">
        <v>0.78878038776443871</v>
      </c>
      <c r="D321" s="132">
        <v>1</v>
      </c>
      <c r="E321" s="132">
        <v>1.35</v>
      </c>
    </row>
    <row r="322" spans="1:5" ht="16">
      <c r="A322" s="12">
        <v>42972</v>
      </c>
      <c r="B322" s="134">
        <v>6.663951</v>
      </c>
      <c r="C322" s="134">
        <v>0.79184776885013408</v>
      </c>
      <c r="D322" s="132">
        <v>1</v>
      </c>
      <c r="E322" s="132">
        <v>1.35</v>
      </c>
    </row>
    <row r="323" spans="1:5" ht="16">
      <c r="A323" s="12">
        <v>42979</v>
      </c>
      <c r="B323" s="134">
        <v>6.6086999999999998</v>
      </c>
      <c r="C323" s="134">
        <v>0.79379999999999995</v>
      </c>
      <c r="D323" s="132">
        <v>1</v>
      </c>
      <c r="E323" s="132">
        <v>1.35</v>
      </c>
    </row>
    <row r="324" spans="1:5" ht="16">
      <c r="A324" s="12">
        <v>42986</v>
      </c>
      <c r="B324" s="134">
        <v>6.5269320000000004</v>
      </c>
      <c r="C324" s="134">
        <v>0.79968716238207616</v>
      </c>
      <c r="D324" s="132">
        <v>1</v>
      </c>
      <c r="E324" s="132">
        <v>1.35</v>
      </c>
    </row>
    <row r="325" spans="1:5" ht="16">
      <c r="A325" s="12">
        <v>42993</v>
      </c>
      <c r="B325" s="133">
        <v>6.523301</v>
      </c>
      <c r="C325" s="134">
        <v>0.80279501111068285</v>
      </c>
      <c r="D325" s="132">
        <v>1</v>
      </c>
      <c r="E325" s="132">
        <v>1.35</v>
      </c>
    </row>
    <row r="326" spans="1:5" ht="16">
      <c r="A326" s="12">
        <v>43000</v>
      </c>
      <c r="B326" s="133">
        <v>6.5720609999999997</v>
      </c>
      <c r="C326" s="134">
        <v>0.79916950305242795</v>
      </c>
      <c r="D326" s="132">
        <v>1</v>
      </c>
      <c r="E326" s="132">
        <v>1.35</v>
      </c>
    </row>
    <row r="327" spans="1:5" ht="16">
      <c r="A327" s="12">
        <v>43007</v>
      </c>
      <c r="B327" s="133">
        <v>6.6274670000000002</v>
      </c>
      <c r="C327" s="134">
        <v>0.79028518231088873</v>
      </c>
      <c r="D327" s="132">
        <v>1</v>
      </c>
      <c r="E327" s="132">
        <v>1.35</v>
      </c>
    </row>
    <row r="328" spans="1:5" ht="16">
      <c r="A328" s="12">
        <v>43014</v>
      </c>
      <c r="B328" s="133">
        <v>6.6525020000000001</v>
      </c>
      <c r="C328" s="134">
        <v>0.78222594909429977</v>
      </c>
      <c r="D328" s="132">
        <v>1</v>
      </c>
      <c r="E328" s="132">
        <v>1.35</v>
      </c>
    </row>
    <row r="329" spans="1:5" ht="16">
      <c r="A329" s="12">
        <v>43021</v>
      </c>
      <c r="B329" s="133">
        <v>6.6106410000000002</v>
      </c>
      <c r="C329" s="134">
        <v>0.77939103061214154</v>
      </c>
      <c r="D329" s="132">
        <v>1</v>
      </c>
      <c r="E329" s="132">
        <v>1.35</v>
      </c>
    </row>
    <row r="330" spans="1:5" ht="16">
      <c r="A330" s="12">
        <v>43028</v>
      </c>
      <c r="B330" s="133">
        <v>6.6036320000000002</v>
      </c>
      <c r="C330" s="134">
        <v>0.78629889894565175</v>
      </c>
      <c r="D330" s="132">
        <v>1</v>
      </c>
      <c r="E330" s="132">
        <v>1.35</v>
      </c>
    </row>
    <row r="331" spans="1:5" ht="16">
      <c r="A331" s="12">
        <v>43035</v>
      </c>
      <c r="B331" s="133">
        <v>6.6311200000000001</v>
      </c>
      <c r="C331" s="134">
        <v>0.7756002370234325</v>
      </c>
      <c r="D331" s="132">
        <v>1</v>
      </c>
      <c r="E331" s="132">
        <v>1.35</v>
      </c>
    </row>
    <row r="332" spans="1:5" ht="16">
      <c r="A332" s="12">
        <v>43042</v>
      </c>
      <c r="B332" s="133">
        <v>6.6290399999999998</v>
      </c>
      <c r="C332" s="134">
        <v>0.76788696703845194</v>
      </c>
      <c r="D332" s="132">
        <v>1</v>
      </c>
      <c r="E332" s="132">
        <v>1.35</v>
      </c>
    </row>
    <row r="333" spans="1:5" ht="16">
      <c r="A333" s="12">
        <v>43049</v>
      </c>
      <c r="B333" s="133">
        <v>6.634544</v>
      </c>
      <c r="C333" s="134">
        <v>0.76635810534818338</v>
      </c>
      <c r="D333" s="132">
        <v>1</v>
      </c>
      <c r="E333" s="132">
        <v>1.35</v>
      </c>
    </row>
    <row r="334" spans="1:5" ht="16">
      <c r="A334" s="12">
        <v>43056</v>
      </c>
      <c r="B334" s="133">
        <v>6.6343019999999999</v>
      </c>
      <c r="C334" s="134">
        <v>0.76214225994995777</v>
      </c>
      <c r="D334" s="132">
        <v>1</v>
      </c>
      <c r="E334" s="132">
        <v>1.35</v>
      </c>
    </row>
    <row r="335" spans="1:5" ht="16">
      <c r="A335" s="12">
        <v>43063</v>
      </c>
      <c r="B335" s="133">
        <v>6.6184219999999998</v>
      </c>
      <c r="C335" s="134">
        <v>0.75843474237867881</v>
      </c>
      <c r="D335" s="132">
        <v>1</v>
      </c>
      <c r="E335" s="132">
        <v>1.35</v>
      </c>
    </row>
    <row r="336" spans="1:5" ht="16">
      <c r="A336" s="12">
        <v>43070</v>
      </c>
      <c r="B336" s="133">
        <v>6.6004139999999998</v>
      </c>
      <c r="C336" s="134">
        <v>0.76011870013621319</v>
      </c>
      <c r="D336" s="132">
        <v>1</v>
      </c>
      <c r="E336" s="132">
        <v>1.35</v>
      </c>
    </row>
    <row r="337" spans="1:5" ht="16">
      <c r="A337" s="12">
        <v>43077</v>
      </c>
      <c r="B337" s="133">
        <v>6.6160209999999999</v>
      </c>
      <c r="C337" s="134">
        <v>0.75812482373597845</v>
      </c>
      <c r="D337" s="132">
        <v>1</v>
      </c>
      <c r="E337" s="132">
        <v>1.35</v>
      </c>
    </row>
    <row r="338" spans="1:5" ht="16">
      <c r="A338" s="12">
        <v>43084</v>
      </c>
      <c r="B338" s="133">
        <v>6.6113</v>
      </c>
      <c r="C338" s="134">
        <v>0.75745238464947007</v>
      </c>
      <c r="D338" s="132">
        <v>1</v>
      </c>
      <c r="E338" s="132">
        <v>1.35</v>
      </c>
    </row>
    <row r="339" spans="1:5" ht="16">
      <c r="A339" s="12">
        <v>43091</v>
      </c>
      <c r="B339" s="133">
        <v>6.5820999999999996</v>
      </c>
      <c r="C339" s="134">
        <v>0.76721064458736732</v>
      </c>
      <c r="D339" s="132">
        <v>1</v>
      </c>
      <c r="E339" s="132">
        <v>1.35</v>
      </c>
    </row>
    <row r="340" spans="1:5" ht="16">
      <c r="A340" s="12">
        <v>43098</v>
      </c>
      <c r="B340" s="133">
        <v>6.5411999999999999</v>
      </c>
      <c r="C340" s="134">
        <v>0.77470255295479296</v>
      </c>
      <c r="D340" s="132">
        <v>1</v>
      </c>
      <c r="E340" s="132">
        <v>1.35</v>
      </c>
    </row>
    <row r="341" spans="1:5" ht="16">
      <c r="A341" s="12">
        <v>43105</v>
      </c>
      <c r="B341" s="133">
        <v>6.4915000000000003</v>
      </c>
      <c r="C341" s="134">
        <v>0.78262877178153711</v>
      </c>
      <c r="D341" s="132">
        <v>1</v>
      </c>
      <c r="E341" s="132">
        <v>1.35</v>
      </c>
    </row>
    <row r="342" spans="1:5" ht="16">
      <c r="A342" s="12">
        <v>43112</v>
      </c>
      <c r="B342" s="133">
        <v>6.4931999999999999</v>
      </c>
      <c r="C342" s="134">
        <v>0.78570581131589234</v>
      </c>
      <c r="D342" s="132">
        <v>1</v>
      </c>
      <c r="E342" s="132">
        <v>1.35</v>
      </c>
    </row>
    <row r="343" spans="1:5" ht="16">
      <c r="A343" s="12">
        <v>43119</v>
      </c>
      <c r="B343" s="15">
        <v>6.4169</v>
      </c>
      <c r="C343" s="134">
        <v>0.79559051910690193</v>
      </c>
      <c r="D343" s="132">
        <v>1</v>
      </c>
      <c r="E343" s="132">
        <v>1.35</v>
      </c>
    </row>
    <row r="344" spans="1:5" ht="16">
      <c r="A344" s="12">
        <v>43126</v>
      </c>
      <c r="B344" s="15">
        <v>6.3436000000000003</v>
      </c>
      <c r="C344" s="134">
        <v>0.80271381486529658</v>
      </c>
      <c r="D344" s="132">
        <v>1</v>
      </c>
      <c r="E344" s="132">
        <v>1.35</v>
      </c>
    </row>
    <row r="345" spans="1:5" ht="16">
      <c r="A345" s="12">
        <v>43133</v>
      </c>
      <c r="B345" s="15">
        <v>6.2885</v>
      </c>
      <c r="C345" s="134">
        <v>0.77377221693477871</v>
      </c>
      <c r="D345" s="132">
        <v>1</v>
      </c>
      <c r="E345" s="132">
        <v>1.35</v>
      </c>
    </row>
    <row r="346" spans="1:5" ht="16">
      <c r="A346" s="12">
        <v>43140</v>
      </c>
      <c r="B346" s="15">
        <v>6.3193999999999999</v>
      </c>
      <c r="C346" s="134">
        <v>0.77377221693477871</v>
      </c>
      <c r="D346" s="132">
        <v>1</v>
      </c>
      <c r="E346" s="132">
        <v>1.35</v>
      </c>
    </row>
    <row r="347" spans="1:5" ht="16">
      <c r="A347" s="12">
        <v>43147</v>
      </c>
      <c r="B347" s="15">
        <v>6.3428000000000004</v>
      </c>
      <c r="C347" s="134">
        <v>0.78684396884097885</v>
      </c>
      <c r="D347" s="132">
        <v>1</v>
      </c>
      <c r="E347" s="132">
        <v>1.35</v>
      </c>
    </row>
    <row r="348" spans="1:5" ht="16">
      <c r="A348" s="12">
        <v>43154</v>
      </c>
      <c r="B348" s="15">
        <v>6.3377999999999997</v>
      </c>
      <c r="C348" s="134">
        <v>0.7877582369970656</v>
      </c>
      <c r="D348" s="132">
        <v>1</v>
      </c>
      <c r="E348" s="132">
        <v>1.35</v>
      </c>
    </row>
    <row r="349" spans="1:5" ht="16">
      <c r="A349" s="12">
        <v>43161</v>
      </c>
      <c r="B349" s="15">
        <v>6.3334000000000001</v>
      </c>
      <c r="C349" s="134">
        <v>0.78093030665571284</v>
      </c>
      <c r="D349" s="132">
        <v>1</v>
      </c>
      <c r="E349" s="132">
        <v>1.35</v>
      </c>
    </row>
    <row r="350" spans="1:5" ht="16">
      <c r="A350" s="12">
        <v>43168</v>
      </c>
      <c r="B350" s="15">
        <v>6.3451000000000004</v>
      </c>
      <c r="C350" s="134">
        <v>0.77873978098722396</v>
      </c>
      <c r="D350" s="132">
        <v>1</v>
      </c>
      <c r="E350" s="132">
        <v>1.35</v>
      </c>
    </row>
    <row r="351" spans="1:5" ht="16">
      <c r="A351" s="12">
        <v>43175</v>
      </c>
      <c r="B351" s="16">
        <v>6.3339999999999996</v>
      </c>
      <c r="C351" s="134">
        <v>0.78460664530444313</v>
      </c>
      <c r="D351" s="132">
        <v>1</v>
      </c>
      <c r="E351" s="132">
        <v>1.35</v>
      </c>
    </row>
    <row r="352" spans="1:5" ht="16">
      <c r="A352" s="12">
        <v>43182</v>
      </c>
      <c r="B352" s="15">
        <v>6.3272000000000004</v>
      </c>
      <c r="C352" s="134">
        <v>0.77138828292053774</v>
      </c>
      <c r="D352" s="132">
        <v>1</v>
      </c>
      <c r="E352" s="132">
        <v>1.35</v>
      </c>
    </row>
    <row r="353" spans="1:5" ht="16">
      <c r="A353" s="12">
        <v>43189</v>
      </c>
      <c r="B353" s="15">
        <v>6.2881</v>
      </c>
      <c r="C353" s="134">
        <v>0.7698460538846047</v>
      </c>
      <c r="D353" s="132">
        <v>1</v>
      </c>
      <c r="E353" s="132">
        <v>1.35</v>
      </c>
    </row>
    <row r="354" spans="1:5" ht="16">
      <c r="A354" s="12">
        <v>43196</v>
      </c>
      <c r="B354" s="15">
        <v>6.2926000000000002</v>
      </c>
      <c r="C354" s="134">
        <v>0.76853672145308771</v>
      </c>
      <c r="D354" s="132">
        <v>1</v>
      </c>
      <c r="E354" s="132">
        <v>1.35</v>
      </c>
    </row>
    <row r="355" spans="1:5" ht="16">
      <c r="A355" s="12">
        <v>43203</v>
      </c>
      <c r="B355" s="15">
        <v>6.2897999999999996</v>
      </c>
      <c r="C355" s="134">
        <v>0.77249903437620704</v>
      </c>
      <c r="D355" s="132">
        <v>1</v>
      </c>
      <c r="E355" s="132">
        <v>1.35</v>
      </c>
    </row>
    <row r="356" spans="1:5" ht="16">
      <c r="A356" s="12">
        <v>43210</v>
      </c>
      <c r="B356" s="15">
        <v>6.2896999999999998</v>
      </c>
      <c r="C356" s="134">
        <v>0.77596314485447204</v>
      </c>
      <c r="D356" s="132">
        <v>1</v>
      </c>
      <c r="E356" s="132">
        <v>1.35</v>
      </c>
    </row>
    <row r="357" spans="1:5" ht="16">
      <c r="A357" s="12">
        <v>43217</v>
      </c>
      <c r="B357" s="15">
        <v>6.3392999999999997</v>
      </c>
      <c r="C357" s="134">
        <v>0.7613136924551529</v>
      </c>
      <c r="D357" s="132">
        <v>1</v>
      </c>
      <c r="E357" s="132">
        <v>1.35</v>
      </c>
    </row>
    <row r="358" spans="1:5" ht="16">
      <c r="A358" s="12">
        <v>43224</v>
      </c>
      <c r="B358" s="15">
        <v>6.3521000000000001</v>
      </c>
      <c r="C358" s="134">
        <v>0.75413871325836179</v>
      </c>
      <c r="D358" s="132">
        <v>1</v>
      </c>
      <c r="E358" s="132">
        <v>1.35</v>
      </c>
    </row>
    <row r="359" spans="1:5" ht="16">
      <c r="A359" s="12">
        <v>43231</v>
      </c>
      <c r="B359" s="16">
        <v>6.3520399999999997</v>
      </c>
      <c r="C359" s="134">
        <v>0.75095145549411102</v>
      </c>
      <c r="D359" s="132">
        <v>1</v>
      </c>
      <c r="E359" s="132">
        <v>1.35</v>
      </c>
    </row>
    <row r="360" spans="1:5" ht="16">
      <c r="A360" s="12">
        <v>43238</v>
      </c>
      <c r="B360" s="15">
        <v>6.3762999999999996</v>
      </c>
      <c r="C360" s="134">
        <v>0.75233675797025568</v>
      </c>
      <c r="D360" s="132">
        <v>1</v>
      </c>
      <c r="E360" s="132">
        <v>1.35</v>
      </c>
    </row>
    <row r="361" spans="1:5" ht="16">
      <c r="A361" s="12">
        <v>43245</v>
      </c>
      <c r="B361" s="15">
        <v>6.3867000000000003</v>
      </c>
      <c r="C361" s="134">
        <v>0.75487935140766127</v>
      </c>
      <c r="D361" s="132">
        <v>1</v>
      </c>
      <c r="E361" s="132">
        <v>1.35</v>
      </c>
    </row>
    <row r="362" spans="1:5" ht="16">
      <c r="A362" s="12">
        <v>43252</v>
      </c>
      <c r="B362" s="15">
        <v>6.4077999999999999</v>
      </c>
      <c r="C362" s="134">
        <v>0.7550155684210208</v>
      </c>
      <c r="D362" s="132">
        <v>1</v>
      </c>
      <c r="E362" s="132">
        <v>1.35</v>
      </c>
    </row>
    <row r="363" spans="1:5" ht="16">
      <c r="A363" s="12">
        <v>43259</v>
      </c>
      <c r="B363" s="15">
        <v>6.4002999999999997</v>
      </c>
      <c r="C363" s="134">
        <v>0.76150964718496539</v>
      </c>
      <c r="D363" s="132">
        <v>1</v>
      </c>
      <c r="E363" s="132">
        <v>1.35</v>
      </c>
    </row>
    <row r="364" spans="1:5" ht="16">
      <c r="A364" s="12">
        <v>43266</v>
      </c>
      <c r="B364" s="15">
        <v>6.4306000000000001</v>
      </c>
      <c r="C364" s="134">
        <v>0.75682466642952828</v>
      </c>
      <c r="D364" s="132">
        <v>1</v>
      </c>
      <c r="E364" s="132">
        <v>1.35</v>
      </c>
    </row>
    <row r="365" spans="1:5" ht="16">
      <c r="A365" s="12">
        <v>43273</v>
      </c>
      <c r="B365" s="15">
        <v>6.4804000000000004</v>
      </c>
      <c r="C365" s="134">
        <v>0.74124149054768851</v>
      </c>
      <c r="D365" s="132">
        <v>1</v>
      </c>
      <c r="E365" s="132">
        <v>1.35</v>
      </c>
    </row>
    <row r="366" spans="1:5" ht="16">
      <c r="A366" s="12">
        <v>43280</v>
      </c>
      <c r="B366" s="15">
        <v>6.6166</v>
      </c>
      <c r="C366" s="134">
        <v>0.74015957840510416</v>
      </c>
      <c r="D366" s="132">
        <v>1</v>
      </c>
      <c r="E366" s="132">
        <v>1.35</v>
      </c>
    </row>
    <row r="367" spans="1:5" ht="16">
      <c r="A367" s="12">
        <v>43287</v>
      </c>
      <c r="B367" s="15">
        <v>6.6336000000000004</v>
      </c>
      <c r="C367" s="134">
        <v>0.73916877514559776</v>
      </c>
      <c r="D367" s="132">
        <v>1</v>
      </c>
      <c r="E367" s="132">
        <v>1.35</v>
      </c>
    </row>
    <row r="368" spans="1:5" ht="16">
      <c r="A368" s="12">
        <v>43294</v>
      </c>
      <c r="B368" s="15">
        <v>6.6726999999999999</v>
      </c>
      <c r="C368" s="134">
        <v>0.74262591036653791</v>
      </c>
      <c r="D368" s="132">
        <v>1</v>
      </c>
      <c r="E368" s="132">
        <v>1.35</v>
      </c>
    </row>
    <row r="369" spans="1:5" ht="16">
      <c r="A369" s="12">
        <v>43301</v>
      </c>
      <c r="B369" s="15">
        <v>6.7671000000000001</v>
      </c>
      <c r="C369" s="134">
        <v>0.74029272654993239</v>
      </c>
      <c r="D369" s="132">
        <v>1</v>
      </c>
      <c r="E369" s="132">
        <v>1.35</v>
      </c>
    </row>
    <row r="370" spans="1:5" ht="16">
      <c r="A370" s="12">
        <v>43308</v>
      </c>
      <c r="B370" s="15">
        <v>6.7942</v>
      </c>
      <c r="C370" s="134">
        <v>0.74107340035601166</v>
      </c>
      <c r="D370" s="132">
        <v>1</v>
      </c>
      <c r="E370" s="132">
        <v>1.35</v>
      </c>
    </row>
    <row r="371" spans="1:5" ht="16">
      <c r="A371" s="12">
        <v>43315</v>
      </c>
      <c r="B371" s="15">
        <v>6.8322000000000003</v>
      </c>
      <c r="C371" s="134">
        <v>0.74011411079360212</v>
      </c>
      <c r="D371" s="132">
        <v>1</v>
      </c>
      <c r="E371" s="132">
        <v>1.35</v>
      </c>
    </row>
    <row r="372" spans="1:5" ht="16">
      <c r="A372" s="12">
        <v>43322</v>
      </c>
      <c r="B372" s="15">
        <v>6.8395000000000001</v>
      </c>
      <c r="C372" s="134">
        <v>0.73948197808471205</v>
      </c>
      <c r="D372" s="132">
        <v>1</v>
      </c>
      <c r="E372" s="132">
        <v>1.35</v>
      </c>
    </row>
    <row r="373" spans="1:5" ht="16">
      <c r="A373" s="12">
        <v>43329</v>
      </c>
      <c r="B373" s="15">
        <v>6.8894000000000002</v>
      </c>
      <c r="C373" s="134">
        <v>0.72725157086339309</v>
      </c>
      <c r="D373" s="132">
        <v>1</v>
      </c>
      <c r="E373" s="132">
        <v>1.35</v>
      </c>
    </row>
    <row r="374" spans="1:5" ht="16">
      <c r="A374" s="12">
        <v>43336</v>
      </c>
      <c r="B374" s="16">
        <v>6.8710000000000004</v>
      </c>
      <c r="C374" s="134">
        <v>0.73191707379553905</v>
      </c>
      <c r="D374" s="132">
        <v>1</v>
      </c>
      <c r="E374" s="132">
        <v>1.35</v>
      </c>
    </row>
    <row r="375" spans="1:5" ht="16">
      <c r="A375" s="12">
        <v>43343</v>
      </c>
      <c r="B375" s="15">
        <v>6.8246000000000002</v>
      </c>
      <c r="C375" s="134">
        <v>0.7307788714289577</v>
      </c>
      <c r="D375" s="132">
        <v>1</v>
      </c>
      <c r="E375" s="132">
        <v>1.35</v>
      </c>
    </row>
    <row r="376" spans="1:5" ht="16">
      <c r="A376" s="12">
        <v>43350</v>
      </c>
      <c r="B376" s="15">
        <v>6.8212000000000002</v>
      </c>
      <c r="C376" s="134">
        <v>0.7186726977679464</v>
      </c>
      <c r="D376" s="132">
        <v>1</v>
      </c>
      <c r="E376" s="132">
        <v>1.35</v>
      </c>
    </row>
    <row r="377" spans="1:5" ht="16">
      <c r="A377" s="12">
        <v>43357</v>
      </c>
      <c r="B377" s="15">
        <v>6.8361999999999998</v>
      </c>
      <c r="C377" s="134">
        <v>0.71357672483981982</v>
      </c>
      <c r="D377" s="132">
        <v>1</v>
      </c>
      <c r="E377" s="132">
        <v>1.35</v>
      </c>
    </row>
    <row r="378" spans="1:5" ht="16">
      <c r="A378" s="12">
        <v>43364</v>
      </c>
      <c r="B378" s="15">
        <v>6.8357000000000001</v>
      </c>
      <c r="C378" s="134">
        <v>0.72141275703034768</v>
      </c>
      <c r="D378" s="132">
        <v>1</v>
      </c>
      <c r="E378" s="132">
        <v>1.35</v>
      </c>
    </row>
    <row r="379" spans="1:5" ht="16">
      <c r="A379" s="12">
        <v>43371</v>
      </c>
      <c r="B379" s="15">
        <v>6.8792</v>
      </c>
      <c r="C379" s="134">
        <v>0.72583267524504103</v>
      </c>
      <c r="D379" s="132">
        <v>1</v>
      </c>
      <c r="E379" s="132">
        <v>1.35</v>
      </c>
    </row>
    <row r="380" spans="1:5" ht="16">
      <c r="A380" s="12">
        <v>43378</v>
      </c>
      <c r="B380" s="15">
        <v>6.8875000000000002</v>
      </c>
      <c r="C380" s="134">
        <v>0.71656490250776217</v>
      </c>
      <c r="D380" s="132">
        <v>1</v>
      </c>
      <c r="E380" s="132">
        <v>1.35</v>
      </c>
    </row>
    <row r="381" spans="1:5" ht="16">
      <c r="A381" s="12">
        <v>43385</v>
      </c>
      <c r="B381" s="16">
        <v>6.9119999999999999</v>
      </c>
      <c r="C381" s="134">
        <v>0.70824438964206748</v>
      </c>
      <c r="D381" s="132">
        <v>1</v>
      </c>
      <c r="E381" s="132">
        <v>1.35</v>
      </c>
    </row>
    <row r="382" spans="1:5" ht="16">
      <c r="A382" s="12">
        <v>43392</v>
      </c>
      <c r="B382" s="15">
        <v>6.9386999999999999</v>
      </c>
      <c r="C382" s="134">
        <v>0.71244759947905822</v>
      </c>
      <c r="D382" s="132">
        <v>1</v>
      </c>
      <c r="E382" s="132">
        <v>1.35</v>
      </c>
    </row>
    <row r="383" spans="1:5" ht="16">
      <c r="A383" s="12">
        <v>43399</v>
      </c>
      <c r="B383" s="15">
        <v>6.9369999999999994</v>
      </c>
      <c r="C383" s="134">
        <v>0.712180204381475</v>
      </c>
      <c r="D383" s="132">
        <v>1</v>
      </c>
      <c r="E383" s="132">
        <v>1.35</v>
      </c>
    </row>
    <row r="384" spans="1:5" ht="16">
      <c r="A384" s="12">
        <v>43406</v>
      </c>
      <c r="B384" s="15">
        <v>6.9527599999999996</v>
      </c>
      <c r="C384" s="134">
        <v>0.71184155545921968</v>
      </c>
      <c r="D384" s="132">
        <v>1</v>
      </c>
      <c r="E384" s="132">
        <v>1.35</v>
      </c>
    </row>
    <row r="385" spans="1:5" ht="16">
      <c r="A385" s="12">
        <v>43413</v>
      </c>
      <c r="B385" s="15">
        <v>6.9121600000000001</v>
      </c>
      <c r="C385" s="134">
        <v>0.72305325142586097</v>
      </c>
      <c r="D385" s="132">
        <v>1</v>
      </c>
      <c r="E385" s="132">
        <v>1.35</v>
      </c>
    </row>
    <row r="386" spans="1:5" ht="16">
      <c r="A386" s="12">
        <v>43420</v>
      </c>
      <c r="B386" s="15">
        <v>6.9455200000000001</v>
      </c>
      <c r="C386" s="134">
        <v>0.72363560316112985</v>
      </c>
      <c r="D386" s="132">
        <v>1</v>
      </c>
      <c r="E386" s="132">
        <v>1.35</v>
      </c>
    </row>
    <row r="387" spans="1:5" ht="16">
      <c r="A387" s="12">
        <v>43427</v>
      </c>
      <c r="B387" s="15">
        <v>6.9334199999999999</v>
      </c>
      <c r="C387" s="134">
        <v>0.72812158465469201</v>
      </c>
      <c r="D387" s="132">
        <v>1</v>
      </c>
      <c r="E387" s="132">
        <v>1.35</v>
      </c>
    </row>
    <row r="388" spans="1:5" ht="16">
      <c r="A388" s="12">
        <v>43434</v>
      </c>
      <c r="B388" s="15">
        <v>6.9425199999999991</v>
      </c>
      <c r="C388" s="134">
        <v>0.72611727665358683</v>
      </c>
      <c r="D388" s="132">
        <v>1</v>
      </c>
      <c r="E388" s="132">
        <v>1.35</v>
      </c>
    </row>
    <row r="389" spans="1:5" ht="16">
      <c r="A389" s="12">
        <v>43441</v>
      </c>
      <c r="B389" s="15">
        <v>6.88218</v>
      </c>
      <c r="C389" s="134">
        <v>0.72996696899465296</v>
      </c>
      <c r="D389" s="132">
        <v>1</v>
      </c>
      <c r="E389" s="132">
        <v>1.35</v>
      </c>
    </row>
    <row r="390" spans="1:5" ht="16">
      <c r="A390" s="12">
        <v>43448</v>
      </c>
      <c r="B390" s="15">
        <v>6.88544</v>
      </c>
      <c r="C390" s="134">
        <v>0.72064229406385327</v>
      </c>
      <c r="D390" s="132">
        <v>1</v>
      </c>
      <c r="E390" s="132">
        <v>1.35</v>
      </c>
    </row>
    <row r="391" spans="1:5" ht="16">
      <c r="A391" s="12">
        <v>43455</v>
      </c>
      <c r="B391" s="15">
        <v>6.8871000000000002</v>
      </c>
      <c r="C391" s="134">
        <v>0.7147</v>
      </c>
      <c r="D391" s="132">
        <v>1</v>
      </c>
      <c r="E391" s="132">
        <v>1.35</v>
      </c>
    </row>
    <row r="392" spans="1:5" ht="16">
      <c r="A392" s="12">
        <v>43462</v>
      </c>
      <c r="B392" s="15">
        <v>6.8859200000000005</v>
      </c>
      <c r="C392" s="134">
        <v>0.70490643072038617</v>
      </c>
      <c r="D392" s="132">
        <v>1</v>
      </c>
      <c r="E392" s="132">
        <v>1.35</v>
      </c>
    </row>
    <row r="393" spans="1:5" ht="16">
      <c r="A393" s="12">
        <v>43469</v>
      </c>
      <c r="B393" s="17">
        <v>6.8566333333333338</v>
      </c>
      <c r="C393" s="134">
        <v>0.70460991033838893</v>
      </c>
      <c r="D393" s="132">
        <v>1</v>
      </c>
      <c r="E393" s="132">
        <v>1.35</v>
      </c>
    </row>
    <row r="394" spans="1:5" ht="16">
      <c r="A394" s="12">
        <v>43476</v>
      </c>
      <c r="B394" s="132">
        <v>6.8302799999999992</v>
      </c>
      <c r="C394" s="134">
        <v>0.71529274428498979</v>
      </c>
      <c r="D394" s="132">
        <v>1</v>
      </c>
      <c r="E394" s="132">
        <v>1.35</v>
      </c>
    </row>
    <row r="395" spans="1:5" ht="16">
      <c r="A395" s="12">
        <v>43483</v>
      </c>
      <c r="B395" s="132">
        <v>6.7595000000000001</v>
      </c>
      <c r="C395" s="134">
        <v>0.7196294771747922</v>
      </c>
      <c r="D395" s="132">
        <v>1</v>
      </c>
      <c r="E395" s="132">
        <v>1.35</v>
      </c>
    </row>
    <row r="396" spans="1:5" ht="16">
      <c r="A396" s="12">
        <v>43490</v>
      </c>
      <c r="B396" s="132">
        <v>6.7859999999999996</v>
      </c>
      <c r="C396" s="133">
        <v>0.71299999999999997</v>
      </c>
      <c r="D396" s="132">
        <v>1</v>
      </c>
      <c r="E396" s="132">
        <v>1.35</v>
      </c>
    </row>
    <row r="397" spans="1:5" ht="16">
      <c r="A397" s="12">
        <v>43511</v>
      </c>
      <c r="B397" s="132">
        <v>6.7457899999999995</v>
      </c>
      <c r="C397" s="133">
        <v>0.71569285714285724</v>
      </c>
      <c r="D397" s="132">
        <v>1</v>
      </c>
      <c r="E397" s="132">
        <v>1.35</v>
      </c>
    </row>
    <row r="398" spans="1:5" ht="16">
      <c r="A398" s="12">
        <v>43518</v>
      </c>
      <c r="B398" s="132">
        <v>6.7446000000000002</v>
      </c>
      <c r="C398" s="134">
        <v>0.71370659236505241</v>
      </c>
      <c r="D398" s="132">
        <v>1</v>
      </c>
      <c r="E398" s="132">
        <v>1.35</v>
      </c>
    </row>
    <row r="399" spans="1:5" ht="16">
      <c r="A399" s="12">
        <v>43525</v>
      </c>
      <c r="B399" s="132">
        <v>6.6959600000000012</v>
      </c>
      <c r="C399" s="134">
        <v>0.71393180808941847</v>
      </c>
      <c r="D399" s="132">
        <v>1</v>
      </c>
      <c r="E399" s="132">
        <v>1.35</v>
      </c>
    </row>
    <row r="400" spans="1:5" ht="16">
      <c r="A400" s="12">
        <v>43532</v>
      </c>
      <c r="B400" s="132">
        <v>6.7093000000000007</v>
      </c>
      <c r="C400" s="134">
        <v>0.70624461488481149</v>
      </c>
      <c r="D400" s="132">
        <v>1</v>
      </c>
      <c r="E400" s="132">
        <v>1.35</v>
      </c>
    </row>
    <row r="401" spans="1:5" ht="16">
      <c r="A401" s="12">
        <v>43539</v>
      </c>
      <c r="B401" s="132">
        <v>6.7124000000000006</v>
      </c>
      <c r="C401" s="134">
        <v>0.70634887559854231</v>
      </c>
      <c r="D401" s="132">
        <v>1</v>
      </c>
      <c r="E401" s="132">
        <v>1.35</v>
      </c>
    </row>
    <row r="402" spans="1:5" ht="16">
      <c r="A402" s="12">
        <v>43546</v>
      </c>
      <c r="B402" s="132">
        <v>6.7008999999999999</v>
      </c>
      <c r="C402" s="134">
        <v>0.71004875194730865</v>
      </c>
      <c r="D402" s="132">
        <v>1</v>
      </c>
      <c r="E402" s="132">
        <v>1.35</v>
      </c>
    </row>
    <row r="403" spans="1:5" ht="16">
      <c r="A403" s="12">
        <v>43553</v>
      </c>
      <c r="B403" s="132">
        <v>6.7175800000000008</v>
      </c>
      <c r="C403" s="134">
        <v>0.70954191973661807</v>
      </c>
      <c r="D403" s="132">
        <v>1</v>
      </c>
      <c r="E403" s="132">
        <v>1.35</v>
      </c>
    </row>
    <row r="404" spans="1:5" ht="16">
      <c r="A404" s="12">
        <v>43560</v>
      </c>
      <c r="B404" s="132">
        <v>6.7150750000000006</v>
      </c>
      <c r="C404" s="134">
        <v>0.71052248270765905</v>
      </c>
      <c r="D404" s="132">
        <v>1</v>
      </c>
      <c r="E404" s="132">
        <v>1.35</v>
      </c>
    </row>
    <row r="405" spans="1:5" ht="16">
      <c r="A405" s="12">
        <v>43567</v>
      </c>
      <c r="B405" s="132">
        <v>6.7152199999999995</v>
      </c>
      <c r="C405" s="134">
        <v>0.71309891395035396</v>
      </c>
      <c r="D405" s="132">
        <v>1</v>
      </c>
      <c r="E405" s="132">
        <v>1.35</v>
      </c>
    </row>
    <row r="406" spans="1:5" ht="16">
      <c r="A406" s="12">
        <v>43574</v>
      </c>
      <c r="B406" s="132">
        <v>6.7054599999999995</v>
      </c>
      <c r="C406" s="134">
        <v>0.71690549178282925</v>
      </c>
      <c r="D406" s="132">
        <v>1</v>
      </c>
      <c r="E406" s="132">
        <v>1.35</v>
      </c>
    </row>
    <row r="407" spans="1:5" ht="16">
      <c r="A407" s="12">
        <v>43581</v>
      </c>
      <c r="B407" s="132">
        <v>6.7221999999999991</v>
      </c>
      <c r="C407" s="134">
        <v>0.70898353031259087</v>
      </c>
      <c r="D407" s="132">
        <v>1</v>
      </c>
      <c r="E407" s="132">
        <v>1.35</v>
      </c>
    </row>
    <row r="408" spans="1:5" ht="16">
      <c r="A408" s="12">
        <v>43588</v>
      </c>
      <c r="B408" s="132">
        <v>6.7298</v>
      </c>
      <c r="C408" s="134">
        <v>0.70356934801635651</v>
      </c>
      <c r="D408" s="132">
        <v>1</v>
      </c>
      <c r="E408" s="132">
        <v>1.35</v>
      </c>
    </row>
    <row r="409" spans="1:5" ht="16">
      <c r="A409" s="12">
        <v>43595</v>
      </c>
      <c r="B409" s="132">
        <v>6.7626200000000001</v>
      </c>
      <c r="C409" s="134">
        <v>0.70052686625611116</v>
      </c>
      <c r="D409" s="132">
        <v>1</v>
      </c>
      <c r="E409" s="132">
        <v>1.35</v>
      </c>
    </row>
    <row r="410" spans="1:5" ht="16">
      <c r="A410" s="12">
        <v>43602</v>
      </c>
      <c r="B410" s="132">
        <v>6.8502999999999998</v>
      </c>
      <c r="C410" s="134">
        <v>0.70052686625611116</v>
      </c>
      <c r="D410" s="132">
        <v>1</v>
      </c>
      <c r="E410" s="132">
        <v>1.35</v>
      </c>
    </row>
    <row r="411" spans="1:5" ht="16">
      <c r="A411" s="12">
        <v>43609</v>
      </c>
      <c r="B411" s="132">
        <v>6.8991400000000001</v>
      </c>
      <c r="C411" s="134">
        <v>0.68883522097145045</v>
      </c>
      <c r="D411" s="132">
        <v>1</v>
      </c>
      <c r="E411" s="132">
        <v>1.35</v>
      </c>
    </row>
    <row r="412" spans="1:5" ht="16">
      <c r="A412" s="12">
        <v>43616</v>
      </c>
      <c r="B412" s="132">
        <v>6.8973399999999998</v>
      </c>
      <c r="C412" s="134">
        <v>0.69246418921445474</v>
      </c>
      <c r="D412" s="132">
        <v>1</v>
      </c>
      <c r="E412" s="132">
        <v>1.35</v>
      </c>
    </row>
    <row r="413" spans="1:5" ht="16">
      <c r="A413" s="12">
        <v>43623</v>
      </c>
      <c r="B413" s="132">
        <v>6.8924666666666674</v>
      </c>
      <c r="C413" s="134">
        <v>0.69674030050409164</v>
      </c>
      <c r="D413" s="132">
        <v>1</v>
      </c>
      <c r="E413" s="132">
        <v>1.35</v>
      </c>
    </row>
    <row r="414" spans="1:5" ht="16">
      <c r="A414" s="12">
        <v>43630</v>
      </c>
      <c r="B414" s="132">
        <v>6.89316</v>
      </c>
      <c r="C414" s="134">
        <v>0.69542625108921141</v>
      </c>
      <c r="D414" s="132">
        <v>1</v>
      </c>
      <c r="E414" s="132">
        <v>1.35</v>
      </c>
    </row>
    <row r="415" spans="1:5" ht="16">
      <c r="A415" s="12">
        <v>43637</v>
      </c>
      <c r="B415" s="132">
        <v>6.8810400000000005</v>
      </c>
      <c r="C415" s="134">
        <v>0.68843166317517079</v>
      </c>
      <c r="D415" s="132">
        <v>1</v>
      </c>
      <c r="E415" s="132">
        <v>1.35</v>
      </c>
    </row>
    <row r="416" spans="1:5" ht="16">
      <c r="A416" s="12">
        <v>43644</v>
      </c>
      <c r="B416" s="132">
        <v>6.8661799999999999</v>
      </c>
      <c r="C416" s="134">
        <v>0.69671068949276671</v>
      </c>
      <c r="D416" s="132">
        <v>1</v>
      </c>
      <c r="E416" s="132">
        <v>1.35</v>
      </c>
    </row>
    <row r="417" spans="1:5" ht="16">
      <c r="A417" s="12">
        <v>43651</v>
      </c>
      <c r="B417" s="132">
        <v>6.8654200000000003</v>
      </c>
      <c r="C417" s="134">
        <v>0.70106463675737973</v>
      </c>
      <c r="D417" s="132">
        <v>1</v>
      </c>
      <c r="E417" s="132">
        <v>1.35</v>
      </c>
    </row>
    <row r="418" spans="1:5" ht="16">
      <c r="A418" s="12">
        <v>43658</v>
      </c>
      <c r="B418" s="132">
        <v>6.8785799999999995</v>
      </c>
      <c r="C418" s="134">
        <v>0.69725136539248633</v>
      </c>
      <c r="D418" s="132">
        <v>1</v>
      </c>
      <c r="E418" s="132">
        <v>1.35</v>
      </c>
    </row>
    <row r="419" spans="1:5" ht="16">
      <c r="A419" s="12">
        <v>43665</v>
      </c>
      <c r="B419" s="132">
        <v>6.8722000000000012</v>
      </c>
      <c r="C419" s="134">
        <v>0.70317306847147754</v>
      </c>
      <c r="D419" s="132">
        <v>1</v>
      </c>
      <c r="E419" s="132">
        <v>1.35</v>
      </c>
    </row>
    <row r="420" spans="1:5" ht="16">
      <c r="A420" s="12">
        <v>43672</v>
      </c>
      <c r="B420" s="132">
        <v>6.8793999999999995</v>
      </c>
      <c r="C420" s="134">
        <v>0.70035907409728959</v>
      </c>
      <c r="D420" s="132">
        <v>1</v>
      </c>
      <c r="E420" s="132">
        <v>1.35</v>
      </c>
    </row>
    <row r="421" spans="1:5" ht="16">
      <c r="A421" s="12">
        <v>43679</v>
      </c>
      <c r="B421" s="132">
        <v>6.8891599999999995</v>
      </c>
      <c r="C421" s="134">
        <v>0.68765433541990584</v>
      </c>
      <c r="D421" s="132">
        <v>1</v>
      </c>
      <c r="E421" s="132">
        <v>1.35</v>
      </c>
    </row>
    <row r="422" spans="1:5" ht="16">
      <c r="A422" s="12">
        <v>43686</v>
      </c>
      <c r="B422" s="132">
        <v>6.9815800000000001</v>
      </c>
      <c r="C422" s="134">
        <v>0.67842467077746793</v>
      </c>
      <c r="D422" s="132">
        <v>1</v>
      </c>
      <c r="E422" s="132">
        <v>1.35</v>
      </c>
    </row>
    <row r="423" spans="1:5" ht="16">
      <c r="A423" s="12">
        <v>43693</v>
      </c>
      <c r="B423" s="132">
        <v>7.0285799999999998</v>
      </c>
      <c r="C423" s="134">
        <v>0.67786729391986933</v>
      </c>
      <c r="D423" s="132">
        <v>1</v>
      </c>
      <c r="E423" s="132">
        <v>1.35</v>
      </c>
    </row>
    <row r="424" spans="1:5" ht="16">
      <c r="A424" s="12">
        <v>43700</v>
      </c>
      <c r="B424" s="132">
        <v>7.0462800000000003</v>
      </c>
      <c r="C424" s="134">
        <v>0.67754258016345037</v>
      </c>
      <c r="D424" s="132">
        <v>1</v>
      </c>
      <c r="E424" s="132">
        <v>1.35</v>
      </c>
    </row>
    <row r="425" spans="1:5" ht="16">
      <c r="A425" s="12">
        <v>43707</v>
      </c>
      <c r="B425" s="132">
        <v>7.0790400000000009</v>
      </c>
      <c r="C425" s="134">
        <v>0.67478842009088047</v>
      </c>
      <c r="D425" s="132">
        <v>1</v>
      </c>
      <c r="E425" s="132">
        <v>1.35</v>
      </c>
    </row>
    <row r="426" spans="1:5" ht="16">
      <c r="A426" s="12">
        <v>43714</v>
      </c>
      <c r="B426" s="132">
        <v>7.0870399999999991</v>
      </c>
      <c r="C426" s="134">
        <v>0.67672505676031414</v>
      </c>
      <c r="D426" s="132">
        <v>1</v>
      </c>
      <c r="E426" s="132">
        <v>1.35</v>
      </c>
    </row>
    <row r="427" spans="1:5" ht="16">
      <c r="A427" s="12">
        <v>43721</v>
      </c>
      <c r="B427" s="132">
        <v>7.0846499999999999</v>
      </c>
      <c r="C427" s="134">
        <v>0.68636252570427658</v>
      </c>
      <c r="D427" s="132">
        <v>1</v>
      </c>
      <c r="E427" s="132">
        <v>1.35</v>
      </c>
    </row>
    <row r="428" spans="1:5" ht="16">
      <c r="A428" s="12">
        <v>43728</v>
      </c>
      <c r="B428" s="132">
        <v>7.0715400000000006</v>
      </c>
      <c r="C428" s="134">
        <v>0.68447347220387456</v>
      </c>
      <c r="D428" s="132">
        <v>1</v>
      </c>
      <c r="E428" s="132">
        <v>1.35</v>
      </c>
    </row>
    <row r="429" spans="1:5" ht="16">
      <c r="A429" s="12">
        <v>43735</v>
      </c>
      <c r="B429" s="132">
        <v>7.07294</v>
      </c>
      <c r="C429" s="134">
        <v>0.67698344301593416</v>
      </c>
      <c r="D429" s="132">
        <v>1</v>
      </c>
      <c r="E429" s="132">
        <v>1.35</v>
      </c>
    </row>
    <row r="430" spans="1:5" ht="16">
      <c r="A430" s="12">
        <v>43742</v>
      </c>
      <c r="B430" s="132">
        <v>7.0728999999999997</v>
      </c>
      <c r="C430" s="134">
        <v>0.6742838262910007</v>
      </c>
      <c r="D430" s="132">
        <v>1</v>
      </c>
      <c r="E430" s="132">
        <v>1.35</v>
      </c>
    </row>
    <row r="431" spans="1:5" ht="16">
      <c r="A431" s="12">
        <v>43749</v>
      </c>
      <c r="B431" s="132">
        <v>7.0727750000000009</v>
      </c>
      <c r="C431" s="134">
        <v>0.67582042910542317</v>
      </c>
      <c r="D431" s="132">
        <v>1</v>
      </c>
      <c r="E431" s="132">
        <v>1.35</v>
      </c>
    </row>
    <row r="432" spans="1:5" ht="16">
      <c r="A432" s="12">
        <v>43756</v>
      </c>
      <c r="B432" s="132">
        <v>7.0731599999999997</v>
      </c>
      <c r="C432" s="134">
        <v>0.67892810830261185</v>
      </c>
      <c r="D432" s="132">
        <v>1</v>
      </c>
      <c r="E432" s="132">
        <v>1.35</v>
      </c>
    </row>
    <row r="433" spans="1:5" ht="16">
      <c r="A433" s="12">
        <v>43763</v>
      </c>
      <c r="B433" s="132">
        <v>7.0715199999999996</v>
      </c>
      <c r="C433" s="134">
        <v>0.68503426198861339</v>
      </c>
      <c r="D433" s="132">
        <v>1</v>
      </c>
      <c r="E433" s="132">
        <v>1.35</v>
      </c>
    </row>
    <row r="434" spans="1:5" ht="16">
      <c r="A434" s="12">
        <v>43770</v>
      </c>
      <c r="B434" s="132">
        <v>7.0586200000000003</v>
      </c>
      <c r="C434" s="134">
        <v>0.68597974027435071</v>
      </c>
      <c r="D434" s="132">
        <v>1</v>
      </c>
      <c r="E434" s="132">
        <v>1.35</v>
      </c>
    </row>
    <row r="435" spans="1:5" ht="16">
      <c r="A435" s="12">
        <v>43777</v>
      </c>
      <c r="B435" s="132">
        <v>7.016</v>
      </c>
      <c r="C435" s="134">
        <v>0.68995446990453102</v>
      </c>
      <c r="D435" s="132">
        <v>1</v>
      </c>
      <c r="E435" s="132">
        <v>1.35</v>
      </c>
    </row>
    <row r="436" spans="1:5" ht="16">
      <c r="A436" s="12">
        <v>43784</v>
      </c>
      <c r="B436" s="132">
        <v>7.0024200000000008</v>
      </c>
      <c r="C436" s="134">
        <v>0.68411010615336509</v>
      </c>
      <c r="D436" s="132">
        <v>1</v>
      </c>
      <c r="E436" s="132">
        <v>1.35</v>
      </c>
    </row>
    <row r="437" spans="1:5" ht="16">
      <c r="A437" s="12">
        <v>43791</v>
      </c>
      <c r="B437" s="132">
        <v>7.0141600000000004</v>
      </c>
      <c r="C437" s="134">
        <v>0.6810824579721042</v>
      </c>
      <c r="D437" s="132">
        <v>1</v>
      </c>
      <c r="E437" s="132">
        <v>1.35</v>
      </c>
    </row>
    <row r="438" spans="1:5" ht="16">
      <c r="A438" s="12">
        <v>43798</v>
      </c>
      <c r="B438" s="132">
        <v>7.0331799999999998</v>
      </c>
      <c r="C438" s="134">
        <v>0.67812195480859672</v>
      </c>
      <c r="D438" s="132">
        <v>1</v>
      </c>
      <c r="E438" s="132">
        <v>1.35</v>
      </c>
    </row>
    <row r="439" spans="1:5" ht="16">
      <c r="A439" s="12">
        <v>43805</v>
      </c>
      <c r="B439" s="132">
        <v>7.0331799999999998</v>
      </c>
      <c r="C439" s="134">
        <v>0.68123742691173961</v>
      </c>
      <c r="D439" s="132">
        <v>1</v>
      </c>
      <c r="E439" s="132">
        <v>1.35</v>
      </c>
    </row>
    <row r="440" spans="1:5" ht="16">
      <c r="A440" s="12">
        <v>43812</v>
      </c>
      <c r="B440" s="132">
        <v>7.0319799999999999</v>
      </c>
      <c r="C440" s="134">
        <v>0.68536948611681303</v>
      </c>
      <c r="D440" s="132">
        <v>1</v>
      </c>
      <c r="E440" s="132">
        <v>1.35</v>
      </c>
    </row>
    <row r="441" spans="1:5" ht="16">
      <c r="A441" s="12">
        <v>43819</v>
      </c>
      <c r="B441" s="132">
        <v>6.9980000000000002</v>
      </c>
      <c r="C441" s="134">
        <v>0.68720000000000003</v>
      </c>
      <c r="D441" s="132">
        <v>1</v>
      </c>
      <c r="E441" s="132">
        <v>1.35</v>
      </c>
    </row>
    <row r="442" spans="1:5" ht="16">
      <c r="A442" s="12">
        <v>43826</v>
      </c>
      <c r="B442" s="132">
        <v>6.9996600000000004</v>
      </c>
      <c r="C442" s="134">
        <v>0.69247809518665404</v>
      </c>
      <c r="D442" s="132">
        <v>1</v>
      </c>
      <c r="E442" s="132">
        <v>1.35</v>
      </c>
    </row>
    <row r="443" spans="1:5" ht="16">
      <c r="A443" s="12">
        <v>43833</v>
      </c>
      <c r="B443" s="132">
        <v>6.9695200000000002</v>
      </c>
      <c r="C443" s="134">
        <v>0.69945232882652886</v>
      </c>
      <c r="D443" s="132">
        <v>1</v>
      </c>
      <c r="E443" s="132">
        <v>1.35</v>
      </c>
    </row>
    <row r="444" spans="1:5" ht="16">
      <c r="A444" s="12">
        <v>43840</v>
      </c>
      <c r="B444" s="132">
        <v>6.9541200000000005</v>
      </c>
      <c r="C444" s="134">
        <v>0.69087349208224436</v>
      </c>
      <c r="D444" s="132">
        <v>1</v>
      </c>
      <c r="E444" s="132">
        <v>1.35</v>
      </c>
    </row>
    <row r="445" spans="1:5" ht="16">
      <c r="A445" s="12">
        <v>43847</v>
      </c>
      <c r="B445" s="132">
        <v>6.8949400000000001</v>
      </c>
      <c r="C445" s="134">
        <v>0.69016732416607074</v>
      </c>
      <c r="D445" s="132">
        <v>1</v>
      </c>
      <c r="E445" s="132">
        <v>1.35</v>
      </c>
    </row>
    <row r="446" spans="1:5" ht="16">
      <c r="A446" s="12">
        <v>43854</v>
      </c>
      <c r="B446" s="132">
        <v>6.875</v>
      </c>
      <c r="C446" s="133">
        <v>0.68589100259157065</v>
      </c>
      <c r="D446" s="132">
        <v>1</v>
      </c>
      <c r="E446" s="132">
        <v>1.35</v>
      </c>
    </row>
    <row r="447" spans="1:5" ht="16">
      <c r="A447" s="12">
        <v>43861</v>
      </c>
      <c r="B447" s="132">
        <v>6.9366561999999998</v>
      </c>
      <c r="C447" s="133">
        <v>0.67385916990253847</v>
      </c>
      <c r="D447" s="132">
        <v>1</v>
      </c>
      <c r="E447" s="132">
        <v>1.35</v>
      </c>
    </row>
    <row r="448" spans="1:5" ht="16">
      <c r="A448" s="12">
        <v>43868</v>
      </c>
      <c r="B448" s="132">
        <v>6.9249999999999998</v>
      </c>
      <c r="C448" s="133">
        <v>0.67240460898394405</v>
      </c>
      <c r="D448" s="132">
        <v>1</v>
      </c>
      <c r="E448" s="132">
        <v>1.35</v>
      </c>
    </row>
    <row r="449" spans="1:5" ht="16">
      <c r="A449" s="12">
        <v>43875</v>
      </c>
      <c r="B449" s="133">
        <v>6.9820000000000002</v>
      </c>
      <c r="C449" s="133">
        <v>0.67</v>
      </c>
      <c r="D449" s="132">
        <v>1</v>
      </c>
      <c r="E449" s="132">
        <v>1.35</v>
      </c>
    </row>
    <row r="450" spans="1:5" ht="16">
      <c r="A450" s="12">
        <v>43882</v>
      </c>
      <c r="B450" s="132">
        <v>6.9973799999999997</v>
      </c>
      <c r="C450" s="133">
        <v>0.66817496027699852</v>
      </c>
      <c r="D450" s="132">
        <v>1</v>
      </c>
      <c r="E450" s="132">
        <v>1.35</v>
      </c>
    </row>
    <row r="451" spans="1:5" ht="16">
      <c r="A451" s="12">
        <v>43889</v>
      </c>
      <c r="B451" s="132">
        <v>7.0177000000000005</v>
      </c>
      <c r="C451" s="133">
        <v>0.65897858319604607</v>
      </c>
      <c r="D451" s="132">
        <v>1</v>
      </c>
      <c r="E451" s="132">
        <v>1.35</v>
      </c>
    </row>
    <row r="452" spans="1:5" ht="16">
      <c r="A452" s="12">
        <v>43896</v>
      </c>
      <c r="B452" s="132">
        <v>6.9516200000000001</v>
      </c>
      <c r="C452" s="133">
        <v>0.65699266861881089</v>
      </c>
      <c r="D452" s="132">
        <v>1</v>
      </c>
      <c r="E452" s="132">
        <v>1.35</v>
      </c>
    </row>
    <row r="453" spans="1:5" ht="16">
      <c r="A453" s="12">
        <v>43903</v>
      </c>
      <c r="B453" s="132">
        <v>6.9587000000000003</v>
      </c>
      <c r="C453" s="133">
        <v>0.65066253712843103</v>
      </c>
      <c r="D453" s="132">
        <v>1</v>
      </c>
      <c r="E453" s="132">
        <v>1.35</v>
      </c>
    </row>
    <row r="454" spans="1:5" ht="16">
      <c r="A454" s="12">
        <v>43910</v>
      </c>
      <c r="B454" s="132">
        <v>7.0402800000000001</v>
      </c>
      <c r="C454" s="133">
        <v>0.60041416569149397</v>
      </c>
      <c r="D454" s="132">
        <v>1</v>
      </c>
      <c r="E454" s="132">
        <v>1.35</v>
      </c>
    </row>
    <row r="455" spans="1:5" ht="16">
      <c r="A455" s="12">
        <v>43917</v>
      </c>
      <c r="B455" s="132">
        <v>7.0759999999999987</v>
      </c>
      <c r="C455" s="133">
        <v>0.59156405988048044</v>
      </c>
      <c r="D455" s="132">
        <v>1</v>
      </c>
      <c r="E455" s="132">
        <v>1.35</v>
      </c>
    </row>
    <row r="456" spans="1:5" ht="16">
      <c r="A456" s="12">
        <v>43924</v>
      </c>
      <c r="B456" s="132">
        <v>7.0834199999999994</v>
      </c>
      <c r="C456" s="133">
        <v>0.61160022139928016</v>
      </c>
      <c r="D456" s="132">
        <v>1</v>
      </c>
      <c r="E456" s="132">
        <v>1.35</v>
      </c>
    </row>
    <row r="457" spans="1:5" ht="16">
      <c r="A457" s="12">
        <v>43931</v>
      </c>
      <c r="B457" s="132">
        <v>7.0577999999999994</v>
      </c>
      <c r="C457" s="133">
        <v>0.61459339730021412</v>
      </c>
      <c r="D457" s="132">
        <v>1</v>
      </c>
      <c r="E457" s="132">
        <v>1.35</v>
      </c>
    </row>
    <row r="458" spans="1:5" ht="16">
      <c r="A458" s="12">
        <v>43938</v>
      </c>
      <c r="B458" s="132">
        <v>7.0508000000000006</v>
      </c>
      <c r="C458" s="133">
        <v>0.63576387983808369</v>
      </c>
      <c r="D458" s="132">
        <v>1</v>
      </c>
      <c r="E458" s="132">
        <v>1.35</v>
      </c>
    </row>
    <row r="459" spans="1:5" ht="16">
      <c r="A459" s="12">
        <v>43945</v>
      </c>
      <c r="B459" s="132">
        <v>7.0800399999999994</v>
      </c>
      <c r="C459" s="133">
        <v>0.6348259148634966</v>
      </c>
      <c r="D459" s="132">
        <v>1</v>
      </c>
      <c r="E459" s="132">
        <v>1.35</v>
      </c>
    </row>
    <row r="460" spans="1:5" ht="16">
      <c r="A460" s="12">
        <v>43952</v>
      </c>
      <c r="B460" s="132">
        <v>7.0671999999999997</v>
      </c>
      <c r="C460" s="133">
        <v>0.64621274098888648</v>
      </c>
      <c r="D460" s="132">
        <v>1</v>
      </c>
      <c r="E460" s="132">
        <v>1.35</v>
      </c>
    </row>
    <row r="461" spans="1:5" ht="16">
      <c r="A461" s="12">
        <v>43959</v>
      </c>
      <c r="B461" s="132">
        <v>7.0803000000000003</v>
      </c>
      <c r="C461" s="133">
        <v>0.64441335508013609</v>
      </c>
      <c r="D461" s="132">
        <v>1</v>
      </c>
      <c r="E461" s="133">
        <v>1.363280051804642</v>
      </c>
    </row>
    <row r="462" spans="1:5" ht="16">
      <c r="A462" s="12">
        <v>43966</v>
      </c>
      <c r="B462" s="132">
        <v>7.0889400000000009</v>
      </c>
      <c r="C462" s="133">
        <v>0.64885010783888797</v>
      </c>
      <c r="D462" s="132">
        <v>1</v>
      </c>
      <c r="E462" s="133">
        <v>1.3620000000000001</v>
      </c>
    </row>
    <row r="463" spans="1:5" ht="16">
      <c r="A463" s="12">
        <v>43973</v>
      </c>
      <c r="B463" s="132">
        <v>7.0941000000000001</v>
      </c>
      <c r="C463" s="133">
        <v>0.6504022738063493</v>
      </c>
      <c r="D463" s="132">
        <v>1</v>
      </c>
      <c r="E463" s="133">
        <v>1.3618399999999999</v>
      </c>
    </row>
    <row r="464" spans="1:5" ht="16">
      <c r="A464" s="12">
        <v>43980</v>
      </c>
      <c r="B464" s="132">
        <v>7.1237400000000006</v>
      </c>
      <c r="C464" s="133">
        <v>0.65967716718792158</v>
      </c>
      <c r="D464" s="132">
        <v>1</v>
      </c>
      <c r="E464" s="133">
        <v>1.3730199999999999</v>
      </c>
    </row>
    <row r="465" spans="1:5" ht="16">
      <c r="A465" s="12">
        <v>43987</v>
      </c>
      <c r="B465" s="132">
        <v>7.1106600000000002</v>
      </c>
      <c r="C465" s="133">
        <v>0.67974033919042931</v>
      </c>
      <c r="D465" s="132">
        <v>1</v>
      </c>
      <c r="E465" s="133">
        <v>1.38331</v>
      </c>
    </row>
    <row r="466" spans="1:5" ht="16">
      <c r="A466" s="12">
        <v>43994</v>
      </c>
      <c r="B466" s="132">
        <v>7.07538</v>
      </c>
      <c r="C466" s="133">
        <v>0.69490300000000005</v>
      </c>
      <c r="D466" s="132">
        <v>1</v>
      </c>
      <c r="E466" s="133">
        <v>1.37941</v>
      </c>
    </row>
    <row r="467" spans="1:5" ht="16">
      <c r="A467" s="12">
        <v>44001</v>
      </c>
      <c r="B467" s="132">
        <v>7.086920000000001</v>
      </c>
      <c r="C467" s="133">
        <v>0.68711199999999995</v>
      </c>
      <c r="D467" s="132">
        <v>1</v>
      </c>
      <c r="E467" s="133">
        <v>1.37599</v>
      </c>
    </row>
    <row r="468" spans="1:5" ht="16">
      <c r="A468" s="12">
        <v>44008</v>
      </c>
      <c r="B468" s="132">
        <v>7.0640200000000011</v>
      </c>
      <c r="C468" s="133">
        <v>0.68753900000000001</v>
      </c>
      <c r="D468" s="132">
        <v>1</v>
      </c>
      <c r="E468" s="133">
        <v>1.3774599999999999</v>
      </c>
    </row>
    <row r="469" spans="1:5" ht="16">
      <c r="A469" s="12"/>
      <c r="B469" s="13"/>
      <c r="C469" s="14"/>
      <c r="D469" s="13"/>
      <c r="E469" s="13"/>
    </row>
    <row r="470" spans="1:5" ht="16">
      <c r="A470" s="12"/>
      <c r="B470" s="13"/>
      <c r="C470" s="14"/>
      <c r="D470" s="13"/>
      <c r="E470" s="13"/>
    </row>
    <row r="471" spans="1:5" ht="16">
      <c r="A471" s="12"/>
      <c r="B471" s="13"/>
      <c r="C471" s="14"/>
      <c r="D471" s="13"/>
      <c r="E471" s="13"/>
    </row>
    <row r="472" spans="1:5" ht="16">
      <c r="A472" s="12"/>
      <c r="B472" s="13"/>
      <c r="C472" s="14"/>
      <c r="D472" s="13"/>
      <c r="E472" s="13"/>
    </row>
    <row r="473" spans="1:5" ht="16">
      <c r="A473" s="12"/>
      <c r="B473" s="13"/>
      <c r="C473" s="14"/>
      <c r="D473" s="13"/>
      <c r="E473" s="13"/>
    </row>
    <row r="474" spans="1:5" ht="16">
      <c r="A474" s="12"/>
      <c r="B474" s="13"/>
      <c r="C474" s="14"/>
      <c r="D474" s="13"/>
      <c r="E474" s="13"/>
    </row>
    <row r="475" spans="1:5" ht="16">
      <c r="A475" s="12"/>
      <c r="B475" s="13"/>
      <c r="C475" s="14"/>
      <c r="D475" s="13"/>
      <c r="E475" s="13"/>
    </row>
    <row r="476" spans="1:5" ht="16">
      <c r="A476" s="12"/>
      <c r="B476" s="13"/>
      <c r="C476" s="14"/>
      <c r="D476" s="13"/>
      <c r="E476" s="13"/>
    </row>
    <row r="477" spans="1:5" ht="16">
      <c r="A477" s="12"/>
      <c r="B477" s="13"/>
      <c r="C477" s="14"/>
      <c r="D477" s="13"/>
      <c r="E477" s="13"/>
    </row>
    <row r="478" spans="1:5" ht="16">
      <c r="A478" s="12"/>
      <c r="B478" s="13"/>
      <c r="C478" s="14"/>
      <c r="D478" s="13"/>
      <c r="E478" s="13"/>
    </row>
    <row r="479" spans="1:5" ht="16">
      <c r="A479" s="12"/>
      <c r="B479" s="13"/>
      <c r="C479" s="14"/>
      <c r="D479" s="13"/>
      <c r="E479" s="13"/>
    </row>
    <row r="480" spans="1:5" ht="16">
      <c r="A480" s="12"/>
      <c r="B480" s="13"/>
      <c r="C480" s="14"/>
      <c r="D480" s="13"/>
      <c r="E480" s="13"/>
    </row>
    <row r="481" spans="1:5" ht="16">
      <c r="A481" s="12"/>
      <c r="B481" s="13"/>
      <c r="C481" s="14"/>
      <c r="D481" s="13"/>
      <c r="E481" s="13"/>
    </row>
    <row r="482" spans="1:5" ht="16">
      <c r="A482" s="12"/>
      <c r="B482" s="13"/>
      <c r="C482" s="14"/>
      <c r="D482" s="13"/>
      <c r="E482" s="13"/>
    </row>
    <row r="483" spans="1:5" ht="16">
      <c r="A483" s="12"/>
      <c r="B483" s="13"/>
      <c r="C483" s="14"/>
      <c r="D483" s="13"/>
      <c r="E483" s="13"/>
    </row>
    <row r="484" spans="1:5" ht="16">
      <c r="A484" s="12"/>
      <c r="B484" s="13"/>
      <c r="C484" s="14"/>
      <c r="D484" s="13"/>
      <c r="E484" s="13"/>
    </row>
    <row r="485" spans="1:5" ht="16">
      <c r="A485" s="12"/>
      <c r="B485" s="13"/>
      <c r="C485" s="14"/>
      <c r="D485" s="13"/>
      <c r="E485" s="13"/>
    </row>
    <row r="486" spans="1:5" ht="16">
      <c r="A486" s="12"/>
      <c r="B486" s="13"/>
      <c r="C486" s="14"/>
      <c r="D486" s="13"/>
      <c r="E486" s="13"/>
    </row>
    <row r="487" spans="1:5" ht="16">
      <c r="A487" s="12"/>
      <c r="B487" s="13"/>
      <c r="C487" s="14"/>
      <c r="D487" s="13"/>
      <c r="E487" s="13"/>
    </row>
    <row r="488" spans="1:5" ht="16">
      <c r="A488" s="12"/>
      <c r="B488" s="13"/>
      <c r="C488" s="14"/>
      <c r="D488" s="13"/>
      <c r="E488" s="13"/>
    </row>
    <row r="489" spans="1:5" ht="16">
      <c r="A489" s="12"/>
      <c r="B489" s="13"/>
      <c r="C489" s="14"/>
      <c r="D489" s="13"/>
      <c r="E489" s="13"/>
    </row>
    <row r="490" spans="1:5" ht="16">
      <c r="A490" s="12"/>
      <c r="B490" s="13"/>
      <c r="C490" s="14"/>
      <c r="D490" s="13"/>
      <c r="E490" s="13"/>
    </row>
    <row r="491" spans="1:5" ht="16">
      <c r="A491" s="12"/>
      <c r="B491" s="13"/>
      <c r="C491" s="14"/>
      <c r="D491" s="13"/>
      <c r="E491" s="13"/>
    </row>
    <row r="492" spans="1:5" ht="16">
      <c r="A492" s="12"/>
      <c r="B492" s="13"/>
      <c r="C492" s="14"/>
      <c r="D492" s="13"/>
      <c r="E492" s="13"/>
    </row>
    <row r="493" spans="1:5" ht="16">
      <c r="A493" s="12"/>
      <c r="B493" s="13"/>
      <c r="C493" s="14"/>
      <c r="D493" s="13"/>
      <c r="E493" s="13"/>
    </row>
    <row r="494" spans="1:5" ht="16">
      <c r="A494" s="12"/>
      <c r="B494" s="13"/>
      <c r="C494" s="14"/>
      <c r="D494" s="13"/>
      <c r="E494" s="13"/>
    </row>
    <row r="495" spans="1:5" ht="16">
      <c r="A495" s="12"/>
      <c r="B495" s="13"/>
      <c r="C495" s="14"/>
      <c r="D495" s="13"/>
      <c r="E495" s="13"/>
    </row>
    <row r="496" spans="1:5" ht="16">
      <c r="A496" s="12"/>
      <c r="B496" s="13"/>
      <c r="C496" s="14"/>
      <c r="D496" s="13"/>
      <c r="E496" s="13"/>
    </row>
    <row r="497" spans="1:5" ht="16">
      <c r="A497" s="12"/>
      <c r="B497" s="13"/>
      <c r="C497" s="14"/>
      <c r="D497" s="13"/>
      <c r="E497" s="13"/>
    </row>
    <row r="498" spans="1:5" ht="16">
      <c r="A498" s="12"/>
      <c r="B498" s="13"/>
      <c r="C498" s="14"/>
      <c r="D498" s="13"/>
      <c r="E498" s="13"/>
    </row>
    <row r="499" spans="1:5" ht="16">
      <c r="A499" s="12"/>
      <c r="B499" s="13"/>
      <c r="C499" s="14"/>
      <c r="D499" s="13"/>
      <c r="E499" s="13"/>
    </row>
    <row r="500" spans="1:5" ht="16">
      <c r="A500" s="12"/>
      <c r="B500" s="13"/>
      <c r="C500" s="14"/>
      <c r="D500" s="13"/>
      <c r="E500" s="13"/>
    </row>
    <row r="501" spans="1:5" ht="16">
      <c r="A501" s="12"/>
      <c r="B501" s="13"/>
      <c r="C501" s="14"/>
      <c r="D501" s="13"/>
      <c r="E501" s="13"/>
    </row>
    <row r="502" spans="1:5" ht="16">
      <c r="A502" s="12"/>
      <c r="B502" s="13"/>
      <c r="C502" s="14"/>
      <c r="D502" s="13"/>
      <c r="E502" s="13"/>
    </row>
    <row r="503" spans="1:5" ht="16">
      <c r="A503" s="12"/>
      <c r="B503" s="13"/>
      <c r="C503" s="14"/>
      <c r="D503" s="13"/>
      <c r="E503" s="13"/>
    </row>
    <row r="504" spans="1:5" ht="16">
      <c r="A504" s="12"/>
      <c r="B504" s="13"/>
      <c r="C504" s="14"/>
      <c r="D504" s="13"/>
      <c r="E504" s="13"/>
    </row>
    <row r="505" spans="1:5" ht="16">
      <c r="A505" s="12"/>
      <c r="B505" s="13"/>
      <c r="C505" s="14"/>
      <c r="D505" s="13"/>
      <c r="E505" s="13"/>
    </row>
    <row r="506" spans="1:5" ht="16">
      <c r="A506" s="12"/>
      <c r="B506" s="13"/>
      <c r="C506" s="14"/>
      <c r="D506" s="13"/>
      <c r="E506" s="13"/>
    </row>
    <row r="507" spans="1:5" ht="16">
      <c r="A507" s="12"/>
      <c r="B507" s="13"/>
      <c r="C507" s="14"/>
      <c r="D507" s="13"/>
      <c r="E507" s="13"/>
    </row>
    <row r="508" spans="1:5" ht="16">
      <c r="A508" s="12"/>
      <c r="B508" s="13"/>
      <c r="C508" s="14"/>
      <c r="D508" s="13"/>
      <c r="E508" s="13"/>
    </row>
    <row r="509" spans="1:5" ht="16">
      <c r="A509" s="12"/>
      <c r="B509" s="13"/>
      <c r="C509" s="14"/>
      <c r="D509" s="13"/>
      <c r="E509" s="13"/>
    </row>
    <row r="510" spans="1:5" ht="16">
      <c r="A510" s="12"/>
      <c r="B510" s="13"/>
      <c r="C510" s="14"/>
      <c r="D510" s="13"/>
      <c r="E510" s="13"/>
    </row>
    <row r="511" spans="1:5" ht="16">
      <c r="A511" s="12"/>
      <c r="B511" s="13"/>
      <c r="C511" s="14"/>
      <c r="D511" s="13"/>
      <c r="E511" s="13"/>
    </row>
    <row r="512" spans="1:5" ht="16">
      <c r="A512" s="12"/>
      <c r="B512" s="13"/>
      <c r="C512" s="14"/>
      <c r="D512" s="13"/>
      <c r="E512" s="13"/>
    </row>
    <row r="513" spans="1:5" ht="16">
      <c r="A513" s="12"/>
      <c r="B513" s="13"/>
      <c r="C513" s="14"/>
      <c r="D513" s="13"/>
      <c r="E513" s="13"/>
    </row>
    <row r="514" spans="1:5" ht="16">
      <c r="A514" s="12"/>
      <c r="B514" s="13"/>
      <c r="C514" s="14"/>
      <c r="D514" s="13"/>
      <c r="E514" s="13"/>
    </row>
    <row r="515" spans="1:5" ht="16">
      <c r="A515" s="12"/>
      <c r="B515" s="13"/>
      <c r="C515" s="14"/>
      <c r="D515" s="13"/>
      <c r="E515" s="13"/>
    </row>
    <row r="516" spans="1:5" ht="16">
      <c r="A516" s="12"/>
      <c r="B516" s="13"/>
      <c r="C516" s="14"/>
      <c r="D516" s="13"/>
      <c r="E516" s="13"/>
    </row>
    <row r="517" spans="1:5" ht="16">
      <c r="A517" s="12"/>
      <c r="B517" s="13"/>
      <c r="C517" s="14"/>
      <c r="D517" s="13"/>
      <c r="E517" s="13"/>
    </row>
    <row r="518" spans="1:5" ht="16">
      <c r="A518" s="12"/>
      <c r="B518" s="13"/>
      <c r="C518" s="14"/>
      <c r="D518" s="13"/>
      <c r="E518" s="13"/>
    </row>
    <row r="519" spans="1:5" ht="16">
      <c r="A519" s="12"/>
      <c r="B519" s="13"/>
      <c r="C519" s="14"/>
      <c r="D519" s="13"/>
      <c r="E519" s="13"/>
    </row>
    <row r="520" spans="1:5" ht="16">
      <c r="A520" s="12"/>
      <c r="B520" s="13"/>
      <c r="C520" s="14"/>
      <c r="D520" s="13"/>
      <c r="E520" s="13"/>
    </row>
    <row r="521" spans="1:5" ht="16">
      <c r="A521" s="12"/>
      <c r="B521" s="13"/>
      <c r="C521" s="14"/>
      <c r="D521" s="13"/>
      <c r="E521" s="13"/>
    </row>
    <row r="522" spans="1:5" ht="16">
      <c r="A522" s="12"/>
      <c r="B522" s="13"/>
      <c r="C522" s="14"/>
      <c r="D522" s="13"/>
      <c r="E522" s="13"/>
    </row>
    <row r="523" spans="1:5" ht="16">
      <c r="A523" s="12"/>
      <c r="B523" s="13"/>
      <c r="C523" s="14"/>
      <c r="D523" s="13"/>
      <c r="E523" s="13"/>
    </row>
    <row r="524" spans="1:5" ht="16">
      <c r="A524" s="12"/>
      <c r="B524" s="13"/>
      <c r="C524" s="14"/>
      <c r="D524" s="13"/>
      <c r="E524" s="13"/>
    </row>
    <row r="525" spans="1:5" ht="16">
      <c r="A525" s="12"/>
      <c r="B525" s="13"/>
      <c r="C525" s="14"/>
      <c r="D525" s="13"/>
      <c r="E525" s="13"/>
    </row>
    <row r="526" spans="1:5" ht="16">
      <c r="A526" s="12"/>
      <c r="B526" s="13"/>
      <c r="C526" s="14"/>
      <c r="D526" s="13"/>
      <c r="E526" s="13"/>
    </row>
    <row r="527" spans="1:5" ht="16">
      <c r="A527" s="12"/>
      <c r="B527" s="13"/>
      <c r="C527" s="14"/>
      <c r="D527" s="13"/>
      <c r="E527" s="13"/>
    </row>
    <row r="528" spans="1:5" ht="16">
      <c r="A528" s="12"/>
      <c r="B528" s="13"/>
      <c r="C528" s="14"/>
      <c r="D528" s="13"/>
      <c r="E528" s="13"/>
    </row>
    <row r="529" spans="1:5" ht="16">
      <c r="A529" s="12"/>
      <c r="B529" s="13"/>
      <c r="C529" s="14"/>
      <c r="D529" s="13"/>
      <c r="E529" s="13"/>
    </row>
    <row r="530" spans="1:5" ht="16">
      <c r="A530" s="12"/>
      <c r="B530" s="13"/>
      <c r="C530" s="14"/>
      <c r="D530" s="13"/>
      <c r="E530" s="13"/>
    </row>
    <row r="531" spans="1:5" ht="16">
      <c r="A531" s="12"/>
      <c r="B531" s="13"/>
      <c r="C531" s="14"/>
      <c r="D531" s="13"/>
      <c r="E531" s="13"/>
    </row>
    <row r="532" spans="1:5" ht="16">
      <c r="A532" s="12"/>
      <c r="B532" s="13"/>
      <c r="C532" s="14"/>
      <c r="D532" s="13"/>
      <c r="E532" s="13"/>
    </row>
    <row r="533" spans="1:5" ht="16">
      <c r="A533" s="12"/>
      <c r="B533" s="13"/>
      <c r="C533" s="14"/>
      <c r="D533" s="13"/>
      <c r="E533" s="13"/>
    </row>
    <row r="534" spans="1:5" ht="16">
      <c r="A534" s="12"/>
      <c r="B534" s="13"/>
      <c r="C534" s="14"/>
      <c r="D534" s="13"/>
      <c r="E534" s="13"/>
    </row>
    <row r="535" spans="1:5" ht="16">
      <c r="A535" s="12"/>
      <c r="B535" s="13"/>
      <c r="C535" s="14"/>
      <c r="D535" s="13"/>
      <c r="E535" s="13"/>
    </row>
    <row r="536" spans="1:5" ht="16">
      <c r="A536" s="12"/>
      <c r="B536" s="13"/>
      <c r="C536" s="14"/>
      <c r="D536" s="13"/>
      <c r="E536" s="13"/>
    </row>
    <row r="537" spans="1:5" ht="16">
      <c r="A537" s="12"/>
      <c r="B537" s="13"/>
      <c r="C537" s="14"/>
      <c r="D537" s="13"/>
      <c r="E537" s="13"/>
    </row>
    <row r="538" spans="1:5" ht="16">
      <c r="A538" s="12"/>
      <c r="B538" s="13"/>
      <c r="C538" s="14"/>
      <c r="D538" s="13"/>
      <c r="E538" s="13"/>
    </row>
    <row r="539" spans="1:5" ht="16">
      <c r="A539" s="12"/>
      <c r="B539" s="13"/>
      <c r="C539" s="14"/>
      <c r="D539" s="13"/>
      <c r="E539" s="13"/>
    </row>
    <row r="540" spans="1:5" ht="16">
      <c r="A540" s="12"/>
      <c r="B540" s="13"/>
      <c r="C540" s="14"/>
      <c r="D540" s="13"/>
      <c r="E540" s="13"/>
    </row>
    <row r="541" spans="1:5" ht="16">
      <c r="A541" s="12"/>
      <c r="B541" s="13"/>
      <c r="C541" s="14"/>
      <c r="D541" s="13"/>
      <c r="E541" s="13"/>
    </row>
    <row r="542" spans="1:5" ht="16">
      <c r="A542" s="12"/>
      <c r="B542" s="13"/>
      <c r="C542" s="14"/>
      <c r="D542" s="13"/>
      <c r="E542" s="13"/>
    </row>
    <row r="543" spans="1:5" ht="16">
      <c r="A543" s="12"/>
      <c r="B543" s="13"/>
      <c r="C543" s="14"/>
      <c r="D543" s="13"/>
      <c r="E543" s="13"/>
    </row>
    <row r="544" spans="1:5" ht="16">
      <c r="A544" s="12"/>
      <c r="B544" s="13"/>
      <c r="C544" s="14"/>
      <c r="D544" s="13"/>
      <c r="E544" s="13"/>
    </row>
    <row r="545" spans="1:5" ht="16">
      <c r="A545" s="12"/>
      <c r="B545" s="13"/>
      <c r="C545" s="14"/>
      <c r="D545" s="13"/>
      <c r="E545" s="13"/>
    </row>
    <row r="546" spans="1:5" ht="16">
      <c r="A546" s="12"/>
      <c r="B546" s="13"/>
      <c r="C546" s="14"/>
      <c r="D546" s="13"/>
      <c r="E546" s="13"/>
    </row>
    <row r="547" spans="1:5" ht="16">
      <c r="A547" s="12"/>
      <c r="B547" s="13"/>
      <c r="C547" s="14"/>
      <c r="D547" s="13"/>
      <c r="E547" s="13"/>
    </row>
    <row r="548" spans="1:5" ht="16">
      <c r="A548" s="12"/>
      <c r="B548" s="13"/>
      <c r="C548" s="14"/>
      <c r="D548" s="13"/>
      <c r="E548" s="13"/>
    </row>
    <row r="549" spans="1:5" ht="16">
      <c r="A549" s="12"/>
      <c r="B549" s="13"/>
      <c r="C549" s="14"/>
      <c r="D549" s="13"/>
      <c r="E549" s="13"/>
    </row>
    <row r="550" spans="1:5" ht="16">
      <c r="A550" s="12"/>
      <c r="B550" s="13"/>
      <c r="C550" s="14"/>
      <c r="D550" s="13"/>
      <c r="E550" s="13"/>
    </row>
    <row r="551" spans="1:5" ht="16">
      <c r="A551" s="12"/>
      <c r="B551" s="13"/>
      <c r="C551" s="14"/>
      <c r="D551" s="13"/>
      <c r="E551" s="13"/>
    </row>
    <row r="552" spans="1:5" ht="16">
      <c r="A552" s="12"/>
      <c r="B552" s="13"/>
      <c r="C552" s="14"/>
      <c r="D552" s="13"/>
      <c r="E552" s="13"/>
    </row>
    <row r="553" spans="1:5" ht="16">
      <c r="A553" s="12"/>
      <c r="B553" s="13"/>
      <c r="C553" s="14"/>
      <c r="D553" s="13"/>
      <c r="E553" s="13"/>
    </row>
    <row r="554" spans="1:5" ht="16">
      <c r="A554" s="12"/>
      <c r="B554" s="13"/>
      <c r="C554" s="14"/>
      <c r="D554" s="13"/>
      <c r="E554" s="13"/>
    </row>
    <row r="555" spans="1:5" ht="16">
      <c r="A555" s="12"/>
      <c r="B555" s="13"/>
      <c r="C555" s="14"/>
      <c r="D555" s="13"/>
      <c r="E555" s="13"/>
    </row>
    <row r="556" spans="1:5" ht="16">
      <c r="A556" s="12"/>
      <c r="B556" s="13"/>
      <c r="C556" s="14"/>
      <c r="D556" s="13"/>
      <c r="E556" s="13"/>
    </row>
    <row r="557" spans="1:5" ht="16">
      <c r="A557" s="12"/>
      <c r="B557" s="13"/>
      <c r="C557" s="14"/>
      <c r="D557" s="13"/>
      <c r="E557" s="13"/>
    </row>
    <row r="558" spans="1:5" ht="16">
      <c r="A558" s="12"/>
      <c r="B558" s="13"/>
      <c r="C558" s="14"/>
      <c r="D558" s="13"/>
      <c r="E558" s="13"/>
    </row>
    <row r="559" spans="1:5" ht="16">
      <c r="A559" s="12"/>
      <c r="B559" s="13"/>
      <c r="C559" s="14"/>
      <c r="D559" s="13"/>
      <c r="E559" s="13"/>
    </row>
    <row r="560" spans="1:5" ht="16">
      <c r="A560" s="12"/>
      <c r="B560" s="13"/>
      <c r="C560" s="14"/>
      <c r="D560" s="13"/>
      <c r="E560" s="13"/>
    </row>
    <row r="561" spans="1:5" ht="16">
      <c r="A561" s="12"/>
      <c r="B561" s="13"/>
      <c r="C561" s="14"/>
      <c r="D561" s="13"/>
      <c r="E561" s="13"/>
    </row>
    <row r="562" spans="1:5" ht="16">
      <c r="A562" s="12"/>
      <c r="B562" s="13"/>
      <c r="C562" s="14"/>
      <c r="D562" s="13"/>
      <c r="E562" s="13"/>
    </row>
    <row r="563" spans="1:5" ht="16">
      <c r="A563" s="12"/>
      <c r="B563" s="13"/>
      <c r="C563" s="14"/>
      <c r="D563" s="13"/>
      <c r="E563" s="13"/>
    </row>
    <row r="564" spans="1:5" ht="16">
      <c r="A564" s="12"/>
      <c r="B564" s="13"/>
      <c r="C564" s="14"/>
      <c r="D564" s="13"/>
      <c r="E564" s="13"/>
    </row>
    <row r="565" spans="1:5" ht="16">
      <c r="A565" s="12"/>
      <c r="B565" s="13"/>
      <c r="C565" s="14"/>
      <c r="D565" s="13"/>
      <c r="E565" s="13"/>
    </row>
    <row r="566" spans="1:5" ht="16">
      <c r="A566" s="12"/>
      <c r="B566" s="13"/>
      <c r="C566" s="14"/>
      <c r="D566" s="13"/>
      <c r="E566" s="13"/>
    </row>
    <row r="567" spans="1:5" ht="16">
      <c r="A567" s="12"/>
      <c r="B567" s="13"/>
      <c r="C567" s="14"/>
      <c r="D567" s="13"/>
      <c r="E567" s="13"/>
    </row>
    <row r="568" spans="1:5" ht="16">
      <c r="A568" s="12"/>
      <c r="B568" s="13"/>
      <c r="C568" s="14"/>
      <c r="D568" s="13"/>
      <c r="E568" s="13"/>
    </row>
    <row r="569" spans="1:5" ht="16">
      <c r="A569" s="12"/>
      <c r="B569" s="13"/>
      <c r="C569" s="14"/>
      <c r="D569" s="13"/>
      <c r="E569" s="13"/>
    </row>
    <row r="570" spans="1:5" ht="16">
      <c r="A570" s="12"/>
      <c r="B570" s="13"/>
      <c r="C570" s="14"/>
      <c r="D570" s="13"/>
      <c r="E570" s="13"/>
    </row>
    <row r="571" spans="1:5" ht="16">
      <c r="A571" s="12"/>
      <c r="B571" s="13"/>
      <c r="C571" s="14"/>
      <c r="D571" s="13"/>
      <c r="E571" s="13"/>
    </row>
    <row r="572" spans="1:5" ht="16">
      <c r="A572" s="12"/>
      <c r="B572" s="13"/>
      <c r="C572" s="14"/>
      <c r="D572" s="13"/>
      <c r="E572" s="13"/>
    </row>
    <row r="573" spans="1:5" ht="16">
      <c r="A573" s="12"/>
      <c r="B573" s="13"/>
      <c r="C573" s="14"/>
      <c r="D573" s="13"/>
      <c r="E573" s="13"/>
    </row>
    <row r="574" spans="1:5" ht="16">
      <c r="A574" s="12"/>
      <c r="B574" s="13"/>
      <c r="C574" s="14"/>
      <c r="D574" s="13"/>
      <c r="E574" s="13"/>
    </row>
    <row r="575" spans="1:5" ht="16">
      <c r="A575" s="12"/>
      <c r="B575" s="13"/>
      <c r="C575" s="14"/>
      <c r="D575" s="13"/>
      <c r="E575" s="13"/>
    </row>
    <row r="576" spans="1:5" ht="16">
      <c r="A576" s="12"/>
      <c r="B576" s="13"/>
      <c r="C576" s="14"/>
      <c r="D576" s="13"/>
      <c r="E576" s="13"/>
    </row>
    <row r="577" spans="1:5" ht="16">
      <c r="A577" s="12"/>
      <c r="B577" s="13"/>
      <c r="C577" s="14"/>
      <c r="D577" s="13"/>
      <c r="E577" s="13"/>
    </row>
    <row r="578" spans="1:5" ht="16">
      <c r="A578" s="12"/>
      <c r="B578" s="13"/>
      <c r="C578" s="14"/>
      <c r="D578" s="13"/>
      <c r="E578" s="13"/>
    </row>
    <row r="579" spans="1:5" ht="16">
      <c r="A579" s="12"/>
      <c r="B579" s="13"/>
      <c r="C579" s="14"/>
      <c r="D579" s="13"/>
      <c r="E579" s="13"/>
    </row>
    <row r="580" spans="1:5" ht="16">
      <c r="A580" s="12"/>
      <c r="B580" s="13"/>
      <c r="C580" s="14"/>
      <c r="D580" s="13"/>
      <c r="E580" s="13"/>
    </row>
    <row r="581" spans="1:5" ht="16">
      <c r="A581" s="12"/>
      <c r="B581" s="13"/>
      <c r="C581" s="14"/>
      <c r="D581" s="13"/>
      <c r="E581" s="13"/>
    </row>
    <row r="582" spans="1:5" ht="16">
      <c r="A582" s="12"/>
      <c r="B582" s="13"/>
      <c r="C582" s="14"/>
      <c r="D582" s="13"/>
      <c r="E582" s="13"/>
    </row>
    <row r="583" spans="1:5" ht="16">
      <c r="A583" s="12"/>
      <c r="B583" s="13"/>
      <c r="C583" s="14"/>
      <c r="D583" s="13"/>
      <c r="E583" s="13"/>
    </row>
    <row r="584" spans="1:5" ht="16">
      <c r="A584" s="12"/>
      <c r="B584" s="13"/>
      <c r="C584" s="14"/>
      <c r="D584" s="13"/>
      <c r="E584" s="13"/>
    </row>
    <row r="585" spans="1:5" ht="16">
      <c r="A585" s="12"/>
      <c r="B585" s="13"/>
      <c r="C585" s="14"/>
      <c r="D585" s="13"/>
      <c r="E585" s="13"/>
    </row>
    <row r="586" spans="1:5" ht="16">
      <c r="A586" s="12"/>
      <c r="B586" s="13"/>
      <c r="C586" s="14"/>
      <c r="D586" s="13"/>
      <c r="E586" s="13"/>
    </row>
    <row r="587" spans="1:5" ht="16">
      <c r="A587" s="12"/>
      <c r="B587" s="13"/>
      <c r="C587" s="14"/>
      <c r="D587" s="13"/>
      <c r="E587" s="13"/>
    </row>
    <row r="588" spans="1:5" ht="16">
      <c r="A588" s="12"/>
      <c r="B588" s="13"/>
      <c r="C588" s="14"/>
      <c r="D588" s="13"/>
      <c r="E588" s="13"/>
    </row>
    <row r="589" spans="1:5" ht="16">
      <c r="A589" s="12"/>
      <c r="B589" s="13"/>
      <c r="C589" s="14"/>
      <c r="D589" s="13"/>
      <c r="E589" s="13"/>
    </row>
    <row r="590" spans="1:5" ht="16">
      <c r="A590" s="12"/>
      <c r="B590" s="13"/>
      <c r="C590" s="14"/>
      <c r="D590" s="13"/>
      <c r="E590" s="13"/>
    </row>
    <row r="591" spans="1:5" ht="16">
      <c r="A591" s="12"/>
      <c r="B591" s="13"/>
      <c r="C591" s="14"/>
      <c r="D591" s="13"/>
      <c r="E591" s="13"/>
    </row>
    <row r="592" spans="1:5" ht="16">
      <c r="A592" s="12"/>
      <c r="B592" s="13"/>
      <c r="C592" s="14"/>
      <c r="D592" s="13"/>
      <c r="E592" s="13"/>
    </row>
    <row r="593" spans="1:5" ht="16">
      <c r="A593" s="12"/>
      <c r="B593" s="13"/>
      <c r="C593" s="14"/>
      <c r="D593" s="13"/>
      <c r="E593" s="13"/>
    </row>
    <row r="594" spans="1:5" ht="16">
      <c r="A594" s="12"/>
      <c r="B594" s="13"/>
      <c r="C594" s="14"/>
      <c r="D594" s="13"/>
      <c r="E594" s="13"/>
    </row>
    <row r="595" spans="1:5" ht="16">
      <c r="A595" s="12"/>
      <c r="B595" s="13"/>
      <c r="C595" s="14"/>
      <c r="D595" s="13"/>
      <c r="E595" s="13"/>
    </row>
    <row r="596" spans="1:5" ht="16">
      <c r="A596" s="12"/>
      <c r="B596" s="13"/>
      <c r="C596" s="14"/>
      <c r="D596" s="13"/>
      <c r="E596" s="13"/>
    </row>
    <row r="597" spans="1:5" ht="16">
      <c r="A597" s="12"/>
      <c r="B597" s="13"/>
      <c r="C597" s="14"/>
      <c r="D597" s="13"/>
      <c r="E597" s="13"/>
    </row>
    <row r="598" spans="1:5" ht="16">
      <c r="A598" s="12"/>
      <c r="B598" s="13"/>
      <c r="C598" s="14"/>
      <c r="D598" s="13"/>
      <c r="E598" s="13"/>
    </row>
    <row r="599" spans="1:5" ht="16">
      <c r="A599" s="12"/>
      <c r="B599" s="13"/>
      <c r="C599" s="14"/>
      <c r="D599" s="13"/>
      <c r="E599" s="13"/>
    </row>
    <row r="600" spans="1:5" ht="16">
      <c r="A600" s="12"/>
      <c r="B600" s="13"/>
      <c r="C600" s="14"/>
      <c r="D600" s="13"/>
      <c r="E600" s="13"/>
    </row>
    <row r="601" spans="1:5" ht="16">
      <c r="A601" s="12"/>
      <c r="B601" s="13"/>
      <c r="C601" s="14"/>
      <c r="D601" s="13"/>
      <c r="E601" s="13"/>
    </row>
    <row r="602" spans="1:5" ht="16">
      <c r="A602" s="12"/>
      <c r="B602" s="13"/>
      <c r="C602" s="14"/>
      <c r="D602" s="13"/>
      <c r="E602" s="13"/>
    </row>
    <row r="603" spans="1:5" ht="16">
      <c r="A603" s="12"/>
      <c r="B603" s="13"/>
      <c r="C603" s="14"/>
      <c r="D603" s="13"/>
      <c r="E603" s="13"/>
    </row>
    <row r="604" spans="1:5" ht="16">
      <c r="A604" s="12"/>
      <c r="B604" s="13"/>
      <c r="C604" s="14"/>
      <c r="D604" s="13"/>
      <c r="E604" s="13"/>
    </row>
    <row r="605" spans="1:5" ht="16">
      <c r="A605" s="12"/>
      <c r="B605" s="13"/>
      <c r="C605" s="14"/>
      <c r="D605" s="13"/>
      <c r="E605" s="13"/>
    </row>
    <row r="606" spans="1:5" ht="16">
      <c r="A606" s="12"/>
      <c r="B606" s="13"/>
      <c r="C606" s="14"/>
      <c r="D606" s="13"/>
      <c r="E606" s="13"/>
    </row>
    <row r="607" spans="1:5" ht="16">
      <c r="A607" s="12"/>
      <c r="B607" s="13"/>
      <c r="C607" s="14"/>
      <c r="D607" s="13"/>
      <c r="E607" s="13"/>
    </row>
    <row r="608" spans="1:5" ht="16">
      <c r="A608" s="12"/>
      <c r="B608" s="13"/>
      <c r="C608" s="14"/>
      <c r="D608" s="13"/>
      <c r="E608" s="13"/>
    </row>
    <row r="609" spans="1:5" ht="16">
      <c r="A609" s="12"/>
      <c r="B609" s="13"/>
      <c r="C609" s="14"/>
      <c r="D609" s="13"/>
      <c r="E609" s="13"/>
    </row>
    <row r="610" spans="1:5" ht="16">
      <c r="A610" s="12"/>
      <c r="B610" s="13"/>
      <c r="C610" s="14"/>
      <c r="D610" s="13"/>
      <c r="E610" s="13"/>
    </row>
    <row r="611" spans="1:5" ht="16">
      <c r="A611" s="12"/>
      <c r="B611" s="13"/>
      <c r="C611" s="14"/>
      <c r="D611" s="13"/>
      <c r="E611" s="13"/>
    </row>
    <row r="612" spans="1:5" ht="16">
      <c r="A612" s="12"/>
      <c r="B612" s="13"/>
      <c r="C612" s="14"/>
      <c r="D612" s="13"/>
      <c r="E612" s="13"/>
    </row>
    <row r="613" spans="1:5" ht="16">
      <c r="A613" s="12"/>
      <c r="B613" s="13"/>
      <c r="C613" s="14"/>
      <c r="D613" s="13"/>
      <c r="E613" s="13"/>
    </row>
    <row r="614" spans="1:5" ht="16">
      <c r="A614" s="12"/>
      <c r="B614" s="13"/>
      <c r="C614" s="14"/>
      <c r="D614" s="13"/>
      <c r="E614" s="13"/>
    </row>
    <row r="615" spans="1:5" ht="16">
      <c r="A615" s="12"/>
      <c r="B615" s="13"/>
      <c r="C615" s="14"/>
      <c r="D615" s="13"/>
      <c r="E615" s="13"/>
    </row>
    <row r="616" spans="1:5" ht="16">
      <c r="A616" s="12"/>
      <c r="B616" s="13"/>
      <c r="C616" s="14"/>
      <c r="D616" s="13"/>
      <c r="E616" s="13"/>
    </row>
    <row r="617" spans="1:5" ht="16">
      <c r="A617" s="12"/>
      <c r="B617" s="13"/>
      <c r="C617" s="14"/>
      <c r="D617" s="13"/>
      <c r="E617" s="13"/>
    </row>
    <row r="618" spans="1:5" ht="16">
      <c r="A618" s="12"/>
      <c r="B618" s="13"/>
      <c r="C618" s="14"/>
      <c r="D618" s="13"/>
      <c r="E618" s="13"/>
    </row>
    <row r="619" spans="1:5" ht="16">
      <c r="A619" s="12"/>
      <c r="B619" s="13"/>
      <c r="C619" s="14"/>
      <c r="D619" s="13"/>
      <c r="E619" s="13"/>
    </row>
    <row r="620" spans="1:5" ht="16">
      <c r="A620" s="12"/>
      <c r="B620" s="13"/>
      <c r="C620" s="14"/>
      <c r="D620" s="13"/>
      <c r="E620" s="13"/>
    </row>
    <row r="621" spans="1:5" ht="16">
      <c r="A621" s="12"/>
      <c r="B621" s="13"/>
      <c r="C621" s="14"/>
      <c r="D621" s="13"/>
      <c r="E621" s="13"/>
    </row>
    <row r="622" spans="1:5" ht="16">
      <c r="A622" s="12"/>
      <c r="B622" s="13"/>
      <c r="C622" s="14"/>
      <c r="D622" s="13"/>
      <c r="E622" s="13"/>
    </row>
    <row r="623" spans="1:5" ht="16">
      <c r="A623" s="12"/>
      <c r="B623" s="13"/>
      <c r="C623" s="14"/>
      <c r="D623" s="13"/>
      <c r="E623" s="13"/>
    </row>
    <row r="624" spans="1:5" ht="16">
      <c r="A624" s="12"/>
      <c r="B624" s="13"/>
      <c r="C624" s="14"/>
      <c r="D624" s="13"/>
      <c r="E624" s="13"/>
    </row>
    <row r="625" spans="1:5" ht="16">
      <c r="A625" s="12"/>
      <c r="B625" s="13"/>
      <c r="C625" s="14"/>
      <c r="D625" s="13"/>
      <c r="E625" s="13"/>
    </row>
    <row r="626" spans="1:5" ht="16">
      <c r="A626" s="12"/>
      <c r="B626" s="13"/>
      <c r="C626" s="14"/>
      <c r="D626" s="13"/>
      <c r="E626" s="13"/>
    </row>
    <row r="627" spans="1:5" ht="16">
      <c r="A627" s="12"/>
      <c r="B627" s="13"/>
      <c r="C627" s="14"/>
      <c r="D627" s="13"/>
      <c r="E627" s="13"/>
    </row>
    <row r="628" spans="1:5" ht="16">
      <c r="A628" s="12"/>
      <c r="B628" s="13"/>
      <c r="C628" s="14"/>
      <c r="D628" s="13"/>
      <c r="E628" s="13"/>
    </row>
    <row r="629" spans="1:5" ht="16">
      <c r="A629" s="12"/>
      <c r="B629" s="13"/>
      <c r="C629" s="14"/>
      <c r="D629" s="13"/>
      <c r="E629" s="13"/>
    </row>
    <row r="630" spans="1:5" ht="16">
      <c r="A630" s="12"/>
      <c r="B630" s="13"/>
      <c r="C630" s="14"/>
      <c r="D630" s="13"/>
      <c r="E630" s="13"/>
    </row>
    <row r="631" spans="1:5" ht="16">
      <c r="A631" s="12"/>
      <c r="B631" s="13"/>
      <c r="C631" s="14"/>
      <c r="D631" s="13"/>
      <c r="E631" s="13"/>
    </row>
    <row r="632" spans="1:5" ht="16">
      <c r="A632" s="12"/>
      <c r="B632" s="13"/>
      <c r="C632" s="14"/>
      <c r="D632" s="13"/>
      <c r="E632" s="13"/>
    </row>
    <row r="633" spans="1:5" ht="16">
      <c r="A633" s="12"/>
      <c r="B633" s="13"/>
      <c r="C633" s="14"/>
      <c r="D633" s="13"/>
      <c r="E633" s="13"/>
    </row>
    <row r="634" spans="1:5" ht="16">
      <c r="A634" s="12"/>
      <c r="B634" s="13"/>
      <c r="C634" s="14"/>
      <c r="D634" s="13"/>
      <c r="E634" s="13"/>
    </row>
    <row r="635" spans="1:5" ht="16">
      <c r="A635" s="12"/>
      <c r="B635" s="13"/>
      <c r="C635" s="14"/>
      <c r="D635" s="13"/>
      <c r="E635" s="13"/>
    </row>
    <row r="636" spans="1:5" ht="16">
      <c r="A636" s="12"/>
      <c r="B636" s="13"/>
      <c r="C636" s="14"/>
      <c r="D636" s="13"/>
      <c r="E636" s="13"/>
    </row>
    <row r="637" spans="1:5" ht="16">
      <c r="A637" s="12"/>
      <c r="B637" s="13"/>
      <c r="C637" s="14"/>
      <c r="D637" s="13"/>
      <c r="E637" s="13"/>
    </row>
    <row r="638" spans="1:5" ht="16">
      <c r="A638" s="12"/>
      <c r="B638" s="13"/>
      <c r="C638" s="14"/>
      <c r="D638" s="13"/>
      <c r="E638" s="13"/>
    </row>
    <row r="639" spans="1:5" ht="16">
      <c r="A639" s="12"/>
      <c r="B639" s="13"/>
      <c r="C639" s="14"/>
      <c r="D639" s="13"/>
      <c r="E639" s="13"/>
    </row>
    <row r="640" spans="1:5" ht="16">
      <c r="A640" s="12"/>
      <c r="B640" s="13"/>
      <c r="C640" s="14"/>
      <c r="D640" s="13"/>
      <c r="E640" s="13"/>
    </row>
    <row r="641" spans="1:5" ht="16">
      <c r="A641" s="12"/>
      <c r="B641" s="13"/>
      <c r="C641" s="14"/>
      <c r="D641" s="13"/>
      <c r="E641" s="13"/>
    </row>
    <row r="642" spans="1:5" ht="16">
      <c r="A642" s="12"/>
      <c r="B642" s="13"/>
      <c r="C642" s="14"/>
      <c r="D642" s="13"/>
      <c r="E642" s="13"/>
    </row>
    <row r="643" spans="1:5" ht="16">
      <c r="A643" s="12"/>
      <c r="B643" s="13"/>
      <c r="C643" s="14"/>
      <c r="D643" s="13"/>
      <c r="E643" s="13"/>
    </row>
    <row r="644" spans="1:5" ht="16">
      <c r="A644" s="12"/>
      <c r="B644" s="13"/>
      <c r="C644" s="14"/>
      <c r="D644" s="13"/>
      <c r="E644" s="13"/>
    </row>
    <row r="645" spans="1:5" ht="16">
      <c r="A645" s="12"/>
      <c r="B645" s="13"/>
      <c r="C645" s="14"/>
      <c r="D645" s="13"/>
      <c r="E645" s="13"/>
    </row>
    <row r="646" spans="1:5" ht="16">
      <c r="A646" s="12"/>
      <c r="B646" s="13"/>
      <c r="C646" s="14"/>
      <c r="D646" s="13"/>
      <c r="E646" s="13"/>
    </row>
    <row r="647" spans="1:5" ht="16">
      <c r="A647" s="12"/>
      <c r="B647" s="13"/>
      <c r="C647" s="14"/>
      <c r="D647" s="13"/>
      <c r="E647" s="13"/>
    </row>
    <row r="648" spans="1:5" ht="16">
      <c r="A648" s="12"/>
      <c r="B648" s="13"/>
      <c r="C648" s="14"/>
      <c r="D648" s="13"/>
      <c r="E648" s="13"/>
    </row>
    <row r="649" spans="1:5" ht="16">
      <c r="A649" s="12"/>
      <c r="B649" s="13"/>
      <c r="C649" s="14"/>
      <c r="D649" s="13"/>
      <c r="E649" s="13"/>
    </row>
    <row r="650" spans="1:5" ht="16">
      <c r="A650" s="12"/>
      <c r="B650" s="13"/>
      <c r="C650" s="14"/>
      <c r="D650" s="13"/>
      <c r="E650" s="13"/>
    </row>
    <row r="651" spans="1:5" ht="16">
      <c r="A651" s="12"/>
      <c r="B651" s="13"/>
      <c r="C651" s="14"/>
      <c r="D651" s="13"/>
      <c r="E651" s="13"/>
    </row>
    <row r="652" spans="1:5" ht="16">
      <c r="A652" s="12"/>
      <c r="B652" s="13"/>
      <c r="C652" s="14"/>
      <c r="D652" s="13"/>
      <c r="E652" s="13"/>
    </row>
    <row r="653" spans="1:5" ht="16">
      <c r="A653" s="12"/>
      <c r="B653" s="13"/>
      <c r="C653" s="14"/>
      <c r="D653" s="13"/>
      <c r="E653" s="13"/>
    </row>
    <row r="654" spans="1:5" ht="16">
      <c r="A654" s="12"/>
      <c r="B654" s="13"/>
      <c r="C654" s="14"/>
      <c r="D654" s="13"/>
      <c r="E654" s="13"/>
    </row>
    <row r="655" spans="1:5" ht="16">
      <c r="A655" s="12"/>
      <c r="B655" s="13"/>
      <c r="C655" s="14"/>
      <c r="D655" s="13"/>
      <c r="E655" s="13"/>
    </row>
    <row r="656" spans="1:5" ht="16">
      <c r="A656" s="12"/>
      <c r="B656" s="13"/>
      <c r="C656" s="14"/>
      <c r="D656" s="13"/>
      <c r="E656" s="13"/>
    </row>
    <row r="657" spans="1:5" ht="16">
      <c r="A657" s="12"/>
      <c r="B657" s="13"/>
      <c r="C657" s="14"/>
      <c r="D657" s="13"/>
      <c r="E657" s="13"/>
    </row>
    <row r="658" spans="1:5" ht="16">
      <c r="A658" s="12"/>
      <c r="B658" s="13"/>
      <c r="C658" s="14"/>
      <c r="D658" s="13"/>
      <c r="E658" s="13"/>
    </row>
    <row r="659" spans="1:5" ht="16">
      <c r="A659" s="12"/>
      <c r="B659" s="13"/>
      <c r="C659" s="14"/>
      <c r="D659" s="13"/>
      <c r="E659" s="13"/>
    </row>
    <row r="660" spans="1:5" ht="16">
      <c r="A660" s="12"/>
      <c r="B660" s="13"/>
      <c r="C660" s="14"/>
      <c r="D660" s="13"/>
      <c r="E660" s="13"/>
    </row>
    <row r="661" spans="1:5" ht="16">
      <c r="A661" s="12"/>
      <c r="B661" s="13"/>
      <c r="C661" s="14"/>
      <c r="D661" s="13"/>
      <c r="E661" s="13"/>
    </row>
    <row r="662" spans="1:5" ht="16">
      <c r="A662" s="12"/>
      <c r="B662" s="13"/>
      <c r="C662" s="14"/>
      <c r="D662" s="13"/>
      <c r="E662" s="13"/>
    </row>
    <row r="663" spans="1:5" ht="16">
      <c r="A663" s="12"/>
      <c r="B663" s="13"/>
      <c r="C663" s="14"/>
      <c r="D663" s="13"/>
      <c r="E663" s="13"/>
    </row>
    <row r="664" spans="1:5" ht="16">
      <c r="A664" s="12"/>
      <c r="B664" s="13"/>
      <c r="C664" s="14"/>
      <c r="D664" s="13"/>
      <c r="E664" s="13"/>
    </row>
    <row r="665" spans="1:5" ht="16">
      <c r="A665" s="12"/>
      <c r="B665" s="13"/>
      <c r="C665" s="14"/>
      <c r="D665" s="13"/>
      <c r="E665" s="13"/>
    </row>
    <row r="666" spans="1:5" ht="16">
      <c r="A666" s="12"/>
      <c r="B666" s="13"/>
      <c r="C666" s="14"/>
      <c r="D666" s="13"/>
      <c r="E666" s="13"/>
    </row>
    <row r="667" spans="1:5" ht="16">
      <c r="A667" s="12"/>
      <c r="B667" s="13"/>
      <c r="C667" s="14"/>
      <c r="D667" s="13"/>
      <c r="E667" s="13"/>
    </row>
    <row r="668" spans="1:5" ht="16">
      <c r="A668" s="12"/>
      <c r="B668" s="13"/>
      <c r="C668" s="14"/>
      <c r="D668" s="13"/>
      <c r="E668" s="13"/>
    </row>
    <row r="669" spans="1:5" ht="16">
      <c r="A669" s="12"/>
      <c r="B669" s="13"/>
      <c r="C669" s="14"/>
      <c r="D669" s="13"/>
      <c r="E669" s="13"/>
    </row>
    <row r="670" spans="1:5" ht="16">
      <c r="A670" s="12"/>
      <c r="B670" s="13"/>
      <c r="C670" s="14"/>
      <c r="D670" s="13"/>
      <c r="E670" s="13"/>
    </row>
    <row r="671" spans="1:5" ht="16">
      <c r="A671" s="12"/>
      <c r="B671" s="13"/>
      <c r="C671" s="14"/>
      <c r="D671" s="13"/>
      <c r="E671" s="13"/>
    </row>
    <row r="672" spans="1:5" ht="16">
      <c r="A672" s="12"/>
      <c r="B672" s="13"/>
      <c r="C672" s="14"/>
      <c r="D672" s="13"/>
      <c r="E672" s="13"/>
    </row>
    <row r="673" spans="1:5" ht="16">
      <c r="A673" s="12"/>
      <c r="B673" s="13"/>
      <c r="C673" s="14"/>
      <c r="D673" s="13"/>
      <c r="E673" s="13"/>
    </row>
    <row r="674" spans="1:5" ht="16">
      <c r="A674" s="12"/>
      <c r="B674" s="13"/>
      <c r="C674" s="14"/>
      <c r="D674" s="13"/>
      <c r="E674" s="13"/>
    </row>
    <row r="675" spans="1:5" ht="16">
      <c r="A675" s="12"/>
      <c r="B675" s="13"/>
      <c r="C675" s="14"/>
      <c r="D675" s="13"/>
      <c r="E675" s="13"/>
    </row>
    <row r="676" spans="1:5" ht="16">
      <c r="A676" s="12"/>
      <c r="B676" s="13"/>
      <c r="C676" s="14"/>
      <c r="D676" s="13"/>
      <c r="E676" s="13"/>
    </row>
    <row r="677" spans="1:5" ht="16">
      <c r="A677" s="12"/>
      <c r="B677" s="13"/>
      <c r="C677" s="14"/>
      <c r="D677" s="13"/>
      <c r="E677" s="13"/>
    </row>
    <row r="678" spans="1:5" ht="16">
      <c r="A678" s="12"/>
      <c r="B678" s="13"/>
      <c r="C678" s="14"/>
      <c r="D678" s="13"/>
      <c r="E678" s="13"/>
    </row>
    <row r="679" spans="1:5" ht="16">
      <c r="A679" s="12"/>
      <c r="B679" s="13"/>
      <c r="C679" s="14"/>
      <c r="D679" s="13"/>
      <c r="E679" s="13"/>
    </row>
    <row r="680" spans="1:5" ht="16">
      <c r="A680" s="12"/>
      <c r="B680" s="13"/>
      <c r="C680" s="14"/>
      <c r="D680" s="13"/>
      <c r="E680" s="13"/>
    </row>
    <row r="681" spans="1:5" ht="16">
      <c r="A681" s="12"/>
      <c r="B681" s="13"/>
      <c r="C681" s="14"/>
      <c r="D681" s="13"/>
      <c r="E681" s="13"/>
    </row>
    <row r="682" spans="1:5" ht="16">
      <c r="A682" s="12"/>
      <c r="B682" s="13"/>
      <c r="C682" s="14"/>
      <c r="D682" s="13"/>
      <c r="E682" s="13"/>
    </row>
    <row r="683" spans="1:5" ht="16">
      <c r="A683" s="12"/>
      <c r="B683" s="13"/>
      <c r="C683" s="14"/>
      <c r="D683" s="13"/>
      <c r="E683" s="13"/>
    </row>
    <row r="684" spans="1:5" ht="16">
      <c r="A684" s="12"/>
      <c r="B684" s="13"/>
      <c r="C684" s="14"/>
      <c r="D684" s="13"/>
      <c r="E684" s="13"/>
    </row>
    <row r="685" spans="1:5" ht="16">
      <c r="A685" s="12"/>
      <c r="B685" s="13"/>
      <c r="C685" s="14"/>
      <c r="D685" s="13"/>
      <c r="E685" s="13"/>
    </row>
    <row r="686" spans="1:5" ht="16">
      <c r="A686" s="12"/>
      <c r="B686" s="13"/>
      <c r="C686" s="14"/>
      <c r="D686" s="13"/>
      <c r="E686" s="13"/>
    </row>
    <row r="687" spans="1:5" ht="16">
      <c r="A687" s="12"/>
      <c r="B687" s="13"/>
      <c r="C687" s="14"/>
      <c r="D687" s="13"/>
      <c r="E687" s="13"/>
    </row>
    <row r="688" spans="1:5" ht="16">
      <c r="A688" s="12"/>
      <c r="B688" s="13"/>
      <c r="C688" s="14"/>
      <c r="D688" s="13"/>
      <c r="E688" s="13"/>
    </row>
    <row r="689" spans="1:5" ht="16">
      <c r="A689" s="12"/>
      <c r="B689" s="13"/>
      <c r="C689" s="14"/>
      <c r="D689" s="13"/>
      <c r="E689" s="13"/>
    </row>
    <row r="690" spans="1:5" ht="16">
      <c r="A690" s="12"/>
      <c r="B690" s="13"/>
      <c r="C690" s="14"/>
      <c r="D690" s="13"/>
      <c r="E690" s="13"/>
    </row>
    <row r="691" spans="1:5" ht="16">
      <c r="A691" s="12"/>
      <c r="B691" s="13"/>
      <c r="C691" s="14"/>
      <c r="D691" s="13"/>
      <c r="E691" s="13"/>
    </row>
    <row r="692" spans="1:5" ht="16">
      <c r="A692" s="12"/>
      <c r="B692" s="13"/>
      <c r="C692" s="14"/>
      <c r="D692" s="13"/>
      <c r="E692" s="13"/>
    </row>
    <row r="693" spans="1:5" ht="16">
      <c r="A693" s="12"/>
      <c r="B693" s="13"/>
      <c r="C693" s="14"/>
      <c r="D693" s="13"/>
      <c r="E693" s="13"/>
    </row>
    <row r="694" spans="1:5" ht="16">
      <c r="A694" s="12"/>
      <c r="B694" s="13"/>
      <c r="C694" s="14"/>
      <c r="D694" s="13"/>
      <c r="E694" s="13"/>
    </row>
    <row r="695" spans="1:5" ht="16">
      <c r="A695" s="12"/>
      <c r="B695" s="13"/>
      <c r="C695" s="14"/>
      <c r="D695" s="13"/>
      <c r="E695" s="13"/>
    </row>
    <row r="696" spans="1:5" ht="16">
      <c r="A696" s="12"/>
      <c r="B696" s="13"/>
      <c r="C696" s="14"/>
      <c r="D696" s="13"/>
      <c r="E696" s="13"/>
    </row>
    <row r="697" spans="1:5" ht="16">
      <c r="A697" s="12"/>
      <c r="B697" s="13"/>
      <c r="C697" s="14"/>
      <c r="D697" s="13"/>
      <c r="E697" s="13"/>
    </row>
    <row r="698" spans="1:5" ht="16">
      <c r="A698" s="12"/>
      <c r="B698" s="13"/>
      <c r="C698" s="14"/>
      <c r="D698" s="13"/>
      <c r="E698" s="13"/>
    </row>
    <row r="699" spans="1:5" ht="16">
      <c r="A699" s="12"/>
      <c r="B699" s="13"/>
      <c r="C699" s="14"/>
      <c r="D699" s="13"/>
      <c r="E699" s="13"/>
    </row>
    <row r="700" spans="1:5" ht="16">
      <c r="A700" s="12"/>
      <c r="B700" s="13"/>
      <c r="C700" s="14"/>
      <c r="D700" s="13"/>
      <c r="E700" s="13"/>
    </row>
    <row r="701" spans="1:5" ht="16">
      <c r="A701" s="12"/>
      <c r="B701" s="13"/>
      <c r="C701" s="14"/>
      <c r="D701" s="13"/>
      <c r="E701" s="13"/>
    </row>
    <row r="702" spans="1:5" ht="16">
      <c r="A702" s="12"/>
      <c r="B702" s="13"/>
      <c r="C702" s="14"/>
      <c r="D702" s="13"/>
      <c r="E702" s="13"/>
    </row>
    <row r="703" spans="1:5" ht="16">
      <c r="A703" s="12"/>
      <c r="B703" s="13"/>
      <c r="C703" s="14"/>
      <c r="D703" s="13"/>
      <c r="E703" s="13"/>
    </row>
    <row r="704" spans="1:5" ht="16">
      <c r="A704" s="12"/>
      <c r="B704" s="13"/>
      <c r="C704" s="14"/>
      <c r="D704" s="13"/>
      <c r="E704" s="13"/>
    </row>
    <row r="705" spans="1:5" ht="16">
      <c r="A705" s="12"/>
      <c r="B705" s="13"/>
      <c r="C705" s="14"/>
      <c r="D705" s="13"/>
      <c r="E705" s="13"/>
    </row>
    <row r="706" spans="1:5" ht="16">
      <c r="A706" s="12"/>
      <c r="B706" s="13"/>
      <c r="C706" s="14"/>
      <c r="D706" s="13"/>
      <c r="E706" s="13"/>
    </row>
    <row r="707" spans="1:5" ht="16">
      <c r="A707" s="12"/>
      <c r="B707" s="13"/>
      <c r="C707" s="14"/>
      <c r="D707" s="13"/>
      <c r="E707" s="13"/>
    </row>
    <row r="708" spans="1:5" ht="16">
      <c r="A708" s="12"/>
      <c r="B708" s="13"/>
      <c r="C708" s="14"/>
      <c r="D708" s="13"/>
      <c r="E708" s="13"/>
    </row>
    <row r="709" spans="1:5" ht="16">
      <c r="A709" s="12"/>
      <c r="B709" s="13"/>
      <c r="C709" s="14"/>
      <c r="D709" s="13"/>
      <c r="E709" s="13"/>
    </row>
    <row r="710" spans="1:5" ht="16">
      <c r="A710" s="12"/>
      <c r="B710" s="13"/>
      <c r="C710" s="14"/>
      <c r="D710" s="13"/>
      <c r="E710" s="13"/>
    </row>
    <row r="711" spans="1:5" ht="16">
      <c r="A711" s="12"/>
      <c r="B711" s="13"/>
      <c r="C711" s="14"/>
      <c r="D711" s="13"/>
      <c r="E711" s="13"/>
    </row>
    <row r="712" spans="1:5" ht="16">
      <c r="A712" s="12"/>
      <c r="B712" s="13"/>
      <c r="C712" s="14"/>
      <c r="D712" s="13"/>
      <c r="E712" s="13"/>
    </row>
    <row r="713" spans="1:5" ht="16">
      <c r="A713" s="12"/>
      <c r="B713" s="13"/>
      <c r="C713" s="14"/>
      <c r="D713" s="13"/>
      <c r="E713" s="13"/>
    </row>
    <row r="714" spans="1:5" ht="16">
      <c r="A714" s="12"/>
      <c r="B714" s="13"/>
      <c r="C714" s="14"/>
      <c r="D714" s="13"/>
      <c r="E714" s="13"/>
    </row>
    <row r="715" spans="1:5" ht="16">
      <c r="A715" s="12"/>
      <c r="B715" s="13"/>
      <c r="C715" s="14"/>
      <c r="D715" s="13"/>
      <c r="E715" s="13"/>
    </row>
    <row r="716" spans="1:5" ht="16">
      <c r="A716" s="12"/>
      <c r="B716" s="13"/>
      <c r="C716" s="14"/>
      <c r="D716" s="13"/>
      <c r="E716" s="13"/>
    </row>
    <row r="717" spans="1:5" ht="16">
      <c r="A717" s="12"/>
      <c r="B717" s="13"/>
      <c r="C717" s="14"/>
      <c r="D717" s="13"/>
      <c r="E717" s="13"/>
    </row>
    <row r="718" spans="1:5" ht="16">
      <c r="A718" s="12"/>
      <c r="B718" s="13"/>
      <c r="C718" s="14"/>
      <c r="D718" s="13"/>
      <c r="E718" s="13"/>
    </row>
    <row r="719" spans="1:5" ht="16">
      <c r="A719" s="12"/>
      <c r="B719" s="13"/>
      <c r="C719" s="14"/>
      <c r="D719" s="13"/>
      <c r="E719" s="13"/>
    </row>
    <row r="720" spans="1:5" ht="16">
      <c r="A720" s="12"/>
      <c r="B720" s="13"/>
      <c r="C720" s="14"/>
      <c r="D720" s="13"/>
      <c r="E720" s="13"/>
    </row>
    <row r="721" spans="1:5" ht="16">
      <c r="A721" s="12"/>
      <c r="B721" s="13"/>
      <c r="C721" s="14"/>
      <c r="D721" s="13"/>
      <c r="E721" s="13"/>
    </row>
    <row r="722" spans="1:5" ht="16">
      <c r="A722" s="12"/>
      <c r="B722" s="13"/>
      <c r="C722" s="14"/>
      <c r="D722" s="13"/>
      <c r="E722" s="13"/>
    </row>
    <row r="723" spans="1:5" ht="16">
      <c r="A723" s="12"/>
      <c r="B723" s="13"/>
      <c r="C723" s="14"/>
      <c r="D723" s="13"/>
      <c r="E723" s="13"/>
    </row>
    <row r="724" spans="1:5" ht="16">
      <c r="A724" s="12"/>
      <c r="B724" s="13"/>
      <c r="C724" s="14"/>
      <c r="D724" s="13"/>
      <c r="E724" s="13"/>
    </row>
    <row r="725" spans="1:5" ht="16">
      <c r="A725" s="12"/>
      <c r="B725" s="13"/>
      <c r="C725" s="14"/>
      <c r="D725" s="13"/>
      <c r="E725" s="13"/>
    </row>
    <row r="726" spans="1:5" ht="16">
      <c r="A726" s="12"/>
      <c r="B726" s="13"/>
      <c r="C726" s="14"/>
      <c r="D726" s="13"/>
      <c r="E726" s="13"/>
    </row>
    <row r="727" spans="1:5" ht="16">
      <c r="A727" s="12"/>
      <c r="B727" s="13"/>
      <c r="C727" s="14"/>
      <c r="D727" s="13"/>
      <c r="E727" s="13"/>
    </row>
    <row r="728" spans="1:5" ht="16">
      <c r="A728" s="12"/>
      <c r="B728" s="13"/>
      <c r="C728" s="14"/>
      <c r="D728" s="13"/>
      <c r="E728" s="13"/>
    </row>
    <row r="729" spans="1:5" ht="16">
      <c r="A729" s="12"/>
      <c r="B729" s="13"/>
      <c r="C729" s="14"/>
      <c r="D729" s="13"/>
      <c r="E729" s="13"/>
    </row>
    <row r="730" spans="1:5" ht="16">
      <c r="A730" s="12"/>
      <c r="B730" s="13"/>
      <c r="C730" s="14"/>
      <c r="D730" s="13"/>
      <c r="E730" s="13"/>
    </row>
    <row r="731" spans="1:5" ht="16">
      <c r="A731" s="12"/>
      <c r="B731" s="13"/>
      <c r="C731" s="14"/>
      <c r="D731" s="13"/>
      <c r="E731" s="13"/>
    </row>
    <row r="732" spans="1:5" ht="16">
      <c r="A732" s="12"/>
      <c r="B732" s="13"/>
      <c r="C732" s="14"/>
      <c r="D732" s="13"/>
      <c r="E732" s="13"/>
    </row>
    <row r="733" spans="1:5" ht="16">
      <c r="A733" s="12"/>
      <c r="B733" s="13"/>
      <c r="C733" s="14"/>
      <c r="D733" s="13"/>
      <c r="E733" s="13"/>
    </row>
    <row r="734" spans="1:5" ht="16">
      <c r="A734" s="12"/>
      <c r="B734" s="13"/>
      <c r="C734" s="14"/>
      <c r="D734" s="13"/>
      <c r="E734" s="13"/>
    </row>
    <row r="735" spans="1:5" ht="16">
      <c r="A735" s="12"/>
      <c r="B735" s="13"/>
      <c r="C735" s="14"/>
      <c r="D735" s="13"/>
      <c r="E735" s="13"/>
    </row>
    <row r="736" spans="1:5" ht="16">
      <c r="A736" s="12"/>
      <c r="B736" s="13"/>
      <c r="C736" s="14"/>
      <c r="D736" s="13"/>
      <c r="E736" s="13"/>
    </row>
    <row r="737" spans="1:5" ht="16">
      <c r="A737" s="12"/>
      <c r="B737" s="13"/>
      <c r="C737" s="14"/>
      <c r="D737" s="13"/>
      <c r="E737" s="13"/>
    </row>
    <row r="738" spans="1:5" ht="16">
      <c r="A738" s="12"/>
      <c r="B738" s="13"/>
      <c r="C738" s="14"/>
      <c r="D738" s="13"/>
      <c r="E738" s="13"/>
    </row>
    <row r="739" spans="1:5" ht="16">
      <c r="A739" s="12"/>
      <c r="B739" s="13"/>
      <c r="C739" s="14"/>
      <c r="D739" s="13"/>
      <c r="E739" s="13"/>
    </row>
    <row r="740" spans="1:5" ht="16">
      <c r="A740" s="12"/>
      <c r="B740" s="13"/>
      <c r="C740" s="14"/>
      <c r="D740" s="13"/>
      <c r="E740" s="13"/>
    </row>
    <row r="741" spans="1:5" ht="16">
      <c r="A741" s="12"/>
      <c r="B741" s="13"/>
      <c r="C741" s="14"/>
      <c r="D741" s="13"/>
      <c r="E741" s="13"/>
    </row>
    <row r="742" spans="1:5" ht="16">
      <c r="A742" s="12"/>
      <c r="B742" s="13"/>
      <c r="C742" s="14"/>
      <c r="D742" s="13"/>
      <c r="E742" s="13"/>
    </row>
    <row r="743" spans="1:5" ht="16">
      <c r="A743" s="12"/>
      <c r="B743" s="13"/>
      <c r="C743" s="14"/>
      <c r="D743" s="13"/>
      <c r="E743" s="13"/>
    </row>
    <row r="744" spans="1:5" ht="16">
      <c r="A744" s="12"/>
      <c r="B744" s="13"/>
      <c r="C744" s="14"/>
      <c r="D744" s="13"/>
      <c r="E744" s="13"/>
    </row>
    <row r="745" spans="1:5" ht="16">
      <c r="A745" s="12"/>
      <c r="B745" s="13"/>
      <c r="C745" s="14"/>
      <c r="D745" s="13"/>
      <c r="E745" s="13"/>
    </row>
    <row r="746" spans="1:5" ht="16">
      <c r="A746" s="12"/>
      <c r="B746" s="13"/>
      <c r="C746" s="14"/>
      <c r="D746" s="13"/>
      <c r="E746" s="13"/>
    </row>
    <row r="747" spans="1:5" ht="16">
      <c r="A747" s="12"/>
      <c r="B747" s="13"/>
      <c r="C747" s="14"/>
      <c r="D747" s="13"/>
      <c r="E747" s="13"/>
    </row>
    <row r="748" spans="1:5" ht="16">
      <c r="A748" s="12"/>
      <c r="B748" s="13"/>
      <c r="C748" s="14"/>
      <c r="D748" s="13"/>
      <c r="E748" s="13"/>
    </row>
    <row r="749" spans="1:5" ht="16">
      <c r="A749" s="12"/>
      <c r="B749" s="13"/>
      <c r="C749" s="14"/>
      <c r="D749" s="13"/>
      <c r="E749" s="13"/>
    </row>
    <row r="750" spans="1:5" ht="16">
      <c r="A750" s="12"/>
      <c r="B750" s="13"/>
      <c r="C750" s="14"/>
      <c r="D750" s="13"/>
      <c r="E750" s="13"/>
    </row>
    <row r="751" spans="1:5" ht="16">
      <c r="A751" s="12"/>
      <c r="B751" s="13"/>
      <c r="C751" s="14"/>
      <c r="D751" s="13"/>
      <c r="E751" s="13"/>
    </row>
    <row r="752" spans="1:5" ht="16">
      <c r="A752" s="12"/>
      <c r="B752" s="13"/>
      <c r="C752" s="14"/>
      <c r="D752" s="13"/>
      <c r="E752" s="13"/>
    </row>
    <row r="753" spans="1:5" ht="16">
      <c r="A753" s="12"/>
      <c r="B753" s="13"/>
      <c r="C753" s="14"/>
      <c r="D753" s="13"/>
      <c r="E753" s="13"/>
    </row>
    <row r="754" spans="1:5" ht="16">
      <c r="A754" s="12"/>
      <c r="B754" s="13"/>
      <c r="C754" s="14"/>
      <c r="D754" s="13"/>
      <c r="E754" s="13"/>
    </row>
    <row r="755" spans="1:5" ht="16">
      <c r="A755" s="12"/>
      <c r="B755" s="13"/>
      <c r="C755" s="14"/>
      <c r="D755" s="13"/>
      <c r="E755" s="13"/>
    </row>
    <row r="756" spans="1:5" ht="16">
      <c r="A756" s="12"/>
      <c r="B756" s="13"/>
      <c r="C756" s="14"/>
      <c r="D756" s="13"/>
      <c r="E756" s="13"/>
    </row>
    <row r="757" spans="1:5" ht="16">
      <c r="A757" s="12"/>
      <c r="B757" s="13"/>
      <c r="C757" s="14"/>
      <c r="D757" s="13"/>
      <c r="E757" s="13"/>
    </row>
    <row r="758" spans="1:5" ht="16">
      <c r="A758" s="12"/>
      <c r="B758" s="13"/>
      <c r="C758" s="14"/>
      <c r="D758" s="13"/>
      <c r="E758" s="13"/>
    </row>
    <row r="759" spans="1:5" ht="16">
      <c r="A759" s="12"/>
      <c r="B759" s="13"/>
      <c r="C759" s="14"/>
      <c r="D759" s="13"/>
      <c r="E759" s="13"/>
    </row>
    <row r="760" spans="1:5" ht="16">
      <c r="A760" s="12"/>
      <c r="B760" s="13"/>
      <c r="C760" s="14"/>
      <c r="D760" s="13"/>
      <c r="E760" s="13"/>
    </row>
    <row r="761" spans="1:5" ht="16">
      <c r="A761" s="12"/>
      <c r="B761" s="13"/>
      <c r="C761" s="14"/>
      <c r="D761" s="13"/>
      <c r="E761" s="13"/>
    </row>
    <row r="762" spans="1:5" ht="16">
      <c r="A762" s="12"/>
      <c r="B762" s="13"/>
      <c r="C762" s="14"/>
      <c r="D762" s="13"/>
      <c r="E762" s="13"/>
    </row>
    <row r="763" spans="1:5" ht="16">
      <c r="A763" s="12"/>
      <c r="B763" s="13"/>
      <c r="C763" s="14"/>
      <c r="D763" s="13"/>
      <c r="E763" s="13"/>
    </row>
    <row r="764" spans="1:5" ht="16">
      <c r="A764" s="12"/>
      <c r="B764" s="13"/>
      <c r="C764" s="14"/>
      <c r="D764" s="13"/>
      <c r="E764" s="13"/>
    </row>
    <row r="765" spans="1:5" ht="16">
      <c r="A765" s="12"/>
      <c r="B765" s="13"/>
      <c r="C765" s="14"/>
      <c r="D765" s="13"/>
      <c r="E765" s="13"/>
    </row>
    <row r="766" spans="1:5" ht="16">
      <c r="A766" s="12"/>
      <c r="B766" s="13"/>
      <c r="C766" s="14"/>
      <c r="D766" s="13"/>
      <c r="E766" s="13"/>
    </row>
    <row r="767" spans="1:5" ht="16">
      <c r="A767" s="12"/>
      <c r="B767" s="13"/>
      <c r="C767" s="14"/>
      <c r="D767" s="13"/>
      <c r="E767" s="13"/>
    </row>
    <row r="768" spans="1:5" ht="16">
      <c r="A768" s="12"/>
      <c r="B768" s="13"/>
      <c r="C768" s="14"/>
      <c r="D768" s="13"/>
      <c r="E768" s="13"/>
    </row>
    <row r="769" spans="1:5" ht="16">
      <c r="A769" s="12"/>
      <c r="B769" s="13"/>
      <c r="C769" s="14"/>
      <c r="D769" s="13"/>
      <c r="E769" s="13"/>
    </row>
    <row r="770" spans="1:5" ht="16">
      <c r="A770" s="12"/>
      <c r="B770" s="13"/>
      <c r="C770" s="14"/>
      <c r="D770" s="13"/>
      <c r="E770" s="13"/>
    </row>
    <row r="771" spans="1:5" ht="16">
      <c r="A771" s="12"/>
      <c r="B771" s="13"/>
      <c r="C771" s="14"/>
      <c r="D771" s="13"/>
      <c r="E771" s="13"/>
    </row>
    <row r="772" spans="1:5" ht="16">
      <c r="A772" s="12"/>
      <c r="B772" s="13"/>
      <c r="C772" s="14"/>
      <c r="D772" s="13"/>
      <c r="E772" s="13"/>
    </row>
    <row r="773" spans="1:5" ht="16">
      <c r="A773" s="12"/>
      <c r="B773" s="13"/>
      <c r="C773" s="14"/>
      <c r="D773" s="13"/>
      <c r="E773" s="13"/>
    </row>
    <row r="774" spans="1:5" ht="16">
      <c r="A774" s="12"/>
      <c r="B774" s="13"/>
      <c r="C774" s="14"/>
      <c r="D774" s="13"/>
      <c r="E774" s="13"/>
    </row>
    <row r="775" spans="1:5" ht="16">
      <c r="A775" s="12"/>
      <c r="B775" s="13"/>
      <c r="C775" s="14"/>
      <c r="D775" s="13"/>
      <c r="E775" s="13"/>
    </row>
    <row r="776" spans="1:5" ht="16">
      <c r="A776" s="12"/>
      <c r="B776" s="13"/>
      <c r="C776" s="14"/>
      <c r="D776" s="13"/>
      <c r="E776" s="13"/>
    </row>
    <row r="777" spans="1:5" ht="16">
      <c r="A777" s="12"/>
      <c r="B777" s="13"/>
      <c r="C777" s="14"/>
      <c r="D777" s="13"/>
      <c r="E777" s="13"/>
    </row>
    <row r="778" spans="1:5" ht="16">
      <c r="A778" s="12"/>
      <c r="B778" s="13"/>
      <c r="C778" s="14"/>
      <c r="D778" s="13"/>
      <c r="E778" s="13"/>
    </row>
    <row r="779" spans="1:5" ht="16">
      <c r="A779" s="12"/>
      <c r="B779" s="13"/>
      <c r="C779" s="14"/>
      <c r="D779" s="13"/>
      <c r="E779" s="13"/>
    </row>
    <row r="780" spans="1:5" ht="16">
      <c r="A780" s="12"/>
      <c r="B780" s="13"/>
      <c r="C780" s="14"/>
      <c r="D780" s="13"/>
      <c r="E780" s="13"/>
    </row>
    <row r="781" spans="1:5" ht="16">
      <c r="A781" s="12"/>
      <c r="B781" s="13"/>
      <c r="C781" s="14"/>
      <c r="D781" s="13"/>
      <c r="E781" s="13"/>
    </row>
    <row r="782" spans="1:5" ht="16">
      <c r="A782" s="12"/>
      <c r="B782" s="13"/>
      <c r="C782" s="14"/>
      <c r="D782" s="13"/>
      <c r="E782" s="13"/>
    </row>
    <row r="783" spans="1:5" ht="16">
      <c r="A783" s="12"/>
      <c r="B783" s="13"/>
      <c r="C783" s="14"/>
      <c r="D783" s="13"/>
      <c r="E783" s="13"/>
    </row>
    <row r="784" spans="1:5" ht="16">
      <c r="A784" s="12"/>
      <c r="B784" s="13"/>
      <c r="C784" s="14"/>
      <c r="D784" s="13"/>
      <c r="E784" s="13"/>
    </row>
    <row r="785" spans="1:5" ht="16">
      <c r="A785" s="12"/>
      <c r="B785" s="13"/>
      <c r="C785" s="14"/>
      <c r="D785" s="13"/>
      <c r="E785" s="13"/>
    </row>
    <row r="786" spans="1:5" ht="16">
      <c r="A786" s="12"/>
      <c r="B786" s="13"/>
      <c r="C786" s="14"/>
      <c r="D786" s="13"/>
      <c r="E786" s="13"/>
    </row>
    <row r="787" spans="1:5" ht="16">
      <c r="A787" s="12"/>
      <c r="B787" s="13"/>
      <c r="C787" s="14"/>
      <c r="D787" s="13"/>
      <c r="E787" s="13"/>
    </row>
    <row r="788" spans="1:5" ht="16">
      <c r="A788" s="12"/>
      <c r="B788" s="13"/>
      <c r="C788" s="14"/>
      <c r="D788" s="13"/>
      <c r="E788" s="13"/>
    </row>
    <row r="789" spans="1:5" ht="16">
      <c r="A789" s="12"/>
      <c r="B789" s="13"/>
      <c r="C789" s="14"/>
      <c r="D789" s="13"/>
      <c r="E789" s="13"/>
    </row>
    <row r="790" spans="1:5" ht="16">
      <c r="A790" s="12"/>
      <c r="B790" s="13"/>
      <c r="C790" s="14"/>
      <c r="D790" s="13"/>
      <c r="E790" s="13"/>
    </row>
    <row r="791" spans="1:5" ht="16">
      <c r="A791" s="12"/>
      <c r="B791" s="13"/>
      <c r="C791" s="14"/>
      <c r="D791" s="13"/>
      <c r="E791" s="13"/>
    </row>
    <row r="792" spans="1:5" ht="16">
      <c r="A792" s="12"/>
      <c r="B792" s="13"/>
      <c r="C792" s="14"/>
      <c r="D792" s="13"/>
      <c r="E792" s="13"/>
    </row>
    <row r="793" spans="1:5" ht="16">
      <c r="A793" s="12"/>
      <c r="B793" s="13"/>
      <c r="C793" s="14"/>
      <c r="D793" s="13"/>
      <c r="E793" s="13"/>
    </row>
    <row r="794" spans="1:5" ht="16">
      <c r="A794" s="12"/>
      <c r="B794" s="13"/>
      <c r="C794" s="14"/>
      <c r="D794" s="13"/>
      <c r="E794" s="13"/>
    </row>
    <row r="795" spans="1:5" ht="16">
      <c r="A795" s="12"/>
      <c r="B795" s="13"/>
      <c r="C795" s="14"/>
      <c r="D795" s="13"/>
      <c r="E795" s="13"/>
    </row>
    <row r="796" spans="1:5" ht="16">
      <c r="A796" s="12"/>
      <c r="B796" s="13"/>
      <c r="C796" s="14"/>
      <c r="D796" s="13"/>
      <c r="E796" s="13"/>
    </row>
    <row r="797" spans="1:5" ht="16">
      <c r="A797" s="12"/>
      <c r="B797" s="13"/>
      <c r="C797" s="14"/>
      <c r="D797" s="13"/>
      <c r="E797" s="13"/>
    </row>
    <row r="798" spans="1:5" ht="16">
      <c r="A798" s="12"/>
      <c r="B798" s="13"/>
      <c r="C798" s="14"/>
      <c r="D798" s="13"/>
      <c r="E798" s="13"/>
    </row>
    <row r="799" spans="1:5" ht="16">
      <c r="A799" s="12"/>
      <c r="B799" s="13"/>
      <c r="C799" s="14"/>
      <c r="D799" s="13"/>
      <c r="E799" s="13"/>
    </row>
    <row r="800" spans="1:5" ht="16">
      <c r="A800" s="12"/>
      <c r="B800" s="13"/>
      <c r="C800" s="14"/>
      <c r="D800" s="13"/>
      <c r="E800" s="13"/>
    </row>
    <row r="801" spans="1:5" ht="16">
      <c r="A801" s="12"/>
      <c r="B801" s="13"/>
      <c r="C801" s="14"/>
      <c r="D801" s="13"/>
      <c r="E801" s="13"/>
    </row>
    <row r="802" spans="1:5" ht="16">
      <c r="A802" s="12"/>
      <c r="B802" s="13"/>
      <c r="C802" s="14"/>
      <c r="D802" s="13"/>
      <c r="E802" s="13"/>
    </row>
    <row r="803" spans="1:5" ht="16">
      <c r="A803" s="12"/>
      <c r="B803" s="13"/>
      <c r="C803" s="14"/>
      <c r="D803" s="13"/>
      <c r="E803" s="13"/>
    </row>
    <row r="804" spans="1:5" ht="16">
      <c r="A804" s="12"/>
      <c r="B804" s="13"/>
      <c r="C804" s="14"/>
      <c r="D804" s="13"/>
      <c r="E804" s="13"/>
    </row>
    <row r="805" spans="1:5" ht="16">
      <c r="A805" s="12"/>
      <c r="B805" s="13"/>
      <c r="C805" s="14"/>
      <c r="D805" s="13"/>
      <c r="E805" s="13"/>
    </row>
    <row r="806" spans="1:5" ht="16">
      <c r="A806" s="12"/>
      <c r="B806" s="13"/>
      <c r="C806" s="14"/>
      <c r="D806" s="13"/>
      <c r="E806" s="13"/>
    </row>
    <row r="807" spans="1:5" ht="16">
      <c r="A807" s="12"/>
      <c r="B807" s="13"/>
      <c r="C807" s="14"/>
      <c r="D807" s="13"/>
      <c r="E807" s="13"/>
    </row>
    <row r="808" spans="1:5" ht="16">
      <c r="A808" s="12"/>
      <c r="B808" s="13"/>
      <c r="C808" s="14"/>
      <c r="D808" s="13"/>
      <c r="E808" s="13"/>
    </row>
    <row r="809" spans="1:5" ht="16">
      <c r="A809" s="12"/>
      <c r="B809" s="13"/>
      <c r="C809" s="14"/>
      <c r="D809" s="13"/>
      <c r="E809" s="13"/>
    </row>
    <row r="810" spans="1:5" ht="16">
      <c r="A810" s="12"/>
      <c r="B810" s="13"/>
      <c r="C810" s="14"/>
      <c r="D810" s="13"/>
      <c r="E810" s="13"/>
    </row>
    <row r="811" spans="1:5" ht="16">
      <c r="A811" s="12"/>
      <c r="B811" s="13"/>
      <c r="C811" s="14"/>
      <c r="D811" s="13"/>
      <c r="E811" s="13"/>
    </row>
    <row r="812" spans="1:5" ht="16">
      <c r="A812" s="12"/>
      <c r="B812" s="13"/>
      <c r="C812" s="14"/>
      <c r="D812" s="13"/>
      <c r="E812" s="13"/>
    </row>
    <row r="813" spans="1:5" ht="16">
      <c r="A813" s="12"/>
      <c r="B813" s="13"/>
      <c r="C813" s="14"/>
      <c r="D813" s="13"/>
      <c r="E813" s="13"/>
    </row>
    <row r="814" spans="1:5" ht="16">
      <c r="A814" s="12"/>
      <c r="B814" s="13"/>
      <c r="C814" s="14"/>
      <c r="D814" s="13"/>
      <c r="E814" s="13"/>
    </row>
    <row r="815" spans="1:5" ht="16">
      <c r="A815" s="12"/>
      <c r="B815" s="13"/>
      <c r="C815" s="14"/>
      <c r="D815" s="13"/>
      <c r="E815" s="13"/>
    </row>
    <row r="816" spans="1:5" ht="16">
      <c r="A816" s="12"/>
      <c r="B816" s="13"/>
      <c r="C816" s="14"/>
      <c r="D816" s="13"/>
      <c r="E816" s="13"/>
    </row>
    <row r="817" spans="1:5" ht="16">
      <c r="A817" s="12"/>
      <c r="B817" s="13"/>
      <c r="C817" s="14"/>
      <c r="D817" s="13"/>
      <c r="E817" s="13"/>
    </row>
    <row r="818" spans="1:5" ht="16">
      <c r="A818" s="12"/>
      <c r="B818" s="13"/>
      <c r="C818" s="14"/>
      <c r="D818" s="13"/>
      <c r="E818" s="13"/>
    </row>
    <row r="819" spans="1:5" ht="16">
      <c r="A819" s="12"/>
      <c r="B819" s="13"/>
      <c r="C819" s="14"/>
      <c r="D819" s="13"/>
      <c r="E819" s="13"/>
    </row>
    <row r="820" spans="1:5" ht="16">
      <c r="A820" s="12"/>
      <c r="B820" s="13"/>
      <c r="C820" s="14"/>
      <c r="D820" s="13"/>
      <c r="E820" s="13"/>
    </row>
    <row r="821" spans="1:5" ht="16">
      <c r="A821" s="12"/>
      <c r="B821" s="13"/>
      <c r="C821" s="14"/>
      <c r="D821" s="13"/>
      <c r="E821" s="13"/>
    </row>
    <row r="822" spans="1:5" ht="16">
      <c r="A822" s="12"/>
      <c r="B822" s="13"/>
      <c r="C822" s="14"/>
      <c r="D822" s="13"/>
      <c r="E822" s="13"/>
    </row>
    <row r="823" spans="1:5" ht="16">
      <c r="A823" s="12"/>
      <c r="B823" s="13"/>
      <c r="C823" s="14"/>
      <c r="D823" s="13"/>
      <c r="E823" s="13"/>
    </row>
    <row r="824" spans="1:5" ht="16">
      <c r="A824" s="12"/>
      <c r="B824" s="13"/>
      <c r="C824" s="14"/>
      <c r="D824" s="13"/>
      <c r="E824" s="13"/>
    </row>
    <row r="825" spans="1:5" ht="16">
      <c r="A825" s="12"/>
      <c r="B825" s="13"/>
      <c r="C825" s="14"/>
      <c r="D825" s="13"/>
      <c r="E825" s="13"/>
    </row>
    <row r="826" spans="1:5" ht="16">
      <c r="A826" s="12"/>
      <c r="B826" s="13"/>
      <c r="C826" s="14"/>
      <c r="D826" s="13"/>
      <c r="E826" s="13"/>
    </row>
    <row r="827" spans="1:5" ht="16">
      <c r="A827" s="12"/>
      <c r="B827" s="13"/>
      <c r="C827" s="14"/>
      <c r="D827" s="13"/>
      <c r="E827" s="13"/>
    </row>
    <row r="828" spans="1:5" ht="16">
      <c r="A828" s="12"/>
      <c r="B828" s="13"/>
      <c r="C828" s="14"/>
      <c r="D828" s="13"/>
      <c r="E828" s="13"/>
    </row>
    <row r="829" spans="1:5" ht="16">
      <c r="A829" s="12"/>
      <c r="B829" s="13"/>
      <c r="C829" s="14"/>
      <c r="D829" s="13"/>
      <c r="E829" s="13"/>
    </row>
    <row r="830" spans="1:5" ht="16">
      <c r="A830" s="12"/>
      <c r="B830" s="13"/>
      <c r="C830" s="14"/>
      <c r="D830" s="13"/>
      <c r="E830" s="13"/>
    </row>
    <row r="831" spans="1:5" ht="16">
      <c r="A831" s="12"/>
      <c r="B831" s="13"/>
      <c r="C831" s="14"/>
      <c r="D831" s="13"/>
      <c r="E831" s="13"/>
    </row>
    <row r="832" spans="1:5" ht="16">
      <c r="A832" s="12"/>
      <c r="B832" s="13"/>
      <c r="C832" s="14"/>
      <c r="D832" s="13"/>
      <c r="E832" s="13"/>
    </row>
    <row r="833" spans="1:5" ht="16">
      <c r="A833" s="12"/>
      <c r="B833" s="13"/>
      <c r="C833" s="14"/>
      <c r="D833" s="13"/>
      <c r="E833" s="13"/>
    </row>
    <row r="834" spans="1:5" ht="16">
      <c r="A834" s="12"/>
      <c r="B834" s="13"/>
      <c r="C834" s="14"/>
      <c r="D834" s="13"/>
      <c r="E834" s="13"/>
    </row>
    <row r="835" spans="1:5" ht="16">
      <c r="A835" s="12"/>
      <c r="B835" s="13"/>
      <c r="C835" s="14"/>
      <c r="D835" s="13"/>
      <c r="E835" s="13"/>
    </row>
    <row r="836" spans="1:5" ht="16">
      <c r="A836" s="12"/>
      <c r="B836" s="13"/>
      <c r="C836" s="14"/>
      <c r="D836" s="13"/>
      <c r="E836" s="13"/>
    </row>
    <row r="837" spans="1:5" ht="16">
      <c r="A837" s="12"/>
      <c r="B837" s="13"/>
      <c r="C837" s="14"/>
      <c r="D837" s="13"/>
      <c r="E837" s="13"/>
    </row>
    <row r="838" spans="1:5" ht="16">
      <c r="A838" s="12"/>
      <c r="B838" s="13"/>
      <c r="C838" s="14"/>
      <c r="D838" s="13"/>
      <c r="E838" s="13"/>
    </row>
    <row r="839" spans="1:5" ht="16">
      <c r="A839" s="12"/>
      <c r="B839" s="13"/>
      <c r="C839" s="14"/>
      <c r="D839" s="13"/>
      <c r="E839" s="13"/>
    </row>
    <row r="840" spans="1:5" ht="16">
      <c r="A840" s="12"/>
      <c r="B840" s="13"/>
      <c r="C840" s="14"/>
      <c r="D840" s="13"/>
      <c r="E840" s="13"/>
    </row>
    <row r="841" spans="1:5" ht="16">
      <c r="A841" s="12"/>
      <c r="B841" s="13"/>
      <c r="C841" s="14"/>
      <c r="D841" s="13"/>
      <c r="E841" s="13"/>
    </row>
    <row r="842" spans="1:5" ht="16">
      <c r="A842" s="12"/>
      <c r="B842" s="13"/>
      <c r="C842" s="14"/>
      <c r="D842" s="13"/>
      <c r="E842" s="13"/>
    </row>
    <row r="843" spans="1:5" ht="16">
      <c r="A843" s="12"/>
      <c r="B843" s="13"/>
      <c r="C843" s="14"/>
      <c r="D843" s="13"/>
      <c r="E843" s="13"/>
    </row>
    <row r="844" spans="1:5" ht="16">
      <c r="A844" s="12"/>
      <c r="B844" s="13"/>
      <c r="C844" s="14"/>
      <c r="D844" s="13"/>
      <c r="E844" s="13"/>
    </row>
    <row r="845" spans="1:5" ht="16">
      <c r="A845" s="12"/>
      <c r="B845" s="13"/>
      <c r="C845" s="14"/>
      <c r="D845" s="13"/>
      <c r="E845" s="13"/>
    </row>
    <row r="846" spans="1:5" ht="16">
      <c r="A846" s="12"/>
      <c r="B846" s="13"/>
      <c r="C846" s="14"/>
      <c r="D846" s="13"/>
      <c r="E846" s="13"/>
    </row>
    <row r="847" spans="1:5" ht="16">
      <c r="A847" s="12"/>
      <c r="B847" s="13"/>
      <c r="C847" s="14"/>
      <c r="D847" s="13"/>
      <c r="E847" s="13"/>
    </row>
    <row r="848" spans="1:5" ht="16">
      <c r="A848" s="12"/>
      <c r="B848" s="13"/>
      <c r="C848" s="14"/>
      <c r="D848" s="13"/>
      <c r="E848" s="13"/>
    </row>
    <row r="849" spans="1:5" ht="16">
      <c r="A849" s="12"/>
      <c r="B849" s="13"/>
      <c r="C849" s="14"/>
      <c r="D849" s="13"/>
      <c r="E849" s="13"/>
    </row>
    <row r="850" spans="1:5" ht="16">
      <c r="A850" s="12"/>
      <c r="B850" s="13"/>
      <c r="C850" s="14"/>
      <c r="D850" s="13"/>
      <c r="E850" s="13"/>
    </row>
    <row r="851" spans="1:5" ht="16">
      <c r="A851" s="12"/>
      <c r="B851" s="13"/>
      <c r="C851" s="14"/>
      <c r="D851" s="13"/>
      <c r="E851" s="13"/>
    </row>
    <row r="852" spans="1:5" ht="16">
      <c r="A852" s="12"/>
      <c r="B852" s="13"/>
      <c r="C852" s="14"/>
      <c r="D852" s="13"/>
      <c r="E852" s="13"/>
    </row>
    <row r="853" spans="1:5" ht="16">
      <c r="A853" s="12"/>
      <c r="B853" s="13"/>
      <c r="C853" s="14"/>
      <c r="D853" s="13"/>
      <c r="E853" s="13"/>
    </row>
    <row r="854" spans="1:5" ht="16">
      <c r="A854" s="12"/>
      <c r="B854" s="13"/>
      <c r="C854" s="14"/>
      <c r="D854" s="13"/>
      <c r="E854" s="13"/>
    </row>
    <row r="855" spans="1:5" ht="16">
      <c r="A855" s="12"/>
      <c r="B855" s="13"/>
      <c r="C855" s="14"/>
      <c r="D855" s="13"/>
      <c r="E855" s="13"/>
    </row>
    <row r="856" spans="1:5" ht="16">
      <c r="A856" s="12"/>
      <c r="B856" s="13"/>
      <c r="C856" s="14"/>
      <c r="D856" s="13"/>
      <c r="E856" s="13"/>
    </row>
    <row r="857" spans="1:5" ht="16">
      <c r="A857" s="12"/>
      <c r="B857" s="13"/>
      <c r="C857" s="14"/>
      <c r="D857" s="13"/>
      <c r="E857" s="13"/>
    </row>
    <row r="858" spans="1:5" ht="16">
      <c r="A858" s="12"/>
      <c r="B858" s="13"/>
      <c r="C858" s="14"/>
      <c r="D858" s="13"/>
      <c r="E858" s="13"/>
    </row>
    <row r="859" spans="1:5" ht="16">
      <c r="A859" s="12"/>
      <c r="B859" s="13"/>
      <c r="C859" s="14"/>
      <c r="D859" s="13"/>
      <c r="E859" s="13"/>
    </row>
    <row r="860" spans="1:5" ht="16">
      <c r="A860" s="12"/>
      <c r="B860" s="13"/>
      <c r="C860" s="14"/>
      <c r="D860" s="13"/>
      <c r="E860" s="13"/>
    </row>
    <row r="861" spans="1:5" ht="16">
      <c r="A861" s="12"/>
      <c r="B861" s="13"/>
      <c r="C861" s="14"/>
      <c r="D861" s="13"/>
      <c r="E861" s="13"/>
    </row>
    <row r="862" spans="1:5" ht="16">
      <c r="A862" s="12"/>
      <c r="B862" s="13"/>
      <c r="C862" s="14"/>
      <c r="D862" s="13"/>
      <c r="E862" s="13"/>
    </row>
    <row r="863" spans="1:5" ht="16">
      <c r="A863" s="12"/>
      <c r="B863" s="13"/>
      <c r="C863" s="14"/>
      <c r="D863" s="13"/>
      <c r="E863" s="13"/>
    </row>
    <row r="864" spans="1:5" ht="16">
      <c r="A864" s="12"/>
      <c r="B864" s="13"/>
      <c r="C864" s="14"/>
      <c r="D864" s="13"/>
      <c r="E864" s="13"/>
    </row>
    <row r="865" spans="1:5" ht="16">
      <c r="A865" s="12"/>
      <c r="B865" s="13"/>
      <c r="C865" s="14"/>
      <c r="D865" s="13"/>
      <c r="E865" s="13"/>
    </row>
    <row r="866" spans="1:5" ht="16">
      <c r="A866" s="12"/>
      <c r="B866" s="13"/>
      <c r="C866" s="14"/>
      <c r="D866" s="13"/>
      <c r="E866" s="13"/>
    </row>
    <row r="867" spans="1:5" ht="16">
      <c r="A867" s="12"/>
      <c r="B867" s="13"/>
      <c r="C867" s="14"/>
      <c r="D867" s="13"/>
      <c r="E867" s="13"/>
    </row>
    <row r="868" spans="1:5" ht="16">
      <c r="A868" s="12"/>
      <c r="B868" s="13"/>
      <c r="C868" s="14"/>
      <c r="D868" s="13"/>
      <c r="E868" s="13"/>
    </row>
    <row r="869" spans="1:5" ht="16">
      <c r="A869" s="12"/>
      <c r="B869" s="13"/>
      <c r="C869" s="14"/>
      <c r="D869" s="13"/>
      <c r="E869" s="13"/>
    </row>
    <row r="870" spans="1:5" ht="16">
      <c r="A870" s="12"/>
      <c r="B870" s="13"/>
      <c r="C870" s="14"/>
      <c r="D870" s="13"/>
      <c r="E870" s="13"/>
    </row>
    <row r="871" spans="1:5" ht="16">
      <c r="A871" s="12"/>
      <c r="B871" s="13"/>
      <c r="C871" s="14"/>
      <c r="D871" s="13"/>
      <c r="E871" s="13"/>
    </row>
    <row r="872" spans="1:5" ht="16">
      <c r="A872" s="12"/>
      <c r="B872" s="13"/>
      <c r="C872" s="14"/>
      <c r="D872" s="13"/>
      <c r="E872" s="13"/>
    </row>
    <row r="873" spans="1:5" ht="16">
      <c r="A873" s="12"/>
      <c r="B873" s="13"/>
      <c r="C873" s="14"/>
      <c r="D873" s="13"/>
      <c r="E873" s="13"/>
    </row>
    <row r="874" spans="1:5" ht="16">
      <c r="A874" s="12"/>
      <c r="B874" s="13"/>
      <c r="C874" s="14"/>
      <c r="D874" s="13"/>
      <c r="E874" s="13"/>
    </row>
    <row r="875" spans="1:5" ht="16">
      <c r="A875" s="12"/>
      <c r="B875" s="13"/>
      <c r="C875" s="14"/>
      <c r="D875" s="13"/>
      <c r="E875" s="13"/>
    </row>
    <row r="876" spans="1:5" ht="16">
      <c r="A876" s="12"/>
      <c r="B876" s="13"/>
      <c r="C876" s="14"/>
      <c r="D876" s="13"/>
      <c r="E876" s="13"/>
    </row>
    <row r="877" spans="1:5" ht="16">
      <c r="A877" s="12"/>
      <c r="B877" s="13"/>
      <c r="C877" s="14"/>
      <c r="D877" s="13"/>
      <c r="E877" s="13"/>
    </row>
    <row r="878" spans="1:5" ht="16">
      <c r="A878" s="12"/>
      <c r="B878" s="13"/>
      <c r="C878" s="14"/>
      <c r="D878" s="13"/>
      <c r="E878" s="13"/>
    </row>
    <row r="879" spans="1:5" ht="16">
      <c r="A879" s="12"/>
      <c r="B879" s="13"/>
      <c r="C879" s="14"/>
      <c r="D879" s="13"/>
      <c r="E879" s="13"/>
    </row>
    <row r="880" spans="1:5" ht="16">
      <c r="A880" s="12"/>
      <c r="B880" s="13"/>
      <c r="C880" s="14"/>
      <c r="D880" s="13"/>
      <c r="E880" s="13"/>
    </row>
    <row r="881" spans="1:5" ht="16">
      <c r="A881" s="12"/>
      <c r="B881" s="13"/>
      <c r="C881" s="14"/>
      <c r="D881" s="13"/>
      <c r="E881" s="13"/>
    </row>
    <row r="882" spans="1:5" ht="16">
      <c r="A882" s="12"/>
      <c r="B882" s="13"/>
      <c r="C882" s="14"/>
      <c r="D882" s="13"/>
      <c r="E882" s="13"/>
    </row>
    <row r="883" spans="1:5" ht="16">
      <c r="A883" s="12"/>
      <c r="B883" s="13"/>
      <c r="C883" s="14"/>
      <c r="D883" s="13"/>
      <c r="E883" s="13"/>
    </row>
    <row r="884" spans="1:5" ht="16">
      <c r="A884" s="12"/>
      <c r="B884" s="13"/>
      <c r="C884" s="14"/>
      <c r="D884" s="13"/>
      <c r="E884" s="13"/>
    </row>
    <row r="885" spans="1:5" ht="16">
      <c r="A885" s="12"/>
      <c r="B885" s="13"/>
      <c r="C885" s="14"/>
      <c r="D885" s="13"/>
      <c r="E885" s="13"/>
    </row>
    <row r="886" spans="1:5" ht="16">
      <c r="A886" s="12"/>
      <c r="B886" s="13"/>
      <c r="C886" s="14"/>
      <c r="D886" s="13"/>
      <c r="E886" s="13"/>
    </row>
    <row r="887" spans="1:5" ht="16">
      <c r="A887" s="12"/>
      <c r="B887" s="13"/>
      <c r="C887" s="14"/>
      <c r="D887" s="13"/>
      <c r="E887" s="13"/>
    </row>
    <row r="888" spans="1:5" ht="16">
      <c r="A888" s="12"/>
      <c r="B888" s="13"/>
      <c r="C888" s="14"/>
      <c r="D888" s="13"/>
      <c r="E888" s="13"/>
    </row>
    <row r="889" spans="1:5" ht="16">
      <c r="A889" s="12"/>
      <c r="B889" s="13"/>
      <c r="C889" s="14"/>
      <c r="D889" s="13"/>
      <c r="E889" s="13"/>
    </row>
    <row r="890" spans="1:5" ht="16">
      <c r="A890" s="12"/>
      <c r="B890" s="13"/>
      <c r="C890" s="14"/>
      <c r="D890" s="13"/>
      <c r="E890" s="13"/>
    </row>
    <row r="891" spans="1:5" ht="16">
      <c r="A891" s="12"/>
      <c r="B891" s="13"/>
      <c r="C891" s="14"/>
      <c r="D891" s="13"/>
      <c r="E891" s="13"/>
    </row>
    <row r="892" spans="1:5" ht="16">
      <c r="A892" s="12"/>
      <c r="B892" s="13"/>
      <c r="C892" s="14"/>
      <c r="D892" s="13"/>
      <c r="E892" s="13"/>
    </row>
    <row r="893" spans="1:5" ht="16">
      <c r="A893" s="12"/>
      <c r="B893" s="13"/>
      <c r="C893" s="14"/>
      <c r="D893" s="13"/>
      <c r="E893" s="13"/>
    </row>
    <row r="894" spans="1:5" ht="16">
      <c r="A894" s="12"/>
      <c r="B894" s="13"/>
      <c r="C894" s="14"/>
      <c r="D894" s="13"/>
      <c r="E894" s="13"/>
    </row>
    <row r="895" spans="1:5" ht="16">
      <c r="A895" s="12"/>
      <c r="B895" s="13"/>
      <c r="C895" s="14"/>
      <c r="D895" s="13"/>
      <c r="E895" s="13"/>
    </row>
    <row r="896" spans="1:5" ht="16">
      <c r="A896" s="12"/>
      <c r="B896" s="13"/>
      <c r="C896" s="14"/>
      <c r="D896" s="13"/>
      <c r="E896" s="13"/>
    </row>
    <row r="897" spans="1:5" ht="16">
      <c r="A897" s="12"/>
      <c r="B897" s="13"/>
      <c r="C897" s="14"/>
      <c r="D897" s="13"/>
      <c r="E897" s="13"/>
    </row>
    <row r="898" spans="1:5" ht="16">
      <c r="A898" s="12"/>
      <c r="B898" s="13"/>
      <c r="C898" s="14"/>
      <c r="D898" s="13"/>
      <c r="E898" s="13"/>
    </row>
    <row r="899" spans="1:5" ht="16">
      <c r="A899" s="12"/>
      <c r="B899" s="13"/>
      <c r="C899" s="14"/>
      <c r="D899" s="13"/>
      <c r="E899" s="13"/>
    </row>
    <row r="900" spans="1:5" ht="16">
      <c r="A900" s="12"/>
      <c r="B900" s="13"/>
      <c r="C900" s="14"/>
      <c r="D900" s="13"/>
      <c r="E900" s="13"/>
    </row>
    <row r="901" spans="1:5" ht="16">
      <c r="A901" s="12"/>
      <c r="B901" s="13"/>
      <c r="C901" s="14"/>
      <c r="D901" s="13"/>
      <c r="E901" s="13"/>
    </row>
    <row r="902" spans="1:5" ht="16">
      <c r="A902" s="12"/>
      <c r="B902" s="13"/>
      <c r="C902" s="14"/>
      <c r="D902" s="13"/>
      <c r="E902" s="13"/>
    </row>
    <row r="903" spans="1:5" ht="16">
      <c r="A903" s="12"/>
      <c r="B903" s="13"/>
      <c r="C903" s="14"/>
      <c r="D903" s="13"/>
      <c r="E903" s="13"/>
    </row>
    <row r="904" spans="1:5" ht="16">
      <c r="A904" s="12"/>
      <c r="B904" s="13"/>
      <c r="C904" s="14"/>
      <c r="D904" s="13"/>
      <c r="E904" s="13"/>
    </row>
    <row r="905" spans="1:5" ht="16">
      <c r="A905" s="12"/>
      <c r="B905" s="13"/>
      <c r="C905" s="14"/>
      <c r="D905" s="13"/>
      <c r="E905" s="13"/>
    </row>
    <row r="906" spans="1:5" ht="16">
      <c r="A906" s="12"/>
      <c r="B906" s="13"/>
      <c r="C906" s="14"/>
      <c r="D906" s="13"/>
      <c r="E906" s="13"/>
    </row>
    <row r="907" spans="1:5" ht="16">
      <c r="A907" s="12"/>
      <c r="B907" s="13"/>
      <c r="C907" s="14"/>
      <c r="D907" s="13"/>
      <c r="E907" s="13"/>
    </row>
    <row r="908" spans="1:5" ht="16">
      <c r="A908" s="12"/>
      <c r="B908" s="13"/>
      <c r="C908" s="14"/>
      <c r="D908" s="13"/>
      <c r="E908" s="13"/>
    </row>
    <row r="909" spans="1:5" ht="16">
      <c r="A909" s="12"/>
      <c r="B909" s="13"/>
      <c r="C909" s="14"/>
      <c r="D909" s="13"/>
      <c r="E909" s="13"/>
    </row>
    <row r="910" spans="1:5" ht="16">
      <c r="A910" s="12"/>
      <c r="B910" s="13"/>
      <c r="C910" s="14"/>
      <c r="D910" s="13"/>
      <c r="E910" s="13"/>
    </row>
    <row r="911" spans="1:5" ht="16">
      <c r="A911" s="12"/>
      <c r="B911" s="13"/>
      <c r="C911" s="14"/>
      <c r="D911" s="13"/>
      <c r="E911" s="13"/>
    </row>
    <row r="912" spans="1:5" ht="16">
      <c r="A912" s="12"/>
      <c r="B912" s="13"/>
      <c r="C912" s="14"/>
      <c r="D912" s="13"/>
      <c r="E912" s="13"/>
    </row>
    <row r="913" spans="1:5" ht="16">
      <c r="A913" s="12"/>
      <c r="B913" s="13"/>
      <c r="C913" s="14"/>
      <c r="D913" s="13"/>
      <c r="E913" s="13"/>
    </row>
    <row r="914" spans="1:5" ht="16">
      <c r="A914" s="12"/>
      <c r="B914" s="13"/>
      <c r="C914" s="14"/>
      <c r="D914" s="13"/>
      <c r="E914" s="13"/>
    </row>
    <row r="915" spans="1:5" ht="16">
      <c r="A915" s="12"/>
      <c r="B915" s="13"/>
      <c r="C915" s="14"/>
      <c r="D915" s="13"/>
      <c r="E915" s="13"/>
    </row>
    <row r="916" spans="1:5" ht="16">
      <c r="A916" s="12"/>
      <c r="B916" s="13"/>
      <c r="C916" s="14"/>
      <c r="D916" s="13"/>
      <c r="E916" s="13"/>
    </row>
    <row r="917" spans="1:5" ht="16">
      <c r="A917" s="12"/>
      <c r="B917" s="13"/>
      <c r="C917" s="14"/>
      <c r="D917" s="13"/>
      <c r="E917" s="13"/>
    </row>
    <row r="918" spans="1:5" ht="16">
      <c r="A918" s="12"/>
      <c r="B918" s="13"/>
      <c r="C918" s="14"/>
      <c r="D918" s="13"/>
      <c r="E918" s="13"/>
    </row>
    <row r="919" spans="1:5" ht="16">
      <c r="A919" s="12"/>
      <c r="B919" s="13"/>
      <c r="C919" s="14"/>
      <c r="D919" s="13"/>
      <c r="E919" s="13"/>
    </row>
    <row r="920" spans="1:5" ht="16">
      <c r="A920" s="12"/>
      <c r="B920" s="13"/>
      <c r="C920" s="14"/>
      <c r="D920" s="13"/>
      <c r="E920" s="13"/>
    </row>
    <row r="921" spans="1:5" ht="16">
      <c r="A921" s="12"/>
      <c r="B921" s="13"/>
      <c r="C921" s="14"/>
      <c r="D921" s="13"/>
      <c r="E921" s="13"/>
    </row>
    <row r="922" spans="1:5" ht="16">
      <c r="A922" s="12"/>
      <c r="B922" s="13"/>
      <c r="C922" s="14"/>
      <c r="D922" s="13"/>
      <c r="E922" s="13"/>
    </row>
    <row r="923" spans="1:5" ht="16">
      <c r="A923" s="12"/>
      <c r="B923" s="13"/>
      <c r="C923" s="14"/>
      <c r="D923" s="13"/>
      <c r="E923" s="13"/>
    </row>
    <row r="924" spans="1:5" ht="16">
      <c r="A924" s="12"/>
      <c r="B924" s="13"/>
      <c r="C924" s="14"/>
      <c r="D924" s="13"/>
      <c r="E924" s="13"/>
    </row>
    <row r="925" spans="1:5" ht="16">
      <c r="A925" s="12"/>
      <c r="B925" s="13"/>
      <c r="C925" s="14"/>
      <c r="D925" s="13"/>
      <c r="E925" s="13"/>
    </row>
    <row r="926" spans="1:5" ht="16">
      <c r="A926" s="12"/>
      <c r="B926" s="13"/>
      <c r="C926" s="14"/>
      <c r="D926" s="13"/>
      <c r="E926" s="13"/>
    </row>
    <row r="927" spans="1:5" ht="16">
      <c r="A927" s="12"/>
      <c r="B927" s="13"/>
      <c r="C927" s="14"/>
      <c r="D927" s="13"/>
      <c r="E927" s="13"/>
    </row>
    <row r="928" spans="1:5" ht="16">
      <c r="A928" s="12"/>
      <c r="B928" s="13"/>
      <c r="C928" s="14"/>
      <c r="D928" s="13"/>
      <c r="E928" s="13"/>
    </row>
    <row r="929" spans="1:5" ht="16">
      <c r="A929" s="12"/>
      <c r="B929" s="13"/>
      <c r="C929" s="14"/>
      <c r="D929" s="13"/>
      <c r="E929" s="13"/>
    </row>
    <row r="930" spans="1:5" ht="16">
      <c r="A930" s="12"/>
      <c r="B930" s="13"/>
      <c r="C930" s="14"/>
      <c r="D930" s="13"/>
      <c r="E930" s="13"/>
    </row>
    <row r="931" spans="1:5" ht="16">
      <c r="A931" s="12"/>
      <c r="B931" s="13"/>
      <c r="C931" s="14"/>
      <c r="D931" s="13"/>
      <c r="E931" s="13"/>
    </row>
    <row r="932" spans="1:5" ht="16">
      <c r="A932" s="12"/>
      <c r="B932" s="13"/>
      <c r="C932" s="14"/>
      <c r="D932" s="13"/>
      <c r="E932" s="13"/>
    </row>
    <row r="933" spans="1:5" ht="16">
      <c r="A933" s="12"/>
      <c r="B933" s="13"/>
      <c r="C933" s="14"/>
      <c r="D933" s="13"/>
      <c r="E933" s="13"/>
    </row>
    <row r="934" spans="1:5" ht="16">
      <c r="A934" s="12"/>
      <c r="B934" s="13"/>
      <c r="C934" s="14"/>
      <c r="D934" s="13"/>
      <c r="E934" s="13"/>
    </row>
    <row r="935" spans="1:5" ht="16">
      <c r="A935" s="12"/>
      <c r="B935" s="13"/>
      <c r="C935" s="14"/>
      <c r="D935" s="13"/>
      <c r="E935" s="13"/>
    </row>
    <row r="936" spans="1:5" ht="16">
      <c r="A936" s="12"/>
      <c r="B936" s="13"/>
      <c r="C936" s="14"/>
      <c r="D936" s="13"/>
      <c r="E936" s="13"/>
    </row>
    <row r="937" spans="1:5" ht="16">
      <c r="A937" s="12"/>
      <c r="B937" s="13"/>
      <c r="C937" s="14"/>
      <c r="D937" s="13"/>
      <c r="E937" s="13"/>
    </row>
    <row r="938" spans="1:5" ht="16">
      <c r="A938" s="12"/>
      <c r="B938" s="13"/>
      <c r="C938" s="14"/>
      <c r="D938" s="13"/>
      <c r="E938" s="13"/>
    </row>
    <row r="939" spans="1:5" ht="16">
      <c r="A939" s="12"/>
      <c r="B939" s="13"/>
      <c r="C939" s="14"/>
      <c r="D939" s="13"/>
      <c r="E939" s="13"/>
    </row>
    <row r="940" spans="1:5" ht="16">
      <c r="A940" s="12"/>
      <c r="B940" s="13"/>
      <c r="C940" s="14"/>
      <c r="D940" s="13"/>
      <c r="E940" s="13"/>
    </row>
    <row r="941" spans="1:5" ht="16">
      <c r="A941" s="12"/>
      <c r="B941" s="13"/>
      <c r="C941" s="14"/>
      <c r="D941" s="13"/>
      <c r="E941" s="13"/>
    </row>
    <row r="942" spans="1:5" ht="16">
      <c r="A942" s="12"/>
      <c r="B942" s="13"/>
      <c r="C942" s="14"/>
      <c r="D942" s="13"/>
      <c r="E942" s="13"/>
    </row>
    <row r="943" spans="1:5" ht="16">
      <c r="A943" s="12"/>
      <c r="B943" s="13"/>
      <c r="C943" s="14"/>
      <c r="D943" s="13"/>
      <c r="E943" s="13"/>
    </row>
    <row r="944" spans="1:5" ht="16">
      <c r="A944" s="12"/>
      <c r="B944" s="13"/>
      <c r="C944" s="14"/>
      <c r="D944" s="13"/>
      <c r="E944" s="13"/>
    </row>
    <row r="945" spans="1:5" ht="16">
      <c r="A945" s="12"/>
      <c r="B945" s="13"/>
      <c r="C945" s="14"/>
      <c r="D945" s="13"/>
      <c r="E945" s="13"/>
    </row>
    <row r="946" spans="1:5" ht="16">
      <c r="A946" s="12"/>
      <c r="B946" s="13"/>
      <c r="C946" s="14"/>
      <c r="D946" s="13"/>
      <c r="E946" s="13"/>
    </row>
    <row r="947" spans="1:5" ht="16">
      <c r="A947" s="12"/>
      <c r="B947" s="13"/>
      <c r="C947" s="14"/>
      <c r="D947" s="13"/>
      <c r="E947" s="13"/>
    </row>
    <row r="948" spans="1:5" ht="16">
      <c r="A948" s="12"/>
      <c r="B948" s="13"/>
      <c r="C948" s="14"/>
      <c r="D948" s="13"/>
      <c r="E948" s="13"/>
    </row>
    <row r="949" spans="1:5" ht="16">
      <c r="A949" s="12"/>
      <c r="B949" s="13"/>
      <c r="C949" s="14"/>
      <c r="D949" s="13"/>
      <c r="E949" s="13"/>
    </row>
    <row r="950" spans="1:5" ht="16">
      <c r="A950" s="12"/>
      <c r="B950" s="13"/>
      <c r="C950" s="14"/>
      <c r="D950" s="13"/>
      <c r="E950" s="13"/>
    </row>
    <row r="951" spans="1:5" ht="16">
      <c r="A951" s="12"/>
      <c r="B951" s="13"/>
      <c r="C951" s="14"/>
      <c r="D951" s="13"/>
      <c r="E951" s="13"/>
    </row>
    <row r="952" spans="1:5" ht="16">
      <c r="A952" s="12"/>
      <c r="B952" s="13"/>
      <c r="C952" s="14"/>
      <c r="D952" s="13"/>
      <c r="E952" s="13"/>
    </row>
    <row r="953" spans="1:5" ht="16">
      <c r="A953" s="12"/>
      <c r="B953" s="13"/>
      <c r="C953" s="14"/>
      <c r="D953" s="13"/>
      <c r="E953" s="13"/>
    </row>
    <row r="954" spans="1:5" ht="16">
      <c r="A954" s="12"/>
      <c r="B954" s="13"/>
      <c r="C954" s="14"/>
      <c r="D954" s="13"/>
      <c r="E954" s="13"/>
    </row>
    <row r="955" spans="1:5" ht="16">
      <c r="A955" s="12"/>
      <c r="B955" s="13"/>
      <c r="C955" s="14"/>
      <c r="D955" s="13"/>
      <c r="E955" s="13"/>
    </row>
    <row r="956" spans="1:5" ht="16">
      <c r="A956" s="12"/>
      <c r="B956" s="13"/>
      <c r="C956" s="14"/>
      <c r="D956" s="13"/>
      <c r="E956" s="13"/>
    </row>
    <row r="957" spans="1:5" ht="16">
      <c r="A957" s="12"/>
      <c r="B957" s="13"/>
      <c r="C957" s="14"/>
      <c r="D957" s="13"/>
      <c r="E957" s="13"/>
    </row>
    <row r="958" spans="1:5" ht="16">
      <c r="A958" s="12"/>
      <c r="B958" s="13"/>
      <c r="C958" s="14"/>
      <c r="D958" s="13"/>
      <c r="E958" s="13"/>
    </row>
    <row r="959" spans="1:5" ht="16">
      <c r="A959" s="12"/>
      <c r="B959" s="13"/>
      <c r="C959" s="14"/>
      <c r="D959" s="13"/>
      <c r="E959" s="13"/>
    </row>
    <row r="960" spans="1:5" ht="16">
      <c r="A960" s="12"/>
      <c r="B960" s="13"/>
      <c r="C960" s="14"/>
      <c r="D960" s="13"/>
      <c r="E960" s="13"/>
    </row>
    <row r="961" spans="1:5" ht="16">
      <c r="A961" s="12"/>
      <c r="B961" s="13"/>
      <c r="C961" s="14"/>
      <c r="D961" s="13"/>
      <c r="E961" s="13"/>
    </row>
    <row r="962" spans="1:5" ht="16">
      <c r="A962" s="12"/>
      <c r="B962" s="13"/>
      <c r="C962" s="14"/>
      <c r="D962" s="13"/>
      <c r="E962" s="13"/>
    </row>
    <row r="963" spans="1:5" ht="16">
      <c r="A963" s="12"/>
      <c r="B963" s="13"/>
      <c r="C963" s="14"/>
      <c r="D963" s="13"/>
      <c r="E963" s="13"/>
    </row>
    <row r="964" spans="1:5" ht="16">
      <c r="A964" s="12"/>
      <c r="B964" s="13"/>
      <c r="C964" s="14"/>
      <c r="D964" s="13"/>
      <c r="E964" s="13"/>
    </row>
    <row r="965" spans="1:5" ht="16">
      <c r="A965" s="12"/>
      <c r="B965" s="13"/>
      <c r="C965" s="14"/>
      <c r="D965" s="13"/>
      <c r="E965" s="13"/>
    </row>
    <row r="966" spans="1:5" ht="16">
      <c r="A966" s="12"/>
      <c r="B966" s="13"/>
      <c r="C966" s="14"/>
      <c r="D966" s="13"/>
      <c r="E966" s="13"/>
    </row>
    <row r="967" spans="1:5" ht="16">
      <c r="A967" s="12"/>
      <c r="B967" s="13"/>
      <c r="C967" s="14"/>
      <c r="D967" s="13"/>
      <c r="E967" s="13"/>
    </row>
    <row r="968" spans="1:5" ht="16">
      <c r="A968" s="12"/>
      <c r="B968" s="13"/>
      <c r="C968" s="14"/>
      <c r="D968" s="13"/>
      <c r="E968" s="13"/>
    </row>
    <row r="969" spans="1:5" ht="16">
      <c r="A969" s="12"/>
      <c r="B969" s="13"/>
      <c r="C969" s="14"/>
      <c r="D969" s="13"/>
      <c r="E969" s="13"/>
    </row>
    <row r="970" spans="1:5" ht="16">
      <c r="A970" s="12"/>
      <c r="B970" s="13"/>
      <c r="C970" s="14"/>
      <c r="D970" s="13"/>
      <c r="E970" s="13"/>
    </row>
    <row r="971" spans="1:5" ht="16">
      <c r="A971" s="12"/>
      <c r="B971" s="13"/>
      <c r="C971" s="14"/>
      <c r="D971" s="13"/>
      <c r="E971" s="13"/>
    </row>
    <row r="972" spans="1:5" ht="16">
      <c r="A972" s="12"/>
      <c r="B972" s="13"/>
      <c r="C972" s="14"/>
      <c r="D972" s="13"/>
      <c r="E972" s="13"/>
    </row>
    <row r="973" spans="1:5" ht="16">
      <c r="A973" s="12"/>
      <c r="B973" s="13"/>
      <c r="C973" s="14"/>
      <c r="D973" s="13"/>
      <c r="E973" s="13"/>
    </row>
    <row r="974" spans="1:5" ht="16">
      <c r="A974" s="12"/>
      <c r="B974" s="13"/>
      <c r="C974" s="14"/>
      <c r="D974" s="13"/>
      <c r="E974" s="13"/>
    </row>
    <row r="975" spans="1:5" ht="16">
      <c r="A975" s="12"/>
      <c r="B975" s="13"/>
      <c r="C975" s="14"/>
      <c r="D975" s="13"/>
      <c r="E975" s="13"/>
    </row>
    <row r="976" spans="1:5" ht="16">
      <c r="A976" s="12"/>
      <c r="B976" s="13"/>
      <c r="C976" s="14"/>
      <c r="D976" s="13"/>
      <c r="E976" s="13"/>
    </row>
    <row r="977" spans="1:5" ht="16">
      <c r="A977" s="12"/>
      <c r="B977" s="13"/>
      <c r="C977" s="14"/>
      <c r="D977" s="13"/>
      <c r="E977" s="13"/>
    </row>
    <row r="978" spans="1:5" ht="16">
      <c r="A978" s="12"/>
      <c r="B978" s="13"/>
      <c r="C978" s="14"/>
      <c r="D978" s="13"/>
      <c r="E978" s="13"/>
    </row>
    <row r="979" spans="1:5" ht="16">
      <c r="A979" s="12"/>
      <c r="B979" s="13"/>
      <c r="C979" s="14"/>
      <c r="D979" s="13"/>
      <c r="E979" s="13"/>
    </row>
    <row r="980" spans="1:5" ht="16">
      <c r="A980" s="12"/>
      <c r="B980" s="13"/>
      <c r="C980" s="14"/>
      <c r="D980" s="13"/>
      <c r="E980" s="13"/>
    </row>
    <row r="981" spans="1:5" ht="16">
      <c r="A981" s="12"/>
      <c r="B981" s="13"/>
      <c r="C981" s="14"/>
      <c r="D981" s="13"/>
      <c r="E981" s="13"/>
    </row>
    <row r="982" spans="1:5" ht="16">
      <c r="A982" s="12"/>
      <c r="B982" s="13"/>
      <c r="C982" s="14"/>
      <c r="D982" s="13"/>
      <c r="E982" s="13"/>
    </row>
    <row r="983" spans="1:5" ht="16">
      <c r="A983" s="12"/>
      <c r="B983" s="13"/>
      <c r="C983" s="14"/>
      <c r="D983" s="13"/>
      <c r="E983" s="13"/>
    </row>
    <row r="984" spans="1:5" ht="16">
      <c r="A984" s="12"/>
      <c r="B984" s="13"/>
      <c r="C984" s="14"/>
      <c r="D984" s="13"/>
      <c r="E984" s="13"/>
    </row>
    <row r="985" spans="1:5" ht="16">
      <c r="A985" s="12"/>
      <c r="B985" s="13"/>
      <c r="C985" s="14"/>
      <c r="D985" s="13"/>
      <c r="E985" s="13"/>
    </row>
    <row r="986" spans="1:5" ht="16">
      <c r="A986" s="12"/>
      <c r="B986" s="13"/>
      <c r="C986" s="14"/>
      <c r="D986" s="13"/>
      <c r="E986" s="13"/>
    </row>
    <row r="987" spans="1:5" ht="16">
      <c r="A987" s="12"/>
      <c r="B987" s="13"/>
      <c r="C987" s="14"/>
      <c r="D987" s="13"/>
      <c r="E987" s="13"/>
    </row>
    <row r="988" spans="1:5" ht="16">
      <c r="A988" s="12"/>
      <c r="B988" s="13"/>
      <c r="C988" s="14"/>
      <c r="D988" s="13"/>
      <c r="E988" s="13"/>
    </row>
    <row r="989" spans="1:5" ht="16">
      <c r="A989" s="12"/>
      <c r="B989" s="13"/>
      <c r="C989" s="14"/>
      <c r="D989" s="13"/>
      <c r="E989" s="13"/>
    </row>
    <row r="990" spans="1:5" ht="16">
      <c r="A990" s="12"/>
      <c r="B990" s="13"/>
      <c r="C990" s="14"/>
      <c r="D990" s="13"/>
      <c r="E990" s="13"/>
    </row>
    <row r="991" spans="1:5" ht="16">
      <c r="A991" s="12"/>
      <c r="B991" s="13"/>
      <c r="C991" s="14"/>
      <c r="D991" s="13"/>
      <c r="E991" s="13"/>
    </row>
    <row r="992" spans="1:5" ht="16">
      <c r="A992" s="12"/>
      <c r="B992" s="13"/>
      <c r="C992" s="14"/>
      <c r="D992" s="13"/>
      <c r="E992" s="13"/>
    </row>
    <row r="993" spans="1:5" ht="16">
      <c r="A993" s="12"/>
      <c r="B993" s="13"/>
      <c r="C993" s="14"/>
      <c r="D993" s="13"/>
      <c r="E993" s="13"/>
    </row>
    <row r="994" spans="1:5" ht="16">
      <c r="A994" s="12"/>
      <c r="B994" s="13"/>
      <c r="C994" s="14"/>
      <c r="D994" s="13"/>
      <c r="E994" s="13"/>
    </row>
    <row r="995" spans="1:5" ht="16">
      <c r="A995" s="12"/>
      <c r="B995" s="13"/>
      <c r="C995" s="14"/>
      <c r="D995" s="13"/>
      <c r="E995" s="13"/>
    </row>
    <row r="996" spans="1:5" ht="16">
      <c r="A996" s="12"/>
      <c r="B996" s="13"/>
      <c r="C996" s="14"/>
      <c r="D996" s="13"/>
      <c r="E996" s="13"/>
    </row>
    <row r="997" spans="1:5" ht="16">
      <c r="A997" s="12"/>
      <c r="B997" s="13"/>
      <c r="C997" s="14"/>
      <c r="D997" s="13"/>
      <c r="E997" s="13"/>
    </row>
    <row r="998" spans="1:5" ht="16">
      <c r="A998" s="12"/>
      <c r="B998" s="13"/>
      <c r="C998" s="14"/>
      <c r="D998" s="13"/>
      <c r="E998" s="13"/>
    </row>
    <row r="999" spans="1:5" ht="16">
      <c r="A999" s="12"/>
      <c r="B999" s="13"/>
      <c r="C999" s="14"/>
      <c r="D999" s="13"/>
      <c r="E999" s="13"/>
    </row>
    <row r="1000" spans="1:5" ht="16">
      <c r="A1000" s="12"/>
      <c r="B1000" s="13"/>
      <c r="C1000" s="14"/>
      <c r="D1000" s="13"/>
      <c r="E1000" s="13"/>
    </row>
    <row r="1001" spans="1:5" ht="16">
      <c r="A1001" s="12"/>
      <c r="B1001" s="13"/>
      <c r="C1001" s="14"/>
      <c r="D1001" s="13"/>
      <c r="E1001" s="13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J1001"/>
  <sheetViews>
    <sheetView zoomScaleNormal="100" workbookViewId="0">
      <selection activeCell="J40" sqref="J40"/>
    </sheetView>
  </sheetViews>
  <sheetFormatPr baseColWidth="10" defaultColWidth="9.1640625" defaultRowHeight="15"/>
  <cols>
    <col min="1" max="1" width="19.6640625" bestFit="1" customWidth="1"/>
    <col min="2" max="2" width="19.83203125" bestFit="1" customWidth="1"/>
    <col min="3" max="3" width="15" bestFit="1" customWidth="1"/>
    <col min="4" max="4" width="18.33203125" bestFit="1" customWidth="1"/>
    <col min="5" max="5" width="7.1640625" bestFit="1" customWidth="1"/>
    <col min="6" max="6" width="19.5" bestFit="1" customWidth="1"/>
    <col min="7" max="7" width="12.1640625" bestFit="1" customWidth="1"/>
    <col min="8" max="8" width="11.5" bestFit="1" customWidth="1"/>
    <col min="9" max="9" width="22.33203125" bestFit="1" customWidth="1"/>
    <col min="10" max="10" width="7.83203125" bestFit="1" customWidth="1"/>
  </cols>
  <sheetData>
    <row r="1" spans="1:10" ht="57">
      <c r="A1" s="18" t="s">
        <v>149</v>
      </c>
      <c r="B1" s="19" t="s">
        <v>150</v>
      </c>
      <c r="C1" s="19" t="s">
        <v>151</v>
      </c>
      <c r="D1" s="18" t="s">
        <v>152</v>
      </c>
      <c r="E1" s="19" t="s">
        <v>153</v>
      </c>
      <c r="F1" s="18" t="s">
        <v>154</v>
      </c>
      <c r="G1" s="18" t="s">
        <v>155</v>
      </c>
      <c r="H1" s="19" t="s">
        <v>156</v>
      </c>
      <c r="I1" s="18" t="s">
        <v>157</v>
      </c>
      <c r="J1" s="19" t="s">
        <v>158</v>
      </c>
    </row>
    <row r="2" spans="1:10" ht="16">
      <c r="A2" s="20">
        <v>40724</v>
      </c>
      <c r="B2" s="21">
        <v>632.47863247863302</v>
      </c>
      <c r="C2" s="21">
        <v>4000</v>
      </c>
      <c r="D2" s="20">
        <v>40724</v>
      </c>
      <c r="E2" s="21">
        <v>2386.1</v>
      </c>
      <c r="F2" s="22">
        <v>1</v>
      </c>
      <c r="G2" s="20">
        <v>40724</v>
      </c>
      <c r="H2" s="18">
        <v>300</v>
      </c>
      <c r="I2" s="20">
        <v>40724</v>
      </c>
      <c r="J2" s="18">
        <v>20</v>
      </c>
    </row>
    <row r="3" spans="1:10" ht="16">
      <c r="A3" s="20">
        <v>40755</v>
      </c>
      <c r="B3" s="21">
        <v>658.11965811965797</v>
      </c>
      <c r="C3" s="21">
        <v>4000</v>
      </c>
      <c r="D3" s="20">
        <v>40755</v>
      </c>
      <c r="E3" s="21">
        <v>2365.4</v>
      </c>
      <c r="F3" s="22">
        <v>1</v>
      </c>
      <c r="G3" s="20">
        <v>41090</v>
      </c>
      <c r="H3" s="18">
        <v>300</v>
      </c>
      <c r="I3" s="20">
        <v>41090</v>
      </c>
      <c r="J3" s="18">
        <v>20</v>
      </c>
    </row>
    <row r="4" spans="1:10" ht="16">
      <c r="A4" s="20">
        <v>40786</v>
      </c>
      <c r="B4" s="21">
        <v>658.11965811965797</v>
      </c>
      <c r="C4" s="21">
        <v>4000</v>
      </c>
      <c r="D4" s="20">
        <v>40786</v>
      </c>
      <c r="E4" s="21">
        <v>2257.8000000000002</v>
      </c>
      <c r="F4" s="22">
        <v>1</v>
      </c>
      <c r="G4" s="20">
        <v>41764</v>
      </c>
      <c r="H4" s="18">
        <v>340</v>
      </c>
      <c r="I4" s="20">
        <v>41764</v>
      </c>
      <c r="J4" s="23">
        <v>22</v>
      </c>
    </row>
    <row r="5" spans="1:10" ht="16">
      <c r="A5" s="20">
        <v>40816</v>
      </c>
      <c r="B5" s="21">
        <v>658.11965811965797</v>
      </c>
      <c r="C5" s="21">
        <v>4000</v>
      </c>
      <c r="D5" s="20">
        <v>40816</v>
      </c>
      <c r="E5" s="21">
        <v>2402.8000000000002</v>
      </c>
      <c r="F5" s="22">
        <v>1</v>
      </c>
      <c r="G5" s="20">
        <v>42049</v>
      </c>
      <c r="H5" s="18">
        <v>240</v>
      </c>
      <c r="I5" s="20">
        <v>43253</v>
      </c>
      <c r="J5" s="18">
        <v>30</v>
      </c>
    </row>
    <row r="6" spans="1:10" ht="16">
      <c r="A6" s="20">
        <v>40847</v>
      </c>
      <c r="B6" s="21">
        <v>658.11965811965797</v>
      </c>
      <c r="C6" s="21">
        <v>4000</v>
      </c>
      <c r="D6" s="20">
        <v>40847</v>
      </c>
      <c r="E6" s="21">
        <v>2498.5</v>
      </c>
      <c r="F6" s="22">
        <v>1</v>
      </c>
      <c r="G6" s="20">
        <v>42073</v>
      </c>
      <c r="H6" s="18">
        <v>240</v>
      </c>
      <c r="I6" s="20"/>
      <c r="J6" s="18"/>
    </row>
    <row r="7" spans="1:10" ht="16">
      <c r="A7" s="20">
        <v>40877</v>
      </c>
      <c r="B7" s="21">
        <v>658.11965811965797</v>
      </c>
      <c r="C7" s="24">
        <v>4000</v>
      </c>
      <c r="D7" s="20">
        <v>40877</v>
      </c>
      <c r="E7" s="21">
        <v>2636.1</v>
      </c>
      <c r="F7" s="22">
        <v>1</v>
      </c>
      <c r="G7" s="20">
        <v>42103</v>
      </c>
      <c r="H7" s="18">
        <v>240</v>
      </c>
      <c r="I7" s="20"/>
      <c r="J7" s="18"/>
    </row>
    <row r="8" spans="1:10" ht="16">
      <c r="A8" s="20">
        <v>40908</v>
      </c>
      <c r="B8" s="21">
        <v>658.11965811965797</v>
      </c>
      <c r="C8" s="24">
        <v>4000</v>
      </c>
      <c r="D8" s="20">
        <v>40908</v>
      </c>
      <c r="E8" s="21">
        <v>2700</v>
      </c>
      <c r="F8" s="22">
        <v>1</v>
      </c>
      <c r="G8" s="20">
        <v>42136</v>
      </c>
      <c r="H8" s="18">
        <v>240</v>
      </c>
      <c r="I8" s="20"/>
      <c r="J8" s="18"/>
    </row>
    <row r="9" spans="1:10" ht="16">
      <c r="A9" s="20">
        <v>40939</v>
      </c>
      <c r="B9" s="21">
        <v>692.30769230769204</v>
      </c>
      <c r="C9" s="24">
        <v>4000</v>
      </c>
      <c r="D9" s="20">
        <v>40939</v>
      </c>
      <c r="E9" s="21">
        <v>2640.5</v>
      </c>
      <c r="F9" s="22">
        <v>1</v>
      </c>
      <c r="G9" s="20">
        <v>42153</v>
      </c>
      <c r="H9" s="18">
        <v>240</v>
      </c>
      <c r="I9" s="20"/>
      <c r="J9" s="18"/>
    </row>
    <row r="10" spans="1:10" ht="16">
      <c r="A10" s="20">
        <v>40968</v>
      </c>
      <c r="B10" s="21">
        <v>685.79487179487205</v>
      </c>
      <c r="C10" s="24">
        <v>4000</v>
      </c>
      <c r="D10" s="20">
        <v>40968</v>
      </c>
      <c r="E10" s="21">
        <v>2494.6</v>
      </c>
      <c r="F10" s="22">
        <v>1</v>
      </c>
      <c r="G10" s="20">
        <v>42219</v>
      </c>
      <c r="H10" s="18">
        <v>240</v>
      </c>
      <c r="I10" s="20"/>
      <c r="J10" s="18"/>
    </row>
    <row r="11" spans="1:10" ht="16">
      <c r="A11" s="20">
        <v>40999</v>
      </c>
      <c r="B11" s="21">
        <v>683.76068376068395</v>
      </c>
      <c r="C11" s="24">
        <v>4000</v>
      </c>
      <c r="D11" s="20">
        <v>40999</v>
      </c>
      <c r="E11" s="21">
        <v>2256</v>
      </c>
      <c r="F11" s="22">
        <v>1</v>
      </c>
      <c r="G11" s="20">
        <v>42277</v>
      </c>
      <c r="H11" s="18">
        <v>241</v>
      </c>
      <c r="I11" s="20"/>
      <c r="J11" s="18"/>
    </row>
    <row r="12" spans="1:10" ht="16">
      <c r="A12" s="20">
        <v>41029</v>
      </c>
      <c r="B12" s="21">
        <v>683.76068376068395</v>
      </c>
      <c r="C12" s="24">
        <v>4000</v>
      </c>
      <c r="D12" s="20">
        <v>41029</v>
      </c>
      <c r="E12" s="21">
        <v>2593.9</v>
      </c>
      <c r="F12" s="22">
        <v>1</v>
      </c>
      <c r="G12" s="20">
        <v>42310</v>
      </c>
      <c r="H12" s="18">
        <v>240</v>
      </c>
      <c r="I12" s="20"/>
      <c r="J12" s="18"/>
    </row>
    <row r="13" spans="1:10" ht="16">
      <c r="A13" s="20">
        <v>41060</v>
      </c>
      <c r="B13" s="21">
        <v>786.73504273504295</v>
      </c>
      <c r="C13" s="24">
        <v>4000</v>
      </c>
      <c r="D13" s="20">
        <v>41060</v>
      </c>
      <c r="E13" s="21">
        <v>2698</v>
      </c>
      <c r="F13" s="22">
        <v>1</v>
      </c>
      <c r="G13" s="20">
        <v>42341</v>
      </c>
      <c r="H13" s="18">
        <v>240</v>
      </c>
      <c r="I13" s="20"/>
      <c r="J13" s="18"/>
    </row>
    <row r="14" spans="1:10" ht="16">
      <c r="A14" s="20">
        <v>41090</v>
      </c>
      <c r="B14" s="21">
        <v>676.06837606837598</v>
      </c>
      <c r="C14" s="24">
        <v>4000</v>
      </c>
      <c r="D14" s="20">
        <v>41090</v>
      </c>
      <c r="E14" s="21">
        <v>2729.1</v>
      </c>
      <c r="F14" s="22">
        <v>1</v>
      </c>
      <c r="G14" s="20">
        <v>42373</v>
      </c>
      <c r="H14" s="18">
        <v>240</v>
      </c>
      <c r="I14" s="20"/>
      <c r="J14" s="18"/>
    </row>
    <row r="15" spans="1:10" ht="16">
      <c r="A15" s="20">
        <v>41121</v>
      </c>
      <c r="B15" s="21">
        <v>658.11965811965797</v>
      </c>
      <c r="C15" s="24">
        <v>4000</v>
      </c>
      <c r="D15" s="20">
        <v>41121</v>
      </c>
      <c r="E15" s="21">
        <v>2812.8</v>
      </c>
      <c r="F15" s="22">
        <v>1</v>
      </c>
      <c r="G15" s="20">
        <v>42406</v>
      </c>
      <c r="H15" s="18">
        <v>240</v>
      </c>
      <c r="I15" s="20"/>
      <c r="J15" s="18"/>
    </row>
    <row r="16" spans="1:10" ht="16">
      <c r="A16" s="20">
        <v>41152</v>
      </c>
      <c r="B16" s="21">
        <v>610.555555555556</v>
      </c>
      <c r="C16" s="24">
        <v>4000</v>
      </c>
      <c r="D16" s="20">
        <v>41152</v>
      </c>
      <c r="E16" s="21">
        <v>2828.6</v>
      </c>
      <c r="F16" s="22">
        <v>1</v>
      </c>
      <c r="G16" s="20">
        <v>42433</v>
      </c>
      <c r="H16" s="18">
        <v>240</v>
      </c>
      <c r="I16" s="20"/>
      <c r="J16" s="18"/>
    </row>
    <row r="17" spans="1:10" ht="16">
      <c r="A17" s="20">
        <v>41182</v>
      </c>
      <c r="B17" s="21">
        <v>384.61538461538498</v>
      </c>
      <c r="C17" s="24">
        <v>4000</v>
      </c>
      <c r="D17" s="20">
        <v>41182</v>
      </c>
      <c r="E17" s="21">
        <v>2800</v>
      </c>
      <c r="F17" s="22">
        <v>1</v>
      </c>
      <c r="G17" s="20">
        <v>42584</v>
      </c>
      <c r="H17" s="18">
        <v>240</v>
      </c>
      <c r="I17" s="20"/>
      <c r="J17" s="18"/>
    </row>
    <row r="18" spans="1:10" ht="16">
      <c r="A18" s="20">
        <v>41213</v>
      </c>
      <c r="B18" s="21">
        <v>384.61538461538498</v>
      </c>
      <c r="C18" s="24">
        <v>4000</v>
      </c>
      <c r="D18" s="20">
        <v>41213</v>
      </c>
      <c r="E18" s="21">
        <v>2600.6999999999998</v>
      </c>
      <c r="F18" s="22">
        <v>1</v>
      </c>
      <c r="G18" s="20">
        <v>42616</v>
      </c>
      <c r="H18" s="18">
        <v>240</v>
      </c>
      <c r="I18" s="20"/>
      <c r="J18" s="18"/>
    </row>
    <row r="19" spans="1:10" ht="16">
      <c r="A19" s="20">
        <v>41243</v>
      </c>
      <c r="B19" s="21">
        <v>384.61538461538498</v>
      </c>
      <c r="C19" s="24">
        <v>4000</v>
      </c>
      <c r="D19" s="20">
        <v>41243</v>
      </c>
      <c r="E19" s="21">
        <v>2286.6</v>
      </c>
      <c r="F19" s="22">
        <v>1</v>
      </c>
      <c r="G19" s="20">
        <v>42658</v>
      </c>
      <c r="H19" s="18">
        <v>240</v>
      </c>
      <c r="I19" s="20"/>
      <c r="J19" s="18"/>
    </row>
    <row r="20" spans="1:10" ht="16">
      <c r="A20" s="20">
        <v>41274</v>
      </c>
      <c r="B20" s="21">
        <v>384.61538461538498</v>
      </c>
      <c r="C20" s="24">
        <v>4000</v>
      </c>
      <c r="D20" s="20">
        <v>41274</v>
      </c>
      <c r="E20" s="21">
        <v>2226.5</v>
      </c>
      <c r="F20" s="22">
        <v>1</v>
      </c>
      <c r="G20" s="20">
        <v>42679</v>
      </c>
      <c r="H20" s="18">
        <v>240</v>
      </c>
      <c r="I20" s="20"/>
      <c r="J20" s="18"/>
    </row>
    <row r="21" spans="1:10" ht="16">
      <c r="A21" s="20">
        <v>41304</v>
      </c>
      <c r="B21" s="21">
        <v>405.982905982906</v>
      </c>
      <c r="C21" s="24">
        <v>4000</v>
      </c>
      <c r="D21" s="20">
        <v>41304</v>
      </c>
      <c r="E21" s="21">
        <v>2035.7</v>
      </c>
      <c r="F21" s="22">
        <v>1</v>
      </c>
      <c r="G21" s="20">
        <v>42700</v>
      </c>
      <c r="H21" s="18">
        <v>240</v>
      </c>
      <c r="I21" s="20"/>
      <c r="J21" s="18"/>
    </row>
    <row r="22" spans="1:10" ht="16">
      <c r="A22" s="20">
        <v>41333</v>
      </c>
      <c r="B22" s="21">
        <v>405.982905982906</v>
      </c>
      <c r="C22" s="24">
        <v>4000</v>
      </c>
      <c r="D22" s="20">
        <v>41333</v>
      </c>
      <c r="E22" s="21">
        <v>2016.3</v>
      </c>
      <c r="F22" s="22">
        <v>1</v>
      </c>
      <c r="G22" s="20">
        <v>42735</v>
      </c>
      <c r="H22" s="18">
        <v>240</v>
      </c>
      <c r="I22" s="20"/>
      <c r="J22" s="18"/>
    </row>
    <row r="23" spans="1:10" ht="16">
      <c r="A23" s="20">
        <v>41364</v>
      </c>
      <c r="B23" s="21">
        <v>405.982905982906</v>
      </c>
      <c r="C23" s="24">
        <v>4000</v>
      </c>
      <c r="D23" s="20">
        <v>41364</v>
      </c>
      <c r="E23" s="21">
        <v>1925.7</v>
      </c>
      <c r="F23" s="22">
        <v>1</v>
      </c>
      <c r="G23" s="20">
        <v>42770</v>
      </c>
      <c r="H23" s="18">
        <v>240</v>
      </c>
      <c r="I23" s="20"/>
      <c r="J23" s="18"/>
    </row>
    <row r="24" spans="1:10" ht="16">
      <c r="A24" s="20">
        <v>41394</v>
      </c>
      <c r="B24" s="21">
        <v>406</v>
      </c>
      <c r="C24" s="24">
        <v>4000</v>
      </c>
      <c r="D24" s="20">
        <v>41394</v>
      </c>
      <c r="E24" s="21">
        <v>1954</v>
      </c>
      <c r="F24" s="22">
        <v>1</v>
      </c>
      <c r="G24" s="20">
        <v>42798</v>
      </c>
      <c r="H24" s="18">
        <v>240</v>
      </c>
      <c r="I24" s="20"/>
      <c r="J24" s="18"/>
    </row>
    <row r="25" spans="1:10" ht="16">
      <c r="A25" s="20">
        <v>41425</v>
      </c>
      <c r="B25" s="21">
        <v>406</v>
      </c>
      <c r="C25" s="24">
        <v>4000</v>
      </c>
      <c r="D25" s="20">
        <v>41425</v>
      </c>
      <c r="E25" s="21">
        <v>1972</v>
      </c>
      <c r="F25" s="22">
        <v>1</v>
      </c>
      <c r="G25" s="20">
        <v>42833</v>
      </c>
      <c r="H25" s="18">
        <v>240</v>
      </c>
      <c r="I25" s="20"/>
      <c r="J25" s="18"/>
    </row>
    <row r="26" spans="1:10" ht="16">
      <c r="A26" s="20">
        <v>41455</v>
      </c>
      <c r="B26" s="21">
        <v>406</v>
      </c>
      <c r="C26" s="24">
        <v>4000</v>
      </c>
      <c r="D26" s="20">
        <v>41455</v>
      </c>
      <c r="E26" s="21">
        <v>1885</v>
      </c>
      <c r="F26" s="22">
        <v>1</v>
      </c>
      <c r="G26" s="20">
        <v>42854</v>
      </c>
      <c r="H26" s="18">
        <v>240</v>
      </c>
      <c r="I26" s="20"/>
      <c r="J26" s="18"/>
    </row>
    <row r="27" spans="1:10" ht="16">
      <c r="A27" s="20">
        <v>41486</v>
      </c>
      <c r="B27" s="21">
        <v>393.16239316239302</v>
      </c>
      <c r="C27" s="24">
        <v>4000</v>
      </c>
      <c r="D27" s="20">
        <v>41486</v>
      </c>
      <c r="E27" s="21">
        <v>1902.7</v>
      </c>
      <c r="F27" s="22">
        <v>1</v>
      </c>
      <c r="G27" s="20">
        <v>42882</v>
      </c>
      <c r="H27" s="18">
        <v>240</v>
      </c>
      <c r="I27" s="20"/>
      <c r="J27" s="18"/>
    </row>
    <row r="28" spans="1:10" ht="16">
      <c r="A28" s="20">
        <v>41517</v>
      </c>
      <c r="B28" s="21">
        <v>393.16239316239302</v>
      </c>
      <c r="C28" s="24">
        <v>4000</v>
      </c>
      <c r="D28" s="20">
        <v>41517</v>
      </c>
      <c r="E28" s="21">
        <v>1825.8</v>
      </c>
      <c r="F28" s="22">
        <v>1</v>
      </c>
      <c r="G28" s="20"/>
      <c r="H28" s="18"/>
      <c r="I28" s="20"/>
      <c r="J28" s="18"/>
    </row>
    <row r="29" spans="1:10" ht="16">
      <c r="A29" s="20">
        <v>41552</v>
      </c>
      <c r="B29" s="21">
        <v>393</v>
      </c>
      <c r="C29" s="24">
        <v>4000</v>
      </c>
      <c r="D29" s="20">
        <v>41552</v>
      </c>
      <c r="E29" s="21">
        <v>1753</v>
      </c>
      <c r="F29" s="22">
        <v>1</v>
      </c>
      <c r="G29" s="20"/>
      <c r="H29" s="18"/>
      <c r="I29" s="20"/>
      <c r="J29" s="18"/>
    </row>
    <row r="30" spans="1:10" ht="16">
      <c r="A30" s="20">
        <v>41587</v>
      </c>
      <c r="B30" s="21">
        <v>393</v>
      </c>
      <c r="C30" s="24">
        <v>4000</v>
      </c>
      <c r="D30" s="20">
        <v>41587</v>
      </c>
      <c r="E30" s="21">
        <v>1844</v>
      </c>
      <c r="F30" s="22">
        <v>1</v>
      </c>
      <c r="G30" s="20"/>
      <c r="H30" s="18"/>
      <c r="I30" s="20"/>
      <c r="J30" s="18"/>
    </row>
    <row r="31" spans="1:10" ht="16">
      <c r="A31" s="20">
        <v>41610</v>
      </c>
      <c r="B31" s="21">
        <v>393</v>
      </c>
      <c r="C31" s="24">
        <v>4000</v>
      </c>
      <c r="D31" s="20">
        <v>41610</v>
      </c>
      <c r="E31" s="21">
        <v>1950</v>
      </c>
      <c r="F31" s="22">
        <v>1</v>
      </c>
      <c r="G31" s="20"/>
      <c r="H31" s="18"/>
      <c r="I31" s="20"/>
      <c r="J31" s="18"/>
    </row>
    <row r="32" spans="1:10" ht="16">
      <c r="A32" s="20">
        <v>41678</v>
      </c>
      <c r="B32" s="21">
        <v>393</v>
      </c>
      <c r="C32" s="24">
        <v>4000</v>
      </c>
      <c r="D32" s="20">
        <v>41678</v>
      </c>
      <c r="E32" s="21">
        <v>2112.8000000000002</v>
      </c>
      <c r="F32" s="22">
        <v>1</v>
      </c>
      <c r="G32" s="20"/>
      <c r="H32" s="18"/>
      <c r="I32" s="20"/>
      <c r="J32" s="18"/>
    </row>
    <row r="33" spans="1:10" ht="16">
      <c r="A33" s="20">
        <v>41707</v>
      </c>
      <c r="B33" s="21">
        <v>460</v>
      </c>
      <c r="C33" s="24">
        <v>4000</v>
      </c>
      <c r="D33" s="20">
        <v>41707</v>
      </c>
      <c r="E33" s="21">
        <v>2112.8000000000002</v>
      </c>
      <c r="F33" s="22">
        <v>1</v>
      </c>
      <c r="G33" s="20"/>
      <c r="H33" s="18"/>
      <c r="I33" s="20"/>
      <c r="J33" s="18"/>
    </row>
    <row r="34" spans="1:10" ht="16">
      <c r="A34" s="20">
        <v>41726</v>
      </c>
      <c r="B34" s="21">
        <v>393</v>
      </c>
      <c r="C34" s="24">
        <v>4000</v>
      </c>
      <c r="D34" s="20">
        <v>41726</v>
      </c>
      <c r="E34" s="21">
        <v>1795.9</v>
      </c>
      <c r="F34" s="22">
        <v>1</v>
      </c>
      <c r="G34" s="20"/>
      <c r="H34" s="18"/>
      <c r="I34" s="20"/>
      <c r="J34" s="18"/>
    </row>
    <row r="35" spans="1:10" ht="16">
      <c r="A35" s="20">
        <v>41764</v>
      </c>
      <c r="B35" s="21">
        <v>376</v>
      </c>
      <c r="C35" s="24">
        <v>4000</v>
      </c>
      <c r="D35" s="20">
        <v>41764</v>
      </c>
      <c r="E35" s="21">
        <v>1769</v>
      </c>
      <c r="F35" s="22">
        <v>1</v>
      </c>
      <c r="G35" s="20"/>
      <c r="H35" s="18"/>
      <c r="I35" s="20"/>
      <c r="J35" s="18"/>
    </row>
    <row r="36" spans="1:10" ht="16">
      <c r="A36" s="20">
        <v>41841</v>
      </c>
      <c r="B36" s="21">
        <v>385</v>
      </c>
      <c r="C36" s="24">
        <v>4000</v>
      </c>
      <c r="D36" s="20">
        <v>41841</v>
      </c>
      <c r="E36" s="21">
        <v>1600</v>
      </c>
      <c r="F36" s="22">
        <v>1</v>
      </c>
      <c r="G36" s="20"/>
      <c r="H36" s="18"/>
      <c r="I36" s="20"/>
      <c r="J36" s="18"/>
    </row>
    <row r="37" spans="1:10" ht="16">
      <c r="A37" s="20">
        <v>41883</v>
      </c>
      <c r="B37" s="21">
        <v>355</v>
      </c>
      <c r="C37" s="24">
        <v>4000</v>
      </c>
      <c r="D37" s="20">
        <v>41883</v>
      </c>
      <c r="E37" s="21">
        <v>1595</v>
      </c>
      <c r="F37" s="22">
        <v>1</v>
      </c>
      <c r="G37" s="20"/>
      <c r="H37" s="18"/>
      <c r="I37" s="20"/>
      <c r="J37" s="18"/>
    </row>
    <row r="38" spans="1:10" ht="16">
      <c r="A38" s="20">
        <v>41909</v>
      </c>
      <c r="B38" s="21">
        <v>355</v>
      </c>
      <c r="C38" s="24">
        <v>4000</v>
      </c>
      <c r="D38" s="20">
        <v>41909</v>
      </c>
      <c r="E38" s="21">
        <v>1635</v>
      </c>
      <c r="F38" s="22">
        <v>1</v>
      </c>
      <c r="G38" s="20"/>
      <c r="H38" s="18"/>
      <c r="I38" s="20"/>
      <c r="J38" s="18"/>
    </row>
    <row r="39" spans="1:10" ht="16">
      <c r="A39" s="20">
        <v>41944</v>
      </c>
      <c r="B39" s="21">
        <v>355</v>
      </c>
      <c r="C39" s="24">
        <v>4000</v>
      </c>
      <c r="D39" s="20">
        <v>41944</v>
      </c>
      <c r="E39" s="21">
        <v>1756</v>
      </c>
      <c r="F39" s="22">
        <v>1</v>
      </c>
      <c r="G39" s="20"/>
      <c r="H39" s="18"/>
      <c r="I39" s="20"/>
      <c r="J39" s="18"/>
    </row>
    <row r="40" spans="1:10" ht="16">
      <c r="A40" s="20">
        <v>41980</v>
      </c>
      <c r="B40" s="21">
        <v>355</v>
      </c>
      <c r="C40" s="24">
        <v>4000</v>
      </c>
      <c r="D40" s="20">
        <v>41980</v>
      </c>
      <c r="E40" s="21">
        <v>1812</v>
      </c>
      <c r="F40" s="22">
        <v>1</v>
      </c>
      <c r="G40" s="20"/>
      <c r="H40" s="18"/>
      <c r="I40" s="20"/>
      <c r="J40" s="18"/>
    </row>
    <row r="41" spans="1:10" ht="16">
      <c r="A41" s="20">
        <v>42006</v>
      </c>
      <c r="B41" s="21">
        <v>359</v>
      </c>
      <c r="C41" s="24">
        <v>4000</v>
      </c>
      <c r="D41" s="20">
        <v>42006</v>
      </c>
      <c r="E41" s="21">
        <v>1700</v>
      </c>
      <c r="F41" s="22">
        <v>1</v>
      </c>
      <c r="G41" s="20"/>
      <c r="H41" s="18"/>
      <c r="I41" s="20"/>
      <c r="J41" s="18"/>
    </row>
    <row r="42" spans="1:10" ht="16">
      <c r="A42" s="20">
        <v>42049</v>
      </c>
      <c r="B42" s="21">
        <v>359</v>
      </c>
      <c r="C42" s="24">
        <v>4000</v>
      </c>
      <c r="D42" s="20">
        <v>42049</v>
      </c>
      <c r="E42" s="21">
        <v>1598</v>
      </c>
      <c r="F42" s="22">
        <v>1</v>
      </c>
      <c r="G42" s="20"/>
      <c r="H42" s="18"/>
      <c r="I42" s="20"/>
      <c r="J42" s="18"/>
    </row>
    <row r="43" spans="1:10" ht="16">
      <c r="A43" s="20">
        <v>42073</v>
      </c>
      <c r="B43" s="21">
        <v>359</v>
      </c>
      <c r="C43" s="24">
        <v>4000</v>
      </c>
      <c r="D43" s="20">
        <v>42073</v>
      </c>
      <c r="E43" s="21">
        <v>1575.9</v>
      </c>
      <c r="F43" s="22">
        <v>1</v>
      </c>
      <c r="G43" s="20"/>
      <c r="H43" s="18"/>
      <c r="I43" s="20"/>
      <c r="J43" s="18"/>
    </row>
    <row r="44" spans="1:10" ht="16">
      <c r="A44" s="20">
        <v>42103</v>
      </c>
      <c r="B44" s="21">
        <v>359</v>
      </c>
      <c r="C44" s="24">
        <v>4000</v>
      </c>
      <c r="D44" s="20">
        <v>42103</v>
      </c>
      <c r="E44" s="21">
        <v>1651</v>
      </c>
      <c r="F44" s="22">
        <v>1</v>
      </c>
      <c r="G44" s="20"/>
      <c r="H44" s="18"/>
      <c r="I44" s="20"/>
      <c r="J44" s="18"/>
    </row>
    <row r="45" spans="1:10" ht="16">
      <c r="A45" s="20">
        <v>42136</v>
      </c>
      <c r="B45" s="21">
        <v>322</v>
      </c>
      <c r="C45" s="24">
        <v>4000</v>
      </c>
      <c r="D45" s="20">
        <v>42136</v>
      </c>
      <c r="E45" s="21">
        <v>1738.375</v>
      </c>
      <c r="F45" s="22">
        <v>1</v>
      </c>
      <c r="G45" s="20"/>
      <c r="H45" s="18"/>
      <c r="I45" s="20"/>
      <c r="J45" s="18"/>
    </row>
    <row r="46" spans="1:10" ht="16">
      <c r="A46" s="20">
        <v>42153</v>
      </c>
      <c r="B46" s="21">
        <v>316</v>
      </c>
      <c r="C46" s="24">
        <v>4000</v>
      </c>
      <c r="D46" s="20">
        <v>42153</v>
      </c>
      <c r="E46" s="21">
        <v>1760</v>
      </c>
      <c r="F46" s="22">
        <v>1</v>
      </c>
      <c r="G46" s="20"/>
      <c r="H46" s="18"/>
      <c r="I46" s="20"/>
      <c r="J46" s="18"/>
    </row>
    <row r="47" spans="1:10" ht="16">
      <c r="A47" s="20">
        <v>42186</v>
      </c>
      <c r="B47" s="21">
        <v>316.239316239316</v>
      </c>
      <c r="C47" s="24">
        <v>4000</v>
      </c>
      <c r="D47" s="20">
        <v>42186</v>
      </c>
      <c r="E47" s="21">
        <v>1858.4</v>
      </c>
      <c r="F47" s="22">
        <v>1</v>
      </c>
      <c r="G47" s="20"/>
      <c r="H47" s="18"/>
      <c r="I47" s="20"/>
      <c r="J47" s="18"/>
    </row>
    <row r="48" spans="1:10" ht="16">
      <c r="A48" s="20">
        <v>42219</v>
      </c>
      <c r="B48" s="21">
        <v>316.239316239316</v>
      </c>
      <c r="C48" s="24">
        <v>4000</v>
      </c>
      <c r="D48" s="20">
        <v>42219</v>
      </c>
      <c r="E48" s="21">
        <v>1827</v>
      </c>
      <c r="F48" s="22">
        <v>1</v>
      </c>
      <c r="G48" s="20"/>
      <c r="H48" s="18"/>
      <c r="I48" s="20"/>
      <c r="J48" s="18"/>
    </row>
    <row r="49" spans="1:10" ht="16">
      <c r="A49" s="20">
        <v>42247</v>
      </c>
      <c r="B49" s="21">
        <v>316.239316239316</v>
      </c>
      <c r="C49" s="24">
        <v>4000</v>
      </c>
      <c r="D49" s="20">
        <v>42247</v>
      </c>
      <c r="E49" s="21">
        <v>1837</v>
      </c>
      <c r="F49" s="22">
        <v>1</v>
      </c>
      <c r="G49" s="20"/>
      <c r="H49" s="18"/>
      <c r="I49" s="20"/>
      <c r="J49" s="18"/>
    </row>
    <row r="50" spans="1:10" ht="16">
      <c r="A50" s="20">
        <v>42277</v>
      </c>
      <c r="B50" s="21">
        <v>316</v>
      </c>
      <c r="C50" s="24">
        <v>4000</v>
      </c>
      <c r="D50" s="20">
        <v>42277</v>
      </c>
      <c r="E50" s="21">
        <v>2034</v>
      </c>
      <c r="F50" s="22">
        <v>1</v>
      </c>
      <c r="G50" s="20"/>
      <c r="H50" s="18"/>
      <c r="I50" s="20"/>
      <c r="J50" s="18"/>
    </row>
    <row r="51" spans="1:10" ht="16">
      <c r="A51" s="20">
        <v>42310</v>
      </c>
      <c r="B51" s="21">
        <v>314</v>
      </c>
      <c r="C51" s="24">
        <v>4000</v>
      </c>
      <c r="D51" s="20">
        <v>42310</v>
      </c>
      <c r="E51" s="21">
        <v>2027</v>
      </c>
      <c r="F51" s="22">
        <v>1</v>
      </c>
      <c r="G51" s="20"/>
      <c r="H51" s="18"/>
      <c r="I51" s="20"/>
      <c r="J51" s="18"/>
    </row>
    <row r="52" spans="1:10" ht="16">
      <c r="A52" s="20">
        <v>42341</v>
      </c>
      <c r="B52" s="21">
        <v>308</v>
      </c>
      <c r="C52" s="24">
        <v>4000</v>
      </c>
      <c r="D52" s="20">
        <v>42341</v>
      </c>
      <c r="E52" s="21">
        <v>1960</v>
      </c>
      <c r="F52" s="22">
        <v>1</v>
      </c>
      <c r="G52" s="20"/>
      <c r="H52" s="18"/>
      <c r="I52" s="20"/>
      <c r="J52" s="18"/>
    </row>
    <row r="53" spans="1:10" ht="16">
      <c r="A53" s="20">
        <v>42373</v>
      </c>
      <c r="B53" s="21">
        <v>308</v>
      </c>
      <c r="C53" s="24">
        <v>4000</v>
      </c>
      <c r="D53" s="20">
        <v>42373</v>
      </c>
      <c r="E53" s="21">
        <v>1805</v>
      </c>
      <c r="F53" s="22">
        <v>1</v>
      </c>
      <c r="G53" s="20"/>
      <c r="H53" s="18"/>
      <c r="I53" s="20"/>
      <c r="J53" s="18"/>
    </row>
    <row r="54" spans="1:10" ht="16">
      <c r="A54" s="20">
        <v>42406</v>
      </c>
      <c r="B54" s="21">
        <v>309</v>
      </c>
      <c r="C54" s="24">
        <v>4000</v>
      </c>
      <c r="D54" s="20">
        <v>42406</v>
      </c>
      <c r="E54" s="21">
        <v>1540</v>
      </c>
      <c r="F54" s="22">
        <v>1</v>
      </c>
      <c r="G54" s="20"/>
      <c r="H54" s="18"/>
      <c r="I54" s="20"/>
      <c r="J54" s="18"/>
    </row>
    <row r="55" spans="1:10" ht="16">
      <c r="A55" s="20">
        <v>42433</v>
      </c>
      <c r="B55" s="21">
        <v>316</v>
      </c>
      <c r="C55" s="24">
        <v>4000</v>
      </c>
      <c r="D55" s="20">
        <v>42433</v>
      </c>
      <c r="E55" s="21">
        <v>1588.3</v>
      </c>
      <c r="F55" s="22">
        <v>1</v>
      </c>
      <c r="G55" s="20"/>
      <c r="H55" s="18"/>
      <c r="I55" s="20"/>
      <c r="J55" s="18"/>
    </row>
    <row r="56" spans="1:10" ht="16">
      <c r="A56" s="20">
        <v>42466</v>
      </c>
      <c r="B56" s="21">
        <v>317</v>
      </c>
      <c r="C56" s="24">
        <v>4000</v>
      </c>
      <c r="D56" s="20">
        <v>42466</v>
      </c>
      <c r="E56" s="21">
        <v>1582</v>
      </c>
      <c r="F56" s="22">
        <v>1</v>
      </c>
      <c r="G56" s="20"/>
      <c r="H56" s="18"/>
      <c r="I56" s="20"/>
      <c r="J56" s="18"/>
    </row>
    <row r="57" spans="1:10" ht="16">
      <c r="A57" s="20">
        <v>42584</v>
      </c>
      <c r="B57" s="21">
        <v>333.33</v>
      </c>
      <c r="C57" s="24">
        <v>4000</v>
      </c>
      <c r="D57" s="20">
        <v>42584</v>
      </c>
      <c r="E57" s="21">
        <v>1785.7</v>
      </c>
      <c r="F57" s="22">
        <v>1</v>
      </c>
      <c r="G57" s="20"/>
      <c r="H57" s="18"/>
      <c r="I57" s="20"/>
      <c r="J57" s="18"/>
    </row>
    <row r="58" spans="1:10" ht="16">
      <c r="A58" s="20">
        <v>42616</v>
      </c>
      <c r="B58" s="21">
        <v>345.222222222222</v>
      </c>
      <c r="C58" s="24">
        <v>4000</v>
      </c>
      <c r="D58" s="20">
        <v>42616</v>
      </c>
      <c r="E58" s="21">
        <v>1734</v>
      </c>
      <c r="F58" s="22">
        <v>1</v>
      </c>
      <c r="G58" s="20"/>
      <c r="H58" s="18"/>
      <c r="I58" s="20"/>
      <c r="J58" s="18"/>
    </row>
    <row r="59" spans="1:10" ht="16">
      <c r="A59" s="20">
        <v>42658</v>
      </c>
      <c r="B59" s="21">
        <v>370.777777777778</v>
      </c>
      <c r="C59" s="24">
        <v>4000</v>
      </c>
      <c r="D59" s="20">
        <v>42658</v>
      </c>
      <c r="E59" s="21">
        <v>2002.1</v>
      </c>
      <c r="F59" s="22">
        <v>1</v>
      </c>
      <c r="G59" s="20"/>
      <c r="H59" s="18"/>
      <c r="I59" s="20"/>
      <c r="J59" s="18"/>
    </row>
    <row r="60" spans="1:10" ht="16">
      <c r="A60" s="20">
        <v>42679</v>
      </c>
      <c r="B60" s="21">
        <v>410.73504273504301</v>
      </c>
      <c r="C60" s="24">
        <v>4000</v>
      </c>
      <c r="D60" s="20">
        <v>42679</v>
      </c>
      <c r="E60" s="21">
        <v>2548.5</v>
      </c>
      <c r="F60" s="22">
        <v>1</v>
      </c>
      <c r="G60" s="20"/>
      <c r="H60" s="18"/>
      <c r="I60" s="20"/>
      <c r="J60" s="18"/>
    </row>
    <row r="61" spans="1:10" ht="16">
      <c r="A61" s="20">
        <v>42700</v>
      </c>
      <c r="B61" s="21">
        <v>421.91452991453002</v>
      </c>
      <c r="C61" s="24">
        <v>4000</v>
      </c>
      <c r="D61" s="20">
        <v>42700</v>
      </c>
      <c r="E61" s="21">
        <v>2864</v>
      </c>
      <c r="F61" s="22">
        <v>1</v>
      </c>
      <c r="G61" s="20"/>
      <c r="H61" s="18"/>
      <c r="I61" s="20"/>
      <c r="J61" s="18"/>
    </row>
    <row r="62" spans="1:10" ht="16">
      <c r="A62" s="20">
        <v>42735</v>
      </c>
      <c r="B62" s="21">
        <v>410.25641025640999</v>
      </c>
      <c r="C62" s="24">
        <v>4000</v>
      </c>
      <c r="D62" s="20">
        <v>42735</v>
      </c>
      <c r="E62" s="21">
        <v>2880.859375</v>
      </c>
      <c r="F62" s="22">
        <v>1</v>
      </c>
      <c r="G62" s="20"/>
      <c r="H62" s="18"/>
      <c r="I62" s="20"/>
      <c r="J62" s="18"/>
    </row>
    <row r="63" spans="1:10" ht="16">
      <c r="A63" s="20">
        <v>42770</v>
      </c>
      <c r="B63" s="21">
        <v>410.25641025640999</v>
      </c>
      <c r="C63" s="24">
        <v>4000</v>
      </c>
      <c r="D63" s="20">
        <v>42770</v>
      </c>
      <c r="E63" s="21">
        <v>2825.8928571428601</v>
      </c>
      <c r="F63" s="22">
        <v>1</v>
      </c>
      <c r="G63" s="20"/>
      <c r="H63" s="18"/>
      <c r="I63" s="20"/>
      <c r="J63" s="18"/>
    </row>
    <row r="64" spans="1:10" ht="16">
      <c r="A64" s="20">
        <v>42798</v>
      </c>
      <c r="B64" s="21">
        <v>410.25641025640999</v>
      </c>
      <c r="C64" s="24">
        <v>4000</v>
      </c>
      <c r="D64" s="20">
        <v>42798</v>
      </c>
      <c r="E64" s="21">
        <v>2818</v>
      </c>
      <c r="F64" s="22">
        <v>1</v>
      </c>
      <c r="G64" s="20"/>
      <c r="H64" s="18"/>
      <c r="I64" s="20"/>
      <c r="J64" s="18"/>
    </row>
    <row r="65" spans="1:10" ht="16">
      <c r="A65" s="20">
        <v>42833</v>
      </c>
      <c r="B65" s="21">
        <v>410.25641025640999</v>
      </c>
      <c r="C65" s="24">
        <v>4000</v>
      </c>
      <c r="D65" s="20">
        <v>42833</v>
      </c>
      <c r="E65" s="21">
        <v>2939.0625</v>
      </c>
      <c r="F65" s="22">
        <v>1</v>
      </c>
      <c r="G65" s="20"/>
      <c r="H65" s="18"/>
      <c r="I65" s="20"/>
      <c r="J65" s="18"/>
    </row>
    <row r="66" spans="1:10" ht="16">
      <c r="A66" s="20">
        <v>42854</v>
      </c>
      <c r="B66" s="21">
        <v>435</v>
      </c>
      <c r="C66" s="24">
        <v>4000</v>
      </c>
      <c r="D66" s="20">
        <v>42854</v>
      </c>
      <c r="E66" s="21">
        <v>2961</v>
      </c>
      <c r="F66" s="22">
        <v>1</v>
      </c>
      <c r="G66" s="20"/>
      <c r="H66" s="18"/>
      <c r="I66" s="20"/>
      <c r="J66" s="18"/>
    </row>
    <row r="67" spans="1:10" ht="16">
      <c r="A67" s="20">
        <v>42882</v>
      </c>
      <c r="B67" s="21">
        <v>435.89743589743603</v>
      </c>
      <c r="C67" s="24">
        <v>4000</v>
      </c>
      <c r="D67" s="20">
        <v>42882</v>
      </c>
      <c r="E67" s="21">
        <v>2961</v>
      </c>
      <c r="F67" s="22">
        <v>1</v>
      </c>
      <c r="G67" s="20"/>
      <c r="H67" s="18"/>
      <c r="I67" s="20"/>
      <c r="J67" s="18"/>
    </row>
    <row r="68" spans="1:10" ht="16">
      <c r="A68" s="20">
        <v>42924</v>
      </c>
      <c r="B68" s="21">
        <v>435.89743589743603</v>
      </c>
      <c r="C68" s="24">
        <v>4000</v>
      </c>
      <c r="D68" s="20">
        <v>42924</v>
      </c>
      <c r="E68" s="21">
        <v>3109</v>
      </c>
      <c r="F68" s="22">
        <v>1</v>
      </c>
      <c r="G68" s="20"/>
      <c r="H68" s="18"/>
      <c r="I68" s="20"/>
      <c r="J68" s="18"/>
    </row>
    <row r="69" spans="1:10" ht="16">
      <c r="A69" s="20">
        <v>42952</v>
      </c>
      <c r="B69" s="21">
        <v>435.89743589743603</v>
      </c>
      <c r="C69" s="24">
        <v>4000</v>
      </c>
      <c r="D69" s="20">
        <v>42952</v>
      </c>
      <c r="E69" s="21">
        <v>3175</v>
      </c>
      <c r="F69" s="22">
        <v>1</v>
      </c>
      <c r="G69" s="20"/>
      <c r="H69" s="18"/>
      <c r="I69" s="20"/>
      <c r="J69" s="18"/>
    </row>
    <row r="70" spans="1:10" ht="16">
      <c r="A70" s="20">
        <v>42980</v>
      </c>
      <c r="B70" s="21">
        <v>435.89743589743603</v>
      </c>
      <c r="C70" s="24">
        <v>4000</v>
      </c>
      <c r="D70" s="20">
        <v>42980</v>
      </c>
      <c r="E70" s="21">
        <v>3300</v>
      </c>
      <c r="F70" s="22">
        <v>1</v>
      </c>
      <c r="G70" s="20"/>
      <c r="H70" s="18"/>
      <c r="I70" s="20"/>
      <c r="J70" s="18"/>
    </row>
    <row r="71" spans="1:10" ht="16">
      <c r="A71" s="20">
        <v>43015</v>
      </c>
      <c r="B71" s="21">
        <v>435.89743589743603</v>
      </c>
      <c r="C71" s="24">
        <v>4000</v>
      </c>
      <c r="D71" s="20">
        <v>43015</v>
      </c>
      <c r="E71" s="21">
        <v>3750</v>
      </c>
      <c r="F71" s="22">
        <v>1</v>
      </c>
      <c r="G71" s="20"/>
      <c r="H71" s="18"/>
      <c r="I71" s="20"/>
      <c r="J71" s="18"/>
    </row>
    <row r="72" spans="1:10" ht="16">
      <c r="A72" s="20">
        <v>43022</v>
      </c>
      <c r="B72" s="21">
        <v>435.89743589743603</v>
      </c>
      <c r="C72" s="24">
        <v>4000</v>
      </c>
      <c r="D72" s="20">
        <v>43022</v>
      </c>
      <c r="E72" s="21">
        <v>4100</v>
      </c>
      <c r="F72" s="22">
        <v>1</v>
      </c>
      <c r="G72" s="20"/>
      <c r="H72" s="18"/>
      <c r="I72" s="20"/>
      <c r="J72" s="18"/>
    </row>
    <row r="73" spans="1:10" ht="16">
      <c r="A73" s="20">
        <v>43043</v>
      </c>
      <c r="B73" s="21">
        <v>435.89743589743603</v>
      </c>
      <c r="C73" s="24">
        <v>4000</v>
      </c>
      <c r="D73" s="20">
        <v>43043</v>
      </c>
      <c r="E73" s="21">
        <v>4300</v>
      </c>
      <c r="F73" s="22">
        <v>1</v>
      </c>
      <c r="G73" s="20"/>
      <c r="H73" s="18"/>
      <c r="I73" s="20"/>
      <c r="J73" s="18"/>
    </row>
    <row r="74" spans="1:10" ht="16">
      <c r="A74" s="20">
        <v>43064</v>
      </c>
      <c r="B74" s="21">
        <v>435.89743589743603</v>
      </c>
      <c r="C74" s="24">
        <v>4000</v>
      </c>
      <c r="D74" s="20">
        <v>43064</v>
      </c>
      <c r="E74" s="21">
        <v>3250</v>
      </c>
      <c r="F74" s="22">
        <v>1</v>
      </c>
      <c r="G74" s="20"/>
      <c r="H74" s="18"/>
      <c r="I74" s="20"/>
      <c r="J74" s="18"/>
    </row>
    <row r="75" spans="1:10" ht="16">
      <c r="A75" s="20">
        <v>43099</v>
      </c>
      <c r="B75" s="21">
        <v>435.89743589743603</v>
      </c>
      <c r="C75" s="24">
        <v>4000</v>
      </c>
      <c r="D75" s="20">
        <v>43099</v>
      </c>
      <c r="E75" s="21">
        <v>3300</v>
      </c>
      <c r="F75" s="22">
        <v>1</v>
      </c>
      <c r="G75" s="20"/>
      <c r="H75" s="18"/>
      <c r="I75" s="20"/>
      <c r="J75" s="18"/>
    </row>
    <row r="76" spans="1:10" ht="16">
      <c r="A76" s="20">
        <v>43120</v>
      </c>
      <c r="B76" s="21">
        <v>435.89743589743603</v>
      </c>
      <c r="C76" s="24">
        <v>4000</v>
      </c>
      <c r="D76" s="20">
        <v>43120</v>
      </c>
      <c r="E76" s="21">
        <v>2350</v>
      </c>
      <c r="F76" s="22">
        <v>1</v>
      </c>
      <c r="G76" s="20"/>
      <c r="H76" s="18"/>
      <c r="I76" s="20"/>
      <c r="J76" s="18"/>
    </row>
    <row r="77" spans="1:10" ht="16">
      <c r="A77" s="20">
        <v>43154</v>
      </c>
      <c r="B77" s="21">
        <v>435.89743589743603</v>
      </c>
      <c r="C77" s="24">
        <v>4000</v>
      </c>
      <c r="D77" s="20">
        <v>43154</v>
      </c>
      <c r="E77" s="21">
        <v>2650</v>
      </c>
      <c r="F77" s="22">
        <v>1</v>
      </c>
      <c r="G77" s="20"/>
      <c r="H77" s="18"/>
      <c r="I77" s="20"/>
      <c r="J77" s="18"/>
    </row>
    <row r="78" spans="1:10" ht="16">
      <c r="A78" s="20">
        <v>43162</v>
      </c>
      <c r="B78" s="21">
        <v>435.89743589743603</v>
      </c>
      <c r="C78" s="24">
        <v>4000</v>
      </c>
      <c r="D78" s="20">
        <v>43162</v>
      </c>
      <c r="E78" s="21">
        <v>2850</v>
      </c>
      <c r="F78" s="22">
        <v>1</v>
      </c>
      <c r="G78" s="20"/>
      <c r="H78" s="18"/>
      <c r="I78" s="20"/>
      <c r="J78" s="18"/>
    </row>
    <row r="79" spans="1:10" ht="16">
      <c r="A79" s="20">
        <v>43169</v>
      </c>
      <c r="B79" s="21">
        <v>435.89743589743603</v>
      </c>
      <c r="C79" s="24">
        <v>4000</v>
      </c>
      <c r="D79" s="20">
        <v>43169</v>
      </c>
      <c r="E79" s="21">
        <v>3000</v>
      </c>
      <c r="F79" s="22">
        <v>1</v>
      </c>
      <c r="G79" s="20"/>
      <c r="H79" s="18"/>
      <c r="I79" s="20"/>
      <c r="J79" s="18"/>
    </row>
    <row r="80" spans="1:10" ht="16">
      <c r="A80" s="20">
        <v>43176</v>
      </c>
      <c r="B80" s="21">
        <v>435.89743589743603</v>
      </c>
      <c r="C80" s="24">
        <v>4000</v>
      </c>
      <c r="D80" s="20">
        <v>43176</v>
      </c>
      <c r="E80" s="21">
        <v>2950</v>
      </c>
      <c r="F80" s="22">
        <v>1</v>
      </c>
      <c r="G80" s="20"/>
      <c r="H80" s="18"/>
      <c r="I80" s="20"/>
      <c r="J80" s="18"/>
    </row>
    <row r="81" spans="1:10" ht="16">
      <c r="A81" s="20">
        <v>43190</v>
      </c>
      <c r="B81" s="21">
        <v>435.89743589743603</v>
      </c>
      <c r="C81" s="24">
        <v>4000</v>
      </c>
      <c r="D81" s="20">
        <v>43190</v>
      </c>
      <c r="E81" s="21">
        <v>2900</v>
      </c>
      <c r="F81" s="22">
        <v>1</v>
      </c>
      <c r="G81" s="20"/>
      <c r="H81" s="18"/>
      <c r="I81" s="20"/>
      <c r="J81" s="18"/>
    </row>
    <row r="82" spans="1:10" ht="16">
      <c r="A82" s="20">
        <v>43197</v>
      </c>
      <c r="B82" s="21">
        <v>464</v>
      </c>
      <c r="C82" s="24">
        <v>4000</v>
      </c>
      <c r="D82" s="20">
        <v>43219</v>
      </c>
      <c r="E82" s="21">
        <v>2800</v>
      </c>
      <c r="F82" s="22">
        <v>1</v>
      </c>
      <c r="G82" s="20"/>
      <c r="H82" s="18"/>
      <c r="I82" s="20"/>
      <c r="J82" s="18"/>
    </row>
    <row r="83" spans="1:10" ht="16">
      <c r="A83" s="20">
        <v>43232</v>
      </c>
      <c r="B83" s="21">
        <v>470.51282051282101</v>
      </c>
      <c r="C83" s="24">
        <v>4000</v>
      </c>
      <c r="D83" s="20">
        <v>43232</v>
      </c>
      <c r="E83" s="21">
        <v>2750</v>
      </c>
      <c r="F83" s="22">
        <v>1</v>
      </c>
      <c r="G83" s="20"/>
      <c r="H83" s="18"/>
      <c r="I83" s="20"/>
      <c r="J83" s="18"/>
    </row>
    <row r="84" spans="1:10" ht="16">
      <c r="A84" s="20">
        <v>43301</v>
      </c>
      <c r="B84" s="21">
        <v>482.758620689655</v>
      </c>
      <c r="C84" s="24">
        <v>4000</v>
      </c>
      <c r="D84" s="20">
        <v>43261</v>
      </c>
      <c r="E84" s="21">
        <v>2600</v>
      </c>
      <c r="F84" s="22">
        <v>1</v>
      </c>
      <c r="G84" s="20"/>
      <c r="H84" s="18"/>
      <c r="I84" s="20"/>
      <c r="J84" s="18"/>
    </row>
    <row r="85" spans="1:10" ht="16">
      <c r="A85" s="20">
        <v>43332</v>
      </c>
      <c r="B85" s="21">
        <v>482.758620689655</v>
      </c>
      <c r="C85" s="24">
        <v>4000</v>
      </c>
      <c r="D85" s="20">
        <v>43332</v>
      </c>
      <c r="E85" s="21">
        <v>2600</v>
      </c>
      <c r="F85" s="22">
        <v>1</v>
      </c>
      <c r="G85" s="20"/>
      <c r="H85" s="18"/>
      <c r="I85" s="20"/>
      <c r="J85" s="18"/>
    </row>
    <row r="86" spans="1:10" ht="16">
      <c r="A86" s="20">
        <v>43374</v>
      </c>
      <c r="B86" s="21">
        <v>486</v>
      </c>
      <c r="C86" s="24">
        <v>4000</v>
      </c>
      <c r="D86" s="20">
        <v>43337</v>
      </c>
      <c r="E86" s="21">
        <v>2700</v>
      </c>
      <c r="F86" s="22">
        <v>1</v>
      </c>
      <c r="G86" s="20"/>
      <c r="H86" s="18"/>
      <c r="I86" s="20"/>
      <c r="J86" s="18"/>
    </row>
    <row r="87" spans="1:10" ht="16">
      <c r="A87" s="20">
        <v>43406</v>
      </c>
      <c r="B87" s="21">
        <v>486</v>
      </c>
      <c r="C87" s="24">
        <v>4000</v>
      </c>
      <c r="D87" s="20">
        <v>43406</v>
      </c>
      <c r="E87" s="21">
        <v>2700</v>
      </c>
      <c r="F87" s="22">
        <v>1</v>
      </c>
      <c r="G87" s="20"/>
      <c r="H87" s="18"/>
      <c r="I87" s="20"/>
      <c r="J87" s="18"/>
    </row>
    <row r="88" spans="1:10" ht="16">
      <c r="A88" s="20">
        <v>43436</v>
      </c>
      <c r="B88" s="21">
        <v>486</v>
      </c>
      <c r="C88" s="24">
        <v>4000</v>
      </c>
      <c r="D88" s="20">
        <v>43436</v>
      </c>
      <c r="E88" s="21">
        <v>2700</v>
      </c>
      <c r="F88" s="22">
        <v>1</v>
      </c>
      <c r="G88" s="20"/>
      <c r="H88" s="18"/>
      <c r="I88" s="20"/>
      <c r="J88" s="18"/>
    </row>
    <row r="89" spans="1:10" ht="16">
      <c r="A89" s="20">
        <v>43466</v>
      </c>
      <c r="B89" s="21">
        <v>486</v>
      </c>
      <c r="C89" s="24">
        <v>4000</v>
      </c>
      <c r="D89" s="20">
        <v>43473</v>
      </c>
      <c r="E89" s="21">
        <v>2600</v>
      </c>
      <c r="F89" s="22">
        <v>1</v>
      </c>
      <c r="G89" s="20"/>
      <c r="H89" s="18"/>
      <c r="I89" s="20"/>
      <c r="J89" s="18"/>
    </row>
    <row r="90" spans="1:10" ht="16">
      <c r="A90" s="20">
        <v>43547</v>
      </c>
      <c r="B90" s="21">
        <v>513</v>
      </c>
      <c r="C90" s="24">
        <v>4000</v>
      </c>
      <c r="D90" s="20">
        <v>43484</v>
      </c>
      <c r="E90" s="21">
        <v>2500</v>
      </c>
      <c r="F90" s="22">
        <v>1</v>
      </c>
      <c r="G90" s="20"/>
      <c r="H90" s="18"/>
      <c r="I90" s="20"/>
      <c r="J90" s="18"/>
    </row>
    <row r="91" spans="1:10" ht="16">
      <c r="A91" s="20">
        <v>43564</v>
      </c>
      <c r="B91" s="21">
        <v>491</v>
      </c>
      <c r="C91" s="24">
        <v>4000</v>
      </c>
      <c r="D91" s="20">
        <v>43547</v>
      </c>
      <c r="E91" s="21">
        <v>2450</v>
      </c>
      <c r="F91" s="22">
        <v>1</v>
      </c>
      <c r="G91" s="20"/>
      <c r="H91" s="18"/>
      <c r="I91" s="20"/>
      <c r="J91" s="18"/>
    </row>
    <row r="92" spans="1:10" ht="16">
      <c r="A92" s="20">
        <v>43596</v>
      </c>
      <c r="B92" s="21">
        <v>499.6</v>
      </c>
      <c r="C92" s="24">
        <v>4000</v>
      </c>
      <c r="D92" s="20">
        <v>43564</v>
      </c>
      <c r="E92" s="21">
        <v>2350</v>
      </c>
      <c r="F92" s="22">
        <v>1</v>
      </c>
      <c r="G92" s="20"/>
      <c r="H92" s="18"/>
      <c r="I92" s="20"/>
      <c r="J92" s="18"/>
    </row>
    <row r="93" spans="1:10" ht="16">
      <c r="A93" s="20">
        <v>43645</v>
      </c>
      <c r="B93" s="21">
        <v>491</v>
      </c>
      <c r="C93" s="24">
        <v>4000</v>
      </c>
      <c r="D93" s="20">
        <v>43722</v>
      </c>
      <c r="E93" s="21">
        <v>2500</v>
      </c>
      <c r="F93" s="22">
        <v>1</v>
      </c>
      <c r="G93" s="20"/>
      <c r="H93" s="18"/>
      <c r="I93" s="20"/>
      <c r="J93" s="18"/>
    </row>
    <row r="94" spans="1:10" ht="16">
      <c r="A94" s="20"/>
      <c r="B94" s="18"/>
      <c r="C94" s="18"/>
      <c r="D94" s="20">
        <v>43764</v>
      </c>
      <c r="E94" s="21">
        <v>2450</v>
      </c>
      <c r="F94" s="22">
        <v>1</v>
      </c>
      <c r="G94" s="20"/>
      <c r="H94" s="18"/>
      <c r="I94" s="20"/>
      <c r="J94" s="18"/>
    </row>
    <row r="95" spans="1:10" ht="16">
      <c r="A95" s="20"/>
      <c r="B95" s="18"/>
      <c r="C95" s="18"/>
      <c r="D95" s="20">
        <v>43771</v>
      </c>
      <c r="E95" s="21">
        <v>2250</v>
      </c>
      <c r="F95" s="22">
        <v>1</v>
      </c>
      <c r="G95" s="20"/>
      <c r="H95" s="18"/>
      <c r="I95" s="20"/>
      <c r="J95" s="18"/>
    </row>
    <row r="96" spans="1:10" ht="16">
      <c r="A96" s="20"/>
      <c r="B96" s="18"/>
      <c r="C96" s="18"/>
      <c r="D96" s="20">
        <v>43778</v>
      </c>
      <c r="E96" s="21">
        <v>2230</v>
      </c>
      <c r="F96" s="22">
        <v>1</v>
      </c>
      <c r="G96" s="20"/>
      <c r="H96" s="18"/>
      <c r="I96" s="20"/>
      <c r="J96" s="18"/>
    </row>
    <row r="97" spans="1:10" ht="16">
      <c r="A97" s="20"/>
      <c r="B97" s="18"/>
      <c r="C97" s="18"/>
      <c r="D97" s="20">
        <v>43785</v>
      </c>
      <c r="E97" s="21">
        <v>2200</v>
      </c>
      <c r="F97" s="22">
        <v>1</v>
      </c>
      <c r="G97" s="20"/>
      <c r="H97" s="18"/>
      <c r="I97" s="20"/>
      <c r="J97" s="18"/>
    </row>
    <row r="98" spans="1:10" ht="16">
      <c r="A98" s="20"/>
      <c r="B98" s="18"/>
      <c r="C98" s="18"/>
      <c r="D98" s="20">
        <v>43806</v>
      </c>
      <c r="E98" s="21">
        <v>2100</v>
      </c>
      <c r="F98" s="22">
        <v>1</v>
      </c>
      <c r="G98" s="20"/>
      <c r="H98" s="18"/>
      <c r="I98" s="20"/>
      <c r="J98" s="18"/>
    </row>
    <row r="99" spans="1:10" ht="16">
      <c r="A99" s="20"/>
      <c r="B99" s="18"/>
      <c r="C99" s="18"/>
      <c r="D99" s="20">
        <v>43819</v>
      </c>
      <c r="E99" s="21">
        <v>1900</v>
      </c>
      <c r="F99" s="22">
        <v>1</v>
      </c>
      <c r="G99" s="20"/>
      <c r="H99" s="18"/>
      <c r="I99" s="20"/>
      <c r="J99" s="18"/>
    </row>
    <row r="100" spans="1:10" ht="16">
      <c r="A100" s="20"/>
      <c r="B100" s="18"/>
      <c r="C100" s="18"/>
      <c r="D100" s="20">
        <v>43834</v>
      </c>
      <c r="E100" s="21">
        <v>1850</v>
      </c>
      <c r="F100" s="22">
        <v>1</v>
      </c>
      <c r="G100" s="20"/>
      <c r="H100" s="18"/>
      <c r="I100" s="20"/>
      <c r="J100" s="18"/>
    </row>
    <row r="101" spans="1:10" ht="16">
      <c r="A101" s="20"/>
      <c r="B101" s="18"/>
      <c r="C101" s="18"/>
      <c r="D101" s="20">
        <v>43843</v>
      </c>
      <c r="E101" s="21">
        <v>1850</v>
      </c>
      <c r="F101" s="22">
        <v>1</v>
      </c>
      <c r="G101" s="20"/>
      <c r="H101" s="18"/>
      <c r="I101" s="20"/>
      <c r="J101" s="18"/>
    </row>
    <row r="102" spans="1:10" ht="16">
      <c r="A102" s="20"/>
      <c r="B102" s="18"/>
      <c r="C102" s="18"/>
      <c r="D102" s="20">
        <v>43847</v>
      </c>
      <c r="E102" s="21">
        <v>1850</v>
      </c>
      <c r="F102" s="22">
        <v>1</v>
      </c>
      <c r="G102" s="20"/>
      <c r="H102" s="18"/>
      <c r="I102" s="20"/>
      <c r="J102" s="18"/>
    </row>
    <row r="103" spans="1:10" ht="16">
      <c r="A103" s="20"/>
      <c r="B103" s="18"/>
      <c r="C103" s="18"/>
      <c r="D103" s="20">
        <v>43868</v>
      </c>
      <c r="E103" s="21">
        <v>1850</v>
      </c>
      <c r="F103" s="22">
        <v>1</v>
      </c>
      <c r="G103" s="20"/>
      <c r="H103" s="18"/>
      <c r="I103" s="20"/>
      <c r="J103" s="18"/>
    </row>
    <row r="104" spans="1:10" ht="16">
      <c r="A104" s="20"/>
      <c r="B104" s="18"/>
      <c r="C104" s="18"/>
      <c r="D104" s="20">
        <v>43875</v>
      </c>
      <c r="E104" s="21">
        <v>1850</v>
      </c>
      <c r="F104" s="22">
        <v>1</v>
      </c>
      <c r="G104" s="20"/>
      <c r="H104" s="18"/>
      <c r="I104" s="20"/>
      <c r="J104" s="18"/>
    </row>
    <row r="105" spans="1:10" ht="16">
      <c r="A105" s="20"/>
      <c r="B105" s="18"/>
      <c r="C105" s="18"/>
      <c r="D105" s="20">
        <v>43897</v>
      </c>
      <c r="E105" s="21">
        <v>1750</v>
      </c>
      <c r="F105" s="25">
        <v>1</v>
      </c>
      <c r="G105" s="20"/>
      <c r="H105" s="18"/>
      <c r="I105" s="20"/>
      <c r="J105" s="18"/>
    </row>
    <row r="106" spans="1:10" ht="16">
      <c r="A106" s="20"/>
      <c r="B106" s="18"/>
      <c r="C106" s="18"/>
      <c r="D106" s="20">
        <v>43904</v>
      </c>
      <c r="E106" s="21">
        <v>1700</v>
      </c>
      <c r="F106" s="25">
        <v>1</v>
      </c>
      <c r="G106" s="20"/>
      <c r="H106" s="18"/>
      <c r="I106" s="20"/>
      <c r="J106" s="18"/>
    </row>
    <row r="107" spans="1:10">
      <c r="A107" s="20"/>
      <c r="B107" s="18"/>
      <c r="C107" s="18"/>
      <c r="D107" s="20"/>
      <c r="E107" s="18"/>
      <c r="F107" s="18"/>
      <c r="G107" s="20"/>
      <c r="H107" s="18"/>
      <c r="I107" s="20"/>
      <c r="J107" s="18"/>
    </row>
    <row r="108" spans="1:10">
      <c r="A108" s="20"/>
      <c r="B108" s="18"/>
      <c r="C108" s="18"/>
      <c r="D108" s="20"/>
      <c r="E108" s="18"/>
      <c r="F108" s="18"/>
      <c r="G108" s="20"/>
      <c r="H108" s="18"/>
      <c r="I108" s="20"/>
      <c r="J108" s="18"/>
    </row>
    <row r="109" spans="1:10">
      <c r="A109" s="20"/>
      <c r="B109" s="18"/>
      <c r="C109" s="18"/>
      <c r="D109" s="20"/>
      <c r="E109" s="18"/>
      <c r="F109" s="18"/>
      <c r="G109" s="20"/>
      <c r="H109" s="18"/>
      <c r="I109" s="20"/>
      <c r="J109" s="18"/>
    </row>
    <row r="110" spans="1:10">
      <c r="A110" s="20"/>
      <c r="B110" s="18"/>
      <c r="C110" s="18"/>
      <c r="D110" s="20"/>
      <c r="E110" s="18"/>
      <c r="F110" s="18"/>
      <c r="G110" s="20"/>
      <c r="H110" s="18"/>
      <c r="I110" s="20"/>
      <c r="J110" s="18"/>
    </row>
    <row r="111" spans="1:10">
      <c r="A111" s="20"/>
      <c r="B111" s="18"/>
      <c r="C111" s="18"/>
      <c r="D111" s="20"/>
      <c r="E111" s="18"/>
      <c r="F111" s="18"/>
      <c r="G111" s="20"/>
      <c r="H111" s="18"/>
      <c r="I111" s="20"/>
      <c r="J111" s="18"/>
    </row>
    <row r="112" spans="1:10">
      <c r="A112" s="20"/>
      <c r="B112" s="18"/>
      <c r="C112" s="18"/>
      <c r="D112" s="20"/>
      <c r="E112" s="18"/>
      <c r="F112" s="18"/>
      <c r="G112" s="20"/>
      <c r="H112" s="18"/>
      <c r="I112" s="20"/>
      <c r="J112" s="18"/>
    </row>
    <row r="113" spans="1:10">
      <c r="A113" s="20"/>
      <c r="B113" s="18"/>
      <c r="C113" s="18"/>
      <c r="D113" s="20"/>
      <c r="E113" s="18"/>
      <c r="F113" s="18"/>
      <c r="G113" s="20"/>
      <c r="H113" s="18"/>
      <c r="I113" s="20"/>
      <c r="J113" s="18"/>
    </row>
    <row r="114" spans="1:10">
      <c r="A114" s="20"/>
      <c r="B114" s="18"/>
      <c r="C114" s="18"/>
      <c r="D114" s="20"/>
      <c r="E114" s="18"/>
      <c r="F114" s="18"/>
      <c r="G114" s="20"/>
      <c r="H114" s="18"/>
      <c r="I114" s="20"/>
      <c r="J114" s="18"/>
    </row>
    <row r="115" spans="1:10">
      <c r="A115" s="20"/>
      <c r="B115" s="18"/>
      <c r="C115" s="18"/>
      <c r="D115" s="20"/>
      <c r="E115" s="18"/>
      <c r="F115" s="18"/>
      <c r="G115" s="20"/>
      <c r="H115" s="18"/>
      <c r="I115" s="20"/>
      <c r="J115" s="18"/>
    </row>
    <row r="116" spans="1:10">
      <c r="A116" s="20"/>
      <c r="B116" s="18"/>
      <c r="C116" s="18"/>
      <c r="D116" s="20"/>
      <c r="E116" s="18"/>
      <c r="F116" s="18"/>
      <c r="G116" s="20"/>
      <c r="H116" s="18"/>
      <c r="I116" s="20"/>
      <c r="J116" s="18"/>
    </row>
    <row r="117" spans="1:10">
      <c r="A117" s="20"/>
      <c r="B117" s="18"/>
      <c r="C117" s="18"/>
      <c r="D117" s="20"/>
      <c r="E117" s="18"/>
      <c r="F117" s="18"/>
      <c r="G117" s="20"/>
      <c r="H117" s="18"/>
      <c r="I117" s="20"/>
      <c r="J117" s="18"/>
    </row>
    <row r="118" spans="1:10">
      <c r="A118" s="20"/>
      <c r="B118" s="18"/>
      <c r="C118" s="18"/>
      <c r="D118" s="20"/>
      <c r="E118" s="18"/>
      <c r="F118" s="18"/>
      <c r="G118" s="20"/>
      <c r="H118" s="18"/>
      <c r="I118" s="20"/>
      <c r="J118" s="18"/>
    </row>
    <row r="119" spans="1:10">
      <c r="A119" s="20"/>
      <c r="B119" s="18"/>
      <c r="C119" s="18"/>
      <c r="D119" s="20"/>
      <c r="E119" s="18"/>
      <c r="F119" s="18"/>
      <c r="G119" s="20"/>
      <c r="H119" s="18"/>
      <c r="I119" s="20"/>
      <c r="J119" s="18"/>
    </row>
    <row r="120" spans="1:10">
      <c r="A120" s="20"/>
      <c r="B120" s="18"/>
      <c r="C120" s="18"/>
      <c r="D120" s="20"/>
      <c r="E120" s="18"/>
      <c r="F120" s="18"/>
      <c r="G120" s="20"/>
      <c r="H120" s="18"/>
      <c r="I120" s="20"/>
      <c r="J120" s="18"/>
    </row>
    <row r="121" spans="1:10">
      <c r="A121" s="20"/>
      <c r="B121" s="18"/>
      <c r="C121" s="18"/>
      <c r="D121" s="20"/>
      <c r="E121" s="18"/>
      <c r="F121" s="18"/>
      <c r="G121" s="20"/>
      <c r="H121" s="18"/>
      <c r="I121" s="20"/>
      <c r="J121" s="18"/>
    </row>
    <row r="122" spans="1:10">
      <c r="A122" s="20"/>
      <c r="B122" s="18"/>
      <c r="C122" s="18"/>
      <c r="D122" s="20"/>
      <c r="E122" s="18"/>
      <c r="F122" s="18"/>
      <c r="G122" s="20"/>
      <c r="H122" s="18"/>
      <c r="I122" s="20"/>
      <c r="J122" s="18"/>
    </row>
    <row r="123" spans="1:10">
      <c r="A123" s="20"/>
      <c r="B123" s="18"/>
      <c r="C123" s="18"/>
      <c r="D123" s="20"/>
      <c r="E123" s="18"/>
      <c r="F123" s="18"/>
      <c r="G123" s="20"/>
      <c r="H123" s="18"/>
      <c r="I123" s="20"/>
      <c r="J123" s="18"/>
    </row>
    <row r="124" spans="1:10">
      <c r="A124" s="20"/>
      <c r="B124" s="18"/>
      <c r="C124" s="18"/>
      <c r="D124" s="20"/>
      <c r="E124" s="18"/>
      <c r="F124" s="18"/>
      <c r="G124" s="20"/>
      <c r="H124" s="18"/>
      <c r="I124" s="20"/>
      <c r="J124" s="18"/>
    </row>
    <row r="125" spans="1:10">
      <c r="A125" s="20"/>
      <c r="B125" s="18"/>
      <c r="C125" s="18"/>
      <c r="D125" s="20"/>
      <c r="E125" s="18"/>
      <c r="F125" s="18"/>
      <c r="G125" s="20"/>
      <c r="H125" s="18"/>
      <c r="I125" s="20"/>
      <c r="J125" s="18"/>
    </row>
    <row r="126" spans="1:10">
      <c r="A126" s="20"/>
      <c r="B126" s="18"/>
      <c r="C126" s="18"/>
      <c r="D126" s="20"/>
      <c r="E126" s="18"/>
      <c r="F126" s="18"/>
      <c r="G126" s="20"/>
      <c r="H126" s="18"/>
      <c r="I126" s="20"/>
      <c r="J126" s="18"/>
    </row>
    <row r="127" spans="1:10">
      <c r="A127" s="20"/>
      <c r="B127" s="18"/>
      <c r="C127" s="18"/>
      <c r="D127" s="20"/>
      <c r="E127" s="18"/>
      <c r="F127" s="18"/>
      <c r="G127" s="20"/>
      <c r="H127" s="18"/>
      <c r="I127" s="20"/>
      <c r="J127" s="18"/>
    </row>
    <row r="128" spans="1:10">
      <c r="A128" s="20"/>
      <c r="B128" s="18"/>
      <c r="C128" s="18"/>
      <c r="D128" s="20"/>
      <c r="E128" s="18"/>
      <c r="F128" s="18"/>
      <c r="G128" s="20"/>
      <c r="H128" s="18"/>
      <c r="I128" s="20"/>
      <c r="J128" s="18"/>
    </row>
    <row r="129" spans="1:10">
      <c r="A129" s="20"/>
      <c r="B129" s="18"/>
      <c r="C129" s="18"/>
      <c r="D129" s="20"/>
      <c r="E129" s="18"/>
      <c r="F129" s="18"/>
      <c r="G129" s="20"/>
      <c r="H129" s="18"/>
      <c r="I129" s="20"/>
      <c r="J129" s="18"/>
    </row>
    <row r="130" spans="1:10">
      <c r="A130" s="20"/>
      <c r="B130" s="18"/>
      <c r="C130" s="18"/>
      <c r="D130" s="20"/>
      <c r="E130" s="18"/>
      <c r="F130" s="18"/>
      <c r="G130" s="20"/>
      <c r="H130" s="18"/>
      <c r="I130" s="20"/>
      <c r="J130" s="18"/>
    </row>
    <row r="131" spans="1:10">
      <c r="A131" s="20"/>
      <c r="B131" s="18"/>
      <c r="C131" s="18"/>
      <c r="D131" s="20"/>
      <c r="E131" s="18"/>
      <c r="F131" s="18"/>
      <c r="G131" s="20"/>
      <c r="H131" s="18"/>
      <c r="I131" s="20"/>
      <c r="J131" s="18"/>
    </row>
    <row r="132" spans="1:10">
      <c r="A132" s="20"/>
      <c r="B132" s="18"/>
      <c r="C132" s="18"/>
      <c r="D132" s="20"/>
      <c r="E132" s="18"/>
      <c r="F132" s="18"/>
      <c r="G132" s="20"/>
      <c r="H132" s="18"/>
      <c r="I132" s="20"/>
      <c r="J132" s="18"/>
    </row>
    <row r="133" spans="1:10">
      <c r="A133" s="20"/>
      <c r="B133" s="18"/>
      <c r="C133" s="18"/>
      <c r="D133" s="20"/>
      <c r="E133" s="18"/>
      <c r="F133" s="18"/>
      <c r="G133" s="20"/>
      <c r="H133" s="18"/>
      <c r="I133" s="20"/>
      <c r="J133" s="18"/>
    </row>
    <row r="134" spans="1:10">
      <c r="A134" s="20"/>
      <c r="B134" s="18"/>
      <c r="C134" s="18"/>
      <c r="D134" s="20"/>
      <c r="E134" s="18"/>
      <c r="F134" s="18"/>
      <c r="G134" s="20"/>
      <c r="H134" s="18"/>
      <c r="I134" s="20"/>
      <c r="J134" s="18"/>
    </row>
    <row r="135" spans="1:10">
      <c r="A135" s="20"/>
      <c r="B135" s="18"/>
      <c r="C135" s="18"/>
      <c r="D135" s="20"/>
      <c r="E135" s="18"/>
      <c r="F135" s="18"/>
      <c r="G135" s="20"/>
      <c r="H135" s="18"/>
      <c r="I135" s="20"/>
      <c r="J135" s="18"/>
    </row>
    <row r="136" spans="1:10">
      <c r="A136" s="20"/>
      <c r="B136" s="18"/>
      <c r="C136" s="18"/>
      <c r="D136" s="20"/>
      <c r="E136" s="18"/>
      <c r="F136" s="18"/>
      <c r="G136" s="20"/>
      <c r="H136" s="18"/>
      <c r="I136" s="20"/>
      <c r="J136" s="18"/>
    </row>
    <row r="137" spans="1:10">
      <c r="A137" s="20"/>
      <c r="B137" s="18"/>
      <c r="C137" s="18"/>
      <c r="D137" s="20"/>
      <c r="E137" s="18"/>
      <c r="F137" s="18"/>
      <c r="G137" s="20"/>
      <c r="H137" s="18"/>
      <c r="I137" s="20"/>
      <c r="J137" s="18"/>
    </row>
    <row r="138" spans="1:10">
      <c r="A138" s="20"/>
      <c r="B138" s="18"/>
      <c r="C138" s="18"/>
      <c r="D138" s="20"/>
      <c r="E138" s="18"/>
      <c r="F138" s="18"/>
      <c r="G138" s="20"/>
      <c r="H138" s="18"/>
      <c r="I138" s="20"/>
      <c r="J138" s="18"/>
    </row>
    <row r="139" spans="1:10">
      <c r="A139" s="20"/>
      <c r="B139" s="18"/>
      <c r="C139" s="18"/>
      <c r="D139" s="20"/>
      <c r="E139" s="18"/>
      <c r="F139" s="18"/>
      <c r="G139" s="20"/>
      <c r="H139" s="18"/>
      <c r="I139" s="20"/>
      <c r="J139" s="18"/>
    </row>
    <row r="140" spans="1:10">
      <c r="A140" s="20"/>
      <c r="B140" s="18"/>
      <c r="C140" s="18"/>
      <c r="D140" s="20"/>
      <c r="E140" s="18"/>
      <c r="F140" s="18"/>
      <c r="G140" s="20"/>
      <c r="H140" s="18"/>
      <c r="I140" s="20"/>
      <c r="J140" s="18"/>
    </row>
    <row r="141" spans="1:10">
      <c r="A141" s="20"/>
      <c r="B141" s="18"/>
      <c r="C141" s="18"/>
      <c r="D141" s="20"/>
      <c r="E141" s="18"/>
      <c r="F141" s="18"/>
      <c r="G141" s="20"/>
      <c r="H141" s="18"/>
      <c r="I141" s="20"/>
      <c r="J141" s="18"/>
    </row>
    <row r="142" spans="1:10">
      <c r="A142" s="20"/>
      <c r="B142" s="18"/>
      <c r="C142" s="18"/>
      <c r="D142" s="20"/>
      <c r="E142" s="18"/>
      <c r="F142" s="18"/>
      <c r="G142" s="20"/>
      <c r="H142" s="18"/>
      <c r="I142" s="20"/>
      <c r="J142" s="18"/>
    </row>
    <row r="143" spans="1:10">
      <c r="A143" s="20"/>
      <c r="B143" s="18"/>
      <c r="C143" s="18"/>
      <c r="D143" s="20"/>
      <c r="E143" s="18"/>
      <c r="F143" s="18"/>
      <c r="G143" s="20"/>
      <c r="H143" s="18"/>
      <c r="I143" s="20"/>
      <c r="J143" s="18"/>
    </row>
    <row r="144" spans="1:10">
      <c r="A144" s="20"/>
      <c r="B144" s="18"/>
      <c r="C144" s="18"/>
      <c r="D144" s="20"/>
      <c r="E144" s="18"/>
      <c r="F144" s="18"/>
      <c r="G144" s="20"/>
      <c r="H144" s="18"/>
      <c r="I144" s="20"/>
      <c r="J144" s="18"/>
    </row>
    <row r="145" spans="1:10">
      <c r="A145" s="20"/>
      <c r="B145" s="18"/>
      <c r="C145" s="18"/>
      <c r="D145" s="20"/>
      <c r="E145" s="18"/>
      <c r="F145" s="18"/>
      <c r="G145" s="20"/>
      <c r="H145" s="18"/>
      <c r="I145" s="20"/>
      <c r="J145" s="18"/>
    </row>
    <row r="146" spans="1:10">
      <c r="A146" s="20"/>
      <c r="B146" s="18"/>
      <c r="C146" s="18"/>
      <c r="D146" s="20"/>
      <c r="E146" s="18"/>
      <c r="F146" s="18"/>
      <c r="G146" s="20"/>
      <c r="H146" s="18"/>
      <c r="I146" s="20"/>
      <c r="J146" s="18"/>
    </row>
    <row r="147" spans="1:10">
      <c r="A147" s="20"/>
      <c r="B147" s="18"/>
      <c r="C147" s="18"/>
      <c r="D147" s="20"/>
      <c r="E147" s="18"/>
      <c r="F147" s="18"/>
      <c r="G147" s="20"/>
      <c r="H147" s="18"/>
      <c r="I147" s="20"/>
      <c r="J147" s="18"/>
    </row>
    <row r="148" spans="1:10">
      <c r="A148" s="20"/>
      <c r="B148" s="18"/>
      <c r="C148" s="18"/>
      <c r="D148" s="20"/>
      <c r="E148" s="18"/>
      <c r="F148" s="18"/>
      <c r="G148" s="20"/>
      <c r="H148" s="18"/>
      <c r="I148" s="20"/>
      <c r="J148" s="18"/>
    </row>
    <row r="149" spans="1:10">
      <c r="A149" s="20"/>
      <c r="B149" s="18"/>
      <c r="C149" s="18"/>
      <c r="D149" s="20"/>
      <c r="E149" s="18"/>
      <c r="F149" s="18"/>
      <c r="G149" s="20"/>
      <c r="H149" s="18"/>
      <c r="I149" s="20"/>
      <c r="J149" s="18"/>
    </row>
    <row r="150" spans="1:10">
      <c r="A150" s="20"/>
      <c r="B150" s="18"/>
      <c r="C150" s="18"/>
      <c r="D150" s="20"/>
      <c r="E150" s="18"/>
      <c r="F150" s="18"/>
      <c r="G150" s="20"/>
      <c r="H150" s="18"/>
      <c r="I150" s="20"/>
      <c r="J150" s="18"/>
    </row>
    <row r="151" spans="1:10">
      <c r="A151" s="20"/>
      <c r="B151" s="18"/>
      <c r="C151" s="18"/>
      <c r="D151" s="20"/>
      <c r="E151" s="18"/>
      <c r="F151" s="18"/>
      <c r="G151" s="20"/>
      <c r="H151" s="18"/>
      <c r="I151" s="20"/>
      <c r="J151" s="18"/>
    </row>
    <row r="152" spans="1:10">
      <c r="A152" s="20"/>
      <c r="B152" s="18"/>
      <c r="C152" s="18"/>
      <c r="D152" s="20"/>
      <c r="E152" s="18"/>
      <c r="F152" s="18"/>
      <c r="G152" s="20"/>
      <c r="H152" s="18"/>
      <c r="I152" s="20"/>
      <c r="J152" s="18"/>
    </row>
    <row r="153" spans="1:10">
      <c r="A153" s="20"/>
      <c r="B153" s="18"/>
      <c r="C153" s="18"/>
      <c r="D153" s="20"/>
      <c r="E153" s="18"/>
      <c r="F153" s="18"/>
      <c r="G153" s="20"/>
      <c r="H153" s="18"/>
      <c r="I153" s="20"/>
      <c r="J153" s="18"/>
    </row>
    <row r="154" spans="1:10">
      <c r="A154" s="20"/>
      <c r="B154" s="18"/>
      <c r="C154" s="18"/>
      <c r="D154" s="20"/>
      <c r="E154" s="18"/>
      <c r="F154" s="18"/>
      <c r="G154" s="20"/>
      <c r="H154" s="18"/>
      <c r="I154" s="20"/>
      <c r="J154" s="18"/>
    </row>
    <row r="155" spans="1:10">
      <c r="A155" s="20"/>
      <c r="B155" s="18"/>
      <c r="C155" s="18"/>
      <c r="D155" s="20"/>
      <c r="E155" s="18"/>
      <c r="F155" s="18"/>
      <c r="G155" s="20"/>
      <c r="H155" s="18"/>
      <c r="I155" s="20"/>
      <c r="J155" s="18"/>
    </row>
    <row r="156" spans="1:10">
      <c r="A156" s="20"/>
      <c r="B156" s="18"/>
      <c r="C156" s="18"/>
      <c r="D156" s="20"/>
      <c r="E156" s="18"/>
      <c r="F156" s="18"/>
      <c r="G156" s="20"/>
      <c r="H156" s="18"/>
      <c r="I156" s="20"/>
      <c r="J156" s="18"/>
    </row>
    <row r="157" spans="1:10">
      <c r="A157" s="20"/>
      <c r="B157" s="18"/>
      <c r="C157" s="18"/>
      <c r="D157" s="20"/>
      <c r="E157" s="18"/>
      <c r="F157" s="18"/>
      <c r="G157" s="20"/>
      <c r="H157" s="18"/>
      <c r="I157" s="20"/>
      <c r="J157" s="18"/>
    </row>
    <row r="158" spans="1:10">
      <c r="A158" s="20"/>
      <c r="B158" s="18"/>
      <c r="C158" s="18"/>
      <c r="D158" s="20"/>
      <c r="E158" s="18"/>
      <c r="F158" s="18"/>
      <c r="G158" s="20"/>
      <c r="H158" s="18"/>
      <c r="I158" s="20"/>
      <c r="J158" s="18"/>
    </row>
    <row r="159" spans="1:10">
      <c r="A159" s="20"/>
      <c r="B159" s="18"/>
      <c r="C159" s="18"/>
      <c r="D159" s="20"/>
      <c r="E159" s="18"/>
      <c r="F159" s="18"/>
      <c r="G159" s="20"/>
      <c r="H159" s="18"/>
      <c r="I159" s="20"/>
      <c r="J159" s="18"/>
    </row>
    <row r="160" spans="1:10">
      <c r="A160" s="20"/>
      <c r="B160" s="18"/>
      <c r="C160" s="18"/>
      <c r="D160" s="20"/>
      <c r="E160" s="18"/>
      <c r="F160" s="18"/>
      <c r="G160" s="20"/>
      <c r="H160" s="18"/>
      <c r="I160" s="20"/>
      <c r="J160" s="18"/>
    </row>
    <row r="161" spans="1:10">
      <c r="A161" s="20"/>
      <c r="B161" s="18"/>
      <c r="C161" s="18"/>
      <c r="D161" s="20"/>
      <c r="E161" s="18"/>
      <c r="F161" s="18"/>
      <c r="G161" s="20"/>
      <c r="H161" s="18"/>
      <c r="I161" s="20"/>
      <c r="J161" s="18"/>
    </row>
    <row r="162" spans="1:10">
      <c r="A162" s="20"/>
      <c r="B162" s="18"/>
      <c r="C162" s="18"/>
      <c r="D162" s="20"/>
      <c r="E162" s="18"/>
      <c r="F162" s="18"/>
      <c r="G162" s="20"/>
      <c r="H162" s="18"/>
      <c r="I162" s="20"/>
      <c r="J162" s="18"/>
    </row>
    <row r="163" spans="1:10">
      <c r="A163" s="20"/>
      <c r="B163" s="18"/>
      <c r="C163" s="18"/>
      <c r="D163" s="20"/>
      <c r="E163" s="18"/>
      <c r="F163" s="18"/>
      <c r="G163" s="20"/>
      <c r="H163" s="18"/>
      <c r="I163" s="20"/>
      <c r="J163" s="18"/>
    </row>
    <row r="164" spans="1:10">
      <c r="A164" s="20"/>
      <c r="B164" s="18"/>
      <c r="C164" s="18"/>
      <c r="D164" s="20"/>
      <c r="E164" s="18"/>
      <c r="F164" s="18"/>
      <c r="G164" s="20"/>
      <c r="H164" s="18"/>
      <c r="I164" s="20"/>
      <c r="J164" s="18"/>
    </row>
    <row r="165" spans="1:10">
      <c r="A165" s="20"/>
      <c r="B165" s="18"/>
      <c r="C165" s="18"/>
      <c r="D165" s="20"/>
      <c r="E165" s="18"/>
      <c r="F165" s="18"/>
      <c r="G165" s="20"/>
      <c r="H165" s="18"/>
      <c r="I165" s="20"/>
      <c r="J165" s="18"/>
    </row>
    <row r="166" spans="1:10">
      <c r="A166" s="20"/>
      <c r="B166" s="18"/>
      <c r="C166" s="18"/>
      <c r="D166" s="20"/>
      <c r="E166" s="18"/>
      <c r="F166" s="18"/>
      <c r="G166" s="20"/>
      <c r="H166" s="18"/>
      <c r="I166" s="20"/>
      <c r="J166" s="18"/>
    </row>
    <row r="167" spans="1:10">
      <c r="A167" s="20"/>
      <c r="B167" s="18"/>
      <c r="C167" s="18"/>
      <c r="D167" s="20"/>
      <c r="E167" s="18"/>
      <c r="F167" s="18"/>
      <c r="G167" s="20"/>
      <c r="H167" s="18"/>
      <c r="I167" s="20"/>
      <c r="J167" s="18"/>
    </row>
    <row r="168" spans="1:10">
      <c r="A168" s="20"/>
      <c r="B168" s="18"/>
      <c r="C168" s="18"/>
      <c r="D168" s="20"/>
      <c r="E168" s="18"/>
      <c r="F168" s="18"/>
      <c r="G168" s="20"/>
      <c r="H168" s="18"/>
      <c r="I168" s="20"/>
      <c r="J168" s="18"/>
    </row>
    <row r="169" spans="1:10">
      <c r="A169" s="20"/>
      <c r="B169" s="18"/>
      <c r="C169" s="18"/>
      <c r="D169" s="20"/>
      <c r="E169" s="18"/>
      <c r="F169" s="18"/>
      <c r="G169" s="20"/>
      <c r="H169" s="18"/>
      <c r="I169" s="20"/>
      <c r="J169" s="18"/>
    </row>
    <row r="170" spans="1:10">
      <c r="A170" s="20"/>
      <c r="B170" s="18"/>
      <c r="C170" s="18"/>
      <c r="D170" s="20"/>
      <c r="E170" s="18"/>
      <c r="F170" s="18"/>
      <c r="G170" s="20"/>
      <c r="H170" s="18"/>
      <c r="I170" s="20"/>
      <c r="J170" s="18"/>
    </row>
    <row r="171" spans="1:10">
      <c r="A171" s="20"/>
      <c r="B171" s="18"/>
      <c r="C171" s="18"/>
      <c r="D171" s="20"/>
      <c r="E171" s="18"/>
      <c r="F171" s="18"/>
      <c r="G171" s="20"/>
      <c r="H171" s="18"/>
      <c r="I171" s="20"/>
      <c r="J171" s="18"/>
    </row>
    <row r="172" spans="1:10">
      <c r="A172" s="20"/>
      <c r="B172" s="18"/>
      <c r="C172" s="18"/>
      <c r="D172" s="20"/>
      <c r="E172" s="18"/>
      <c r="F172" s="18"/>
      <c r="G172" s="20"/>
      <c r="H172" s="18"/>
      <c r="I172" s="20"/>
      <c r="J172" s="18"/>
    </row>
    <row r="173" spans="1:10">
      <c r="A173" s="20"/>
      <c r="B173" s="18"/>
      <c r="C173" s="18"/>
      <c r="D173" s="20"/>
      <c r="E173" s="18"/>
      <c r="F173" s="18"/>
      <c r="G173" s="20"/>
      <c r="H173" s="18"/>
      <c r="I173" s="20"/>
      <c r="J173" s="18"/>
    </row>
    <row r="174" spans="1:10">
      <c r="A174" s="20"/>
      <c r="B174" s="18"/>
      <c r="C174" s="18"/>
      <c r="D174" s="20"/>
      <c r="E174" s="18"/>
      <c r="F174" s="18"/>
      <c r="G174" s="20"/>
      <c r="H174" s="18"/>
      <c r="I174" s="20"/>
      <c r="J174" s="18"/>
    </row>
    <row r="175" spans="1:10">
      <c r="A175" s="20"/>
      <c r="B175" s="18"/>
      <c r="C175" s="18"/>
      <c r="D175" s="20"/>
      <c r="E175" s="18"/>
      <c r="F175" s="18"/>
      <c r="G175" s="20"/>
      <c r="H175" s="18"/>
      <c r="I175" s="20"/>
      <c r="J175" s="18"/>
    </row>
    <row r="176" spans="1:10">
      <c r="A176" s="20"/>
      <c r="B176" s="18"/>
      <c r="C176" s="18"/>
      <c r="D176" s="20"/>
      <c r="E176" s="18"/>
      <c r="F176" s="18"/>
      <c r="G176" s="20"/>
      <c r="H176" s="18"/>
      <c r="I176" s="20"/>
      <c r="J176" s="18"/>
    </row>
    <row r="177" spans="1:10">
      <c r="A177" s="20"/>
      <c r="B177" s="18"/>
      <c r="C177" s="18"/>
      <c r="D177" s="20"/>
      <c r="E177" s="18"/>
      <c r="F177" s="18"/>
      <c r="G177" s="20"/>
      <c r="H177" s="18"/>
      <c r="I177" s="20"/>
      <c r="J177" s="18"/>
    </row>
    <row r="178" spans="1:10">
      <c r="A178" s="20"/>
      <c r="B178" s="18"/>
      <c r="C178" s="18"/>
      <c r="D178" s="20"/>
      <c r="E178" s="18"/>
      <c r="F178" s="18"/>
      <c r="G178" s="20"/>
      <c r="H178" s="18"/>
      <c r="I178" s="20"/>
      <c r="J178" s="18"/>
    </row>
    <row r="179" spans="1:10">
      <c r="A179" s="20"/>
      <c r="B179" s="18"/>
      <c r="C179" s="18"/>
      <c r="D179" s="20"/>
      <c r="E179" s="18"/>
      <c r="F179" s="18"/>
      <c r="G179" s="20"/>
      <c r="H179" s="18"/>
      <c r="I179" s="20"/>
      <c r="J179" s="18"/>
    </row>
    <row r="180" spans="1:10">
      <c r="A180" s="20"/>
      <c r="B180" s="18"/>
      <c r="C180" s="18"/>
      <c r="D180" s="20"/>
      <c r="E180" s="18"/>
      <c r="F180" s="18"/>
      <c r="G180" s="20"/>
      <c r="H180" s="18"/>
      <c r="I180" s="20"/>
      <c r="J180" s="18"/>
    </row>
    <row r="181" spans="1:10">
      <c r="A181" s="20"/>
      <c r="B181" s="18"/>
      <c r="C181" s="18"/>
      <c r="D181" s="20"/>
      <c r="E181" s="18"/>
      <c r="F181" s="18"/>
      <c r="G181" s="20"/>
      <c r="H181" s="18"/>
      <c r="I181" s="20"/>
      <c r="J181" s="18"/>
    </row>
    <row r="182" spans="1:10">
      <c r="A182" s="20"/>
      <c r="B182" s="18"/>
      <c r="C182" s="18"/>
      <c r="D182" s="20"/>
      <c r="E182" s="18"/>
      <c r="F182" s="18"/>
      <c r="G182" s="20"/>
      <c r="H182" s="18"/>
      <c r="I182" s="20"/>
      <c r="J182" s="18"/>
    </row>
    <row r="183" spans="1:10">
      <c r="A183" s="20"/>
      <c r="B183" s="18"/>
      <c r="C183" s="18"/>
      <c r="D183" s="20"/>
      <c r="E183" s="18"/>
      <c r="F183" s="18"/>
      <c r="G183" s="20"/>
      <c r="H183" s="18"/>
      <c r="I183" s="20"/>
      <c r="J183" s="18"/>
    </row>
    <row r="184" spans="1:10">
      <c r="A184" s="20"/>
      <c r="B184" s="18"/>
      <c r="C184" s="18"/>
      <c r="D184" s="20"/>
      <c r="E184" s="18"/>
      <c r="F184" s="18"/>
      <c r="G184" s="20"/>
      <c r="H184" s="18"/>
      <c r="I184" s="20"/>
      <c r="J184" s="18"/>
    </row>
    <row r="185" spans="1:10">
      <c r="A185" s="20"/>
      <c r="B185" s="18"/>
      <c r="C185" s="18"/>
      <c r="D185" s="20"/>
      <c r="E185" s="18"/>
      <c r="F185" s="18"/>
      <c r="G185" s="20"/>
      <c r="H185" s="18"/>
      <c r="I185" s="20"/>
      <c r="J185" s="18"/>
    </row>
    <row r="186" spans="1:10">
      <c r="A186" s="20"/>
      <c r="B186" s="18"/>
      <c r="C186" s="18"/>
      <c r="D186" s="20"/>
      <c r="E186" s="18"/>
      <c r="F186" s="18"/>
      <c r="G186" s="20"/>
      <c r="H186" s="18"/>
      <c r="I186" s="20"/>
      <c r="J186" s="18"/>
    </row>
    <row r="187" spans="1:10">
      <c r="A187" s="20"/>
      <c r="B187" s="18"/>
      <c r="C187" s="18"/>
      <c r="D187" s="20"/>
      <c r="E187" s="18"/>
      <c r="F187" s="18"/>
      <c r="G187" s="20"/>
      <c r="H187" s="18"/>
      <c r="I187" s="20"/>
      <c r="J187" s="18"/>
    </row>
    <row r="188" spans="1:10">
      <c r="A188" s="20"/>
      <c r="B188" s="18"/>
      <c r="C188" s="18"/>
      <c r="D188" s="20"/>
      <c r="E188" s="18"/>
      <c r="F188" s="18"/>
      <c r="G188" s="20"/>
      <c r="H188" s="18"/>
      <c r="I188" s="20"/>
      <c r="J188" s="18"/>
    </row>
    <row r="189" spans="1:10">
      <c r="A189" s="20"/>
      <c r="B189" s="18"/>
      <c r="C189" s="18"/>
      <c r="D189" s="20"/>
      <c r="E189" s="18"/>
      <c r="F189" s="18"/>
      <c r="G189" s="20"/>
      <c r="H189" s="18"/>
      <c r="I189" s="20"/>
      <c r="J189" s="18"/>
    </row>
    <row r="190" spans="1:10">
      <c r="A190" s="20"/>
      <c r="B190" s="18"/>
      <c r="C190" s="18"/>
      <c r="D190" s="20"/>
      <c r="E190" s="18"/>
      <c r="F190" s="18"/>
      <c r="G190" s="20"/>
      <c r="H190" s="18"/>
      <c r="I190" s="20"/>
      <c r="J190" s="18"/>
    </row>
    <row r="191" spans="1:10">
      <c r="A191" s="20"/>
      <c r="B191" s="18"/>
      <c r="C191" s="18"/>
      <c r="D191" s="20"/>
      <c r="E191" s="18"/>
      <c r="F191" s="18"/>
      <c r="G191" s="20"/>
      <c r="H191" s="18"/>
      <c r="I191" s="20"/>
      <c r="J191" s="18"/>
    </row>
    <row r="192" spans="1:10">
      <c r="A192" s="20"/>
      <c r="B192" s="18"/>
      <c r="C192" s="18"/>
      <c r="D192" s="20"/>
      <c r="E192" s="18"/>
      <c r="F192" s="18"/>
      <c r="G192" s="20"/>
      <c r="H192" s="18"/>
      <c r="I192" s="20"/>
      <c r="J192" s="18"/>
    </row>
    <row r="193" spans="1:10">
      <c r="A193" s="20"/>
      <c r="B193" s="18"/>
      <c r="C193" s="18"/>
      <c r="D193" s="20"/>
      <c r="E193" s="18"/>
      <c r="F193" s="18"/>
      <c r="G193" s="20"/>
      <c r="H193" s="18"/>
      <c r="I193" s="20"/>
      <c r="J193" s="18"/>
    </row>
    <row r="194" spans="1:10">
      <c r="A194" s="20"/>
      <c r="B194" s="18"/>
      <c r="C194" s="18"/>
      <c r="D194" s="20"/>
      <c r="E194" s="18"/>
      <c r="F194" s="18"/>
      <c r="G194" s="20"/>
      <c r="H194" s="18"/>
      <c r="I194" s="20"/>
      <c r="J194" s="18"/>
    </row>
    <row r="195" spans="1:10">
      <c r="A195" s="20"/>
      <c r="B195" s="18"/>
      <c r="C195" s="18"/>
      <c r="D195" s="20"/>
      <c r="E195" s="18"/>
      <c r="F195" s="18"/>
      <c r="G195" s="20"/>
      <c r="H195" s="18"/>
      <c r="I195" s="20"/>
      <c r="J195" s="18"/>
    </row>
    <row r="196" spans="1:10">
      <c r="A196" s="20"/>
      <c r="B196" s="18"/>
      <c r="C196" s="18"/>
      <c r="D196" s="20"/>
      <c r="E196" s="18"/>
      <c r="F196" s="18"/>
      <c r="G196" s="20"/>
      <c r="H196" s="18"/>
      <c r="I196" s="20"/>
      <c r="J196" s="18"/>
    </row>
    <row r="197" spans="1:10">
      <c r="A197" s="20"/>
      <c r="B197" s="18"/>
      <c r="C197" s="18"/>
      <c r="D197" s="20"/>
      <c r="E197" s="18"/>
      <c r="F197" s="18"/>
      <c r="G197" s="20"/>
      <c r="H197" s="18"/>
      <c r="I197" s="20"/>
      <c r="J197" s="18"/>
    </row>
    <row r="198" spans="1:10">
      <c r="A198" s="20"/>
      <c r="B198" s="18"/>
      <c r="C198" s="18"/>
      <c r="D198" s="20"/>
      <c r="E198" s="18"/>
      <c r="F198" s="18"/>
      <c r="G198" s="20"/>
      <c r="H198" s="18"/>
      <c r="I198" s="20"/>
      <c r="J198" s="18"/>
    </row>
    <row r="199" spans="1:10">
      <c r="A199" s="20"/>
      <c r="B199" s="18"/>
      <c r="C199" s="18"/>
      <c r="D199" s="20"/>
      <c r="E199" s="18"/>
      <c r="F199" s="18"/>
      <c r="G199" s="20"/>
      <c r="H199" s="18"/>
      <c r="I199" s="20"/>
      <c r="J199" s="18"/>
    </row>
    <row r="200" spans="1:10">
      <c r="A200" s="20"/>
      <c r="B200" s="18"/>
      <c r="C200" s="18"/>
      <c r="D200" s="20"/>
      <c r="E200" s="18"/>
      <c r="F200" s="18"/>
      <c r="G200" s="20"/>
      <c r="H200" s="18"/>
      <c r="I200" s="20"/>
      <c r="J200" s="18"/>
    </row>
    <row r="201" spans="1:10">
      <c r="A201" s="20"/>
      <c r="B201" s="18"/>
      <c r="C201" s="18"/>
      <c r="D201" s="20"/>
      <c r="E201" s="18"/>
      <c r="F201" s="18"/>
      <c r="G201" s="20"/>
      <c r="H201" s="18"/>
      <c r="I201" s="20"/>
      <c r="J201" s="18"/>
    </row>
    <row r="202" spans="1:10">
      <c r="A202" s="20"/>
      <c r="B202" s="18"/>
      <c r="C202" s="18"/>
      <c r="D202" s="20"/>
      <c r="E202" s="18"/>
      <c r="F202" s="18"/>
      <c r="G202" s="20"/>
      <c r="H202" s="18"/>
      <c r="I202" s="20"/>
      <c r="J202" s="18"/>
    </row>
    <row r="203" spans="1:10">
      <c r="A203" s="20"/>
      <c r="B203" s="18"/>
      <c r="C203" s="18"/>
      <c r="D203" s="20"/>
      <c r="E203" s="18"/>
      <c r="F203" s="18"/>
      <c r="G203" s="20"/>
      <c r="H203" s="18"/>
      <c r="I203" s="20"/>
      <c r="J203" s="18"/>
    </row>
    <row r="204" spans="1:10">
      <c r="A204" s="20"/>
      <c r="B204" s="18"/>
      <c r="C204" s="18"/>
      <c r="D204" s="20"/>
      <c r="E204" s="18"/>
      <c r="F204" s="18"/>
      <c r="G204" s="20"/>
      <c r="H204" s="18"/>
      <c r="I204" s="20"/>
      <c r="J204" s="18"/>
    </row>
    <row r="205" spans="1:10">
      <c r="A205" s="20"/>
      <c r="B205" s="18"/>
      <c r="C205" s="18"/>
      <c r="D205" s="20"/>
      <c r="E205" s="18"/>
      <c r="F205" s="18"/>
      <c r="G205" s="20"/>
      <c r="H205" s="18"/>
      <c r="I205" s="20"/>
      <c r="J205" s="18"/>
    </row>
    <row r="206" spans="1:10">
      <c r="A206" s="20"/>
      <c r="B206" s="18"/>
      <c r="C206" s="18"/>
      <c r="D206" s="20"/>
      <c r="E206" s="18"/>
      <c r="F206" s="18"/>
      <c r="G206" s="20"/>
      <c r="H206" s="18"/>
      <c r="I206" s="20"/>
      <c r="J206" s="18"/>
    </row>
    <row r="207" spans="1:10">
      <c r="A207" s="20"/>
      <c r="B207" s="18"/>
      <c r="C207" s="18"/>
      <c r="D207" s="20"/>
      <c r="E207" s="18"/>
      <c r="F207" s="18"/>
      <c r="G207" s="20"/>
      <c r="H207" s="18"/>
      <c r="I207" s="20"/>
      <c r="J207" s="18"/>
    </row>
    <row r="208" spans="1:10">
      <c r="A208" s="20"/>
      <c r="B208" s="18"/>
      <c r="C208" s="18"/>
      <c r="D208" s="20"/>
      <c r="E208" s="18"/>
      <c r="F208" s="18"/>
      <c r="G208" s="20"/>
      <c r="H208" s="18"/>
      <c r="I208" s="20"/>
      <c r="J208" s="18"/>
    </row>
    <row r="209" spans="1:10">
      <c r="A209" s="20"/>
      <c r="B209" s="18"/>
      <c r="C209" s="18"/>
      <c r="D209" s="20"/>
      <c r="E209" s="18"/>
      <c r="F209" s="18"/>
      <c r="G209" s="20"/>
      <c r="H209" s="18"/>
      <c r="I209" s="20"/>
      <c r="J209" s="18"/>
    </row>
    <row r="210" spans="1:10">
      <c r="A210" s="20"/>
      <c r="B210" s="18"/>
      <c r="C210" s="18"/>
      <c r="D210" s="20"/>
      <c r="E210" s="18"/>
      <c r="F210" s="18"/>
      <c r="G210" s="20"/>
      <c r="H210" s="18"/>
      <c r="I210" s="20"/>
      <c r="J210" s="18"/>
    </row>
    <row r="211" spans="1:10">
      <c r="A211" s="20"/>
      <c r="B211" s="18"/>
      <c r="C211" s="18"/>
      <c r="D211" s="20"/>
      <c r="E211" s="18"/>
      <c r="F211" s="18"/>
      <c r="G211" s="20"/>
      <c r="H211" s="18"/>
      <c r="I211" s="20"/>
      <c r="J211" s="18"/>
    </row>
    <row r="212" spans="1:10">
      <c r="A212" s="20"/>
      <c r="B212" s="18"/>
      <c r="C212" s="18"/>
      <c r="D212" s="20"/>
      <c r="E212" s="18"/>
      <c r="F212" s="18"/>
      <c r="G212" s="20"/>
      <c r="H212" s="18"/>
      <c r="I212" s="20"/>
      <c r="J212" s="18"/>
    </row>
    <row r="213" spans="1:10">
      <c r="A213" s="20"/>
      <c r="B213" s="18"/>
      <c r="C213" s="18"/>
      <c r="D213" s="20"/>
      <c r="E213" s="18"/>
      <c r="F213" s="18"/>
      <c r="G213" s="20"/>
      <c r="H213" s="18"/>
      <c r="I213" s="20"/>
      <c r="J213" s="18"/>
    </row>
    <row r="214" spans="1:10">
      <c r="A214" s="20"/>
      <c r="B214" s="18"/>
      <c r="C214" s="18"/>
      <c r="D214" s="20"/>
      <c r="E214" s="18"/>
      <c r="F214" s="18"/>
      <c r="G214" s="20"/>
      <c r="H214" s="18"/>
      <c r="I214" s="20"/>
      <c r="J214" s="18"/>
    </row>
    <row r="215" spans="1:10">
      <c r="A215" s="20"/>
      <c r="B215" s="18"/>
      <c r="C215" s="18"/>
      <c r="D215" s="20"/>
      <c r="E215" s="18"/>
      <c r="F215" s="18"/>
      <c r="G215" s="20"/>
      <c r="H215" s="18"/>
      <c r="I215" s="20"/>
      <c r="J215" s="18"/>
    </row>
    <row r="216" spans="1:10">
      <c r="A216" s="20"/>
      <c r="B216" s="18"/>
      <c r="C216" s="18"/>
      <c r="D216" s="20"/>
      <c r="E216" s="18"/>
      <c r="F216" s="18"/>
      <c r="G216" s="20"/>
      <c r="H216" s="18"/>
      <c r="I216" s="20"/>
      <c r="J216" s="18"/>
    </row>
    <row r="217" spans="1:10">
      <c r="A217" s="20"/>
      <c r="B217" s="18"/>
      <c r="C217" s="18"/>
      <c r="D217" s="20"/>
      <c r="E217" s="18"/>
      <c r="F217" s="18"/>
      <c r="G217" s="20"/>
      <c r="H217" s="18"/>
      <c r="I217" s="20"/>
      <c r="J217" s="18"/>
    </row>
    <row r="218" spans="1:10">
      <c r="A218" s="20"/>
      <c r="B218" s="18"/>
      <c r="C218" s="18"/>
      <c r="D218" s="20"/>
      <c r="E218" s="18"/>
      <c r="F218" s="18"/>
      <c r="G218" s="20"/>
      <c r="H218" s="18"/>
      <c r="I218" s="20"/>
      <c r="J218" s="18"/>
    </row>
    <row r="219" spans="1:10">
      <c r="A219" s="20"/>
      <c r="B219" s="18"/>
      <c r="C219" s="18"/>
      <c r="D219" s="20"/>
      <c r="E219" s="18"/>
      <c r="F219" s="18"/>
      <c r="G219" s="20"/>
      <c r="H219" s="18"/>
      <c r="I219" s="20"/>
      <c r="J219" s="18"/>
    </row>
    <row r="220" spans="1:10">
      <c r="A220" s="20"/>
      <c r="B220" s="18"/>
      <c r="C220" s="18"/>
      <c r="D220" s="20"/>
      <c r="E220" s="18"/>
      <c r="F220" s="18"/>
      <c r="G220" s="20"/>
      <c r="H220" s="18"/>
      <c r="I220" s="20"/>
      <c r="J220" s="18"/>
    </row>
    <row r="221" spans="1:10">
      <c r="A221" s="20"/>
      <c r="B221" s="18"/>
      <c r="C221" s="18"/>
      <c r="D221" s="20"/>
      <c r="E221" s="18"/>
      <c r="F221" s="18"/>
      <c r="G221" s="20"/>
      <c r="H221" s="18"/>
      <c r="I221" s="20"/>
      <c r="J221" s="18"/>
    </row>
    <row r="222" spans="1:10">
      <c r="A222" s="20"/>
      <c r="B222" s="18"/>
      <c r="C222" s="18"/>
      <c r="D222" s="20"/>
      <c r="E222" s="18"/>
      <c r="F222" s="18"/>
      <c r="G222" s="20"/>
      <c r="H222" s="18"/>
      <c r="I222" s="20"/>
      <c r="J222" s="18"/>
    </row>
    <row r="223" spans="1:10">
      <c r="A223" s="20"/>
      <c r="B223" s="18"/>
      <c r="C223" s="18"/>
      <c r="D223" s="20"/>
      <c r="E223" s="18"/>
      <c r="F223" s="18"/>
      <c r="G223" s="20"/>
      <c r="H223" s="18"/>
      <c r="I223" s="20"/>
      <c r="J223" s="18"/>
    </row>
    <row r="224" spans="1:10">
      <c r="A224" s="20"/>
      <c r="B224" s="18"/>
      <c r="C224" s="18"/>
      <c r="D224" s="20"/>
      <c r="E224" s="18"/>
      <c r="F224" s="18"/>
      <c r="G224" s="20"/>
      <c r="H224" s="18"/>
      <c r="I224" s="20"/>
      <c r="J224" s="18"/>
    </row>
    <row r="225" spans="1:10">
      <c r="A225" s="20"/>
      <c r="B225" s="18"/>
      <c r="C225" s="18"/>
      <c r="D225" s="20"/>
      <c r="E225" s="18"/>
      <c r="F225" s="18"/>
      <c r="G225" s="20"/>
      <c r="H225" s="18"/>
      <c r="I225" s="20"/>
      <c r="J225" s="18"/>
    </row>
    <row r="226" spans="1:10">
      <c r="A226" s="20"/>
      <c r="B226" s="18"/>
      <c r="C226" s="18"/>
      <c r="D226" s="20"/>
      <c r="E226" s="18"/>
      <c r="F226" s="18"/>
      <c r="G226" s="20"/>
      <c r="H226" s="18"/>
      <c r="I226" s="20"/>
      <c r="J226" s="18"/>
    </row>
    <row r="227" spans="1:10">
      <c r="A227" s="20"/>
      <c r="B227" s="18"/>
      <c r="C227" s="18"/>
      <c r="D227" s="20"/>
      <c r="E227" s="18"/>
      <c r="F227" s="18"/>
      <c r="G227" s="20"/>
      <c r="H227" s="18"/>
      <c r="I227" s="20"/>
      <c r="J227" s="18"/>
    </row>
    <row r="228" spans="1:10">
      <c r="A228" s="20"/>
      <c r="B228" s="18"/>
      <c r="C228" s="18"/>
      <c r="D228" s="20"/>
      <c r="E228" s="18"/>
      <c r="F228" s="18"/>
      <c r="G228" s="20"/>
      <c r="H228" s="18"/>
      <c r="I228" s="20"/>
      <c r="J228" s="18"/>
    </row>
    <row r="229" spans="1:10">
      <c r="A229" s="20"/>
      <c r="B229" s="18"/>
      <c r="C229" s="18"/>
      <c r="D229" s="20"/>
      <c r="E229" s="18"/>
      <c r="F229" s="18"/>
      <c r="G229" s="20"/>
      <c r="H229" s="18"/>
      <c r="I229" s="20"/>
      <c r="J229" s="18"/>
    </row>
    <row r="230" spans="1:10">
      <c r="A230" s="20"/>
      <c r="B230" s="18"/>
      <c r="C230" s="18"/>
      <c r="D230" s="20"/>
      <c r="E230" s="18"/>
      <c r="F230" s="18"/>
      <c r="G230" s="20"/>
      <c r="H230" s="18"/>
      <c r="I230" s="20"/>
      <c r="J230" s="18"/>
    </row>
    <row r="231" spans="1:10">
      <c r="A231" s="20"/>
      <c r="B231" s="18"/>
      <c r="C231" s="18"/>
      <c r="D231" s="20"/>
      <c r="E231" s="18"/>
      <c r="F231" s="18"/>
      <c r="G231" s="20"/>
      <c r="H231" s="18"/>
      <c r="I231" s="20"/>
      <c r="J231" s="18"/>
    </row>
    <row r="232" spans="1:10">
      <c r="A232" s="20"/>
      <c r="B232" s="18"/>
      <c r="C232" s="18"/>
      <c r="D232" s="20"/>
      <c r="E232" s="18"/>
      <c r="F232" s="18"/>
      <c r="G232" s="20"/>
      <c r="H232" s="18"/>
      <c r="I232" s="20"/>
      <c r="J232" s="18"/>
    </row>
    <row r="233" spans="1:10">
      <c r="A233" s="20"/>
      <c r="B233" s="18"/>
      <c r="C233" s="18"/>
      <c r="D233" s="20"/>
      <c r="E233" s="18"/>
      <c r="F233" s="18"/>
      <c r="G233" s="20"/>
      <c r="H233" s="18"/>
      <c r="I233" s="20"/>
      <c r="J233" s="18"/>
    </row>
    <row r="234" spans="1:10">
      <c r="A234" s="20"/>
      <c r="B234" s="18"/>
      <c r="C234" s="18"/>
      <c r="D234" s="20"/>
      <c r="E234" s="18"/>
      <c r="F234" s="18"/>
      <c r="G234" s="20"/>
      <c r="H234" s="18"/>
      <c r="I234" s="20"/>
      <c r="J234" s="18"/>
    </row>
    <row r="235" spans="1:10">
      <c r="A235" s="20"/>
      <c r="B235" s="18"/>
      <c r="C235" s="18"/>
      <c r="D235" s="20"/>
      <c r="E235" s="18"/>
      <c r="F235" s="18"/>
      <c r="G235" s="20"/>
      <c r="H235" s="18"/>
      <c r="I235" s="20"/>
      <c r="J235" s="18"/>
    </row>
    <row r="236" spans="1:10">
      <c r="A236" s="20"/>
      <c r="B236" s="18"/>
      <c r="C236" s="18"/>
      <c r="D236" s="20"/>
      <c r="E236" s="18"/>
      <c r="F236" s="18"/>
      <c r="G236" s="20"/>
      <c r="H236" s="18"/>
      <c r="I236" s="20"/>
      <c r="J236" s="18"/>
    </row>
    <row r="237" spans="1:10">
      <c r="A237" s="20"/>
      <c r="B237" s="18"/>
      <c r="C237" s="18"/>
      <c r="D237" s="20"/>
      <c r="E237" s="18"/>
      <c r="F237" s="18"/>
      <c r="G237" s="20"/>
      <c r="H237" s="18"/>
      <c r="I237" s="20"/>
      <c r="J237" s="18"/>
    </row>
    <row r="238" spans="1:10">
      <c r="A238" s="20"/>
      <c r="B238" s="18"/>
      <c r="C238" s="18"/>
      <c r="D238" s="20"/>
      <c r="E238" s="18"/>
      <c r="F238" s="18"/>
      <c r="G238" s="20"/>
      <c r="H238" s="18"/>
      <c r="I238" s="20"/>
      <c r="J238" s="18"/>
    </row>
    <row r="239" spans="1:10">
      <c r="A239" s="20"/>
      <c r="B239" s="18"/>
      <c r="C239" s="18"/>
      <c r="D239" s="20"/>
      <c r="E239" s="18"/>
      <c r="F239" s="18"/>
      <c r="G239" s="20"/>
      <c r="H239" s="18"/>
      <c r="I239" s="20"/>
      <c r="J239" s="18"/>
    </row>
    <row r="240" spans="1:10">
      <c r="A240" s="20"/>
      <c r="B240" s="18"/>
      <c r="C240" s="18"/>
      <c r="D240" s="20"/>
      <c r="E240" s="18"/>
      <c r="F240" s="18"/>
      <c r="G240" s="20"/>
      <c r="H240" s="18"/>
      <c r="I240" s="20"/>
      <c r="J240" s="18"/>
    </row>
    <row r="241" spans="1:10">
      <c r="A241" s="20"/>
      <c r="B241" s="18"/>
      <c r="C241" s="18"/>
      <c r="D241" s="20"/>
      <c r="E241" s="18"/>
      <c r="F241" s="18"/>
      <c r="G241" s="20"/>
      <c r="H241" s="18"/>
      <c r="I241" s="20"/>
      <c r="J241" s="18"/>
    </row>
    <row r="242" spans="1:10">
      <c r="A242" s="20"/>
      <c r="B242" s="18"/>
      <c r="C242" s="18"/>
      <c r="D242" s="20"/>
      <c r="E242" s="18"/>
      <c r="F242" s="18"/>
      <c r="G242" s="20"/>
      <c r="H242" s="18"/>
      <c r="I242" s="20"/>
      <c r="J242" s="18"/>
    </row>
    <row r="243" spans="1:10">
      <c r="A243" s="20"/>
      <c r="B243" s="18"/>
      <c r="C243" s="18"/>
      <c r="D243" s="20"/>
      <c r="E243" s="18"/>
      <c r="F243" s="18"/>
      <c r="G243" s="20"/>
      <c r="H243" s="18"/>
      <c r="I243" s="20"/>
      <c r="J243" s="18"/>
    </row>
    <row r="244" spans="1:10">
      <c r="A244" s="20"/>
      <c r="B244" s="18"/>
      <c r="C244" s="18"/>
      <c r="D244" s="20"/>
      <c r="E244" s="18"/>
      <c r="F244" s="18"/>
      <c r="G244" s="20"/>
      <c r="H244" s="18"/>
      <c r="I244" s="20"/>
      <c r="J244" s="18"/>
    </row>
    <row r="245" spans="1:10">
      <c r="A245" s="20"/>
      <c r="B245" s="18"/>
      <c r="C245" s="18"/>
      <c r="D245" s="20"/>
      <c r="E245" s="18"/>
      <c r="F245" s="18"/>
      <c r="G245" s="20"/>
      <c r="H245" s="18"/>
      <c r="I245" s="20"/>
      <c r="J245" s="18"/>
    </row>
    <row r="246" spans="1:10">
      <c r="A246" s="20"/>
      <c r="B246" s="18"/>
      <c r="C246" s="18"/>
      <c r="D246" s="20"/>
      <c r="E246" s="18"/>
      <c r="F246" s="18"/>
      <c r="G246" s="20"/>
      <c r="H246" s="18"/>
      <c r="I246" s="20"/>
      <c r="J246" s="18"/>
    </row>
    <row r="247" spans="1:10">
      <c r="A247" s="20"/>
      <c r="B247" s="18"/>
      <c r="C247" s="18"/>
      <c r="D247" s="20"/>
      <c r="E247" s="18"/>
      <c r="F247" s="18"/>
      <c r="G247" s="20"/>
      <c r="H247" s="18"/>
      <c r="I247" s="20"/>
      <c r="J247" s="18"/>
    </row>
    <row r="248" spans="1:10">
      <c r="A248" s="20"/>
      <c r="B248" s="18"/>
      <c r="C248" s="18"/>
      <c r="D248" s="20"/>
      <c r="E248" s="18"/>
      <c r="F248" s="18"/>
      <c r="G248" s="20"/>
      <c r="H248" s="18"/>
      <c r="I248" s="20"/>
      <c r="J248" s="18"/>
    </row>
    <row r="249" spans="1:10">
      <c r="A249" s="20"/>
      <c r="B249" s="18"/>
      <c r="C249" s="18"/>
      <c r="D249" s="20"/>
      <c r="E249" s="18"/>
      <c r="F249" s="18"/>
      <c r="G249" s="20"/>
      <c r="H249" s="18"/>
      <c r="I249" s="20"/>
      <c r="J249" s="18"/>
    </row>
    <row r="250" spans="1:10">
      <c r="A250" s="20"/>
      <c r="B250" s="18"/>
      <c r="C250" s="18"/>
      <c r="D250" s="20"/>
      <c r="E250" s="18"/>
      <c r="F250" s="18"/>
      <c r="G250" s="20"/>
      <c r="H250" s="18"/>
      <c r="I250" s="20"/>
      <c r="J250" s="18"/>
    </row>
    <row r="251" spans="1:10">
      <c r="A251" s="20"/>
      <c r="B251" s="18"/>
      <c r="C251" s="18"/>
      <c r="D251" s="20"/>
      <c r="E251" s="18"/>
      <c r="F251" s="18"/>
      <c r="G251" s="20"/>
      <c r="H251" s="18"/>
      <c r="I251" s="20"/>
      <c r="J251" s="18"/>
    </row>
    <row r="252" spans="1:10">
      <c r="A252" s="20"/>
      <c r="B252" s="18"/>
      <c r="C252" s="18"/>
      <c r="D252" s="20"/>
      <c r="E252" s="18"/>
      <c r="F252" s="18"/>
      <c r="G252" s="20"/>
      <c r="H252" s="18"/>
      <c r="I252" s="20"/>
      <c r="J252" s="18"/>
    </row>
    <row r="253" spans="1:10">
      <c r="A253" s="20"/>
      <c r="B253" s="18"/>
      <c r="C253" s="18"/>
      <c r="D253" s="20"/>
      <c r="E253" s="18"/>
      <c r="F253" s="18"/>
      <c r="G253" s="20"/>
      <c r="H253" s="18"/>
      <c r="I253" s="20"/>
      <c r="J253" s="18"/>
    </row>
    <row r="254" spans="1:10">
      <c r="A254" s="20"/>
      <c r="B254" s="18"/>
      <c r="C254" s="18"/>
      <c r="D254" s="20"/>
      <c r="E254" s="18"/>
      <c r="F254" s="18"/>
      <c r="G254" s="20"/>
      <c r="H254" s="18"/>
      <c r="I254" s="20"/>
      <c r="J254" s="18"/>
    </row>
    <row r="255" spans="1:10">
      <c r="A255" s="20"/>
      <c r="B255" s="18"/>
      <c r="C255" s="18"/>
      <c r="D255" s="20"/>
      <c r="E255" s="18"/>
      <c r="F255" s="18"/>
      <c r="G255" s="20"/>
      <c r="H255" s="18"/>
      <c r="I255" s="20"/>
      <c r="J255" s="18"/>
    </row>
    <row r="256" spans="1:10">
      <c r="A256" s="20"/>
      <c r="B256" s="18"/>
      <c r="C256" s="18"/>
      <c r="D256" s="20"/>
      <c r="E256" s="18"/>
      <c r="F256" s="18"/>
      <c r="G256" s="20"/>
      <c r="H256" s="18"/>
      <c r="I256" s="20"/>
      <c r="J256" s="18"/>
    </row>
    <row r="257" spans="1:10">
      <c r="A257" s="20"/>
      <c r="B257" s="18"/>
      <c r="C257" s="18"/>
      <c r="D257" s="20"/>
      <c r="E257" s="18"/>
      <c r="F257" s="18"/>
      <c r="G257" s="20"/>
      <c r="H257" s="18"/>
      <c r="I257" s="20"/>
      <c r="J257" s="18"/>
    </row>
    <row r="258" spans="1:10">
      <c r="A258" s="20"/>
      <c r="B258" s="18"/>
      <c r="C258" s="18"/>
      <c r="D258" s="20"/>
      <c r="E258" s="18"/>
      <c r="F258" s="18"/>
      <c r="G258" s="20"/>
      <c r="H258" s="18"/>
      <c r="I258" s="20"/>
      <c r="J258" s="18"/>
    </row>
    <row r="259" spans="1:10">
      <c r="A259" s="20"/>
      <c r="B259" s="18"/>
      <c r="C259" s="18"/>
      <c r="D259" s="20"/>
      <c r="E259" s="18"/>
      <c r="F259" s="18"/>
      <c r="G259" s="20"/>
      <c r="H259" s="18"/>
      <c r="I259" s="20"/>
      <c r="J259" s="18"/>
    </row>
    <row r="260" spans="1:10">
      <c r="A260" s="20"/>
      <c r="B260" s="18"/>
      <c r="C260" s="18"/>
      <c r="D260" s="20"/>
      <c r="E260" s="18"/>
      <c r="F260" s="18"/>
      <c r="G260" s="20"/>
      <c r="H260" s="18"/>
      <c r="I260" s="20"/>
      <c r="J260" s="18"/>
    </row>
    <row r="261" spans="1:10">
      <c r="A261" s="20"/>
      <c r="B261" s="18"/>
      <c r="C261" s="18"/>
      <c r="D261" s="20"/>
      <c r="E261" s="18"/>
      <c r="F261" s="18"/>
      <c r="G261" s="20"/>
      <c r="H261" s="18"/>
      <c r="I261" s="20"/>
      <c r="J261" s="18"/>
    </row>
    <row r="262" spans="1:10">
      <c r="A262" s="20"/>
      <c r="B262" s="18"/>
      <c r="C262" s="18"/>
      <c r="D262" s="20"/>
      <c r="E262" s="18"/>
      <c r="F262" s="18"/>
      <c r="G262" s="20"/>
      <c r="H262" s="18"/>
      <c r="I262" s="20"/>
      <c r="J262" s="18"/>
    </row>
    <row r="263" spans="1:10">
      <c r="A263" s="20"/>
      <c r="B263" s="18"/>
      <c r="C263" s="18"/>
      <c r="D263" s="20"/>
      <c r="E263" s="18"/>
      <c r="F263" s="18"/>
      <c r="G263" s="20"/>
      <c r="H263" s="18"/>
      <c r="I263" s="20"/>
      <c r="J263" s="18"/>
    </row>
    <row r="264" spans="1:10">
      <c r="A264" s="20"/>
      <c r="B264" s="18"/>
      <c r="C264" s="18"/>
      <c r="D264" s="20"/>
      <c r="E264" s="18"/>
      <c r="F264" s="18"/>
      <c r="G264" s="20"/>
      <c r="H264" s="18"/>
      <c r="I264" s="20"/>
      <c r="J264" s="18"/>
    </row>
    <row r="265" spans="1:10">
      <c r="A265" s="20"/>
      <c r="B265" s="18"/>
      <c r="C265" s="18"/>
      <c r="D265" s="20"/>
      <c r="E265" s="18"/>
      <c r="F265" s="18"/>
      <c r="G265" s="20"/>
      <c r="H265" s="18"/>
      <c r="I265" s="20"/>
      <c r="J265" s="18"/>
    </row>
    <row r="266" spans="1:10">
      <c r="A266" s="20"/>
      <c r="B266" s="18"/>
      <c r="C266" s="18"/>
      <c r="D266" s="20"/>
      <c r="E266" s="18"/>
      <c r="F266" s="18"/>
      <c r="G266" s="20"/>
      <c r="H266" s="18"/>
      <c r="I266" s="20"/>
      <c r="J266" s="18"/>
    </row>
    <row r="267" spans="1:10">
      <c r="A267" s="20"/>
      <c r="B267" s="18"/>
      <c r="C267" s="18"/>
      <c r="D267" s="20"/>
      <c r="E267" s="18"/>
      <c r="F267" s="18"/>
      <c r="G267" s="20"/>
      <c r="H267" s="18"/>
      <c r="I267" s="20"/>
      <c r="J267" s="18"/>
    </row>
    <row r="268" spans="1:10">
      <c r="A268" s="20"/>
      <c r="B268" s="18"/>
      <c r="C268" s="18"/>
      <c r="D268" s="20"/>
      <c r="E268" s="18"/>
      <c r="F268" s="18"/>
      <c r="G268" s="20"/>
      <c r="H268" s="18"/>
      <c r="I268" s="20"/>
      <c r="J268" s="18"/>
    </row>
    <row r="269" spans="1:10">
      <c r="A269" s="20"/>
      <c r="B269" s="18"/>
      <c r="C269" s="18"/>
      <c r="D269" s="20"/>
      <c r="E269" s="18"/>
      <c r="F269" s="18"/>
      <c r="G269" s="20"/>
      <c r="H269" s="18"/>
      <c r="I269" s="20"/>
      <c r="J269" s="18"/>
    </row>
    <row r="270" spans="1:10">
      <c r="A270" s="20"/>
      <c r="B270" s="18"/>
      <c r="C270" s="18"/>
      <c r="D270" s="20"/>
      <c r="E270" s="18"/>
      <c r="F270" s="18"/>
      <c r="G270" s="20"/>
      <c r="H270" s="18"/>
      <c r="I270" s="20"/>
      <c r="J270" s="18"/>
    </row>
    <row r="271" spans="1:10">
      <c r="A271" s="20"/>
      <c r="B271" s="18"/>
      <c r="C271" s="18"/>
      <c r="D271" s="20"/>
      <c r="E271" s="18"/>
      <c r="F271" s="18"/>
      <c r="G271" s="20"/>
      <c r="H271" s="18"/>
      <c r="I271" s="20"/>
      <c r="J271" s="18"/>
    </row>
    <row r="272" spans="1:10">
      <c r="A272" s="20"/>
      <c r="B272" s="18"/>
      <c r="C272" s="18"/>
      <c r="D272" s="20"/>
      <c r="E272" s="18"/>
      <c r="F272" s="18"/>
      <c r="G272" s="20"/>
      <c r="H272" s="18"/>
      <c r="I272" s="20"/>
      <c r="J272" s="18"/>
    </row>
    <row r="273" spans="1:10">
      <c r="A273" s="20"/>
      <c r="B273" s="18"/>
      <c r="C273" s="18"/>
      <c r="D273" s="20"/>
      <c r="E273" s="18"/>
      <c r="F273" s="18"/>
      <c r="G273" s="20"/>
      <c r="H273" s="18"/>
      <c r="I273" s="20"/>
      <c r="J273" s="18"/>
    </row>
    <row r="274" spans="1:10">
      <c r="A274" s="20"/>
      <c r="B274" s="18"/>
      <c r="C274" s="18"/>
      <c r="D274" s="20"/>
      <c r="E274" s="18"/>
      <c r="F274" s="18"/>
      <c r="G274" s="20"/>
      <c r="H274" s="18"/>
      <c r="I274" s="20"/>
      <c r="J274" s="18"/>
    </row>
    <row r="275" spans="1:10">
      <c r="A275" s="20"/>
      <c r="B275" s="18"/>
      <c r="C275" s="18"/>
      <c r="D275" s="20"/>
      <c r="E275" s="18"/>
      <c r="F275" s="18"/>
      <c r="G275" s="20"/>
      <c r="H275" s="18"/>
      <c r="I275" s="20"/>
      <c r="J275" s="18"/>
    </row>
    <row r="276" spans="1:10">
      <c r="A276" s="20"/>
      <c r="B276" s="18"/>
      <c r="C276" s="18"/>
      <c r="D276" s="20"/>
      <c r="E276" s="18"/>
      <c r="F276" s="18"/>
      <c r="G276" s="20"/>
      <c r="H276" s="18"/>
      <c r="I276" s="20"/>
      <c r="J276" s="18"/>
    </row>
    <row r="277" spans="1:10">
      <c r="A277" s="20"/>
      <c r="B277" s="18"/>
      <c r="C277" s="18"/>
      <c r="D277" s="20"/>
      <c r="E277" s="18"/>
      <c r="F277" s="18"/>
      <c r="G277" s="20"/>
      <c r="H277" s="18"/>
      <c r="I277" s="20"/>
      <c r="J277" s="18"/>
    </row>
    <row r="278" spans="1:10">
      <c r="A278" s="20"/>
      <c r="B278" s="18"/>
      <c r="C278" s="18"/>
      <c r="D278" s="20"/>
      <c r="E278" s="18"/>
      <c r="F278" s="18"/>
      <c r="G278" s="20"/>
      <c r="H278" s="18"/>
      <c r="I278" s="20"/>
      <c r="J278" s="18"/>
    </row>
    <row r="279" spans="1:10">
      <c r="A279" s="20"/>
      <c r="B279" s="18"/>
      <c r="C279" s="18"/>
      <c r="D279" s="20"/>
      <c r="E279" s="18"/>
      <c r="F279" s="18"/>
      <c r="G279" s="20"/>
      <c r="H279" s="18"/>
      <c r="I279" s="20"/>
      <c r="J279" s="18"/>
    </row>
    <row r="280" spans="1:10">
      <c r="A280" s="20"/>
      <c r="B280" s="18"/>
      <c r="C280" s="18"/>
      <c r="D280" s="20"/>
      <c r="E280" s="18"/>
      <c r="F280" s="18"/>
      <c r="G280" s="20"/>
      <c r="H280" s="18"/>
      <c r="I280" s="20"/>
      <c r="J280" s="18"/>
    </row>
    <row r="281" spans="1:10">
      <c r="A281" s="20"/>
      <c r="B281" s="18"/>
      <c r="C281" s="18"/>
      <c r="D281" s="20"/>
      <c r="E281" s="18"/>
      <c r="F281" s="18"/>
      <c r="G281" s="20"/>
      <c r="H281" s="18"/>
      <c r="I281" s="20"/>
      <c r="J281" s="18"/>
    </row>
    <row r="282" spans="1:10">
      <c r="A282" s="20"/>
      <c r="B282" s="18"/>
      <c r="C282" s="18"/>
      <c r="D282" s="20"/>
      <c r="E282" s="18"/>
      <c r="F282" s="18"/>
      <c r="G282" s="20"/>
      <c r="H282" s="18"/>
      <c r="I282" s="20"/>
      <c r="J282" s="18"/>
    </row>
    <row r="283" spans="1:10">
      <c r="A283" s="20"/>
      <c r="B283" s="18"/>
      <c r="C283" s="18"/>
      <c r="D283" s="20"/>
      <c r="E283" s="18"/>
      <c r="F283" s="18"/>
      <c r="G283" s="20"/>
      <c r="H283" s="18"/>
      <c r="I283" s="20"/>
      <c r="J283" s="18"/>
    </row>
    <row r="284" spans="1:10">
      <c r="A284" s="20"/>
      <c r="B284" s="18"/>
      <c r="C284" s="18"/>
      <c r="D284" s="20"/>
      <c r="E284" s="18"/>
      <c r="F284" s="18"/>
      <c r="G284" s="20"/>
      <c r="H284" s="18"/>
      <c r="I284" s="20"/>
      <c r="J284" s="18"/>
    </row>
    <row r="285" spans="1:10">
      <c r="A285" s="20"/>
      <c r="B285" s="18"/>
      <c r="C285" s="18"/>
      <c r="D285" s="20"/>
      <c r="E285" s="18"/>
      <c r="F285" s="18"/>
      <c r="G285" s="20"/>
      <c r="H285" s="18"/>
      <c r="I285" s="20"/>
      <c r="J285" s="18"/>
    </row>
    <row r="286" spans="1:10">
      <c r="A286" s="20"/>
      <c r="B286" s="18"/>
      <c r="C286" s="18"/>
      <c r="D286" s="20"/>
      <c r="E286" s="18"/>
      <c r="F286" s="18"/>
      <c r="G286" s="20"/>
      <c r="H286" s="18"/>
      <c r="I286" s="20"/>
      <c r="J286" s="18"/>
    </row>
    <row r="287" spans="1:10">
      <c r="A287" s="20"/>
      <c r="B287" s="18"/>
      <c r="C287" s="18"/>
      <c r="D287" s="20"/>
      <c r="E287" s="18"/>
      <c r="F287" s="18"/>
      <c r="G287" s="20"/>
      <c r="H287" s="18"/>
      <c r="I287" s="20"/>
      <c r="J287" s="18"/>
    </row>
    <row r="288" spans="1:10">
      <c r="A288" s="20"/>
      <c r="B288" s="18"/>
      <c r="C288" s="18"/>
      <c r="D288" s="20"/>
      <c r="E288" s="18"/>
      <c r="F288" s="18"/>
      <c r="G288" s="20"/>
      <c r="H288" s="18"/>
      <c r="I288" s="20"/>
      <c r="J288" s="18"/>
    </row>
    <row r="289" spans="1:10">
      <c r="A289" s="20"/>
      <c r="B289" s="18"/>
      <c r="C289" s="18"/>
      <c r="D289" s="20"/>
      <c r="E289" s="18"/>
      <c r="F289" s="18"/>
      <c r="G289" s="20"/>
      <c r="H289" s="18"/>
      <c r="I289" s="20"/>
      <c r="J289" s="18"/>
    </row>
    <row r="290" spans="1:10">
      <c r="A290" s="20"/>
      <c r="B290" s="18"/>
      <c r="C290" s="18"/>
      <c r="D290" s="20"/>
      <c r="E290" s="18"/>
      <c r="F290" s="18"/>
      <c r="G290" s="20"/>
      <c r="H290" s="18"/>
      <c r="I290" s="20"/>
      <c r="J290" s="18"/>
    </row>
    <row r="291" spans="1:10">
      <c r="A291" s="20"/>
      <c r="B291" s="18"/>
      <c r="C291" s="18"/>
      <c r="D291" s="20"/>
      <c r="E291" s="18"/>
      <c r="F291" s="18"/>
      <c r="G291" s="20"/>
      <c r="H291" s="18"/>
      <c r="I291" s="20"/>
      <c r="J291" s="18"/>
    </row>
    <row r="292" spans="1:10">
      <c r="A292" s="20"/>
      <c r="B292" s="18"/>
      <c r="C292" s="18"/>
      <c r="D292" s="20"/>
      <c r="E292" s="18"/>
      <c r="F292" s="18"/>
      <c r="G292" s="20"/>
      <c r="H292" s="18"/>
      <c r="I292" s="20"/>
      <c r="J292" s="18"/>
    </row>
    <row r="293" spans="1:10">
      <c r="A293" s="20"/>
      <c r="B293" s="18"/>
      <c r="C293" s="18"/>
      <c r="D293" s="20"/>
      <c r="E293" s="18"/>
      <c r="F293" s="18"/>
      <c r="G293" s="20"/>
      <c r="H293" s="18"/>
      <c r="I293" s="20"/>
      <c r="J293" s="18"/>
    </row>
    <row r="294" spans="1:10">
      <c r="A294" s="20"/>
      <c r="B294" s="18"/>
      <c r="C294" s="18"/>
      <c r="D294" s="20"/>
      <c r="E294" s="18"/>
      <c r="F294" s="18"/>
      <c r="G294" s="20"/>
      <c r="H294" s="18"/>
      <c r="I294" s="20"/>
      <c r="J294" s="18"/>
    </row>
    <row r="295" spans="1:10">
      <c r="A295" s="20"/>
      <c r="B295" s="18"/>
      <c r="C295" s="18"/>
      <c r="D295" s="20"/>
      <c r="E295" s="18"/>
      <c r="F295" s="18"/>
      <c r="G295" s="20"/>
      <c r="H295" s="18"/>
      <c r="I295" s="20"/>
      <c r="J295" s="18"/>
    </row>
    <row r="296" spans="1:10">
      <c r="A296" s="20"/>
      <c r="B296" s="18"/>
      <c r="C296" s="18"/>
      <c r="D296" s="20"/>
      <c r="E296" s="18"/>
      <c r="F296" s="18"/>
      <c r="G296" s="20"/>
      <c r="H296" s="18"/>
      <c r="I296" s="20"/>
      <c r="J296" s="18"/>
    </row>
    <row r="297" spans="1:10">
      <c r="A297" s="20"/>
      <c r="B297" s="18"/>
      <c r="C297" s="18"/>
      <c r="D297" s="20"/>
      <c r="E297" s="18"/>
      <c r="F297" s="18"/>
      <c r="G297" s="20"/>
      <c r="H297" s="18"/>
      <c r="I297" s="20"/>
      <c r="J297" s="18"/>
    </row>
    <row r="298" spans="1:10">
      <c r="A298" s="20"/>
      <c r="B298" s="18"/>
      <c r="C298" s="18"/>
      <c r="D298" s="20"/>
      <c r="E298" s="18"/>
      <c r="F298" s="18"/>
      <c r="G298" s="20"/>
      <c r="H298" s="18"/>
      <c r="I298" s="20"/>
      <c r="J298" s="18"/>
    </row>
    <row r="299" spans="1:10">
      <c r="A299" s="20"/>
      <c r="B299" s="18"/>
      <c r="C299" s="18"/>
      <c r="D299" s="20"/>
      <c r="E299" s="18"/>
      <c r="F299" s="18"/>
      <c r="G299" s="20"/>
      <c r="H299" s="18"/>
      <c r="I299" s="20"/>
      <c r="J299" s="18"/>
    </row>
    <row r="300" spans="1:10">
      <c r="A300" s="20"/>
      <c r="B300" s="18"/>
      <c r="C300" s="18"/>
      <c r="D300" s="20"/>
      <c r="E300" s="18"/>
      <c r="F300" s="18"/>
      <c r="G300" s="20"/>
      <c r="H300" s="18"/>
      <c r="I300" s="20"/>
      <c r="J300" s="18"/>
    </row>
    <row r="301" spans="1:10">
      <c r="A301" s="20"/>
      <c r="B301" s="18"/>
      <c r="C301" s="18"/>
      <c r="D301" s="20"/>
      <c r="E301" s="18"/>
      <c r="F301" s="18"/>
      <c r="G301" s="20"/>
      <c r="H301" s="18"/>
      <c r="I301" s="20"/>
      <c r="J301" s="18"/>
    </row>
    <row r="302" spans="1:10">
      <c r="A302" s="20"/>
      <c r="B302" s="18"/>
      <c r="C302" s="18"/>
      <c r="D302" s="20"/>
      <c r="E302" s="18"/>
      <c r="F302" s="18"/>
      <c r="G302" s="20"/>
      <c r="H302" s="18"/>
      <c r="I302" s="20"/>
      <c r="J302" s="18"/>
    </row>
    <row r="303" spans="1:10">
      <c r="A303" s="20"/>
      <c r="B303" s="18"/>
      <c r="C303" s="18"/>
      <c r="D303" s="20"/>
      <c r="E303" s="18"/>
      <c r="F303" s="18"/>
      <c r="G303" s="20"/>
      <c r="H303" s="18"/>
      <c r="I303" s="20"/>
      <c r="J303" s="18"/>
    </row>
    <row r="304" spans="1:10">
      <c r="A304" s="20"/>
      <c r="B304" s="18"/>
      <c r="C304" s="18"/>
      <c r="D304" s="20"/>
      <c r="E304" s="18"/>
      <c r="F304" s="18"/>
      <c r="G304" s="20"/>
      <c r="H304" s="18"/>
      <c r="I304" s="20"/>
      <c r="J304" s="18"/>
    </row>
    <row r="305" spans="1:10">
      <c r="A305" s="20"/>
      <c r="B305" s="18"/>
      <c r="C305" s="18"/>
      <c r="D305" s="20"/>
      <c r="E305" s="18"/>
      <c r="F305" s="18"/>
      <c r="G305" s="20"/>
      <c r="H305" s="18"/>
      <c r="I305" s="20"/>
      <c r="J305" s="18"/>
    </row>
    <row r="306" spans="1:10">
      <c r="A306" s="20"/>
      <c r="B306" s="18"/>
      <c r="C306" s="18"/>
      <c r="D306" s="20"/>
      <c r="E306" s="18"/>
      <c r="F306" s="18"/>
      <c r="G306" s="20"/>
      <c r="H306" s="18"/>
      <c r="I306" s="20"/>
      <c r="J306" s="18"/>
    </row>
    <row r="307" spans="1:10">
      <c r="A307" s="20"/>
      <c r="B307" s="18"/>
      <c r="C307" s="18"/>
      <c r="D307" s="20"/>
      <c r="E307" s="18"/>
      <c r="F307" s="18"/>
      <c r="G307" s="20"/>
      <c r="H307" s="18"/>
      <c r="I307" s="20"/>
      <c r="J307" s="18"/>
    </row>
    <row r="308" spans="1:10">
      <c r="A308" s="20"/>
      <c r="B308" s="18"/>
      <c r="C308" s="18"/>
      <c r="D308" s="20"/>
      <c r="E308" s="18"/>
      <c r="F308" s="18"/>
      <c r="G308" s="20"/>
      <c r="H308" s="18"/>
      <c r="I308" s="20"/>
      <c r="J308" s="18"/>
    </row>
    <row r="309" spans="1:10">
      <c r="A309" s="20"/>
      <c r="B309" s="18"/>
      <c r="C309" s="18"/>
      <c r="D309" s="20"/>
      <c r="E309" s="18"/>
      <c r="F309" s="18"/>
      <c r="G309" s="20"/>
      <c r="H309" s="18"/>
      <c r="I309" s="20"/>
      <c r="J309" s="18"/>
    </row>
    <row r="310" spans="1:10">
      <c r="A310" s="20"/>
      <c r="B310" s="18"/>
      <c r="C310" s="18"/>
      <c r="D310" s="20"/>
      <c r="E310" s="18"/>
      <c r="F310" s="18"/>
      <c r="G310" s="20"/>
      <c r="H310" s="18"/>
      <c r="I310" s="20"/>
      <c r="J310" s="18"/>
    </row>
    <row r="311" spans="1:10">
      <c r="A311" s="20"/>
      <c r="B311" s="18"/>
      <c r="C311" s="18"/>
      <c r="D311" s="20"/>
      <c r="E311" s="18"/>
      <c r="F311" s="18"/>
      <c r="G311" s="20"/>
      <c r="H311" s="18"/>
      <c r="I311" s="20"/>
      <c r="J311" s="18"/>
    </row>
    <row r="312" spans="1:10">
      <c r="A312" s="20"/>
      <c r="B312" s="18"/>
      <c r="C312" s="18"/>
      <c r="D312" s="20"/>
      <c r="E312" s="18"/>
      <c r="F312" s="18"/>
      <c r="G312" s="20"/>
      <c r="H312" s="18"/>
      <c r="I312" s="20"/>
      <c r="J312" s="18"/>
    </row>
    <row r="313" spans="1:10">
      <c r="A313" s="20"/>
      <c r="B313" s="18"/>
      <c r="C313" s="18"/>
      <c r="D313" s="20"/>
      <c r="E313" s="18"/>
      <c r="F313" s="18"/>
      <c r="G313" s="20"/>
      <c r="H313" s="18"/>
      <c r="I313" s="20"/>
      <c r="J313" s="18"/>
    </row>
    <row r="314" spans="1:10">
      <c r="A314" s="20"/>
      <c r="B314" s="18"/>
      <c r="C314" s="18"/>
      <c r="D314" s="20"/>
      <c r="E314" s="18"/>
      <c r="F314" s="18"/>
      <c r="G314" s="20"/>
      <c r="H314" s="18"/>
      <c r="I314" s="20"/>
      <c r="J314" s="18"/>
    </row>
    <row r="315" spans="1:10">
      <c r="A315" s="20"/>
      <c r="B315" s="18"/>
      <c r="C315" s="18"/>
      <c r="D315" s="20"/>
      <c r="E315" s="18"/>
      <c r="F315" s="18"/>
      <c r="G315" s="20"/>
      <c r="H315" s="18"/>
      <c r="I315" s="20"/>
      <c r="J315" s="18"/>
    </row>
    <row r="316" spans="1:10">
      <c r="A316" s="20"/>
      <c r="B316" s="18"/>
      <c r="C316" s="18"/>
      <c r="D316" s="20"/>
      <c r="E316" s="18"/>
      <c r="F316" s="18"/>
      <c r="G316" s="20"/>
      <c r="H316" s="18"/>
      <c r="I316" s="20"/>
      <c r="J316" s="18"/>
    </row>
    <row r="317" spans="1:10">
      <c r="A317" s="20"/>
      <c r="B317" s="18"/>
      <c r="C317" s="18"/>
      <c r="D317" s="20"/>
      <c r="E317" s="18"/>
      <c r="F317" s="18"/>
      <c r="G317" s="20"/>
      <c r="H317" s="18"/>
      <c r="I317" s="20"/>
      <c r="J317" s="18"/>
    </row>
    <row r="318" spans="1:10">
      <c r="A318" s="20"/>
      <c r="B318" s="18"/>
      <c r="C318" s="18"/>
      <c r="D318" s="20"/>
      <c r="E318" s="18"/>
      <c r="F318" s="18"/>
      <c r="G318" s="20"/>
      <c r="H318" s="18"/>
      <c r="I318" s="20"/>
      <c r="J318" s="18"/>
    </row>
    <row r="319" spans="1:10">
      <c r="A319" s="20"/>
      <c r="B319" s="18"/>
      <c r="C319" s="18"/>
      <c r="D319" s="20"/>
      <c r="E319" s="18"/>
      <c r="F319" s="18"/>
      <c r="G319" s="20"/>
      <c r="H319" s="18"/>
      <c r="I319" s="20"/>
      <c r="J319" s="18"/>
    </row>
    <row r="320" spans="1:10">
      <c r="A320" s="20"/>
      <c r="B320" s="18"/>
      <c r="C320" s="18"/>
      <c r="D320" s="20"/>
      <c r="E320" s="18"/>
      <c r="F320" s="18"/>
      <c r="G320" s="20"/>
      <c r="H320" s="18"/>
      <c r="I320" s="20"/>
      <c r="J320" s="18"/>
    </row>
    <row r="321" spans="1:10">
      <c r="A321" s="20"/>
      <c r="B321" s="18"/>
      <c r="C321" s="18"/>
      <c r="D321" s="20"/>
      <c r="E321" s="18"/>
      <c r="F321" s="18"/>
      <c r="G321" s="20"/>
      <c r="H321" s="18"/>
      <c r="I321" s="20"/>
      <c r="J321" s="18"/>
    </row>
    <row r="322" spans="1:10">
      <c r="A322" s="20"/>
      <c r="B322" s="18"/>
      <c r="C322" s="18"/>
      <c r="D322" s="20"/>
      <c r="E322" s="18"/>
      <c r="F322" s="18"/>
      <c r="G322" s="20"/>
      <c r="H322" s="18"/>
      <c r="I322" s="20"/>
      <c r="J322" s="18"/>
    </row>
    <row r="323" spans="1:10">
      <c r="A323" s="20"/>
      <c r="B323" s="18"/>
      <c r="C323" s="18"/>
      <c r="D323" s="20"/>
      <c r="E323" s="18"/>
      <c r="F323" s="18"/>
      <c r="G323" s="20"/>
      <c r="H323" s="18"/>
      <c r="I323" s="20"/>
      <c r="J323" s="18"/>
    </row>
    <row r="324" spans="1:10">
      <c r="A324" s="20"/>
      <c r="B324" s="18"/>
      <c r="C324" s="18"/>
      <c r="D324" s="20"/>
      <c r="E324" s="18"/>
      <c r="F324" s="18"/>
      <c r="G324" s="20"/>
      <c r="H324" s="18"/>
      <c r="I324" s="20"/>
      <c r="J324" s="18"/>
    </row>
    <row r="325" spans="1:10">
      <c r="A325" s="20"/>
      <c r="B325" s="18"/>
      <c r="C325" s="18"/>
      <c r="D325" s="20"/>
      <c r="E325" s="18"/>
      <c r="F325" s="18"/>
      <c r="G325" s="20"/>
      <c r="H325" s="18"/>
      <c r="I325" s="20"/>
      <c r="J325" s="18"/>
    </row>
    <row r="326" spans="1:10">
      <c r="A326" s="20"/>
      <c r="B326" s="18"/>
      <c r="C326" s="18"/>
      <c r="D326" s="20"/>
      <c r="E326" s="18"/>
      <c r="F326" s="18"/>
      <c r="G326" s="20"/>
      <c r="H326" s="18"/>
      <c r="I326" s="20"/>
      <c r="J326" s="18"/>
    </row>
    <row r="327" spans="1:10">
      <c r="A327" s="20"/>
      <c r="B327" s="18"/>
      <c r="C327" s="18"/>
      <c r="D327" s="20"/>
      <c r="E327" s="18"/>
      <c r="F327" s="18"/>
      <c r="G327" s="20"/>
      <c r="H327" s="18"/>
      <c r="I327" s="20"/>
      <c r="J327" s="18"/>
    </row>
    <row r="328" spans="1:10">
      <c r="A328" s="20"/>
      <c r="B328" s="18"/>
      <c r="C328" s="18"/>
      <c r="D328" s="20"/>
      <c r="E328" s="18"/>
      <c r="F328" s="18"/>
      <c r="G328" s="20"/>
      <c r="H328" s="18"/>
      <c r="I328" s="20"/>
      <c r="J328" s="18"/>
    </row>
    <row r="329" spans="1:10">
      <c r="A329" s="20"/>
      <c r="B329" s="18"/>
      <c r="C329" s="18"/>
      <c r="D329" s="20"/>
      <c r="E329" s="18"/>
      <c r="F329" s="18"/>
      <c r="G329" s="20"/>
      <c r="H329" s="18"/>
      <c r="I329" s="20"/>
      <c r="J329" s="18"/>
    </row>
    <row r="330" spans="1:10">
      <c r="A330" s="20"/>
      <c r="B330" s="18"/>
      <c r="C330" s="18"/>
      <c r="D330" s="20"/>
      <c r="E330" s="18"/>
      <c r="F330" s="18"/>
      <c r="G330" s="20"/>
      <c r="H330" s="18"/>
      <c r="I330" s="20"/>
      <c r="J330" s="18"/>
    </row>
    <row r="331" spans="1:10">
      <c r="A331" s="20"/>
      <c r="B331" s="18"/>
      <c r="C331" s="18"/>
      <c r="D331" s="20"/>
      <c r="E331" s="18"/>
      <c r="F331" s="18"/>
      <c r="G331" s="20"/>
      <c r="H331" s="18"/>
      <c r="I331" s="20"/>
      <c r="J331" s="18"/>
    </row>
    <row r="332" spans="1:10">
      <c r="A332" s="20"/>
      <c r="B332" s="18"/>
      <c r="C332" s="18"/>
      <c r="D332" s="20"/>
      <c r="E332" s="18"/>
      <c r="F332" s="18"/>
      <c r="G332" s="20"/>
      <c r="H332" s="18"/>
      <c r="I332" s="20"/>
      <c r="J332" s="18"/>
    </row>
    <row r="333" spans="1:10">
      <c r="A333" s="20"/>
      <c r="B333" s="18"/>
      <c r="C333" s="18"/>
      <c r="D333" s="20"/>
      <c r="E333" s="18"/>
      <c r="F333" s="18"/>
      <c r="G333" s="20"/>
      <c r="H333" s="18"/>
      <c r="I333" s="20"/>
      <c r="J333" s="18"/>
    </row>
    <row r="334" spans="1:10">
      <c r="A334" s="20"/>
      <c r="B334" s="18"/>
      <c r="C334" s="18"/>
      <c r="D334" s="20"/>
      <c r="E334" s="18"/>
      <c r="F334" s="18"/>
      <c r="G334" s="20"/>
      <c r="H334" s="18"/>
      <c r="I334" s="20"/>
      <c r="J334" s="18"/>
    </row>
    <row r="335" spans="1:10">
      <c r="A335" s="20"/>
      <c r="B335" s="18"/>
      <c r="C335" s="18"/>
      <c r="D335" s="20"/>
      <c r="E335" s="18"/>
      <c r="F335" s="18"/>
      <c r="G335" s="20"/>
      <c r="H335" s="18"/>
      <c r="I335" s="20"/>
      <c r="J335" s="18"/>
    </row>
    <row r="336" spans="1:10">
      <c r="A336" s="20"/>
      <c r="B336" s="18"/>
      <c r="C336" s="18"/>
      <c r="D336" s="20"/>
      <c r="E336" s="18"/>
      <c r="F336" s="18"/>
      <c r="G336" s="20"/>
      <c r="H336" s="18"/>
      <c r="I336" s="20"/>
      <c r="J336" s="18"/>
    </row>
    <row r="337" spans="1:10">
      <c r="A337" s="20"/>
      <c r="B337" s="18"/>
      <c r="C337" s="18"/>
      <c r="D337" s="20"/>
      <c r="E337" s="18"/>
      <c r="F337" s="18"/>
      <c r="G337" s="20"/>
      <c r="H337" s="18"/>
      <c r="I337" s="20"/>
      <c r="J337" s="18"/>
    </row>
    <row r="338" spans="1:10">
      <c r="A338" s="20"/>
      <c r="B338" s="18"/>
      <c r="C338" s="18"/>
      <c r="D338" s="20"/>
      <c r="E338" s="18"/>
      <c r="F338" s="18"/>
      <c r="G338" s="20"/>
      <c r="H338" s="18"/>
      <c r="I338" s="20"/>
      <c r="J338" s="18"/>
    </row>
    <row r="339" spans="1:10">
      <c r="A339" s="20"/>
      <c r="B339" s="18"/>
      <c r="C339" s="18"/>
      <c r="D339" s="20"/>
      <c r="E339" s="18"/>
      <c r="F339" s="18"/>
      <c r="G339" s="20"/>
      <c r="H339" s="18"/>
      <c r="I339" s="20"/>
      <c r="J339" s="18"/>
    </row>
    <row r="340" spans="1:10">
      <c r="A340" s="20"/>
      <c r="B340" s="18"/>
      <c r="C340" s="18"/>
      <c r="D340" s="20"/>
      <c r="E340" s="18"/>
      <c r="F340" s="18"/>
      <c r="G340" s="20"/>
      <c r="H340" s="18"/>
      <c r="I340" s="20"/>
      <c r="J340" s="18"/>
    </row>
    <row r="341" spans="1:10">
      <c r="A341" s="20"/>
      <c r="B341" s="18"/>
      <c r="C341" s="18"/>
      <c r="D341" s="20"/>
      <c r="E341" s="18"/>
      <c r="F341" s="18"/>
      <c r="G341" s="20"/>
      <c r="H341" s="18"/>
      <c r="I341" s="20"/>
      <c r="J341" s="18"/>
    </row>
    <row r="342" spans="1:10">
      <c r="A342" s="20"/>
      <c r="B342" s="18"/>
      <c r="C342" s="18"/>
      <c r="D342" s="20"/>
      <c r="E342" s="18"/>
      <c r="F342" s="18"/>
      <c r="G342" s="20"/>
      <c r="H342" s="18"/>
      <c r="I342" s="20"/>
      <c r="J342" s="18"/>
    </row>
    <row r="343" spans="1:10">
      <c r="A343" s="20"/>
      <c r="B343" s="18"/>
      <c r="C343" s="18"/>
      <c r="D343" s="20"/>
      <c r="E343" s="18"/>
      <c r="F343" s="18"/>
      <c r="G343" s="20"/>
      <c r="H343" s="18"/>
      <c r="I343" s="20"/>
      <c r="J343" s="18"/>
    </row>
    <row r="344" spans="1:10">
      <c r="A344" s="20"/>
      <c r="B344" s="18"/>
      <c r="C344" s="18"/>
      <c r="D344" s="20"/>
      <c r="E344" s="18"/>
      <c r="F344" s="18"/>
      <c r="G344" s="20"/>
      <c r="H344" s="18"/>
      <c r="I344" s="20"/>
      <c r="J344" s="18"/>
    </row>
    <row r="345" spans="1:10">
      <c r="A345" s="20"/>
      <c r="B345" s="18"/>
      <c r="C345" s="18"/>
      <c r="D345" s="20"/>
      <c r="E345" s="18"/>
      <c r="F345" s="18"/>
      <c r="G345" s="20"/>
      <c r="H345" s="18"/>
      <c r="I345" s="20"/>
      <c r="J345" s="18"/>
    </row>
    <row r="346" spans="1:10">
      <c r="A346" s="20"/>
      <c r="B346" s="18"/>
      <c r="C346" s="18"/>
      <c r="D346" s="20"/>
      <c r="E346" s="18"/>
      <c r="F346" s="18"/>
      <c r="G346" s="20"/>
      <c r="H346" s="18"/>
      <c r="I346" s="20"/>
      <c r="J346" s="18"/>
    </row>
    <row r="347" spans="1:10">
      <c r="A347" s="20"/>
      <c r="B347" s="18"/>
      <c r="C347" s="18"/>
      <c r="D347" s="20"/>
      <c r="E347" s="18"/>
      <c r="F347" s="18"/>
      <c r="G347" s="20"/>
      <c r="H347" s="18"/>
      <c r="I347" s="20"/>
      <c r="J347" s="18"/>
    </row>
    <row r="348" spans="1:10">
      <c r="A348" s="20"/>
      <c r="B348" s="18"/>
      <c r="C348" s="18"/>
      <c r="D348" s="20"/>
      <c r="E348" s="18"/>
      <c r="F348" s="18"/>
      <c r="G348" s="20"/>
      <c r="H348" s="18"/>
      <c r="I348" s="20"/>
      <c r="J348" s="18"/>
    </row>
    <row r="349" spans="1:10">
      <c r="A349" s="20"/>
      <c r="B349" s="18"/>
      <c r="C349" s="18"/>
      <c r="D349" s="20"/>
      <c r="E349" s="18"/>
      <c r="F349" s="18"/>
      <c r="G349" s="20"/>
      <c r="H349" s="18"/>
      <c r="I349" s="20"/>
      <c r="J349" s="18"/>
    </row>
    <row r="350" spans="1:10">
      <c r="A350" s="20"/>
      <c r="B350" s="18"/>
      <c r="C350" s="18"/>
      <c r="D350" s="20"/>
      <c r="E350" s="18"/>
      <c r="F350" s="18"/>
      <c r="G350" s="20"/>
      <c r="H350" s="18"/>
      <c r="I350" s="20"/>
      <c r="J350" s="18"/>
    </row>
    <row r="351" spans="1:10">
      <c r="A351" s="20"/>
      <c r="B351" s="18"/>
      <c r="C351" s="18"/>
      <c r="D351" s="20"/>
      <c r="E351" s="18"/>
      <c r="F351" s="18"/>
      <c r="G351" s="20"/>
      <c r="H351" s="18"/>
      <c r="I351" s="20"/>
      <c r="J351" s="18"/>
    </row>
    <row r="352" spans="1:10">
      <c r="A352" s="20"/>
      <c r="B352" s="18"/>
      <c r="C352" s="18"/>
      <c r="D352" s="20"/>
      <c r="E352" s="18"/>
      <c r="F352" s="18"/>
      <c r="G352" s="20"/>
      <c r="H352" s="18"/>
      <c r="I352" s="20"/>
      <c r="J352" s="18"/>
    </row>
    <row r="353" spans="1:10">
      <c r="A353" s="20"/>
      <c r="B353" s="18"/>
      <c r="C353" s="18"/>
      <c r="D353" s="20"/>
      <c r="E353" s="18"/>
      <c r="F353" s="18"/>
      <c r="G353" s="20"/>
      <c r="H353" s="18"/>
      <c r="I353" s="20"/>
      <c r="J353" s="18"/>
    </row>
    <row r="354" spans="1:10">
      <c r="A354" s="20"/>
      <c r="B354" s="18"/>
      <c r="C354" s="18"/>
      <c r="D354" s="20"/>
      <c r="E354" s="18"/>
      <c r="F354" s="18"/>
      <c r="G354" s="20"/>
      <c r="H354" s="18"/>
      <c r="I354" s="20"/>
      <c r="J354" s="18"/>
    </row>
    <row r="355" spans="1:10">
      <c r="A355" s="20"/>
      <c r="B355" s="18"/>
      <c r="C355" s="18"/>
      <c r="D355" s="20"/>
      <c r="E355" s="18"/>
      <c r="F355" s="18"/>
      <c r="G355" s="20"/>
      <c r="H355" s="18"/>
      <c r="I355" s="20"/>
      <c r="J355" s="18"/>
    </row>
    <row r="356" spans="1:10">
      <c r="A356" s="20"/>
      <c r="B356" s="18"/>
      <c r="C356" s="18"/>
      <c r="D356" s="20"/>
      <c r="E356" s="18"/>
      <c r="F356" s="18"/>
      <c r="G356" s="20"/>
      <c r="H356" s="18"/>
      <c r="I356" s="20"/>
      <c r="J356" s="18"/>
    </row>
    <row r="357" spans="1:10">
      <c r="A357" s="20"/>
      <c r="B357" s="18"/>
      <c r="C357" s="18"/>
      <c r="D357" s="20"/>
      <c r="E357" s="18"/>
      <c r="F357" s="18"/>
      <c r="G357" s="20"/>
      <c r="H357" s="18"/>
      <c r="I357" s="20"/>
      <c r="J357" s="18"/>
    </row>
    <row r="358" spans="1:10">
      <c r="A358" s="20"/>
      <c r="B358" s="18"/>
      <c r="C358" s="18"/>
      <c r="D358" s="20"/>
      <c r="E358" s="18"/>
      <c r="F358" s="18"/>
      <c r="G358" s="20"/>
      <c r="H358" s="18"/>
      <c r="I358" s="20"/>
      <c r="J358" s="18"/>
    </row>
    <row r="359" spans="1:10">
      <c r="A359" s="20"/>
      <c r="B359" s="18"/>
      <c r="C359" s="18"/>
      <c r="D359" s="20"/>
      <c r="E359" s="18"/>
      <c r="F359" s="18"/>
      <c r="G359" s="20"/>
      <c r="H359" s="18"/>
      <c r="I359" s="20"/>
      <c r="J359" s="18"/>
    </row>
    <row r="360" spans="1:10">
      <c r="A360" s="20"/>
      <c r="B360" s="18"/>
      <c r="C360" s="18"/>
      <c r="D360" s="20"/>
      <c r="E360" s="18"/>
      <c r="F360" s="18"/>
      <c r="G360" s="20"/>
      <c r="H360" s="18"/>
      <c r="I360" s="20"/>
      <c r="J360" s="18"/>
    </row>
    <row r="361" spans="1:10">
      <c r="A361" s="20"/>
      <c r="B361" s="18"/>
      <c r="C361" s="18"/>
      <c r="D361" s="20"/>
      <c r="E361" s="18"/>
      <c r="F361" s="18"/>
      <c r="G361" s="20"/>
      <c r="H361" s="18"/>
      <c r="I361" s="20"/>
      <c r="J361" s="18"/>
    </row>
    <row r="362" spans="1:10">
      <c r="A362" s="20"/>
      <c r="B362" s="18"/>
      <c r="C362" s="18"/>
      <c r="D362" s="20"/>
      <c r="E362" s="18"/>
      <c r="F362" s="18"/>
      <c r="G362" s="20"/>
      <c r="H362" s="18"/>
      <c r="I362" s="20"/>
      <c r="J362" s="18"/>
    </row>
    <row r="363" spans="1:10">
      <c r="A363" s="20"/>
      <c r="B363" s="18"/>
      <c r="C363" s="18"/>
      <c r="D363" s="20"/>
      <c r="E363" s="18"/>
      <c r="F363" s="18"/>
      <c r="G363" s="20"/>
      <c r="H363" s="18"/>
      <c r="I363" s="20"/>
      <c r="J363" s="18"/>
    </row>
    <row r="364" spans="1:10">
      <c r="A364" s="20"/>
      <c r="B364" s="18"/>
      <c r="C364" s="18"/>
      <c r="D364" s="20"/>
      <c r="E364" s="18"/>
      <c r="F364" s="18"/>
      <c r="G364" s="20"/>
      <c r="H364" s="18"/>
      <c r="I364" s="20"/>
      <c r="J364" s="18"/>
    </row>
    <row r="365" spans="1:10">
      <c r="A365" s="20"/>
      <c r="B365" s="18"/>
      <c r="C365" s="18"/>
      <c r="D365" s="20"/>
      <c r="E365" s="18"/>
      <c r="F365" s="18"/>
      <c r="G365" s="20"/>
      <c r="H365" s="18"/>
      <c r="I365" s="20"/>
      <c r="J365" s="18"/>
    </row>
    <row r="366" spans="1:10">
      <c r="A366" s="20"/>
      <c r="B366" s="18"/>
      <c r="C366" s="18"/>
      <c r="D366" s="20"/>
      <c r="E366" s="18"/>
      <c r="F366" s="18"/>
      <c r="G366" s="20"/>
      <c r="H366" s="18"/>
      <c r="I366" s="20"/>
      <c r="J366" s="18"/>
    </row>
    <row r="367" spans="1:10">
      <c r="A367" s="20"/>
      <c r="B367" s="18"/>
      <c r="C367" s="18"/>
      <c r="D367" s="20"/>
      <c r="E367" s="18"/>
      <c r="F367" s="18"/>
      <c r="G367" s="20"/>
      <c r="H367" s="18"/>
      <c r="I367" s="20"/>
      <c r="J367" s="18"/>
    </row>
    <row r="368" spans="1:10">
      <c r="A368" s="20"/>
      <c r="B368" s="18"/>
      <c r="C368" s="18"/>
      <c r="D368" s="20"/>
      <c r="E368" s="18"/>
      <c r="F368" s="18"/>
      <c r="G368" s="20"/>
      <c r="H368" s="18"/>
      <c r="I368" s="20"/>
      <c r="J368" s="18"/>
    </row>
    <row r="369" spans="1:10">
      <c r="A369" s="20"/>
      <c r="B369" s="18"/>
      <c r="C369" s="18"/>
      <c r="D369" s="20"/>
      <c r="E369" s="18"/>
      <c r="F369" s="18"/>
      <c r="G369" s="20"/>
      <c r="H369" s="18"/>
      <c r="I369" s="20"/>
      <c r="J369" s="18"/>
    </row>
    <row r="370" spans="1:10">
      <c r="A370" s="20"/>
      <c r="B370" s="18"/>
      <c r="C370" s="18"/>
      <c r="D370" s="20"/>
      <c r="E370" s="18"/>
      <c r="F370" s="18"/>
      <c r="G370" s="20"/>
      <c r="H370" s="18"/>
      <c r="I370" s="20"/>
      <c r="J370" s="18"/>
    </row>
    <row r="371" spans="1:10">
      <c r="A371" s="20"/>
      <c r="B371" s="18"/>
      <c r="C371" s="18"/>
      <c r="D371" s="20"/>
      <c r="E371" s="18"/>
      <c r="F371" s="18"/>
      <c r="G371" s="20"/>
      <c r="H371" s="18"/>
      <c r="I371" s="20"/>
      <c r="J371" s="18"/>
    </row>
    <row r="372" spans="1:10">
      <c r="A372" s="20"/>
      <c r="B372" s="18"/>
      <c r="C372" s="18"/>
      <c r="D372" s="20"/>
      <c r="E372" s="18"/>
      <c r="F372" s="18"/>
      <c r="G372" s="20"/>
      <c r="H372" s="18"/>
      <c r="I372" s="20"/>
      <c r="J372" s="18"/>
    </row>
    <row r="373" spans="1:10">
      <c r="A373" s="20"/>
      <c r="B373" s="18"/>
      <c r="C373" s="18"/>
      <c r="D373" s="20"/>
      <c r="E373" s="18"/>
      <c r="F373" s="18"/>
      <c r="G373" s="20"/>
      <c r="H373" s="18"/>
      <c r="I373" s="20"/>
      <c r="J373" s="18"/>
    </row>
    <row r="374" spans="1:10">
      <c r="A374" s="20"/>
      <c r="B374" s="18"/>
      <c r="C374" s="18"/>
      <c r="D374" s="20"/>
      <c r="E374" s="18"/>
      <c r="F374" s="18"/>
      <c r="G374" s="20"/>
      <c r="H374" s="18"/>
      <c r="I374" s="20"/>
      <c r="J374" s="18"/>
    </row>
    <row r="375" spans="1:10">
      <c r="A375" s="20"/>
      <c r="B375" s="18"/>
      <c r="C375" s="18"/>
      <c r="D375" s="20"/>
      <c r="E375" s="18"/>
      <c r="F375" s="18"/>
      <c r="G375" s="20"/>
      <c r="H375" s="18"/>
      <c r="I375" s="20"/>
      <c r="J375" s="18"/>
    </row>
    <row r="376" spans="1:10">
      <c r="A376" s="20"/>
      <c r="B376" s="18"/>
      <c r="C376" s="18"/>
      <c r="D376" s="20"/>
      <c r="E376" s="18"/>
      <c r="F376" s="18"/>
      <c r="G376" s="20"/>
      <c r="H376" s="18"/>
      <c r="I376" s="20"/>
      <c r="J376" s="18"/>
    </row>
    <row r="377" spans="1:10">
      <c r="A377" s="20"/>
      <c r="B377" s="18"/>
      <c r="C377" s="18"/>
      <c r="D377" s="20"/>
      <c r="E377" s="18"/>
      <c r="F377" s="18"/>
      <c r="G377" s="20"/>
      <c r="H377" s="18"/>
      <c r="I377" s="20"/>
      <c r="J377" s="18"/>
    </row>
    <row r="378" spans="1:10">
      <c r="A378" s="20"/>
      <c r="B378" s="18"/>
      <c r="C378" s="18"/>
      <c r="D378" s="20"/>
      <c r="E378" s="18"/>
      <c r="F378" s="18"/>
      <c r="G378" s="20"/>
      <c r="H378" s="18"/>
      <c r="I378" s="20"/>
      <c r="J378" s="18"/>
    </row>
    <row r="379" spans="1:10">
      <c r="A379" s="20"/>
      <c r="B379" s="18"/>
      <c r="C379" s="18"/>
      <c r="D379" s="20"/>
      <c r="E379" s="18"/>
      <c r="F379" s="18"/>
      <c r="G379" s="20"/>
      <c r="H379" s="18"/>
      <c r="I379" s="20"/>
      <c r="J379" s="18"/>
    </row>
    <row r="380" spans="1:10">
      <c r="A380" s="20"/>
      <c r="B380" s="18"/>
      <c r="C380" s="18"/>
      <c r="D380" s="20"/>
      <c r="E380" s="18"/>
      <c r="F380" s="18"/>
      <c r="G380" s="20"/>
      <c r="H380" s="18"/>
      <c r="I380" s="20"/>
      <c r="J380" s="18"/>
    </row>
    <row r="381" spans="1:10">
      <c r="A381" s="20"/>
      <c r="B381" s="18"/>
      <c r="C381" s="18"/>
      <c r="D381" s="20"/>
      <c r="E381" s="18"/>
      <c r="F381" s="18"/>
      <c r="G381" s="20"/>
      <c r="H381" s="18"/>
      <c r="I381" s="20"/>
      <c r="J381" s="18"/>
    </row>
    <row r="382" spans="1:10">
      <c r="A382" s="20"/>
      <c r="B382" s="18"/>
      <c r="C382" s="18"/>
      <c r="D382" s="20"/>
      <c r="E382" s="18"/>
      <c r="F382" s="18"/>
      <c r="G382" s="20"/>
      <c r="H382" s="18"/>
      <c r="I382" s="20"/>
      <c r="J382" s="18"/>
    </row>
    <row r="383" spans="1:10">
      <c r="A383" s="20"/>
      <c r="B383" s="18"/>
      <c r="C383" s="18"/>
      <c r="D383" s="20"/>
      <c r="E383" s="18"/>
      <c r="F383" s="18"/>
      <c r="G383" s="20"/>
      <c r="H383" s="18"/>
      <c r="I383" s="20"/>
      <c r="J383" s="18"/>
    </row>
    <row r="384" spans="1:10">
      <c r="A384" s="20"/>
      <c r="B384" s="18"/>
      <c r="C384" s="18"/>
      <c r="D384" s="20"/>
      <c r="E384" s="18"/>
      <c r="F384" s="18"/>
      <c r="G384" s="20"/>
      <c r="H384" s="18"/>
      <c r="I384" s="20"/>
      <c r="J384" s="18"/>
    </row>
    <row r="385" spans="1:10">
      <c r="A385" s="20"/>
      <c r="B385" s="18"/>
      <c r="C385" s="18"/>
      <c r="D385" s="20"/>
      <c r="E385" s="18"/>
      <c r="F385" s="18"/>
      <c r="G385" s="20"/>
      <c r="H385" s="18"/>
      <c r="I385" s="20"/>
      <c r="J385" s="18"/>
    </row>
    <row r="386" spans="1:10">
      <c r="A386" s="20"/>
      <c r="B386" s="18"/>
      <c r="C386" s="18"/>
      <c r="D386" s="20"/>
      <c r="E386" s="18"/>
      <c r="F386" s="18"/>
      <c r="G386" s="20"/>
      <c r="H386" s="18"/>
      <c r="I386" s="20"/>
      <c r="J386" s="18"/>
    </row>
    <row r="387" spans="1:10">
      <c r="A387" s="20"/>
      <c r="B387" s="18"/>
      <c r="C387" s="18"/>
      <c r="D387" s="20"/>
      <c r="E387" s="18"/>
      <c r="F387" s="18"/>
      <c r="G387" s="20"/>
      <c r="H387" s="18"/>
      <c r="I387" s="20"/>
      <c r="J387" s="18"/>
    </row>
    <row r="388" spans="1:10">
      <c r="A388" s="20"/>
      <c r="B388" s="18"/>
      <c r="C388" s="18"/>
      <c r="D388" s="20"/>
      <c r="E388" s="18"/>
      <c r="F388" s="18"/>
      <c r="G388" s="20"/>
      <c r="H388" s="18"/>
      <c r="I388" s="20"/>
      <c r="J388" s="18"/>
    </row>
    <row r="389" spans="1:10">
      <c r="A389" s="20"/>
      <c r="B389" s="18"/>
      <c r="C389" s="18"/>
      <c r="D389" s="20"/>
      <c r="E389" s="18"/>
      <c r="F389" s="18"/>
      <c r="G389" s="20"/>
      <c r="H389" s="18"/>
      <c r="I389" s="20"/>
      <c r="J389" s="18"/>
    </row>
    <row r="390" spans="1:10">
      <c r="A390" s="20"/>
      <c r="B390" s="18"/>
      <c r="C390" s="18"/>
      <c r="D390" s="20"/>
      <c r="E390" s="18"/>
      <c r="F390" s="18"/>
      <c r="G390" s="20"/>
      <c r="H390" s="18"/>
      <c r="I390" s="20"/>
      <c r="J390" s="18"/>
    </row>
    <row r="391" spans="1:10">
      <c r="A391" s="20"/>
      <c r="B391" s="18"/>
      <c r="C391" s="18"/>
      <c r="D391" s="20"/>
      <c r="E391" s="18"/>
      <c r="F391" s="18"/>
      <c r="G391" s="20"/>
      <c r="H391" s="18"/>
      <c r="I391" s="20"/>
      <c r="J391" s="18"/>
    </row>
    <row r="392" spans="1:10">
      <c r="A392" s="20"/>
      <c r="B392" s="18"/>
      <c r="C392" s="18"/>
      <c r="D392" s="20"/>
      <c r="E392" s="18"/>
      <c r="F392" s="18"/>
      <c r="G392" s="20"/>
      <c r="H392" s="18"/>
      <c r="I392" s="20"/>
      <c r="J392" s="18"/>
    </row>
    <row r="393" spans="1:10">
      <c r="A393" s="20"/>
      <c r="B393" s="18"/>
      <c r="C393" s="18"/>
      <c r="D393" s="20"/>
      <c r="E393" s="18"/>
      <c r="F393" s="18"/>
      <c r="G393" s="20"/>
      <c r="H393" s="18"/>
      <c r="I393" s="20"/>
      <c r="J393" s="18"/>
    </row>
    <row r="394" spans="1:10">
      <c r="A394" s="20"/>
      <c r="B394" s="18"/>
      <c r="C394" s="18"/>
      <c r="D394" s="20"/>
      <c r="E394" s="18"/>
      <c r="F394" s="18"/>
      <c r="G394" s="20"/>
      <c r="H394" s="18"/>
      <c r="I394" s="20"/>
      <c r="J394" s="18"/>
    </row>
    <row r="395" spans="1:10">
      <c r="A395" s="20"/>
      <c r="B395" s="18"/>
      <c r="C395" s="18"/>
      <c r="D395" s="20"/>
      <c r="E395" s="18"/>
      <c r="F395" s="18"/>
      <c r="G395" s="20"/>
      <c r="H395" s="18"/>
      <c r="I395" s="20"/>
      <c r="J395" s="18"/>
    </row>
    <row r="396" spans="1:10">
      <c r="A396" s="20"/>
      <c r="B396" s="18"/>
      <c r="C396" s="18"/>
      <c r="D396" s="20"/>
      <c r="E396" s="18"/>
      <c r="F396" s="18"/>
      <c r="G396" s="20"/>
      <c r="H396" s="18"/>
      <c r="I396" s="20"/>
      <c r="J396" s="18"/>
    </row>
    <row r="397" spans="1:10">
      <c r="A397" s="20"/>
      <c r="B397" s="18"/>
      <c r="C397" s="18"/>
      <c r="D397" s="20"/>
      <c r="E397" s="18"/>
      <c r="F397" s="18"/>
      <c r="G397" s="20"/>
      <c r="H397" s="18"/>
      <c r="I397" s="20"/>
      <c r="J397" s="18"/>
    </row>
    <row r="398" spans="1:10">
      <c r="A398" s="20"/>
      <c r="B398" s="18"/>
      <c r="C398" s="18"/>
      <c r="D398" s="20"/>
      <c r="E398" s="18"/>
      <c r="F398" s="18"/>
      <c r="G398" s="20"/>
      <c r="H398" s="18"/>
      <c r="I398" s="20"/>
      <c r="J398" s="18"/>
    </row>
    <row r="399" spans="1:10">
      <c r="A399" s="20"/>
      <c r="B399" s="18"/>
      <c r="C399" s="18"/>
      <c r="D399" s="20"/>
      <c r="E399" s="18"/>
      <c r="F399" s="18"/>
      <c r="G399" s="20"/>
      <c r="H399" s="18"/>
      <c r="I399" s="20"/>
      <c r="J399" s="18"/>
    </row>
    <row r="400" spans="1:10">
      <c r="A400" s="20"/>
      <c r="B400" s="18"/>
      <c r="C400" s="18"/>
      <c r="D400" s="20"/>
      <c r="E400" s="18"/>
      <c r="F400" s="18"/>
      <c r="G400" s="20"/>
      <c r="H400" s="18"/>
      <c r="I400" s="20"/>
      <c r="J400" s="18"/>
    </row>
    <row r="401" spans="1:10">
      <c r="A401" s="20"/>
      <c r="B401" s="18"/>
      <c r="C401" s="18"/>
      <c r="D401" s="20"/>
      <c r="E401" s="18"/>
      <c r="F401" s="18"/>
      <c r="G401" s="20"/>
      <c r="H401" s="18"/>
      <c r="I401" s="20"/>
      <c r="J401" s="18"/>
    </row>
    <row r="402" spans="1:10">
      <c r="A402" s="20"/>
      <c r="B402" s="18"/>
      <c r="C402" s="18"/>
      <c r="D402" s="20"/>
      <c r="E402" s="18"/>
      <c r="F402" s="18"/>
      <c r="G402" s="20"/>
      <c r="H402" s="18"/>
      <c r="I402" s="20"/>
      <c r="J402" s="18"/>
    </row>
    <row r="403" spans="1:10">
      <c r="A403" s="20"/>
      <c r="B403" s="18"/>
      <c r="C403" s="18"/>
      <c r="D403" s="20"/>
      <c r="E403" s="18"/>
      <c r="F403" s="18"/>
      <c r="G403" s="20"/>
      <c r="H403" s="18"/>
      <c r="I403" s="20"/>
      <c r="J403" s="18"/>
    </row>
    <row r="404" spans="1:10">
      <c r="A404" s="20"/>
      <c r="B404" s="18"/>
      <c r="C404" s="18"/>
      <c r="D404" s="20"/>
      <c r="E404" s="18"/>
      <c r="F404" s="18"/>
      <c r="G404" s="20"/>
      <c r="H404" s="18"/>
      <c r="I404" s="20"/>
      <c r="J404" s="18"/>
    </row>
    <row r="405" spans="1:10">
      <c r="A405" s="20"/>
      <c r="B405" s="18"/>
      <c r="C405" s="18"/>
      <c r="D405" s="20"/>
      <c r="E405" s="18"/>
      <c r="F405" s="18"/>
      <c r="G405" s="20"/>
      <c r="H405" s="18"/>
      <c r="I405" s="20"/>
      <c r="J405" s="18"/>
    </row>
    <row r="406" spans="1:10">
      <c r="A406" s="20"/>
      <c r="B406" s="18"/>
      <c r="C406" s="18"/>
      <c r="D406" s="20"/>
      <c r="E406" s="18"/>
      <c r="F406" s="18"/>
      <c r="G406" s="20"/>
      <c r="H406" s="18"/>
      <c r="I406" s="20"/>
      <c r="J406" s="18"/>
    </row>
    <row r="407" spans="1:10">
      <c r="A407" s="20"/>
      <c r="B407" s="18"/>
      <c r="C407" s="18"/>
      <c r="D407" s="20"/>
      <c r="E407" s="18"/>
      <c r="F407" s="18"/>
      <c r="G407" s="20"/>
      <c r="H407" s="18"/>
      <c r="I407" s="20"/>
      <c r="J407" s="18"/>
    </row>
    <row r="408" spans="1:10">
      <c r="A408" s="20"/>
      <c r="B408" s="18"/>
      <c r="C408" s="18"/>
      <c r="D408" s="20"/>
      <c r="E408" s="18"/>
      <c r="F408" s="18"/>
      <c r="G408" s="20"/>
      <c r="H408" s="18"/>
      <c r="I408" s="20"/>
      <c r="J408" s="18"/>
    </row>
    <row r="409" spans="1:10">
      <c r="A409" s="20"/>
      <c r="B409" s="18"/>
      <c r="C409" s="18"/>
      <c r="D409" s="20"/>
      <c r="E409" s="18"/>
      <c r="F409" s="18"/>
      <c r="G409" s="20"/>
      <c r="H409" s="18"/>
      <c r="I409" s="20"/>
      <c r="J409" s="18"/>
    </row>
    <row r="410" spans="1:10">
      <c r="A410" s="20"/>
      <c r="B410" s="18"/>
      <c r="C410" s="18"/>
      <c r="D410" s="20"/>
      <c r="E410" s="18"/>
      <c r="F410" s="18"/>
      <c r="G410" s="20"/>
      <c r="H410" s="18"/>
      <c r="I410" s="20"/>
      <c r="J410" s="18"/>
    </row>
    <row r="411" spans="1:10">
      <c r="A411" s="20"/>
      <c r="B411" s="18"/>
      <c r="C411" s="18"/>
      <c r="D411" s="20"/>
      <c r="E411" s="18"/>
      <c r="F411" s="18"/>
      <c r="G411" s="20"/>
      <c r="H411" s="18"/>
      <c r="I411" s="20"/>
      <c r="J411" s="18"/>
    </row>
    <row r="412" spans="1:10">
      <c r="A412" s="20"/>
      <c r="B412" s="18"/>
      <c r="C412" s="18"/>
      <c r="D412" s="20"/>
      <c r="E412" s="18"/>
      <c r="F412" s="18"/>
      <c r="G412" s="20"/>
      <c r="H412" s="18"/>
      <c r="I412" s="20"/>
      <c r="J412" s="18"/>
    </row>
    <row r="413" spans="1:10">
      <c r="A413" s="20"/>
      <c r="B413" s="18"/>
      <c r="C413" s="18"/>
      <c r="D413" s="20"/>
      <c r="E413" s="18"/>
      <c r="F413" s="18"/>
      <c r="G413" s="20"/>
      <c r="H413" s="18"/>
      <c r="I413" s="20"/>
      <c r="J413" s="18"/>
    </row>
    <row r="414" spans="1:10">
      <c r="A414" s="20"/>
      <c r="B414" s="18"/>
      <c r="C414" s="18"/>
      <c r="D414" s="20"/>
      <c r="E414" s="18"/>
      <c r="F414" s="18"/>
      <c r="G414" s="20"/>
      <c r="H414" s="18"/>
      <c r="I414" s="20"/>
      <c r="J414" s="18"/>
    </row>
    <row r="415" spans="1:10">
      <c r="A415" s="20"/>
      <c r="B415" s="18"/>
      <c r="C415" s="18"/>
      <c r="D415" s="20"/>
      <c r="E415" s="18"/>
      <c r="F415" s="18"/>
      <c r="G415" s="20"/>
      <c r="H415" s="18"/>
      <c r="I415" s="20"/>
      <c r="J415" s="18"/>
    </row>
    <row r="416" spans="1:10">
      <c r="A416" s="20"/>
      <c r="B416" s="18"/>
      <c r="C416" s="18"/>
      <c r="D416" s="20"/>
      <c r="E416" s="18"/>
      <c r="F416" s="18"/>
      <c r="G416" s="20"/>
      <c r="H416" s="18"/>
      <c r="I416" s="20"/>
      <c r="J416" s="18"/>
    </row>
    <row r="417" spans="1:10">
      <c r="A417" s="20"/>
      <c r="B417" s="18"/>
      <c r="C417" s="18"/>
      <c r="D417" s="20"/>
      <c r="E417" s="18"/>
      <c r="F417" s="18"/>
      <c r="G417" s="20"/>
      <c r="H417" s="18"/>
      <c r="I417" s="20"/>
      <c r="J417" s="18"/>
    </row>
    <row r="418" spans="1:10">
      <c r="A418" s="20"/>
      <c r="B418" s="18"/>
      <c r="C418" s="18"/>
      <c r="D418" s="20"/>
      <c r="E418" s="18"/>
      <c r="F418" s="18"/>
      <c r="G418" s="20"/>
      <c r="H418" s="18"/>
      <c r="I418" s="20"/>
      <c r="J418" s="18"/>
    </row>
    <row r="419" spans="1:10">
      <c r="A419" s="20"/>
      <c r="B419" s="18"/>
      <c r="C419" s="18"/>
      <c r="D419" s="20"/>
      <c r="E419" s="18"/>
      <c r="F419" s="18"/>
      <c r="G419" s="20"/>
      <c r="H419" s="18"/>
      <c r="I419" s="20"/>
      <c r="J419" s="18"/>
    </row>
    <row r="420" spans="1:10">
      <c r="A420" s="20"/>
      <c r="B420" s="18"/>
      <c r="C420" s="18"/>
      <c r="D420" s="20"/>
      <c r="E420" s="18"/>
      <c r="F420" s="18"/>
      <c r="G420" s="20"/>
      <c r="H420" s="18"/>
      <c r="I420" s="20"/>
      <c r="J420" s="18"/>
    </row>
    <row r="421" spans="1:10">
      <c r="A421" s="20"/>
      <c r="B421" s="18"/>
      <c r="C421" s="18"/>
      <c r="D421" s="20"/>
      <c r="E421" s="18"/>
      <c r="F421" s="18"/>
      <c r="G421" s="20"/>
      <c r="H421" s="18"/>
      <c r="I421" s="20"/>
      <c r="J421" s="18"/>
    </row>
    <row r="422" spans="1:10">
      <c r="A422" s="20"/>
      <c r="B422" s="18"/>
      <c r="C422" s="18"/>
      <c r="D422" s="20"/>
      <c r="E422" s="18"/>
      <c r="F422" s="18"/>
      <c r="G422" s="20"/>
      <c r="H422" s="18"/>
      <c r="I422" s="20"/>
      <c r="J422" s="18"/>
    </row>
    <row r="423" spans="1:10">
      <c r="A423" s="20"/>
      <c r="B423" s="18"/>
      <c r="C423" s="18"/>
      <c r="D423" s="20"/>
      <c r="E423" s="18"/>
      <c r="F423" s="18"/>
      <c r="G423" s="20"/>
      <c r="H423" s="18"/>
      <c r="I423" s="20"/>
      <c r="J423" s="18"/>
    </row>
    <row r="424" spans="1:10">
      <c r="A424" s="20"/>
      <c r="B424" s="18"/>
      <c r="C424" s="18"/>
      <c r="D424" s="20"/>
      <c r="E424" s="18"/>
      <c r="F424" s="18"/>
      <c r="G424" s="20"/>
      <c r="H424" s="18"/>
      <c r="I424" s="20"/>
      <c r="J424" s="18"/>
    </row>
    <row r="425" spans="1:10">
      <c r="A425" s="20"/>
      <c r="B425" s="18"/>
      <c r="C425" s="18"/>
      <c r="D425" s="20"/>
      <c r="E425" s="18"/>
      <c r="F425" s="18"/>
      <c r="G425" s="20"/>
      <c r="H425" s="18"/>
      <c r="I425" s="20"/>
      <c r="J425" s="18"/>
    </row>
    <row r="426" spans="1:10">
      <c r="A426" s="20"/>
      <c r="B426" s="18"/>
      <c r="C426" s="18"/>
      <c r="D426" s="20"/>
      <c r="E426" s="18"/>
      <c r="F426" s="18"/>
      <c r="G426" s="20"/>
      <c r="H426" s="18"/>
      <c r="I426" s="20"/>
      <c r="J426" s="18"/>
    </row>
    <row r="427" spans="1:10">
      <c r="A427" s="20"/>
      <c r="B427" s="18"/>
      <c r="C427" s="18"/>
      <c r="D427" s="20"/>
      <c r="E427" s="18"/>
      <c r="F427" s="18"/>
      <c r="G427" s="20"/>
      <c r="H427" s="18"/>
      <c r="I427" s="20"/>
      <c r="J427" s="18"/>
    </row>
    <row r="428" spans="1:10">
      <c r="A428" s="20"/>
      <c r="B428" s="18"/>
      <c r="C428" s="18"/>
      <c r="D428" s="20"/>
      <c r="E428" s="18"/>
      <c r="F428" s="18"/>
      <c r="G428" s="20"/>
      <c r="H428" s="18"/>
      <c r="I428" s="20"/>
      <c r="J428" s="18"/>
    </row>
    <row r="429" spans="1:10">
      <c r="A429" s="20"/>
      <c r="B429" s="18"/>
      <c r="C429" s="18"/>
      <c r="D429" s="20"/>
      <c r="E429" s="18"/>
      <c r="F429" s="18"/>
      <c r="G429" s="20"/>
      <c r="H429" s="18"/>
      <c r="I429" s="20"/>
      <c r="J429" s="18"/>
    </row>
    <row r="430" spans="1:10">
      <c r="A430" s="20"/>
      <c r="B430" s="18"/>
      <c r="C430" s="18"/>
      <c r="D430" s="20"/>
      <c r="E430" s="18"/>
      <c r="F430" s="18"/>
      <c r="G430" s="20"/>
      <c r="H430" s="18"/>
      <c r="I430" s="20"/>
      <c r="J430" s="18"/>
    </row>
    <row r="431" spans="1:10">
      <c r="A431" s="20"/>
      <c r="B431" s="18"/>
      <c r="C431" s="18"/>
      <c r="D431" s="20"/>
      <c r="E431" s="18"/>
      <c r="F431" s="18"/>
      <c r="G431" s="20"/>
      <c r="H431" s="18"/>
      <c r="I431" s="20"/>
      <c r="J431" s="18"/>
    </row>
    <row r="432" spans="1:10">
      <c r="A432" s="20"/>
      <c r="B432" s="18"/>
      <c r="C432" s="18"/>
      <c r="D432" s="20"/>
      <c r="E432" s="18"/>
      <c r="F432" s="18"/>
      <c r="G432" s="20"/>
      <c r="H432" s="18"/>
      <c r="I432" s="20"/>
      <c r="J432" s="18"/>
    </row>
    <row r="433" spans="1:10">
      <c r="A433" s="20"/>
      <c r="B433" s="18"/>
      <c r="C433" s="18"/>
      <c r="D433" s="20"/>
      <c r="E433" s="18"/>
      <c r="F433" s="18"/>
      <c r="G433" s="20"/>
      <c r="H433" s="18"/>
      <c r="I433" s="20"/>
      <c r="J433" s="18"/>
    </row>
    <row r="434" spans="1:10">
      <c r="A434" s="20"/>
      <c r="B434" s="18"/>
      <c r="C434" s="18"/>
      <c r="D434" s="20"/>
      <c r="E434" s="18"/>
      <c r="F434" s="18"/>
      <c r="G434" s="20"/>
      <c r="H434" s="18"/>
      <c r="I434" s="20"/>
      <c r="J434" s="18"/>
    </row>
    <row r="435" spans="1:10">
      <c r="A435" s="20"/>
      <c r="B435" s="18"/>
      <c r="C435" s="18"/>
      <c r="D435" s="20"/>
      <c r="E435" s="18"/>
      <c r="F435" s="18"/>
      <c r="G435" s="20"/>
      <c r="H435" s="18"/>
      <c r="I435" s="20"/>
      <c r="J435" s="18"/>
    </row>
    <row r="436" spans="1:10">
      <c r="A436" s="20"/>
      <c r="B436" s="18"/>
      <c r="C436" s="18"/>
      <c r="D436" s="20"/>
      <c r="E436" s="18"/>
      <c r="F436" s="18"/>
      <c r="G436" s="20"/>
      <c r="H436" s="18"/>
      <c r="I436" s="20"/>
      <c r="J436" s="18"/>
    </row>
    <row r="437" spans="1:10">
      <c r="A437" s="20"/>
      <c r="B437" s="18"/>
      <c r="C437" s="18"/>
      <c r="D437" s="20"/>
      <c r="E437" s="18"/>
      <c r="F437" s="18"/>
      <c r="G437" s="20"/>
      <c r="H437" s="18"/>
      <c r="I437" s="20"/>
      <c r="J437" s="18"/>
    </row>
    <row r="438" spans="1:10">
      <c r="A438" s="20"/>
      <c r="B438" s="18"/>
      <c r="C438" s="18"/>
      <c r="D438" s="20"/>
      <c r="E438" s="18"/>
      <c r="F438" s="18"/>
      <c r="G438" s="20"/>
      <c r="H438" s="18"/>
      <c r="I438" s="20"/>
      <c r="J438" s="18"/>
    </row>
    <row r="439" spans="1:10">
      <c r="A439" s="20"/>
      <c r="B439" s="18"/>
      <c r="C439" s="18"/>
      <c r="D439" s="20"/>
      <c r="E439" s="18"/>
      <c r="F439" s="18"/>
      <c r="G439" s="20"/>
      <c r="H439" s="18"/>
      <c r="I439" s="20"/>
      <c r="J439" s="18"/>
    </row>
    <row r="440" spans="1:10">
      <c r="A440" s="20"/>
      <c r="B440" s="18"/>
      <c r="C440" s="18"/>
      <c r="D440" s="20"/>
      <c r="E440" s="18"/>
      <c r="F440" s="18"/>
      <c r="G440" s="20"/>
      <c r="H440" s="18"/>
      <c r="I440" s="20"/>
      <c r="J440" s="18"/>
    </row>
    <row r="441" spans="1:10">
      <c r="A441" s="20"/>
      <c r="B441" s="18"/>
      <c r="C441" s="18"/>
      <c r="D441" s="20"/>
      <c r="E441" s="18"/>
      <c r="F441" s="18"/>
      <c r="G441" s="20"/>
      <c r="H441" s="18"/>
      <c r="I441" s="20"/>
      <c r="J441" s="18"/>
    </row>
    <row r="442" spans="1:10">
      <c r="A442" s="20"/>
      <c r="B442" s="18"/>
      <c r="C442" s="18"/>
      <c r="D442" s="20"/>
      <c r="E442" s="18"/>
      <c r="F442" s="18"/>
      <c r="G442" s="20"/>
      <c r="H442" s="18"/>
      <c r="I442" s="20"/>
      <c r="J442" s="18"/>
    </row>
    <row r="443" spans="1:10">
      <c r="A443" s="20"/>
      <c r="B443" s="18"/>
      <c r="C443" s="18"/>
      <c r="D443" s="20"/>
      <c r="E443" s="18"/>
      <c r="F443" s="18"/>
      <c r="G443" s="20"/>
      <c r="H443" s="18"/>
      <c r="I443" s="20"/>
      <c r="J443" s="18"/>
    </row>
    <row r="444" spans="1:10">
      <c r="A444" s="20"/>
      <c r="B444" s="18"/>
      <c r="C444" s="18"/>
      <c r="D444" s="20"/>
      <c r="E444" s="18"/>
      <c r="F444" s="18"/>
      <c r="G444" s="20"/>
      <c r="H444" s="18"/>
      <c r="I444" s="20"/>
      <c r="J444" s="18"/>
    </row>
    <row r="445" spans="1:10">
      <c r="A445" s="20"/>
      <c r="B445" s="18"/>
      <c r="C445" s="18"/>
      <c r="D445" s="20"/>
      <c r="E445" s="18"/>
      <c r="F445" s="18"/>
      <c r="G445" s="20"/>
      <c r="H445" s="18"/>
      <c r="I445" s="20"/>
      <c r="J445" s="18"/>
    </row>
    <row r="446" spans="1:10">
      <c r="A446" s="20"/>
      <c r="B446" s="18"/>
      <c r="C446" s="18"/>
      <c r="D446" s="20"/>
      <c r="E446" s="18"/>
      <c r="F446" s="18"/>
      <c r="G446" s="20"/>
      <c r="H446" s="18"/>
      <c r="I446" s="20"/>
      <c r="J446" s="18"/>
    </row>
    <row r="447" spans="1:10">
      <c r="A447" s="20"/>
      <c r="B447" s="18"/>
      <c r="C447" s="18"/>
      <c r="D447" s="20"/>
      <c r="E447" s="18"/>
      <c r="F447" s="18"/>
      <c r="G447" s="20"/>
      <c r="H447" s="18"/>
      <c r="I447" s="20"/>
      <c r="J447" s="18"/>
    </row>
    <row r="448" spans="1:10">
      <c r="A448" s="20"/>
      <c r="B448" s="18"/>
      <c r="C448" s="18"/>
      <c r="D448" s="20"/>
      <c r="E448" s="18"/>
      <c r="F448" s="18"/>
      <c r="G448" s="20"/>
      <c r="H448" s="18"/>
      <c r="I448" s="20"/>
      <c r="J448" s="18"/>
    </row>
    <row r="449" spans="1:10">
      <c r="A449" s="20"/>
      <c r="B449" s="18"/>
      <c r="C449" s="18"/>
      <c r="D449" s="20"/>
      <c r="E449" s="18"/>
      <c r="F449" s="18"/>
      <c r="G449" s="20"/>
      <c r="H449" s="18"/>
      <c r="I449" s="20"/>
      <c r="J449" s="18"/>
    </row>
    <row r="450" spans="1:10">
      <c r="A450" s="20"/>
      <c r="B450" s="18"/>
      <c r="C450" s="18"/>
      <c r="D450" s="20"/>
      <c r="E450" s="18"/>
      <c r="F450" s="18"/>
      <c r="G450" s="20"/>
      <c r="H450" s="18"/>
      <c r="I450" s="20"/>
      <c r="J450" s="18"/>
    </row>
    <row r="451" spans="1:10">
      <c r="A451" s="20"/>
      <c r="B451" s="18"/>
      <c r="C451" s="18"/>
      <c r="D451" s="20"/>
      <c r="E451" s="18"/>
      <c r="F451" s="18"/>
      <c r="G451" s="20"/>
      <c r="H451" s="18"/>
      <c r="I451" s="20"/>
      <c r="J451" s="18"/>
    </row>
    <row r="452" spans="1:10">
      <c r="A452" s="20"/>
      <c r="B452" s="18"/>
      <c r="C452" s="18"/>
      <c r="D452" s="20"/>
      <c r="E452" s="18"/>
      <c r="F452" s="18"/>
      <c r="G452" s="20"/>
      <c r="H452" s="18"/>
      <c r="I452" s="20"/>
      <c r="J452" s="18"/>
    </row>
    <row r="453" spans="1:10">
      <c r="A453" s="20"/>
      <c r="B453" s="18"/>
      <c r="C453" s="18"/>
      <c r="D453" s="20"/>
      <c r="E453" s="18"/>
      <c r="F453" s="18"/>
      <c r="G453" s="20"/>
      <c r="H453" s="18"/>
      <c r="I453" s="20"/>
      <c r="J453" s="18"/>
    </row>
    <row r="454" spans="1:10">
      <c r="A454" s="20"/>
      <c r="B454" s="18"/>
      <c r="C454" s="18"/>
      <c r="D454" s="20"/>
      <c r="E454" s="18"/>
      <c r="F454" s="18"/>
      <c r="G454" s="20"/>
      <c r="H454" s="18"/>
      <c r="I454" s="20"/>
      <c r="J454" s="18"/>
    </row>
    <row r="455" spans="1:10">
      <c r="A455" s="20"/>
      <c r="B455" s="18"/>
      <c r="C455" s="18"/>
      <c r="D455" s="20"/>
      <c r="E455" s="18"/>
      <c r="F455" s="18"/>
      <c r="G455" s="20"/>
      <c r="H455" s="18"/>
      <c r="I455" s="20"/>
      <c r="J455" s="18"/>
    </row>
    <row r="456" spans="1:10">
      <c r="A456" s="20"/>
      <c r="B456" s="18"/>
      <c r="C456" s="18"/>
      <c r="D456" s="20"/>
      <c r="E456" s="18"/>
      <c r="F456" s="18"/>
      <c r="G456" s="20"/>
      <c r="H456" s="18"/>
      <c r="I456" s="20"/>
      <c r="J456" s="18"/>
    </row>
    <row r="457" spans="1:10">
      <c r="A457" s="20"/>
      <c r="B457" s="18"/>
      <c r="C457" s="18"/>
      <c r="D457" s="20"/>
      <c r="E457" s="18"/>
      <c r="F457" s="18"/>
      <c r="G457" s="20"/>
      <c r="H457" s="18"/>
      <c r="I457" s="20"/>
      <c r="J457" s="18"/>
    </row>
    <row r="458" spans="1:10">
      <c r="A458" s="20"/>
      <c r="B458" s="18"/>
      <c r="C458" s="18"/>
      <c r="D458" s="20"/>
      <c r="E458" s="18"/>
      <c r="F458" s="18"/>
      <c r="G458" s="20"/>
      <c r="H458" s="18"/>
      <c r="I458" s="20"/>
      <c r="J458" s="18"/>
    </row>
    <row r="459" spans="1:10">
      <c r="A459" s="20"/>
      <c r="B459" s="18"/>
      <c r="C459" s="18"/>
      <c r="D459" s="20"/>
      <c r="E459" s="18"/>
      <c r="F459" s="18"/>
      <c r="G459" s="20"/>
      <c r="H459" s="18"/>
      <c r="I459" s="20"/>
      <c r="J459" s="18"/>
    </row>
    <row r="460" spans="1:10">
      <c r="A460" s="20"/>
      <c r="B460" s="18"/>
      <c r="C460" s="18"/>
      <c r="D460" s="20"/>
      <c r="E460" s="18"/>
      <c r="F460" s="18"/>
      <c r="G460" s="20"/>
      <c r="H460" s="18"/>
      <c r="I460" s="20"/>
      <c r="J460" s="18"/>
    </row>
    <row r="461" spans="1:10">
      <c r="A461" s="20"/>
      <c r="B461" s="18"/>
      <c r="C461" s="18"/>
      <c r="D461" s="20"/>
      <c r="E461" s="18"/>
      <c r="F461" s="18"/>
      <c r="G461" s="20"/>
      <c r="H461" s="18"/>
      <c r="I461" s="20"/>
      <c r="J461" s="18"/>
    </row>
    <row r="462" spans="1:10">
      <c r="A462" s="20"/>
      <c r="B462" s="18"/>
      <c r="C462" s="18"/>
      <c r="D462" s="20"/>
      <c r="E462" s="18"/>
      <c r="F462" s="18"/>
      <c r="G462" s="20"/>
      <c r="H462" s="18"/>
      <c r="I462" s="20"/>
      <c r="J462" s="18"/>
    </row>
    <row r="463" spans="1:10">
      <c r="A463" s="20"/>
      <c r="B463" s="18"/>
      <c r="C463" s="18"/>
      <c r="D463" s="20"/>
      <c r="E463" s="18"/>
      <c r="F463" s="18"/>
      <c r="G463" s="20"/>
      <c r="H463" s="18"/>
      <c r="I463" s="20"/>
      <c r="J463" s="18"/>
    </row>
    <row r="464" spans="1:10">
      <c r="A464" s="20"/>
      <c r="B464" s="18"/>
      <c r="C464" s="18"/>
      <c r="D464" s="20"/>
      <c r="E464" s="18"/>
      <c r="F464" s="18"/>
      <c r="G464" s="20"/>
      <c r="H464" s="18"/>
      <c r="I464" s="20"/>
      <c r="J464" s="18"/>
    </row>
    <row r="465" spans="1:10">
      <c r="A465" s="20"/>
      <c r="B465" s="18"/>
      <c r="C465" s="18"/>
      <c r="D465" s="20"/>
      <c r="E465" s="18"/>
      <c r="F465" s="18"/>
      <c r="G465" s="20"/>
      <c r="H465" s="18"/>
      <c r="I465" s="20"/>
      <c r="J465" s="18"/>
    </row>
    <row r="466" spans="1:10">
      <c r="A466" s="20"/>
      <c r="B466" s="18"/>
      <c r="C466" s="18"/>
      <c r="D466" s="20"/>
      <c r="E466" s="18"/>
      <c r="F466" s="18"/>
      <c r="G466" s="20"/>
      <c r="H466" s="18"/>
      <c r="I466" s="20"/>
      <c r="J466" s="18"/>
    </row>
    <row r="467" spans="1:10">
      <c r="A467" s="20"/>
      <c r="B467" s="18"/>
      <c r="C467" s="18"/>
      <c r="D467" s="20"/>
      <c r="E467" s="18"/>
      <c r="F467" s="18"/>
      <c r="G467" s="20"/>
      <c r="H467" s="18"/>
      <c r="I467" s="20"/>
      <c r="J467" s="18"/>
    </row>
    <row r="468" spans="1:10">
      <c r="A468" s="20"/>
      <c r="B468" s="18"/>
      <c r="C468" s="18"/>
      <c r="D468" s="20"/>
      <c r="E468" s="18"/>
      <c r="F468" s="18"/>
      <c r="G468" s="20"/>
      <c r="H468" s="18"/>
      <c r="I468" s="20"/>
      <c r="J468" s="18"/>
    </row>
    <row r="469" spans="1:10">
      <c r="A469" s="20"/>
      <c r="B469" s="18"/>
      <c r="C469" s="18"/>
      <c r="D469" s="20"/>
      <c r="E469" s="18"/>
      <c r="F469" s="18"/>
      <c r="G469" s="20"/>
      <c r="H469" s="18"/>
      <c r="I469" s="20"/>
      <c r="J469" s="18"/>
    </row>
    <row r="470" spans="1:10">
      <c r="A470" s="20"/>
      <c r="B470" s="18"/>
      <c r="C470" s="18"/>
      <c r="D470" s="20"/>
      <c r="E470" s="18"/>
      <c r="F470" s="18"/>
      <c r="G470" s="20"/>
      <c r="H470" s="18"/>
      <c r="I470" s="20"/>
      <c r="J470" s="18"/>
    </row>
    <row r="471" spans="1:10">
      <c r="A471" s="20"/>
      <c r="B471" s="18"/>
      <c r="C471" s="18"/>
      <c r="D471" s="20"/>
      <c r="E471" s="18"/>
      <c r="F471" s="18"/>
      <c r="G471" s="20"/>
      <c r="H471" s="18"/>
      <c r="I471" s="20"/>
      <c r="J471" s="18"/>
    </row>
    <row r="472" spans="1:10">
      <c r="A472" s="20"/>
      <c r="B472" s="18"/>
      <c r="C472" s="18"/>
      <c r="D472" s="20"/>
      <c r="E472" s="18"/>
      <c r="F472" s="18"/>
      <c r="G472" s="20"/>
      <c r="H472" s="18"/>
      <c r="I472" s="20"/>
      <c r="J472" s="18"/>
    </row>
    <row r="473" spans="1:10">
      <c r="A473" s="20"/>
      <c r="B473" s="18"/>
      <c r="C473" s="18"/>
      <c r="D473" s="20"/>
      <c r="E473" s="18"/>
      <c r="F473" s="18"/>
      <c r="G473" s="20"/>
      <c r="H473" s="18"/>
      <c r="I473" s="20"/>
      <c r="J473" s="18"/>
    </row>
    <row r="474" spans="1:10">
      <c r="A474" s="20"/>
      <c r="B474" s="18"/>
      <c r="C474" s="18"/>
      <c r="D474" s="20"/>
      <c r="E474" s="18"/>
      <c r="F474" s="18"/>
      <c r="G474" s="20"/>
      <c r="H474" s="18"/>
      <c r="I474" s="20"/>
      <c r="J474" s="18"/>
    </row>
    <row r="475" spans="1:10">
      <c r="A475" s="20"/>
      <c r="B475" s="18"/>
      <c r="C475" s="18"/>
      <c r="D475" s="20"/>
      <c r="E475" s="18"/>
      <c r="F475" s="18"/>
      <c r="G475" s="20"/>
      <c r="H475" s="18"/>
      <c r="I475" s="20"/>
      <c r="J475" s="18"/>
    </row>
    <row r="476" spans="1:10">
      <c r="A476" s="20"/>
      <c r="B476" s="18"/>
      <c r="C476" s="18"/>
      <c r="D476" s="20"/>
      <c r="E476" s="18"/>
      <c r="F476" s="18"/>
      <c r="G476" s="20"/>
      <c r="H476" s="18"/>
      <c r="I476" s="20"/>
      <c r="J476" s="18"/>
    </row>
    <row r="477" spans="1:10">
      <c r="A477" s="20"/>
      <c r="B477" s="18"/>
      <c r="C477" s="18"/>
      <c r="D477" s="20"/>
      <c r="E477" s="18"/>
      <c r="F477" s="18"/>
      <c r="G477" s="20"/>
      <c r="H477" s="18"/>
      <c r="I477" s="20"/>
      <c r="J477" s="18"/>
    </row>
    <row r="478" spans="1:10">
      <c r="A478" s="20"/>
      <c r="B478" s="18"/>
      <c r="C478" s="18"/>
      <c r="D478" s="20"/>
      <c r="E478" s="18"/>
      <c r="F478" s="18"/>
      <c r="G478" s="20"/>
      <c r="H478" s="18"/>
      <c r="I478" s="20"/>
      <c r="J478" s="18"/>
    </row>
    <row r="479" spans="1:10">
      <c r="A479" s="20"/>
      <c r="B479" s="18"/>
      <c r="C479" s="18"/>
      <c r="D479" s="20"/>
      <c r="E479" s="18"/>
      <c r="F479" s="18"/>
      <c r="G479" s="20"/>
      <c r="H479" s="18"/>
      <c r="I479" s="20"/>
      <c r="J479" s="18"/>
    </row>
    <row r="480" spans="1:10">
      <c r="A480" s="20"/>
      <c r="B480" s="18"/>
      <c r="C480" s="18"/>
      <c r="D480" s="20"/>
      <c r="E480" s="18"/>
      <c r="F480" s="18"/>
      <c r="G480" s="20"/>
      <c r="H480" s="18"/>
      <c r="I480" s="20"/>
      <c r="J480" s="18"/>
    </row>
    <row r="481" spans="1:10">
      <c r="A481" s="20"/>
      <c r="B481" s="18"/>
      <c r="C481" s="18"/>
      <c r="D481" s="20"/>
      <c r="E481" s="18"/>
      <c r="F481" s="18"/>
      <c r="G481" s="20"/>
      <c r="H481" s="18"/>
      <c r="I481" s="20"/>
      <c r="J481" s="18"/>
    </row>
    <row r="482" spans="1:10">
      <c r="A482" s="20"/>
      <c r="B482" s="18"/>
      <c r="C482" s="18"/>
      <c r="D482" s="20"/>
      <c r="E482" s="18"/>
      <c r="F482" s="18"/>
      <c r="G482" s="20"/>
      <c r="H482" s="18"/>
      <c r="I482" s="20"/>
      <c r="J482" s="18"/>
    </row>
    <row r="483" spans="1:10">
      <c r="A483" s="20"/>
      <c r="B483" s="18"/>
      <c r="C483" s="18"/>
      <c r="D483" s="20"/>
      <c r="E483" s="18"/>
      <c r="F483" s="18"/>
      <c r="G483" s="20"/>
      <c r="H483" s="18"/>
      <c r="I483" s="20"/>
      <c r="J483" s="18"/>
    </row>
    <row r="484" spans="1:10">
      <c r="A484" s="20"/>
      <c r="B484" s="18"/>
      <c r="C484" s="18"/>
      <c r="D484" s="20"/>
      <c r="E484" s="18"/>
      <c r="F484" s="18"/>
      <c r="G484" s="20"/>
      <c r="H484" s="18"/>
      <c r="I484" s="20"/>
      <c r="J484" s="18"/>
    </row>
    <row r="485" spans="1:10">
      <c r="A485" s="20"/>
      <c r="B485" s="18"/>
      <c r="C485" s="18"/>
      <c r="D485" s="20"/>
      <c r="E485" s="18"/>
      <c r="F485" s="18"/>
      <c r="G485" s="20"/>
      <c r="H485" s="18"/>
      <c r="I485" s="20"/>
      <c r="J485" s="18"/>
    </row>
    <row r="486" spans="1:10">
      <c r="A486" s="20"/>
      <c r="B486" s="18"/>
      <c r="C486" s="18"/>
      <c r="D486" s="20"/>
      <c r="E486" s="18"/>
      <c r="F486" s="18"/>
      <c r="G486" s="20"/>
      <c r="H486" s="18"/>
      <c r="I486" s="20"/>
      <c r="J486" s="18"/>
    </row>
    <row r="487" spans="1:10">
      <c r="A487" s="20"/>
      <c r="B487" s="18"/>
      <c r="C487" s="18"/>
      <c r="D487" s="20"/>
      <c r="E487" s="18"/>
      <c r="F487" s="18"/>
      <c r="G487" s="20"/>
      <c r="H487" s="18"/>
      <c r="I487" s="20"/>
      <c r="J487" s="18"/>
    </row>
    <row r="488" spans="1:10">
      <c r="A488" s="20"/>
      <c r="B488" s="18"/>
      <c r="C488" s="18"/>
      <c r="D488" s="20"/>
      <c r="E488" s="18"/>
      <c r="F488" s="18"/>
      <c r="G488" s="20"/>
      <c r="H488" s="18"/>
      <c r="I488" s="20"/>
      <c r="J488" s="18"/>
    </row>
    <row r="489" spans="1:10">
      <c r="A489" s="20"/>
      <c r="B489" s="18"/>
      <c r="C489" s="18"/>
      <c r="D489" s="20"/>
      <c r="E489" s="18"/>
      <c r="F489" s="18"/>
      <c r="G489" s="20"/>
      <c r="H489" s="18"/>
      <c r="I489" s="20"/>
      <c r="J489" s="18"/>
    </row>
    <row r="490" spans="1:10">
      <c r="A490" s="20"/>
      <c r="B490" s="18"/>
      <c r="C490" s="18"/>
      <c r="D490" s="20"/>
      <c r="E490" s="18"/>
      <c r="F490" s="18"/>
      <c r="G490" s="20"/>
      <c r="H490" s="18"/>
      <c r="I490" s="20"/>
      <c r="J490" s="18"/>
    </row>
    <row r="491" spans="1:10">
      <c r="A491" s="20"/>
      <c r="B491" s="18"/>
      <c r="C491" s="18"/>
      <c r="D491" s="20"/>
      <c r="E491" s="18"/>
      <c r="F491" s="18"/>
      <c r="G491" s="20"/>
      <c r="H491" s="18"/>
      <c r="I491" s="20"/>
      <c r="J491" s="18"/>
    </row>
    <row r="492" spans="1:10">
      <c r="A492" s="20"/>
      <c r="B492" s="18"/>
      <c r="C492" s="18"/>
      <c r="D492" s="20"/>
      <c r="E492" s="18"/>
      <c r="F492" s="18"/>
      <c r="G492" s="20"/>
      <c r="H492" s="18"/>
      <c r="I492" s="20"/>
      <c r="J492" s="18"/>
    </row>
    <row r="493" spans="1:10">
      <c r="A493" s="20"/>
      <c r="B493" s="18"/>
      <c r="C493" s="18"/>
      <c r="D493" s="20"/>
      <c r="E493" s="18"/>
      <c r="F493" s="18"/>
      <c r="G493" s="20"/>
      <c r="H493" s="18"/>
      <c r="I493" s="20"/>
      <c r="J493" s="18"/>
    </row>
    <row r="494" spans="1:10">
      <c r="A494" s="20"/>
      <c r="B494" s="18"/>
      <c r="C494" s="18"/>
      <c r="D494" s="20"/>
      <c r="E494" s="18"/>
      <c r="F494" s="18"/>
      <c r="G494" s="20"/>
      <c r="H494" s="18"/>
      <c r="I494" s="20"/>
      <c r="J494" s="18"/>
    </row>
    <row r="495" spans="1:10">
      <c r="A495" s="20"/>
      <c r="B495" s="18"/>
      <c r="C495" s="18"/>
      <c r="D495" s="20"/>
      <c r="E495" s="18"/>
      <c r="F495" s="18"/>
      <c r="G495" s="20"/>
      <c r="H495" s="18"/>
      <c r="I495" s="20"/>
      <c r="J495" s="18"/>
    </row>
    <row r="496" spans="1:10">
      <c r="A496" s="20"/>
      <c r="B496" s="18"/>
      <c r="C496" s="18"/>
      <c r="D496" s="20"/>
      <c r="E496" s="18"/>
      <c r="F496" s="18"/>
      <c r="G496" s="20"/>
      <c r="H496" s="18"/>
      <c r="I496" s="20"/>
      <c r="J496" s="18"/>
    </row>
    <row r="497" spans="1:10">
      <c r="A497" s="20"/>
      <c r="B497" s="18"/>
      <c r="C497" s="18"/>
      <c r="D497" s="20"/>
      <c r="E497" s="18"/>
      <c r="F497" s="18"/>
      <c r="G497" s="20"/>
      <c r="H497" s="18"/>
      <c r="I497" s="20"/>
      <c r="J497" s="18"/>
    </row>
    <row r="498" spans="1:10">
      <c r="A498" s="20"/>
      <c r="B498" s="18"/>
      <c r="C498" s="18"/>
      <c r="D498" s="20"/>
      <c r="E498" s="18"/>
      <c r="F498" s="18"/>
      <c r="G498" s="20"/>
      <c r="H498" s="18"/>
      <c r="I498" s="20"/>
      <c r="J498" s="18"/>
    </row>
    <row r="499" spans="1:10">
      <c r="A499" s="20"/>
      <c r="B499" s="18"/>
      <c r="C499" s="18"/>
      <c r="D499" s="20"/>
      <c r="E499" s="18"/>
      <c r="F499" s="18"/>
      <c r="G499" s="20"/>
      <c r="H499" s="18"/>
      <c r="I499" s="20"/>
      <c r="J499" s="18"/>
    </row>
    <row r="500" spans="1:10">
      <c r="A500" s="20"/>
      <c r="B500" s="18"/>
      <c r="C500" s="18"/>
      <c r="D500" s="20"/>
      <c r="E500" s="18"/>
      <c r="F500" s="18"/>
      <c r="G500" s="20"/>
      <c r="H500" s="18"/>
      <c r="I500" s="20"/>
      <c r="J500" s="18"/>
    </row>
    <row r="501" spans="1:10">
      <c r="A501" s="20"/>
      <c r="B501" s="18"/>
      <c r="C501" s="18"/>
      <c r="D501" s="20"/>
      <c r="E501" s="18"/>
      <c r="F501" s="18"/>
      <c r="G501" s="20"/>
      <c r="H501" s="18"/>
      <c r="I501" s="20"/>
      <c r="J501" s="18"/>
    </row>
    <row r="502" spans="1:10">
      <c r="A502" s="20"/>
      <c r="B502" s="18"/>
      <c r="C502" s="18"/>
      <c r="D502" s="20"/>
      <c r="E502" s="18"/>
      <c r="F502" s="18"/>
      <c r="G502" s="20"/>
      <c r="H502" s="18"/>
      <c r="I502" s="20"/>
      <c r="J502" s="18"/>
    </row>
    <row r="503" spans="1:10">
      <c r="A503" s="20"/>
      <c r="B503" s="18"/>
      <c r="C503" s="18"/>
      <c r="D503" s="20"/>
      <c r="E503" s="18"/>
      <c r="F503" s="18"/>
      <c r="G503" s="20"/>
      <c r="H503" s="18"/>
      <c r="I503" s="20"/>
      <c r="J503" s="18"/>
    </row>
    <row r="504" spans="1:10">
      <c r="A504" s="20"/>
      <c r="B504" s="18"/>
      <c r="C504" s="18"/>
      <c r="D504" s="20"/>
      <c r="E504" s="18"/>
      <c r="F504" s="18"/>
      <c r="G504" s="20"/>
      <c r="H504" s="18"/>
      <c r="I504" s="20"/>
      <c r="J504" s="18"/>
    </row>
    <row r="505" spans="1:10">
      <c r="A505" s="20"/>
      <c r="B505" s="18"/>
      <c r="C505" s="18"/>
      <c r="D505" s="20"/>
      <c r="E505" s="18"/>
      <c r="F505" s="18"/>
      <c r="G505" s="20"/>
      <c r="H505" s="18"/>
      <c r="I505" s="20"/>
      <c r="J505" s="18"/>
    </row>
    <row r="506" spans="1:10">
      <c r="A506" s="20"/>
      <c r="B506" s="18"/>
      <c r="C506" s="18"/>
      <c r="D506" s="20"/>
      <c r="E506" s="18"/>
      <c r="F506" s="18"/>
      <c r="G506" s="20"/>
      <c r="H506" s="18"/>
      <c r="I506" s="20"/>
      <c r="J506" s="18"/>
    </row>
    <row r="507" spans="1:10">
      <c r="A507" s="20"/>
      <c r="B507" s="18"/>
      <c r="C507" s="18"/>
      <c r="D507" s="20"/>
      <c r="E507" s="18"/>
      <c r="F507" s="18"/>
      <c r="G507" s="20"/>
      <c r="H507" s="18"/>
      <c r="I507" s="20"/>
      <c r="J507" s="18"/>
    </row>
    <row r="508" spans="1:10">
      <c r="A508" s="20"/>
      <c r="B508" s="18"/>
      <c r="C508" s="18"/>
      <c r="D508" s="20"/>
      <c r="E508" s="18"/>
      <c r="F508" s="18"/>
      <c r="G508" s="20"/>
      <c r="H508" s="18"/>
      <c r="I508" s="20"/>
      <c r="J508" s="18"/>
    </row>
    <row r="509" spans="1:10">
      <c r="A509" s="20"/>
      <c r="B509" s="18"/>
      <c r="C509" s="18"/>
      <c r="D509" s="20"/>
      <c r="E509" s="18"/>
      <c r="F509" s="18"/>
      <c r="G509" s="20"/>
      <c r="H509" s="18"/>
      <c r="I509" s="20"/>
      <c r="J509" s="18"/>
    </row>
    <row r="510" spans="1:10">
      <c r="A510" s="20"/>
      <c r="B510" s="18"/>
      <c r="C510" s="18"/>
      <c r="D510" s="20"/>
      <c r="E510" s="18"/>
      <c r="F510" s="18"/>
      <c r="G510" s="20"/>
      <c r="H510" s="18"/>
      <c r="I510" s="20"/>
      <c r="J510" s="18"/>
    </row>
    <row r="511" spans="1:10">
      <c r="A511" s="20"/>
      <c r="B511" s="18"/>
      <c r="C511" s="18"/>
      <c r="D511" s="20"/>
      <c r="E511" s="18"/>
      <c r="F511" s="18"/>
      <c r="G511" s="20"/>
      <c r="H511" s="18"/>
      <c r="I511" s="20"/>
      <c r="J511" s="18"/>
    </row>
    <row r="512" spans="1:10">
      <c r="A512" s="20"/>
      <c r="B512" s="18"/>
      <c r="C512" s="18"/>
      <c r="D512" s="20"/>
      <c r="E512" s="18"/>
      <c r="F512" s="18"/>
      <c r="G512" s="20"/>
      <c r="H512" s="18"/>
      <c r="I512" s="20"/>
      <c r="J512" s="18"/>
    </row>
    <row r="513" spans="1:10">
      <c r="A513" s="20"/>
      <c r="B513" s="18"/>
      <c r="C513" s="18"/>
      <c r="D513" s="20"/>
      <c r="E513" s="18"/>
      <c r="F513" s="18"/>
      <c r="G513" s="20"/>
      <c r="H513" s="18"/>
      <c r="I513" s="20"/>
      <c r="J513" s="18"/>
    </row>
    <row r="514" spans="1:10">
      <c r="A514" s="20"/>
      <c r="B514" s="18"/>
      <c r="C514" s="18"/>
      <c r="D514" s="20"/>
      <c r="E514" s="18"/>
      <c r="F514" s="18"/>
      <c r="G514" s="20"/>
      <c r="H514" s="18"/>
      <c r="I514" s="20"/>
      <c r="J514" s="18"/>
    </row>
    <row r="515" spans="1:10">
      <c r="A515" s="20"/>
      <c r="B515" s="18"/>
      <c r="C515" s="18"/>
      <c r="D515" s="20"/>
      <c r="E515" s="18"/>
      <c r="F515" s="18"/>
      <c r="G515" s="20"/>
      <c r="H515" s="18"/>
      <c r="I515" s="20"/>
      <c r="J515" s="18"/>
    </row>
    <row r="516" spans="1:10">
      <c r="A516" s="20"/>
      <c r="B516" s="18"/>
      <c r="C516" s="18"/>
      <c r="D516" s="20"/>
      <c r="E516" s="18"/>
      <c r="F516" s="18"/>
      <c r="G516" s="20"/>
      <c r="H516" s="18"/>
      <c r="I516" s="20"/>
      <c r="J516" s="18"/>
    </row>
    <row r="517" spans="1:10">
      <c r="A517" s="20"/>
      <c r="B517" s="18"/>
      <c r="C517" s="18"/>
      <c r="D517" s="20"/>
      <c r="E517" s="18"/>
      <c r="F517" s="18"/>
      <c r="G517" s="20"/>
      <c r="H517" s="18"/>
      <c r="I517" s="20"/>
      <c r="J517" s="18"/>
    </row>
    <row r="518" spans="1:10">
      <c r="A518" s="20"/>
      <c r="B518" s="18"/>
      <c r="C518" s="18"/>
      <c r="D518" s="20"/>
      <c r="E518" s="18"/>
      <c r="F518" s="18"/>
      <c r="G518" s="20"/>
      <c r="H518" s="18"/>
      <c r="I518" s="20"/>
      <c r="J518" s="18"/>
    </row>
    <row r="519" spans="1:10">
      <c r="A519" s="20"/>
      <c r="B519" s="18"/>
      <c r="C519" s="18"/>
      <c r="D519" s="20"/>
      <c r="E519" s="18"/>
      <c r="F519" s="18"/>
      <c r="G519" s="20"/>
      <c r="H519" s="18"/>
      <c r="I519" s="20"/>
      <c r="J519" s="18"/>
    </row>
    <row r="520" spans="1:10">
      <c r="A520" s="20"/>
      <c r="B520" s="18"/>
      <c r="C520" s="18"/>
      <c r="D520" s="20"/>
      <c r="E520" s="18"/>
      <c r="F520" s="18"/>
      <c r="G520" s="20"/>
      <c r="H520" s="18"/>
      <c r="I520" s="20"/>
      <c r="J520" s="18"/>
    </row>
    <row r="521" spans="1:10">
      <c r="A521" s="20"/>
      <c r="B521" s="18"/>
      <c r="C521" s="18"/>
      <c r="D521" s="20"/>
      <c r="E521" s="18"/>
      <c r="F521" s="18"/>
      <c r="G521" s="20"/>
      <c r="H521" s="18"/>
      <c r="I521" s="20"/>
      <c r="J521" s="18"/>
    </row>
    <row r="522" spans="1:10">
      <c r="A522" s="20"/>
      <c r="B522" s="18"/>
      <c r="C522" s="18"/>
      <c r="D522" s="20"/>
      <c r="E522" s="18"/>
      <c r="F522" s="18"/>
      <c r="G522" s="20"/>
      <c r="H522" s="18"/>
      <c r="I522" s="20"/>
      <c r="J522" s="18"/>
    </row>
    <row r="523" spans="1:10">
      <c r="A523" s="20"/>
      <c r="B523" s="18"/>
      <c r="C523" s="18"/>
      <c r="D523" s="20"/>
      <c r="E523" s="18"/>
      <c r="F523" s="18"/>
      <c r="G523" s="20"/>
      <c r="H523" s="18"/>
      <c r="I523" s="20"/>
      <c r="J523" s="18"/>
    </row>
    <row r="524" spans="1:10">
      <c r="A524" s="20"/>
      <c r="B524" s="18"/>
      <c r="C524" s="18"/>
      <c r="D524" s="20"/>
      <c r="E524" s="18"/>
      <c r="F524" s="18"/>
      <c r="G524" s="20"/>
      <c r="H524" s="18"/>
      <c r="I524" s="20"/>
      <c r="J524" s="18"/>
    </row>
    <row r="525" spans="1:10">
      <c r="A525" s="20"/>
      <c r="B525" s="18"/>
      <c r="C525" s="18"/>
      <c r="D525" s="20"/>
      <c r="E525" s="18"/>
      <c r="F525" s="18"/>
      <c r="G525" s="20"/>
      <c r="H525" s="18"/>
      <c r="I525" s="20"/>
      <c r="J525" s="18"/>
    </row>
    <row r="526" spans="1:10">
      <c r="A526" s="20"/>
      <c r="B526" s="18"/>
      <c r="C526" s="18"/>
      <c r="D526" s="20"/>
      <c r="E526" s="18"/>
      <c r="F526" s="18"/>
      <c r="G526" s="20"/>
      <c r="H526" s="18"/>
      <c r="I526" s="20"/>
      <c r="J526" s="18"/>
    </row>
    <row r="527" spans="1:10">
      <c r="A527" s="20"/>
      <c r="B527" s="18"/>
      <c r="C527" s="18"/>
      <c r="D527" s="20"/>
      <c r="E527" s="18"/>
      <c r="F527" s="18"/>
      <c r="G527" s="20"/>
      <c r="H527" s="18"/>
      <c r="I527" s="20"/>
      <c r="J527" s="18"/>
    </row>
    <row r="528" spans="1:10">
      <c r="A528" s="20"/>
      <c r="B528" s="18"/>
      <c r="C528" s="18"/>
      <c r="D528" s="20"/>
      <c r="E528" s="18"/>
      <c r="F528" s="18"/>
      <c r="G528" s="20"/>
      <c r="H528" s="18"/>
      <c r="I528" s="20"/>
      <c r="J528" s="18"/>
    </row>
    <row r="529" spans="1:10">
      <c r="A529" s="20"/>
      <c r="B529" s="18"/>
      <c r="C529" s="18"/>
      <c r="D529" s="20"/>
      <c r="E529" s="18"/>
      <c r="F529" s="18"/>
      <c r="G529" s="20"/>
      <c r="H529" s="18"/>
      <c r="I529" s="20"/>
      <c r="J529" s="18"/>
    </row>
    <row r="530" spans="1:10">
      <c r="A530" s="20"/>
      <c r="B530" s="18"/>
      <c r="C530" s="18"/>
      <c r="D530" s="20"/>
      <c r="E530" s="18"/>
      <c r="F530" s="18"/>
      <c r="G530" s="20"/>
      <c r="H530" s="18"/>
      <c r="I530" s="20"/>
      <c r="J530" s="18"/>
    </row>
    <row r="531" spans="1:10">
      <c r="A531" s="20"/>
      <c r="B531" s="18"/>
      <c r="C531" s="18"/>
      <c r="D531" s="20"/>
      <c r="E531" s="18"/>
      <c r="F531" s="18"/>
      <c r="G531" s="20"/>
      <c r="H531" s="18"/>
      <c r="I531" s="20"/>
      <c r="J531" s="18"/>
    </row>
    <row r="532" spans="1:10">
      <c r="A532" s="20"/>
      <c r="B532" s="18"/>
      <c r="C532" s="18"/>
      <c r="D532" s="20"/>
      <c r="E532" s="18"/>
      <c r="F532" s="18"/>
      <c r="G532" s="20"/>
      <c r="H532" s="18"/>
      <c r="I532" s="20"/>
      <c r="J532" s="18"/>
    </row>
    <row r="533" spans="1:10">
      <c r="A533" s="20"/>
      <c r="B533" s="18"/>
      <c r="C533" s="18"/>
      <c r="D533" s="20"/>
      <c r="E533" s="18"/>
      <c r="F533" s="18"/>
      <c r="G533" s="20"/>
      <c r="H533" s="18"/>
      <c r="I533" s="20"/>
      <c r="J533" s="18"/>
    </row>
    <row r="534" spans="1:10">
      <c r="A534" s="20"/>
      <c r="B534" s="18"/>
      <c r="C534" s="18"/>
      <c r="D534" s="20"/>
      <c r="E534" s="18"/>
      <c r="F534" s="18"/>
      <c r="G534" s="20"/>
      <c r="H534" s="18"/>
      <c r="I534" s="20"/>
      <c r="J534" s="18"/>
    </row>
    <row r="535" spans="1:10">
      <c r="A535" s="20"/>
      <c r="B535" s="18"/>
      <c r="C535" s="18"/>
      <c r="D535" s="20"/>
      <c r="E535" s="18"/>
      <c r="F535" s="18"/>
      <c r="G535" s="20"/>
      <c r="H535" s="18"/>
      <c r="I535" s="20"/>
      <c r="J535" s="18"/>
    </row>
    <row r="536" spans="1:10">
      <c r="A536" s="20"/>
      <c r="B536" s="18"/>
      <c r="C536" s="18"/>
      <c r="D536" s="20"/>
      <c r="E536" s="18"/>
      <c r="F536" s="18"/>
      <c r="G536" s="20"/>
      <c r="H536" s="18"/>
      <c r="I536" s="20"/>
      <c r="J536" s="18"/>
    </row>
    <row r="537" spans="1:10">
      <c r="A537" s="20"/>
      <c r="B537" s="18"/>
      <c r="C537" s="18"/>
      <c r="D537" s="20"/>
      <c r="E537" s="18"/>
      <c r="F537" s="18"/>
      <c r="G537" s="20"/>
      <c r="H537" s="18"/>
      <c r="I537" s="20"/>
      <c r="J537" s="18"/>
    </row>
    <row r="538" spans="1:10">
      <c r="A538" s="20"/>
      <c r="B538" s="18"/>
      <c r="C538" s="18"/>
      <c r="D538" s="20"/>
      <c r="E538" s="18"/>
      <c r="F538" s="18"/>
      <c r="G538" s="20"/>
      <c r="H538" s="18"/>
      <c r="I538" s="20"/>
      <c r="J538" s="18"/>
    </row>
    <row r="539" spans="1:10">
      <c r="A539" s="20"/>
      <c r="B539" s="18"/>
      <c r="C539" s="18"/>
      <c r="D539" s="20"/>
      <c r="E539" s="18"/>
      <c r="F539" s="18"/>
      <c r="G539" s="20"/>
      <c r="H539" s="18"/>
      <c r="I539" s="20"/>
      <c r="J539" s="18"/>
    </row>
    <row r="540" spans="1:10">
      <c r="A540" s="20"/>
      <c r="B540" s="18"/>
      <c r="C540" s="18"/>
      <c r="D540" s="20"/>
      <c r="E540" s="18"/>
      <c r="F540" s="18"/>
      <c r="G540" s="20"/>
      <c r="H540" s="18"/>
      <c r="I540" s="20"/>
      <c r="J540" s="18"/>
    </row>
    <row r="541" spans="1:10">
      <c r="A541" s="20"/>
      <c r="B541" s="18"/>
      <c r="C541" s="18"/>
      <c r="D541" s="20"/>
      <c r="E541" s="18"/>
      <c r="F541" s="18"/>
      <c r="G541" s="20"/>
      <c r="H541" s="18"/>
      <c r="I541" s="20"/>
      <c r="J541" s="18"/>
    </row>
    <row r="542" spans="1:10">
      <c r="A542" s="20"/>
      <c r="B542" s="18"/>
      <c r="C542" s="18"/>
      <c r="D542" s="20"/>
      <c r="E542" s="18"/>
      <c r="F542" s="18"/>
      <c r="G542" s="20"/>
      <c r="H542" s="18"/>
      <c r="I542" s="20"/>
      <c r="J542" s="18"/>
    </row>
    <row r="543" spans="1:10">
      <c r="A543" s="20"/>
      <c r="B543" s="18"/>
      <c r="C543" s="18"/>
      <c r="D543" s="20"/>
      <c r="E543" s="18"/>
      <c r="F543" s="18"/>
      <c r="G543" s="20"/>
      <c r="H543" s="18"/>
      <c r="I543" s="20"/>
      <c r="J543" s="18"/>
    </row>
    <row r="544" spans="1:10">
      <c r="A544" s="20"/>
      <c r="B544" s="18"/>
      <c r="C544" s="18"/>
      <c r="D544" s="20"/>
      <c r="E544" s="18"/>
      <c r="F544" s="18"/>
      <c r="G544" s="20"/>
      <c r="H544" s="18"/>
      <c r="I544" s="20"/>
      <c r="J544" s="18"/>
    </row>
    <row r="545" spans="1:10">
      <c r="A545" s="20"/>
      <c r="B545" s="18"/>
      <c r="C545" s="18"/>
      <c r="D545" s="20"/>
      <c r="E545" s="18"/>
      <c r="F545" s="18"/>
      <c r="G545" s="20"/>
      <c r="H545" s="18"/>
      <c r="I545" s="20"/>
      <c r="J545" s="18"/>
    </row>
    <row r="546" spans="1:10">
      <c r="A546" s="20"/>
      <c r="B546" s="18"/>
      <c r="C546" s="18"/>
      <c r="D546" s="20"/>
      <c r="E546" s="18"/>
      <c r="F546" s="18"/>
      <c r="G546" s="20"/>
      <c r="H546" s="18"/>
      <c r="I546" s="20"/>
      <c r="J546" s="18"/>
    </row>
    <row r="547" spans="1:10">
      <c r="A547" s="20"/>
      <c r="B547" s="18"/>
      <c r="C547" s="18"/>
      <c r="D547" s="20"/>
      <c r="E547" s="18"/>
      <c r="F547" s="18"/>
      <c r="G547" s="20"/>
      <c r="H547" s="18"/>
      <c r="I547" s="20"/>
      <c r="J547" s="18"/>
    </row>
    <row r="548" spans="1:10">
      <c r="A548" s="20"/>
      <c r="B548" s="18"/>
      <c r="C548" s="18"/>
      <c r="D548" s="20"/>
      <c r="E548" s="18"/>
      <c r="F548" s="18"/>
      <c r="G548" s="20"/>
      <c r="H548" s="18"/>
      <c r="I548" s="20"/>
      <c r="J548" s="18"/>
    </row>
    <row r="549" spans="1:10">
      <c r="A549" s="20"/>
      <c r="B549" s="18"/>
      <c r="C549" s="18"/>
      <c r="D549" s="20"/>
      <c r="E549" s="18"/>
      <c r="F549" s="18"/>
      <c r="G549" s="20"/>
      <c r="H549" s="18"/>
      <c r="I549" s="20"/>
      <c r="J549" s="18"/>
    </row>
    <row r="550" spans="1:10">
      <c r="A550" s="20"/>
      <c r="B550" s="18"/>
      <c r="C550" s="18"/>
      <c r="D550" s="20"/>
      <c r="E550" s="18"/>
      <c r="F550" s="18"/>
      <c r="G550" s="20"/>
      <c r="H550" s="18"/>
      <c r="I550" s="20"/>
      <c r="J550" s="18"/>
    </row>
    <row r="551" spans="1:10">
      <c r="A551" s="20"/>
      <c r="B551" s="18"/>
      <c r="C551" s="18"/>
      <c r="D551" s="20"/>
      <c r="E551" s="18"/>
      <c r="F551" s="18"/>
      <c r="G551" s="20"/>
      <c r="H551" s="18"/>
      <c r="I551" s="20"/>
      <c r="J551" s="18"/>
    </row>
    <row r="552" spans="1:10">
      <c r="A552" s="20"/>
      <c r="B552" s="18"/>
      <c r="C552" s="18"/>
      <c r="D552" s="20"/>
      <c r="E552" s="18"/>
      <c r="F552" s="18"/>
      <c r="G552" s="20"/>
      <c r="H552" s="18"/>
      <c r="I552" s="20"/>
      <c r="J552" s="18"/>
    </row>
    <row r="553" spans="1:10">
      <c r="A553" s="20"/>
      <c r="B553" s="18"/>
      <c r="C553" s="18"/>
      <c r="D553" s="20"/>
      <c r="E553" s="18"/>
      <c r="F553" s="18"/>
      <c r="G553" s="20"/>
      <c r="H553" s="18"/>
      <c r="I553" s="20"/>
      <c r="J553" s="18"/>
    </row>
    <row r="554" spans="1:10">
      <c r="A554" s="20"/>
      <c r="B554" s="18"/>
      <c r="C554" s="18"/>
      <c r="D554" s="20"/>
      <c r="E554" s="18"/>
      <c r="F554" s="18"/>
      <c r="G554" s="20"/>
      <c r="H554" s="18"/>
      <c r="I554" s="20"/>
      <c r="J554" s="18"/>
    </row>
    <row r="555" spans="1:10">
      <c r="A555" s="20"/>
      <c r="B555" s="18"/>
      <c r="C555" s="18"/>
      <c r="D555" s="20"/>
      <c r="E555" s="18"/>
      <c r="F555" s="18"/>
      <c r="G555" s="20"/>
      <c r="H555" s="18"/>
      <c r="I555" s="20"/>
      <c r="J555" s="18"/>
    </row>
    <row r="556" spans="1:10">
      <c r="A556" s="20"/>
      <c r="B556" s="18"/>
      <c r="C556" s="18"/>
      <c r="D556" s="20"/>
      <c r="E556" s="18"/>
      <c r="F556" s="18"/>
      <c r="G556" s="20"/>
      <c r="H556" s="18"/>
      <c r="I556" s="20"/>
      <c r="J556" s="18"/>
    </row>
    <row r="557" spans="1:10">
      <c r="A557" s="20"/>
      <c r="B557" s="18"/>
      <c r="C557" s="18"/>
      <c r="D557" s="20"/>
      <c r="E557" s="18"/>
      <c r="F557" s="18"/>
      <c r="G557" s="20"/>
      <c r="H557" s="18"/>
      <c r="I557" s="20"/>
      <c r="J557" s="18"/>
    </row>
    <row r="558" spans="1:10">
      <c r="A558" s="20"/>
      <c r="B558" s="18"/>
      <c r="C558" s="18"/>
      <c r="D558" s="20"/>
      <c r="E558" s="18"/>
      <c r="F558" s="18"/>
      <c r="G558" s="20"/>
      <c r="H558" s="18"/>
      <c r="I558" s="20"/>
      <c r="J558" s="18"/>
    </row>
    <row r="559" spans="1:10">
      <c r="A559" s="20"/>
      <c r="B559" s="18"/>
      <c r="C559" s="18"/>
      <c r="D559" s="20"/>
      <c r="E559" s="18"/>
      <c r="F559" s="18"/>
      <c r="G559" s="20"/>
      <c r="H559" s="18"/>
      <c r="I559" s="20"/>
      <c r="J559" s="18"/>
    </row>
    <row r="560" spans="1:10">
      <c r="A560" s="20"/>
      <c r="B560" s="18"/>
      <c r="C560" s="18"/>
      <c r="D560" s="20"/>
      <c r="E560" s="18"/>
      <c r="F560" s="18"/>
      <c r="G560" s="20"/>
      <c r="H560" s="18"/>
      <c r="I560" s="20"/>
      <c r="J560" s="18"/>
    </row>
    <row r="561" spans="1:10">
      <c r="A561" s="20"/>
      <c r="B561" s="18"/>
      <c r="C561" s="18"/>
      <c r="D561" s="20"/>
      <c r="E561" s="18"/>
      <c r="F561" s="18"/>
      <c r="G561" s="20"/>
      <c r="H561" s="18"/>
      <c r="I561" s="20"/>
      <c r="J561" s="18"/>
    </row>
    <row r="562" spans="1:10">
      <c r="A562" s="20"/>
      <c r="B562" s="18"/>
      <c r="C562" s="18"/>
      <c r="D562" s="20"/>
      <c r="E562" s="18"/>
      <c r="F562" s="18"/>
      <c r="G562" s="20"/>
      <c r="H562" s="18"/>
      <c r="I562" s="20"/>
      <c r="J562" s="18"/>
    </row>
    <row r="563" spans="1:10">
      <c r="A563" s="20"/>
      <c r="B563" s="18"/>
      <c r="C563" s="18"/>
      <c r="D563" s="20"/>
      <c r="E563" s="18"/>
      <c r="F563" s="18"/>
      <c r="G563" s="20"/>
      <c r="H563" s="18"/>
      <c r="I563" s="20"/>
      <c r="J563" s="18"/>
    </row>
    <row r="564" spans="1:10">
      <c r="A564" s="20"/>
      <c r="B564" s="18"/>
      <c r="C564" s="18"/>
      <c r="D564" s="20"/>
      <c r="E564" s="18"/>
      <c r="F564" s="18"/>
      <c r="G564" s="20"/>
      <c r="H564" s="18"/>
      <c r="I564" s="20"/>
      <c r="J564" s="18"/>
    </row>
    <row r="565" spans="1:10">
      <c r="A565" s="20"/>
      <c r="B565" s="18"/>
      <c r="C565" s="18"/>
      <c r="D565" s="20"/>
      <c r="E565" s="18"/>
      <c r="F565" s="18"/>
      <c r="G565" s="20"/>
      <c r="H565" s="18"/>
      <c r="I565" s="20"/>
      <c r="J565" s="18"/>
    </row>
    <row r="566" spans="1:10">
      <c r="A566" s="20"/>
      <c r="B566" s="18"/>
      <c r="C566" s="18"/>
      <c r="D566" s="20"/>
      <c r="E566" s="18"/>
      <c r="F566" s="18"/>
      <c r="G566" s="20"/>
      <c r="H566" s="18"/>
      <c r="I566" s="20"/>
      <c r="J566" s="18"/>
    </row>
    <row r="567" spans="1:10">
      <c r="A567" s="20"/>
      <c r="B567" s="18"/>
      <c r="C567" s="18"/>
      <c r="D567" s="20"/>
      <c r="E567" s="18"/>
      <c r="F567" s="18"/>
      <c r="G567" s="20"/>
      <c r="H567" s="18"/>
      <c r="I567" s="20"/>
      <c r="J567" s="18"/>
    </row>
    <row r="568" spans="1:10">
      <c r="A568" s="20"/>
      <c r="B568" s="18"/>
      <c r="C568" s="18"/>
      <c r="D568" s="20"/>
      <c r="E568" s="18"/>
      <c r="F568" s="18"/>
      <c r="G568" s="20"/>
      <c r="H568" s="18"/>
      <c r="I568" s="20"/>
      <c r="J568" s="18"/>
    </row>
    <row r="569" spans="1:10">
      <c r="A569" s="20"/>
      <c r="B569" s="18"/>
      <c r="C569" s="18"/>
      <c r="D569" s="20"/>
      <c r="E569" s="18"/>
      <c r="F569" s="18"/>
      <c r="G569" s="20"/>
      <c r="H569" s="18"/>
      <c r="I569" s="20"/>
      <c r="J569" s="18"/>
    </row>
    <row r="570" spans="1:10">
      <c r="A570" s="20"/>
      <c r="B570" s="18"/>
      <c r="C570" s="18"/>
      <c r="D570" s="20"/>
      <c r="E570" s="18"/>
      <c r="F570" s="18"/>
      <c r="G570" s="20"/>
      <c r="H570" s="18"/>
      <c r="I570" s="20"/>
      <c r="J570" s="18"/>
    </row>
    <row r="571" spans="1:10">
      <c r="A571" s="20"/>
      <c r="B571" s="18"/>
      <c r="C571" s="18"/>
      <c r="D571" s="20"/>
      <c r="E571" s="18"/>
      <c r="F571" s="18"/>
      <c r="G571" s="20"/>
      <c r="H571" s="18"/>
      <c r="I571" s="20"/>
      <c r="J571" s="18"/>
    </row>
    <row r="572" spans="1:10">
      <c r="A572" s="20"/>
      <c r="B572" s="18"/>
      <c r="C572" s="18"/>
      <c r="D572" s="20"/>
      <c r="E572" s="18"/>
      <c r="F572" s="18"/>
      <c r="G572" s="20"/>
      <c r="H572" s="18"/>
      <c r="I572" s="20"/>
      <c r="J572" s="18"/>
    </row>
    <row r="573" spans="1:10">
      <c r="A573" s="20"/>
      <c r="B573" s="18"/>
      <c r="C573" s="18"/>
      <c r="D573" s="20"/>
      <c r="E573" s="18"/>
      <c r="F573" s="18"/>
      <c r="G573" s="20"/>
      <c r="H573" s="18"/>
      <c r="I573" s="20"/>
      <c r="J573" s="18"/>
    </row>
    <row r="574" spans="1:10">
      <c r="A574" s="20"/>
      <c r="B574" s="18"/>
      <c r="C574" s="18"/>
      <c r="D574" s="20"/>
      <c r="E574" s="18"/>
      <c r="F574" s="18"/>
      <c r="G574" s="20"/>
      <c r="H574" s="18"/>
      <c r="I574" s="20"/>
      <c r="J574" s="18"/>
    </row>
    <row r="575" spans="1:10">
      <c r="A575" s="20"/>
      <c r="B575" s="18"/>
      <c r="C575" s="18"/>
      <c r="D575" s="20"/>
      <c r="E575" s="18"/>
      <c r="F575" s="18"/>
      <c r="G575" s="20"/>
      <c r="H575" s="18"/>
      <c r="I575" s="20"/>
      <c r="J575" s="18"/>
    </row>
    <row r="576" spans="1:10">
      <c r="A576" s="20"/>
      <c r="B576" s="18"/>
      <c r="C576" s="18"/>
      <c r="D576" s="20"/>
      <c r="E576" s="18"/>
      <c r="F576" s="18"/>
      <c r="G576" s="20"/>
      <c r="H576" s="18"/>
      <c r="I576" s="20"/>
      <c r="J576" s="18"/>
    </row>
    <row r="577" spans="1:10">
      <c r="A577" s="20"/>
      <c r="B577" s="18"/>
      <c r="C577" s="18"/>
      <c r="D577" s="20"/>
      <c r="E577" s="18"/>
      <c r="F577" s="18"/>
      <c r="G577" s="20"/>
      <c r="H577" s="18"/>
      <c r="I577" s="20"/>
      <c r="J577" s="18"/>
    </row>
    <row r="578" spans="1:10">
      <c r="A578" s="20"/>
      <c r="B578" s="18"/>
      <c r="C578" s="18"/>
      <c r="D578" s="20"/>
      <c r="E578" s="18"/>
      <c r="F578" s="18"/>
      <c r="G578" s="20"/>
      <c r="H578" s="18"/>
      <c r="I578" s="20"/>
      <c r="J578" s="18"/>
    </row>
    <row r="579" spans="1:10">
      <c r="A579" s="20"/>
      <c r="B579" s="18"/>
      <c r="C579" s="18"/>
      <c r="D579" s="20"/>
      <c r="E579" s="18"/>
      <c r="F579" s="18"/>
      <c r="G579" s="20"/>
      <c r="H579" s="18"/>
      <c r="I579" s="20"/>
      <c r="J579" s="18"/>
    </row>
    <row r="580" spans="1:10">
      <c r="A580" s="20"/>
      <c r="B580" s="18"/>
      <c r="C580" s="18"/>
      <c r="D580" s="20"/>
      <c r="E580" s="18"/>
      <c r="F580" s="18"/>
      <c r="G580" s="20"/>
      <c r="H580" s="18"/>
      <c r="I580" s="20"/>
      <c r="J580" s="18"/>
    </row>
    <row r="581" spans="1:10">
      <c r="A581" s="20"/>
      <c r="B581" s="18"/>
      <c r="C581" s="18"/>
      <c r="D581" s="20"/>
      <c r="E581" s="18"/>
      <c r="F581" s="18"/>
      <c r="G581" s="20"/>
      <c r="H581" s="18"/>
      <c r="I581" s="20"/>
      <c r="J581" s="18"/>
    </row>
    <row r="582" spans="1:10">
      <c r="A582" s="20"/>
      <c r="B582" s="18"/>
      <c r="C582" s="18"/>
      <c r="D582" s="20"/>
      <c r="E582" s="18"/>
      <c r="F582" s="18"/>
      <c r="G582" s="20"/>
      <c r="H582" s="18"/>
      <c r="I582" s="20"/>
      <c r="J582" s="18"/>
    </row>
    <row r="583" spans="1:10">
      <c r="A583" s="20"/>
      <c r="B583" s="18"/>
      <c r="C583" s="18"/>
      <c r="D583" s="20"/>
      <c r="E583" s="18"/>
      <c r="F583" s="18"/>
      <c r="G583" s="20"/>
      <c r="H583" s="18"/>
      <c r="I583" s="20"/>
      <c r="J583" s="18"/>
    </row>
    <row r="584" spans="1:10">
      <c r="A584" s="20"/>
      <c r="B584" s="18"/>
      <c r="C584" s="18"/>
      <c r="D584" s="20"/>
      <c r="E584" s="18"/>
      <c r="F584" s="18"/>
      <c r="G584" s="20"/>
      <c r="H584" s="18"/>
      <c r="I584" s="20"/>
      <c r="J584" s="18"/>
    </row>
    <row r="585" spans="1:10">
      <c r="A585" s="20"/>
      <c r="B585" s="18"/>
      <c r="C585" s="18"/>
      <c r="D585" s="20"/>
      <c r="E585" s="18"/>
      <c r="F585" s="18"/>
      <c r="G585" s="20"/>
      <c r="H585" s="18"/>
      <c r="I585" s="20"/>
      <c r="J585" s="18"/>
    </row>
    <row r="586" spans="1:10">
      <c r="A586" s="20"/>
      <c r="B586" s="18"/>
      <c r="C586" s="18"/>
      <c r="D586" s="20"/>
      <c r="E586" s="18"/>
      <c r="F586" s="18"/>
      <c r="G586" s="20"/>
      <c r="H586" s="18"/>
      <c r="I586" s="20"/>
      <c r="J586" s="18"/>
    </row>
    <row r="587" spans="1:10">
      <c r="A587" s="20"/>
      <c r="B587" s="18"/>
      <c r="C587" s="18"/>
      <c r="D587" s="20"/>
      <c r="E587" s="18"/>
      <c r="F587" s="18"/>
      <c r="G587" s="20"/>
      <c r="H587" s="18"/>
      <c r="I587" s="20"/>
      <c r="J587" s="18"/>
    </row>
    <row r="588" spans="1:10">
      <c r="A588" s="20"/>
      <c r="B588" s="18"/>
      <c r="C588" s="18"/>
      <c r="D588" s="20"/>
      <c r="E588" s="18"/>
      <c r="F588" s="18"/>
      <c r="G588" s="20"/>
      <c r="H588" s="18"/>
      <c r="I588" s="20"/>
      <c r="J588" s="18"/>
    </row>
    <row r="589" spans="1:10">
      <c r="A589" s="20"/>
      <c r="B589" s="18"/>
      <c r="C589" s="18"/>
      <c r="D589" s="20"/>
      <c r="E589" s="18"/>
      <c r="F589" s="18"/>
      <c r="G589" s="20"/>
      <c r="H589" s="18"/>
      <c r="I589" s="20"/>
      <c r="J589" s="18"/>
    </row>
    <row r="590" spans="1:10">
      <c r="A590" s="20"/>
      <c r="B590" s="18"/>
      <c r="C590" s="18"/>
      <c r="D590" s="20"/>
      <c r="E590" s="18"/>
      <c r="F590" s="18"/>
      <c r="G590" s="20"/>
      <c r="H590" s="18"/>
      <c r="I590" s="20"/>
      <c r="J590" s="18"/>
    </row>
    <row r="591" spans="1:10">
      <c r="A591" s="20"/>
      <c r="B591" s="18"/>
      <c r="C591" s="18"/>
      <c r="D591" s="20"/>
      <c r="E591" s="18"/>
      <c r="F591" s="18"/>
      <c r="G591" s="20"/>
      <c r="H591" s="18"/>
      <c r="I591" s="20"/>
      <c r="J591" s="18"/>
    </row>
    <row r="592" spans="1:10">
      <c r="A592" s="20"/>
      <c r="B592" s="18"/>
      <c r="C592" s="18"/>
      <c r="D592" s="20"/>
      <c r="E592" s="18"/>
      <c r="F592" s="18"/>
      <c r="G592" s="20"/>
      <c r="H592" s="18"/>
      <c r="I592" s="20"/>
      <c r="J592" s="18"/>
    </row>
    <row r="593" spans="1:10">
      <c r="A593" s="20"/>
      <c r="B593" s="18"/>
      <c r="C593" s="18"/>
      <c r="D593" s="20"/>
      <c r="E593" s="18"/>
      <c r="F593" s="18"/>
      <c r="G593" s="20"/>
      <c r="H593" s="18"/>
      <c r="I593" s="20"/>
      <c r="J593" s="18"/>
    </row>
    <row r="594" spans="1:10">
      <c r="A594" s="20"/>
      <c r="B594" s="18"/>
      <c r="C594" s="18"/>
      <c r="D594" s="20"/>
      <c r="E594" s="18"/>
      <c r="F594" s="18"/>
      <c r="G594" s="20"/>
      <c r="H594" s="18"/>
      <c r="I594" s="20"/>
      <c r="J594" s="18"/>
    </row>
    <row r="595" spans="1:10">
      <c r="A595" s="20"/>
      <c r="B595" s="18"/>
      <c r="C595" s="18"/>
      <c r="D595" s="20"/>
      <c r="E595" s="18"/>
      <c r="F595" s="18"/>
      <c r="G595" s="20"/>
      <c r="H595" s="18"/>
      <c r="I595" s="20"/>
      <c r="J595" s="18"/>
    </row>
    <row r="596" spans="1:10">
      <c r="A596" s="20"/>
      <c r="B596" s="18"/>
      <c r="C596" s="18"/>
      <c r="D596" s="20"/>
      <c r="E596" s="18"/>
      <c r="F596" s="18"/>
      <c r="G596" s="20"/>
      <c r="H596" s="18"/>
      <c r="I596" s="20"/>
      <c r="J596" s="18"/>
    </row>
    <row r="597" spans="1:10">
      <c r="A597" s="20"/>
      <c r="B597" s="18"/>
      <c r="C597" s="18"/>
      <c r="D597" s="20"/>
      <c r="E597" s="18"/>
      <c r="F597" s="18"/>
      <c r="G597" s="20"/>
      <c r="H597" s="18"/>
      <c r="I597" s="20"/>
      <c r="J597" s="18"/>
    </row>
    <row r="598" spans="1:10">
      <c r="A598" s="20"/>
      <c r="B598" s="18"/>
      <c r="C598" s="18"/>
      <c r="D598" s="20"/>
      <c r="E598" s="18"/>
      <c r="F598" s="18"/>
      <c r="G598" s="20"/>
      <c r="H598" s="18"/>
      <c r="I598" s="20"/>
      <c r="J598" s="18"/>
    </row>
    <row r="599" spans="1:10">
      <c r="A599" s="20"/>
      <c r="B599" s="18"/>
      <c r="C599" s="18"/>
      <c r="D599" s="20"/>
      <c r="E599" s="18"/>
      <c r="F599" s="18"/>
      <c r="G599" s="20"/>
      <c r="H599" s="18"/>
      <c r="I599" s="20"/>
      <c r="J599" s="18"/>
    </row>
    <row r="600" spans="1:10">
      <c r="A600" s="20"/>
      <c r="B600" s="18"/>
      <c r="C600" s="18"/>
      <c r="D600" s="20"/>
      <c r="E600" s="18"/>
      <c r="F600" s="18"/>
      <c r="G600" s="20"/>
      <c r="H600" s="18"/>
      <c r="I600" s="20"/>
      <c r="J600" s="18"/>
    </row>
    <row r="601" spans="1:10">
      <c r="A601" s="20"/>
      <c r="B601" s="18"/>
      <c r="C601" s="18"/>
      <c r="D601" s="20"/>
      <c r="E601" s="18"/>
      <c r="F601" s="18"/>
      <c r="G601" s="20"/>
      <c r="H601" s="18"/>
      <c r="I601" s="20"/>
      <c r="J601" s="18"/>
    </row>
    <row r="602" spans="1:10">
      <c r="A602" s="20"/>
      <c r="B602" s="18"/>
      <c r="C602" s="18"/>
      <c r="D602" s="20"/>
      <c r="E602" s="18"/>
      <c r="F602" s="18"/>
      <c r="G602" s="20"/>
      <c r="H602" s="18"/>
      <c r="I602" s="20"/>
      <c r="J602" s="18"/>
    </row>
    <row r="603" spans="1:10">
      <c r="A603" s="20"/>
      <c r="B603" s="18"/>
      <c r="C603" s="18"/>
      <c r="D603" s="20"/>
      <c r="E603" s="18"/>
      <c r="F603" s="18"/>
      <c r="G603" s="20"/>
      <c r="H603" s="18"/>
      <c r="I603" s="20"/>
      <c r="J603" s="18"/>
    </row>
    <row r="604" spans="1:10">
      <c r="A604" s="20"/>
      <c r="B604" s="18"/>
      <c r="C604" s="18"/>
      <c r="D604" s="20"/>
      <c r="E604" s="18"/>
      <c r="F604" s="18"/>
      <c r="G604" s="20"/>
      <c r="H604" s="18"/>
      <c r="I604" s="20"/>
      <c r="J604" s="18"/>
    </row>
    <row r="605" spans="1:10">
      <c r="A605" s="20"/>
      <c r="B605" s="18"/>
      <c r="C605" s="18"/>
      <c r="D605" s="20"/>
      <c r="E605" s="18"/>
      <c r="F605" s="18"/>
      <c r="G605" s="20"/>
      <c r="H605" s="18"/>
      <c r="I605" s="20"/>
      <c r="J605" s="18"/>
    </row>
    <row r="606" spans="1:10">
      <c r="A606" s="20"/>
      <c r="B606" s="18"/>
      <c r="C606" s="18"/>
      <c r="D606" s="20"/>
      <c r="E606" s="18"/>
      <c r="F606" s="18"/>
      <c r="G606" s="20"/>
      <c r="H606" s="18"/>
      <c r="I606" s="20"/>
      <c r="J606" s="18"/>
    </row>
    <row r="607" spans="1:10">
      <c r="A607" s="20"/>
      <c r="B607" s="18"/>
      <c r="C607" s="18"/>
      <c r="D607" s="20"/>
      <c r="E607" s="18"/>
      <c r="F607" s="18"/>
      <c r="G607" s="20"/>
      <c r="H607" s="18"/>
      <c r="I607" s="20"/>
      <c r="J607" s="18"/>
    </row>
    <row r="608" spans="1:10">
      <c r="A608" s="20"/>
      <c r="B608" s="18"/>
      <c r="C608" s="18"/>
      <c r="D608" s="20"/>
      <c r="E608" s="18"/>
      <c r="F608" s="18"/>
      <c r="G608" s="20"/>
      <c r="H608" s="18"/>
      <c r="I608" s="20"/>
      <c r="J608" s="18"/>
    </row>
    <row r="609" spans="1:10">
      <c r="A609" s="20"/>
      <c r="B609" s="18"/>
      <c r="C609" s="18"/>
      <c r="D609" s="20"/>
      <c r="E609" s="18"/>
      <c r="F609" s="18"/>
      <c r="G609" s="20"/>
      <c r="H609" s="18"/>
      <c r="I609" s="20"/>
      <c r="J609" s="18"/>
    </row>
    <row r="610" spans="1:10">
      <c r="A610" s="20"/>
      <c r="B610" s="18"/>
      <c r="C610" s="18"/>
      <c r="D610" s="20"/>
      <c r="E610" s="18"/>
      <c r="F610" s="18"/>
      <c r="G610" s="20"/>
      <c r="H610" s="18"/>
      <c r="I610" s="20"/>
      <c r="J610" s="18"/>
    </row>
    <row r="611" spans="1:10">
      <c r="A611" s="20"/>
      <c r="B611" s="18"/>
      <c r="C611" s="18"/>
      <c r="D611" s="20"/>
      <c r="E611" s="18"/>
      <c r="F611" s="18"/>
      <c r="G611" s="20"/>
      <c r="H611" s="18"/>
      <c r="I611" s="20"/>
      <c r="J611" s="18"/>
    </row>
    <row r="612" spans="1:10">
      <c r="A612" s="20"/>
      <c r="B612" s="18"/>
      <c r="C612" s="18"/>
      <c r="D612" s="20"/>
      <c r="E612" s="18"/>
      <c r="F612" s="18"/>
      <c r="G612" s="20"/>
      <c r="H612" s="18"/>
      <c r="I612" s="20"/>
      <c r="J612" s="18"/>
    </row>
    <row r="613" spans="1:10">
      <c r="A613" s="20"/>
      <c r="B613" s="18"/>
      <c r="C613" s="18"/>
      <c r="D613" s="20"/>
      <c r="E613" s="18"/>
      <c r="F613" s="18"/>
      <c r="G613" s="20"/>
      <c r="H613" s="18"/>
      <c r="I613" s="20"/>
      <c r="J613" s="18"/>
    </row>
    <row r="614" spans="1:10">
      <c r="A614" s="20"/>
      <c r="B614" s="18"/>
      <c r="C614" s="18"/>
      <c r="D614" s="20"/>
      <c r="E614" s="18"/>
      <c r="F614" s="18"/>
      <c r="G614" s="20"/>
      <c r="H614" s="18"/>
      <c r="I614" s="20"/>
      <c r="J614" s="18"/>
    </row>
    <row r="615" spans="1:10">
      <c r="A615" s="20"/>
      <c r="B615" s="18"/>
      <c r="C615" s="18"/>
      <c r="D615" s="20"/>
      <c r="E615" s="18"/>
      <c r="F615" s="18"/>
      <c r="G615" s="20"/>
      <c r="H615" s="18"/>
      <c r="I615" s="20"/>
      <c r="J615" s="18"/>
    </row>
    <row r="616" spans="1:10">
      <c r="A616" s="20"/>
      <c r="B616" s="18"/>
      <c r="C616" s="18"/>
      <c r="D616" s="20"/>
      <c r="E616" s="18"/>
      <c r="F616" s="18"/>
      <c r="G616" s="20"/>
      <c r="H616" s="18"/>
      <c r="I616" s="20"/>
      <c r="J616" s="18"/>
    </row>
    <row r="617" spans="1:10">
      <c r="A617" s="20"/>
      <c r="B617" s="18"/>
      <c r="C617" s="18"/>
      <c r="D617" s="20"/>
      <c r="E617" s="18"/>
      <c r="F617" s="18"/>
      <c r="G617" s="20"/>
      <c r="H617" s="18"/>
      <c r="I617" s="20"/>
      <c r="J617" s="18"/>
    </row>
    <row r="618" spans="1:10">
      <c r="A618" s="20"/>
      <c r="B618" s="18"/>
      <c r="C618" s="18"/>
      <c r="D618" s="20"/>
      <c r="E618" s="18"/>
      <c r="F618" s="18"/>
      <c r="G618" s="20"/>
      <c r="H618" s="18"/>
      <c r="I618" s="20"/>
      <c r="J618" s="18"/>
    </row>
    <row r="619" spans="1:10">
      <c r="A619" s="20"/>
      <c r="B619" s="18"/>
      <c r="C619" s="18"/>
      <c r="D619" s="20"/>
      <c r="E619" s="18"/>
      <c r="F619" s="18"/>
      <c r="G619" s="20"/>
      <c r="H619" s="18"/>
      <c r="I619" s="20"/>
      <c r="J619" s="18"/>
    </row>
    <row r="620" spans="1:10">
      <c r="A620" s="20"/>
      <c r="B620" s="18"/>
      <c r="C620" s="18"/>
      <c r="D620" s="20"/>
      <c r="E620" s="18"/>
      <c r="F620" s="18"/>
      <c r="G620" s="20"/>
      <c r="H620" s="18"/>
      <c r="I620" s="20"/>
      <c r="J620" s="18"/>
    </row>
    <row r="621" spans="1:10">
      <c r="A621" s="20"/>
      <c r="B621" s="18"/>
      <c r="C621" s="18"/>
      <c r="D621" s="20"/>
      <c r="E621" s="18"/>
      <c r="F621" s="18"/>
      <c r="G621" s="20"/>
      <c r="H621" s="18"/>
      <c r="I621" s="20"/>
      <c r="J621" s="18"/>
    </row>
    <row r="622" spans="1:10">
      <c r="A622" s="20"/>
      <c r="B622" s="18"/>
      <c r="C622" s="18"/>
      <c r="D622" s="20"/>
      <c r="E622" s="18"/>
      <c r="F622" s="18"/>
      <c r="G622" s="20"/>
      <c r="H622" s="18"/>
      <c r="I622" s="20"/>
      <c r="J622" s="18"/>
    </row>
    <row r="623" spans="1:10">
      <c r="A623" s="20"/>
      <c r="B623" s="18"/>
      <c r="C623" s="18"/>
      <c r="D623" s="20"/>
      <c r="E623" s="18"/>
      <c r="F623" s="18"/>
      <c r="G623" s="20"/>
      <c r="H623" s="18"/>
      <c r="I623" s="20"/>
      <c r="J623" s="18"/>
    </row>
    <row r="624" spans="1:10">
      <c r="A624" s="20"/>
      <c r="B624" s="18"/>
      <c r="C624" s="18"/>
      <c r="D624" s="20"/>
      <c r="E624" s="18"/>
      <c r="F624" s="18"/>
      <c r="G624" s="20"/>
      <c r="H624" s="18"/>
      <c r="I624" s="20"/>
      <c r="J624" s="18"/>
    </row>
    <row r="625" spans="1:10">
      <c r="A625" s="20"/>
      <c r="B625" s="18"/>
      <c r="C625" s="18"/>
      <c r="D625" s="20"/>
      <c r="E625" s="18"/>
      <c r="F625" s="18"/>
      <c r="G625" s="20"/>
      <c r="H625" s="18"/>
      <c r="I625" s="20"/>
      <c r="J625" s="18"/>
    </row>
    <row r="626" spans="1:10">
      <c r="A626" s="20"/>
      <c r="B626" s="18"/>
      <c r="C626" s="18"/>
      <c r="D626" s="20"/>
      <c r="E626" s="18"/>
      <c r="F626" s="18"/>
      <c r="G626" s="20"/>
      <c r="H626" s="18"/>
      <c r="I626" s="20"/>
      <c r="J626" s="18"/>
    </row>
    <row r="627" spans="1:10">
      <c r="A627" s="20"/>
      <c r="B627" s="18"/>
      <c r="C627" s="18"/>
      <c r="D627" s="20"/>
      <c r="E627" s="18"/>
      <c r="F627" s="18"/>
      <c r="G627" s="20"/>
      <c r="H627" s="18"/>
      <c r="I627" s="20"/>
      <c r="J627" s="18"/>
    </row>
    <row r="628" spans="1:10">
      <c r="A628" s="20"/>
      <c r="B628" s="18"/>
      <c r="C628" s="18"/>
      <c r="D628" s="20"/>
      <c r="E628" s="18"/>
      <c r="F628" s="18"/>
      <c r="G628" s="20"/>
      <c r="H628" s="18"/>
      <c r="I628" s="20"/>
      <c r="J628" s="18"/>
    </row>
    <row r="629" spans="1:10">
      <c r="A629" s="20"/>
      <c r="B629" s="18"/>
      <c r="C629" s="18"/>
      <c r="D629" s="20"/>
      <c r="E629" s="18"/>
      <c r="F629" s="18"/>
      <c r="G629" s="20"/>
      <c r="H629" s="18"/>
      <c r="I629" s="20"/>
      <c r="J629" s="18"/>
    </row>
    <row r="630" spans="1:10">
      <c r="A630" s="20"/>
      <c r="B630" s="18"/>
      <c r="C630" s="18"/>
      <c r="D630" s="20"/>
      <c r="E630" s="18"/>
      <c r="F630" s="18"/>
      <c r="G630" s="20"/>
      <c r="H630" s="18"/>
      <c r="I630" s="20"/>
      <c r="J630" s="18"/>
    </row>
    <row r="631" spans="1:10">
      <c r="A631" s="20"/>
      <c r="B631" s="18"/>
      <c r="C631" s="18"/>
      <c r="D631" s="20"/>
      <c r="E631" s="18"/>
      <c r="F631" s="18"/>
      <c r="G631" s="20"/>
      <c r="H631" s="18"/>
      <c r="I631" s="20"/>
      <c r="J631" s="18"/>
    </row>
    <row r="632" spans="1:10">
      <c r="A632" s="20"/>
      <c r="B632" s="18"/>
      <c r="C632" s="18"/>
      <c r="D632" s="20"/>
      <c r="E632" s="18"/>
      <c r="F632" s="18"/>
      <c r="G632" s="20"/>
      <c r="H632" s="18"/>
      <c r="I632" s="20"/>
      <c r="J632" s="18"/>
    </row>
    <row r="633" spans="1:10">
      <c r="A633" s="20"/>
      <c r="B633" s="18"/>
      <c r="C633" s="18"/>
      <c r="D633" s="20"/>
      <c r="E633" s="18"/>
      <c r="F633" s="18"/>
      <c r="G633" s="20"/>
      <c r="H633" s="18"/>
      <c r="I633" s="20"/>
      <c r="J633" s="18"/>
    </row>
    <row r="634" spans="1:10">
      <c r="A634" s="20"/>
      <c r="B634" s="18"/>
      <c r="C634" s="18"/>
      <c r="D634" s="20"/>
      <c r="E634" s="18"/>
      <c r="F634" s="18"/>
      <c r="G634" s="20"/>
      <c r="H634" s="18"/>
      <c r="I634" s="20"/>
      <c r="J634" s="18"/>
    </row>
    <row r="635" spans="1:10">
      <c r="A635" s="20"/>
      <c r="B635" s="18"/>
      <c r="C635" s="18"/>
      <c r="D635" s="20"/>
      <c r="E635" s="18"/>
      <c r="F635" s="18"/>
      <c r="G635" s="20"/>
      <c r="H635" s="18"/>
      <c r="I635" s="20"/>
      <c r="J635" s="18"/>
    </row>
    <row r="636" spans="1:10">
      <c r="A636" s="20"/>
      <c r="B636" s="18"/>
      <c r="C636" s="18"/>
      <c r="D636" s="20"/>
      <c r="E636" s="18"/>
      <c r="F636" s="18"/>
      <c r="G636" s="20"/>
      <c r="H636" s="18"/>
      <c r="I636" s="20"/>
      <c r="J636" s="18"/>
    </row>
    <row r="637" spans="1:10">
      <c r="A637" s="20"/>
      <c r="B637" s="18"/>
      <c r="C637" s="18"/>
      <c r="D637" s="20"/>
      <c r="E637" s="18"/>
      <c r="F637" s="18"/>
      <c r="G637" s="20"/>
      <c r="H637" s="18"/>
      <c r="I637" s="20"/>
      <c r="J637" s="18"/>
    </row>
    <row r="638" spans="1:10">
      <c r="A638" s="20"/>
      <c r="B638" s="18"/>
      <c r="C638" s="18"/>
      <c r="D638" s="20"/>
      <c r="E638" s="18"/>
      <c r="F638" s="18"/>
      <c r="G638" s="20"/>
      <c r="H638" s="18"/>
      <c r="I638" s="20"/>
      <c r="J638" s="18"/>
    </row>
    <row r="639" spans="1:10">
      <c r="A639" s="20"/>
      <c r="B639" s="18"/>
      <c r="C639" s="18"/>
      <c r="D639" s="20"/>
      <c r="E639" s="18"/>
      <c r="F639" s="18"/>
      <c r="G639" s="20"/>
      <c r="H639" s="18"/>
      <c r="I639" s="20"/>
      <c r="J639" s="18"/>
    </row>
    <row r="640" spans="1:10">
      <c r="A640" s="20"/>
      <c r="B640" s="18"/>
      <c r="C640" s="18"/>
      <c r="D640" s="20"/>
      <c r="E640" s="18"/>
      <c r="F640" s="18"/>
      <c r="G640" s="20"/>
      <c r="H640" s="18"/>
      <c r="I640" s="20"/>
      <c r="J640" s="18"/>
    </row>
    <row r="641" spans="1:10">
      <c r="A641" s="20"/>
      <c r="B641" s="18"/>
      <c r="C641" s="18"/>
      <c r="D641" s="20"/>
      <c r="E641" s="18"/>
      <c r="F641" s="18"/>
      <c r="G641" s="20"/>
      <c r="H641" s="18"/>
      <c r="I641" s="20"/>
      <c r="J641" s="18"/>
    </row>
    <row r="642" spans="1:10">
      <c r="A642" s="20"/>
      <c r="B642" s="18"/>
      <c r="C642" s="18"/>
      <c r="D642" s="20"/>
      <c r="E642" s="18"/>
      <c r="F642" s="18"/>
      <c r="G642" s="20"/>
      <c r="H642" s="18"/>
      <c r="I642" s="20"/>
      <c r="J642" s="18"/>
    </row>
    <row r="643" spans="1:10">
      <c r="A643" s="20"/>
      <c r="B643" s="18"/>
      <c r="C643" s="18"/>
      <c r="D643" s="20"/>
      <c r="E643" s="18"/>
      <c r="F643" s="18"/>
      <c r="G643" s="20"/>
      <c r="H643" s="18"/>
      <c r="I643" s="20"/>
      <c r="J643" s="18"/>
    </row>
    <row r="644" spans="1:10">
      <c r="A644" s="20"/>
      <c r="B644" s="18"/>
      <c r="C644" s="18"/>
      <c r="D644" s="20"/>
      <c r="E644" s="18"/>
      <c r="F644" s="18"/>
      <c r="G644" s="20"/>
      <c r="H644" s="18"/>
      <c r="I644" s="20"/>
      <c r="J644" s="18"/>
    </row>
    <row r="645" spans="1:10">
      <c r="A645" s="20"/>
      <c r="B645" s="18"/>
      <c r="C645" s="18"/>
      <c r="D645" s="20"/>
      <c r="E645" s="18"/>
      <c r="F645" s="18"/>
      <c r="G645" s="20"/>
      <c r="H645" s="18"/>
      <c r="I645" s="20"/>
      <c r="J645" s="18"/>
    </row>
    <row r="646" spans="1:10">
      <c r="A646" s="20"/>
      <c r="B646" s="18"/>
      <c r="C646" s="18"/>
      <c r="D646" s="20"/>
      <c r="E646" s="18"/>
      <c r="F646" s="18"/>
      <c r="G646" s="20"/>
      <c r="H646" s="18"/>
      <c r="I646" s="20"/>
      <c r="J646" s="18"/>
    </row>
    <row r="647" spans="1:10">
      <c r="A647" s="20"/>
      <c r="B647" s="18"/>
      <c r="C647" s="18"/>
      <c r="D647" s="20"/>
      <c r="E647" s="18"/>
      <c r="F647" s="18"/>
      <c r="G647" s="20"/>
      <c r="H647" s="18"/>
      <c r="I647" s="20"/>
      <c r="J647" s="18"/>
    </row>
    <row r="648" spans="1:10">
      <c r="A648" s="20"/>
      <c r="B648" s="18"/>
      <c r="C648" s="18"/>
      <c r="D648" s="20"/>
      <c r="E648" s="18"/>
      <c r="F648" s="18"/>
      <c r="G648" s="20"/>
      <c r="H648" s="18"/>
      <c r="I648" s="20"/>
      <c r="J648" s="18"/>
    </row>
    <row r="649" spans="1:10">
      <c r="A649" s="20"/>
      <c r="B649" s="18"/>
      <c r="C649" s="18"/>
      <c r="D649" s="20"/>
      <c r="E649" s="18"/>
      <c r="F649" s="18"/>
      <c r="G649" s="20"/>
      <c r="H649" s="18"/>
      <c r="I649" s="20"/>
      <c r="J649" s="18"/>
    </row>
    <row r="650" spans="1:10">
      <c r="A650" s="20"/>
      <c r="B650" s="18"/>
      <c r="C650" s="18"/>
      <c r="D650" s="20"/>
      <c r="E650" s="18"/>
      <c r="F650" s="18"/>
      <c r="G650" s="20"/>
      <c r="H650" s="18"/>
      <c r="I650" s="20"/>
      <c r="J650" s="18"/>
    </row>
    <row r="651" spans="1:10">
      <c r="A651" s="20"/>
      <c r="B651" s="18"/>
      <c r="C651" s="18"/>
      <c r="D651" s="20"/>
      <c r="E651" s="18"/>
      <c r="F651" s="18"/>
      <c r="G651" s="20"/>
      <c r="H651" s="18"/>
      <c r="I651" s="20"/>
      <c r="J651" s="18"/>
    </row>
    <row r="652" spans="1:10">
      <c r="A652" s="20"/>
      <c r="B652" s="18"/>
      <c r="C652" s="18"/>
      <c r="D652" s="20"/>
      <c r="E652" s="18"/>
      <c r="F652" s="18"/>
      <c r="G652" s="20"/>
      <c r="H652" s="18"/>
      <c r="I652" s="20"/>
      <c r="J652" s="18"/>
    </row>
    <row r="653" spans="1:10">
      <c r="A653" s="20"/>
      <c r="B653" s="18"/>
      <c r="C653" s="18"/>
      <c r="D653" s="20"/>
      <c r="E653" s="18"/>
      <c r="F653" s="18"/>
      <c r="G653" s="20"/>
      <c r="H653" s="18"/>
      <c r="I653" s="20"/>
      <c r="J653" s="18"/>
    </row>
    <row r="654" spans="1:10">
      <c r="A654" s="20"/>
      <c r="B654" s="18"/>
      <c r="C654" s="18"/>
      <c r="D654" s="20"/>
      <c r="E654" s="18"/>
      <c r="F654" s="18"/>
      <c r="G654" s="20"/>
      <c r="H654" s="18"/>
      <c r="I654" s="20"/>
      <c r="J654" s="18"/>
    </row>
    <row r="655" spans="1:10">
      <c r="A655" s="20"/>
      <c r="B655" s="18"/>
      <c r="C655" s="18"/>
      <c r="D655" s="20"/>
      <c r="E655" s="18"/>
      <c r="F655" s="18"/>
      <c r="G655" s="20"/>
      <c r="H655" s="18"/>
      <c r="I655" s="20"/>
      <c r="J655" s="18"/>
    </row>
    <row r="656" spans="1:10">
      <c r="A656" s="20"/>
      <c r="B656" s="18"/>
      <c r="C656" s="18"/>
      <c r="D656" s="20"/>
      <c r="E656" s="18"/>
      <c r="F656" s="18"/>
      <c r="G656" s="20"/>
      <c r="H656" s="18"/>
      <c r="I656" s="20"/>
      <c r="J656" s="18"/>
    </row>
    <row r="657" spans="1:10">
      <c r="A657" s="20"/>
      <c r="B657" s="18"/>
      <c r="C657" s="18"/>
      <c r="D657" s="20"/>
      <c r="E657" s="18"/>
      <c r="F657" s="18"/>
      <c r="G657" s="20"/>
      <c r="H657" s="18"/>
      <c r="I657" s="20"/>
      <c r="J657" s="18"/>
    </row>
    <row r="658" spans="1:10">
      <c r="A658" s="20"/>
      <c r="B658" s="18"/>
      <c r="C658" s="18"/>
      <c r="D658" s="20"/>
      <c r="E658" s="18"/>
      <c r="F658" s="18"/>
      <c r="G658" s="20"/>
      <c r="H658" s="18"/>
      <c r="I658" s="20"/>
      <c r="J658" s="18"/>
    </row>
    <row r="659" spans="1:10">
      <c r="A659" s="20"/>
      <c r="B659" s="18"/>
      <c r="C659" s="18"/>
      <c r="D659" s="20"/>
      <c r="E659" s="18"/>
      <c r="F659" s="18"/>
      <c r="G659" s="20"/>
      <c r="H659" s="18"/>
      <c r="I659" s="20"/>
      <c r="J659" s="18"/>
    </row>
    <row r="660" spans="1:10">
      <c r="A660" s="20"/>
      <c r="B660" s="18"/>
      <c r="C660" s="18"/>
      <c r="D660" s="20"/>
      <c r="E660" s="18"/>
      <c r="F660" s="18"/>
      <c r="G660" s="20"/>
      <c r="H660" s="18"/>
      <c r="I660" s="20"/>
      <c r="J660" s="18"/>
    </row>
    <row r="661" spans="1:10">
      <c r="A661" s="20"/>
      <c r="B661" s="18"/>
      <c r="C661" s="18"/>
      <c r="D661" s="20"/>
      <c r="E661" s="18"/>
      <c r="F661" s="18"/>
      <c r="G661" s="20"/>
      <c r="H661" s="18"/>
      <c r="I661" s="20"/>
      <c r="J661" s="18"/>
    </row>
    <row r="662" spans="1:10">
      <c r="A662" s="20"/>
      <c r="B662" s="18"/>
      <c r="C662" s="18"/>
      <c r="D662" s="20"/>
      <c r="E662" s="18"/>
      <c r="F662" s="18"/>
      <c r="G662" s="20"/>
      <c r="H662" s="18"/>
      <c r="I662" s="20"/>
      <c r="J662" s="18"/>
    </row>
    <row r="663" spans="1:10">
      <c r="A663" s="20"/>
      <c r="B663" s="18"/>
      <c r="C663" s="18"/>
      <c r="D663" s="20"/>
      <c r="E663" s="18"/>
      <c r="F663" s="18"/>
      <c r="G663" s="20"/>
      <c r="H663" s="18"/>
      <c r="I663" s="20"/>
      <c r="J663" s="18"/>
    </row>
    <row r="664" spans="1:10">
      <c r="A664" s="20"/>
      <c r="B664" s="18"/>
      <c r="C664" s="18"/>
      <c r="D664" s="20"/>
      <c r="E664" s="18"/>
      <c r="F664" s="18"/>
      <c r="G664" s="20"/>
      <c r="H664" s="18"/>
      <c r="I664" s="20"/>
      <c r="J664" s="18"/>
    </row>
    <row r="665" spans="1:10">
      <c r="A665" s="20"/>
      <c r="B665" s="18"/>
      <c r="C665" s="18"/>
      <c r="D665" s="20"/>
      <c r="E665" s="18"/>
      <c r="F665" s="18"/>
      <c r="G665" s="20"/>
      <c r="H665" s="18"/>
      <c r="I665" s="20"/>
      <c r="J665" s="18"/>
    </row>
    <row r="666" spans="1:10">
      <c r="A666" s="20"/>
      <c r="B666" s="18"/>
      <c r="C666" s="18"/>
      <c r="D666" s="20"/>
      <c r="E666" s="18"/>
      <c r="F666" s="18"/>
      <c r="G666" s="20"/>
      <c r="H666" s="18"/>
      <c r="I666" s="20"/>
      <c r="J666" s="18"/>
    </row>
    <row r="667" spans="1:10">
      <c r="A667" s="20"/>
      <c r="B667" s="18"/>
      <c r="C667" s="18"/>
      <c r="D667" s="20"/>
      <c r="E667" s="18"/>
      <c r="F667" s="18"/>
      <c r="G667" s="20"/>
      <c r="H667" s="18"/>
      <c r="I667" s="20"/>
      <c r="J667" s="18"/>
    </row>
    <row r="668" spans="1:10">
      <c r="A668" s="20"/>
      <c r="B668" s="18"/>
      <c r="C668" s="18"/>
      <c r="D668" s="20"/>
      <c r="E668" s="18"/>
      <c r="F668" s="18"/>
      <c r="G668" s="20"/>
      <c r="H668" s="18"/>
      <c r="I668" s="20"/>
      <c r="J668" s="18"/>
    </row>
    <row r="669" spans="1:10">
      <c r="A669" s="20"/>
      <c r="B669" s="18"/>
      <c r="C669" s="18"/>
      <c r="D669" s="20"/>
      <c r="E669" s="18"/>
      <c r="F669" s="18"/>
      <c r="G669" s="20"/>
      <c r="H669" s="18"/>
      <c r="I669" s="20"/>
      <c r="J669" s="18"/>
    </row>
    <row r="670" spans="1:10">
      <c r="A670" s="20"/>
      <c r="B670" s="18"/>
      <c r="C670" s="18"/>
      <c r="D670" s="20"/>
      <c r="E670" s="18"/>
      <c r="F670" s="18"/>
      <c r="G670" s="20"/>
      <c r="H670" s="18"/>
      <c r="I670" s="20"/>
      <c r="J670" s="18"/>
    </row>
    <row r="671" spans="1:10">
      <c r="A671" s="20"/>
      <c r="B671" s="18"/>
      <c r="C671" s="18"/>
      <c r="D671" s="20"/>
      <c r="E671" s="18"/>
      <c r="F671" s="18"/>
      <c r="G671" s="20"/>
      <c r="H671" s="18"/>
      <c r="I671" s="20"/>
      <c r="J671" s="18"/>
    </row>
    <row r="672" spans="1:10">
      <c r="A672" s="20"/>
      <c r="B672" s="18"/>
      <c r="C672" s="18"/>
      <c r="D672" s="20"/>
      <c r="E672" s="18"/>
      <c r="F672" s="18"/>
      <c r="G672" s="20"/>
      <c r="H672" s="18"/>
      <c r="I672" s="20"/>
      <c r="J672" s="18"/>
    </row>
    <row r="673" spans="1:10">
      <c r="A673" s="20"/>
      <c r="B673" s="18"/>
      <c r="C673" s="18"/>
      <c r="D673" s="20"/>
      <c r="E673" s="18"/>
      <c r="F673" s="18"/>
      <c r="G673" s="20"/>
      <c r="H673" s="18"/>
      <c r="I673" s="20"/>
      <c r="J673" s="18"/>
    </row>
    <row r="674" spans="1:10">
      <c r="A674" s="20"/>
      <c r="B674" s="18"/>
      <c r="C674" s="18"/>
      <c r="D674" s="20"/>
      <c r="E674" s="18"/>
      <c r="F674" s="18"/>
      <c r="G674" s="20"/>
      <c r="H674" s="18"/>
      <c r="I674" s="20"/>
      <c r="J674" s="18"/>
    </row>
    <row r="675" spans="1:10">
      <c r="A675" s="20"/>
      <c r="B675" s="18"/>
      <c r="C675" s="18"/>
      <c r="D675" s="20"/>
      <c r="E675" s="18"/>
      <c r="F675" s="18"/>
      <c r="G675" s="20"/>
      <c r="H675" s="18"/>
      <c r="I675" s="20"/>
      <c r="J675" s="18"/>
    </row>
    <row r="676" spans="1:10">
      <c r="A676" s="20"/>
      <c r="B676" s="18"/>
      <c r="C676" s="18"/>
      <c r="D676" s="20"/>
      <c r="E676" s="18"/>
      <c r="F676" s="18"/>
      <c r="G676" s="20"/>
      <c r="H676" s="18"/>
      <c r="I676" s="20"/>
      <c r="J676" s="18"/>
    </row>
    <row r="677" spans="1:10">
      <c r="A677" s="20"/>
      <c r="B677" s="18"/>
      <c r="C677" s="18"/>
      <c r="D677" s="20"/>
      <c r="E677" s="18"/>
      <c r="F677" s="18"/>
      <c r="G677" s="20"/>
      <c r="H677" s="18"/>
      <c r="I677" s="20"/>
      <c r="J677" s="18"/>
    </row>
    <row r="678" spans="1:10">
      <c r="A678" s="20"/>
      <c r="B678" s="18"/>
      <c r="C678" s="18"/>
      <c r="D678" s="20"/>
      <c r="E678" s="18"/>
      <c r="F678" s="18"/>
      <c r="G678" s="20"/>
      <c r="H678" s="18"/>
      <c r="I678" s="20"/>
      <c r="J678" s="18"/>
    </row>
    <row r="679" spans="1:10">
      <c r="A679" s="20"/>
      <c r="B679" s="18"/>
      <c r="C679" s="18"/>
      <c r="D679" s="20"/>
      <c r="E679" s="18"/>
      <c r="F679" s="18"/>
      <c r="G679" s="20"/>
      <c r="H679" s="18"/>
      <c r="I679" s="20"/>
      <c r="J679" s="18"/>
    </row>
    <row r="680" spans="1:10">
      <c r="A680" s="20"/>
      <c r="B680" s="18"/>
      <c r="C680" s="18"/>
      <c r="D680" s="20"/>
      <c r="E680" s="18"/>
      <c r="F680" s="18"/>
      <c r="G680" s="20"/>
      <c r="H680" s="18"/>
      <c r="I680" s="20"/>
      <c r="J680" s="18"/>
    </row>
    <row r="681" spans="1:10">
      <c r="A681" s="20"/>
      <c r="B681" s="18"/>
      <c r="C681" s="18"/>
      <c r="D681" s="20"/>
      <c r="E681" s="18"/>
      <c r="F681" s="18"/>
      <c r="G681" s="20"/>
      <c r="H681" s="18"/>
      <c r="I681" s="20"/>
      <c r="J681" s="18"/>
    </row>
    <row r="682" spans="1:10">
      <c r="A682" s="20"/>
      <c r="B682" s="18"/>
      <c r="C682" s="18"/>
      <c r="D682" s="20"/>
      <c r="E682" s="18"/>
      <c r="F682" s="18"/>
      <c r="G682" s="20"/>
      <c r="H682" s="18"/>
      <c r="I682" s="20"/>
      <c r="J682" s="18"/>
    </row>
    <row r="683" spans="1:10">
      <c r="A683" s="20"/>
      <c r="B683" s="18"/>
      <c r="C683" s="18"/>
      <c r="D683" s="20"/>
      <c r="E683" s="18"/>
      <c r="F683" s="18"/>
      <c r="G683" s="20"/>
      <c r="H683" s="18"/>
      <c r="I683" s="20"/>
      <c r="J683" s="18"/>
    </row>
    <row r="684" spans="1:10">
      <c r="A684" s="20"/>
      <c r="B684" s="18"/>
      <c r="C684" s="18"/>
      <c r="D684" s="20"/>
      <c r="E684" s="18"/>
      <c r="F684" s="18"/>
      <c r="G684" s="20"/>
      <c r="H684" s="18"/>
      <c r="I684" s="20"/>
      <c r="J684" s="18"/>
    </row>
    <row r="685" spans="1:10">
      <c r="A685" s="20"/>
      <c r="B685" s="18"/>
      <c r="C685" s="18"/>
      <c r="D685" s="20"/>
      <c r="E685" s="18"/>
      <c r="F685" s="18"/>
      <c r="G685" s="20"/>
      <c r="H685" s="18"/>
      <c r="I685" s="20"/>
      <c r="J685" s="18"/>
    </row>
    <row r="686" spans="1:10">
      <c r="A686" s="20"/>
      <c r="B686" s="18"/>
      <c r="C686" s="18"/>
      <c r="D686" s="20"/>
      <c r="E686" s="18"/>
      <c r="F686" s="18"/>
      <c r="G686" s="20"/>
      <c r="H686" s="18"/>
      <c r="I686" s="20"/>
      <c r="J686" s="18"/>
    </row>
    <row r="687" spans="1:10">
      <c r="A687" s="20"/>
      <c r="B687" s="18"/>
      <c r="C687" s="18"/>
      <c r="D687" s="20"/>
      <c r="E687" s="18"/>
      <c r="F687" s="18"/>
      <c r="G687" s="20"/>
      <c r="H687" s="18"/>
      <c r="I687" s="20"/>
      <c r="J687" s="18"/>
    </row>
    <row r="688" spans="1:10">
      <c r="A688" s="20"/>
      <c r="B688" s="18"/>
      <c r="C688" s="18"/>
      <c r="D688" s="20"/>
      <c r="E688" s="18"/>
      <c r="F688" s="18"/>
      <c r="G688" s="20"/>
      <c r="H688" s="18"/>
      <c r="I688" s="20"/>
      <c r="J688" s="18"/>
    </row>
    <row r="689" spans="1:10">
      <c r="A689" s="20"/>
      <c r="B689" s="18"/>
      <c r="C689" s="18"/>
      <c r="D689" s="20"/>
      <c r="E689" s="18"/>
      <c r="F689" s="18"/>
      <c r="G689" s="20"/>
      <c r="H689" s="18"/>
      <c r="I689" s="20"/>
      <c r="J689" s="18"/>
    </row>
    <row r="690" spans="1:10">
      <c r="A690" s="20"/>
      <c r="B690" s="18"/>
      <c r="C690" s="18"/>
      <c r="D690" s="20"/>
      <c r="E690" s="18"/>
      <c r="F690" s="18"/>
      <c r="G690" s="20"/>
      <c r="H690" s="18"/>
      <c r="I690" s="20"/>
      <c r="J690" s="18"/>
    </row>
    <row r="691" spans="1:10">
      <c r="A691" s="20"/>
      <c r="B691" s="18"/>
      <c r="C691" s="18"/>
      <c r="D691" s="20"/>
      <c r="E691" s="18"/>
      <c r="F691" s="18"/>
      <c r="G691" s="20"/>
      <c r="H691" s="18"/>
      <c r="I691" s="20"/>
      <c r="J691" s="18"/>
    </row>
    <row r="692" spans="1:10">
      <c r="A692" s="20"/>
      <c r="B692" s="18"/>
      <c r="C692" s="18"/>
      <c r="D692" s="20"/>
      <c r="E692" s="18"/>
      <c r="F692" s="18"/>
      <c r="G692" s="20"/>
      <c r="H692" s="18"/>
      <c r="I692" s="20"/>
      <c r="J692" s="18"/>
    </row>
    <row r="693" spans="1:10">
      <c r="A693" s="20"/>
      <c r="B693" s="18"/>
      <c r="C693" s="18"/>
      <c r="D693" s="20"/>
      <c r="E693" s="18"/>
      <c r="F693" s="18"/>
      <c r="G693" s="20"/>
      <c r="H693" s="18"/>
      <c r="I693" s="20"/>
      <c r="J693" s="18"/>
    </row>
    <row r="694" spans="1:10">
      <c r="A694" s="20"/>
      <c r="B694" s="18"/>
      <c r="C694" s="18"/>
      <c r="D694" s="20"/>
      <c r="E694" s="18"/>
      <c r="F694" s="18"/>
      <c r="G694" s="20"/>
      <c r="H694" s="18"/>
      <c r="I694" s="20"/>
      <c r="J694" s="18"/>
    </row>
    <row r="695" spans="1:10">
      <c r="A695" s="20"/>
      <c r="B695" s="18"/>
      <c r="C695" s="18"/>
      <c r="D695" s="20"/>
      <c r="E695" s="18"/>
      <c r="F695" s="18"/>
      <c r="G695" s="20"/>
      <c r="H695" s="18"/>
      <c r="I695" s="20"/>
      <c r="J695" s="18"/>
    </row>
    <row r="696" spans="1:10">
      <c r="A696" s="20"/>
      <c r="B696" s="18"/>
      <c r="C696" s="18"/>
      <c r="D696" s="20"/>
      <c r="E696" s="18"/>
      <c r="F696" s="18"/>
      <c r="G696" s="20"/>
      <c r="H696" s="18"/>
      <c r="I696" s="20"/>
      <c r="J696" s="18"/>
    </row>
    <row r="697" spans="1:10">
      <c r="A697" s="20"/>
      <c r="B697" s="18"/>
      <c r="C697" s="18"/>
      <c r="D697" s="20"/>
      <c r="E697" s="18"/>
      <c r="F697" s="18"/>
      <c r="G697" s="20"/>
      <c r="H697" s="18"/>
      <c r="I697" s="20"/>
      <c r="J697" s="18"/>
    </row>
    <row r="698" spans="1:10">
      <c r="A698" s="20"/>
      <c r="B698" s="18"/>
      <c r="C698" s="18"/>
      <c r="D698" s="20"/>
      <c r="E698" s="18"/>
      <c r="F698" s="18"/>
      <c r="G698" s="20"/>
      <c r="H698" s="18"/>
      <c r="I698" s="20"/>
      <c r="J698" s="18"/>
    </row>
    <row r="699" spans="1:10">
      <c r="A699" s="20"/>
      <c r="B699" s="18"/>
      <c r="C699" s="18"/>
      <c r="D699" s="20"/>
      <c r="E699" s="18"/>
      <c r="F699" s="18"/>
      <c r="G699" s="20"/>
      <c r="H699" s="18"/>
      <c r="I699" s="20"/>
      <c r="J699" s="18"/>
    </row>
    <row r="700" spans="1:10">
      <c r="A700" s="20"/>
      <c r="B700" s="18"/>
      <c r="C700" s="18"/>
      <c r="D700" s="20"/>
      <c r="E700" s="18"/>
      <c r="F700" s="18"/>
      <c r="G700" s="20"/>
      <c r="H700" s="18"/>
      <c r="I700" s="20"/>
      <c r="J700" s="18"/>
    </row>
    <row r="701" spans="1:10">
      <c r="A701" s="20"/>
      <c r="B701" s="18"/>
      <c r="C701" s="18"/>
      <c r="D701" s="20"/>
      <c r="E701" s="18"/>
      <c r="F701" s="18"/>
      <c r="G701" s="20"/>
      <c r="H701" s="18"/>
      <c r="I701" s="20"/>
      <c r="J701" s="18"/>
    </row>
    <row r="702" spans="1:10">
      <c r="A702" s="20"/>
      <c r="B702" s="18"/>
      <c r="C702" s="18"/>
      <c r="D702" s="20"/>
      <c r="E702" s="18"/>
      <c r="F702" s="18"/>
      <c r="G702" s="20"/>
      <c r="H702" s="18"/>
      <c r="I702" s="20"/>
      <c r="J702" s="18"/>
    </row>
    <row r="703" spans="1:10">
      <c r="A703" s="20"/>
      <c r="B703" s="18"/>
      <c r="C703" s="18"/>
      <c r="D703" s="20"/>
      <c r="E703" s="18"/>
      <c r="F703" s="18"/>
      <c r="G703" s="20"/>
      <c r="H703" s="18"/>
      <c r="I703" s="20"/>
      <c r="J703" s="18"/>
    </row>
    <row r="704" spans="1:10">
      <c r="A704" s="20"/>
      <c r="B704" s="18"/>
      <c r="C704" s="18"/>
      <c r="D704" s="20"/>
      <c r="E704" s="18"/>
      <c r="F704" s="18"/>
      <c r="G704" s="20"/>
      <c r="H704" s="18"/>
      <c r="I704" s="20"/>
      <c r="J704" s="18"/>
    </row>
    <row r="705" spans="1:10">
      <c r="A705" s="20"/>
      <c r="B705" s="18"/>
      <c r="C705" s="18"/>
      <c r="D705" s="20"/>
      <c r="E705" s="18"/>
      <c r="F705" s="18"/>
      <c r="G705" s="20"/>
      <c r="H705" s="18"/>
      <c r="I705" s="20"/>
      <c r="J705" s="18"/>
    </row>
    <row r="706" spans="1:10">
      <c r="A706" s="20"/>
      <c r="B706" s="18"/>
      <c r="C706" s="18"/>
      <c r="D706" s="20"/>
      <c r="E706" s="18"/>
      <c r="F706" s="18"/>
      <c r="G706" s="20"/>
      <c r="H706" s="18"/>
      <c r="I706" s="20"/>
      <c r="J706" s="18"/>
    </row>
    <row r="707" spans="1:10">
      <c r="A707" s="20"/>
      <c r="B707" s="18"/>
      <c r="C707" s="18"/>
      <c r="D707" s="20"/>
      <c r="E707" s="18"/>
      <c r="F707" s="18"/>
      <c r="G707" s="20"/>
      <c r="H707" s="18"/>
      <c r="I707" s="20"/>
      <c r="J707" s="18"/>
    </row>
    <row r="708" spans="1:10">
      <c r="A708" s="20"/>
      <c r="B708" s="18"/>
      <c r="C708" s="18"/>
      <c r="D708" s="20"/>
      <c r="E708" s="18"/>
      <c r="F708" s="18"/>
      <c r="G708" s="20"/>
      <c r="H708" s="18"/>
      <c r="I708" s="20"/>
      <c r="J708" s="18"/>
    </row>
    <row r="709" spans="1:10">
      <c r="A709" s="20"/>
      <c r="B709" s="18"/>
      <c r="C709" s="18"/>
      <c r="D709" s="20"/>
      <c r="E709" s="18"/>
      <c r="F709" s="18"/>
      <c r="G709" s="20"/>
      <c r="H709" s="18"/>
      <c r="I709" s="20"/>
      <c r="J709" s="18"/>
    </row>
    <row r="710" spans="1:10">
      <c r="A710" s="20"/>
      <c r="B710" s="18"/>
      <c r="C710" s="18"/>
      <c r="D710" s="20"/>
      <c r="E710" s="18"/>
      <c r="F710" s="18"/>
      <c r="G710" s="20"/>
      <c r="H710" s="18"/>
      <c r="I710" s="20"/>
      <c r="J710" s="18"/>
    </row>
    <row r="711" spans="1:10">
      <c r="A711" s="20"/>
      <c r="B711" s="18"/>
      <c r="C711" s="18"/>
      <c r="D711" s="20"/>
      <c r="E711" s="18"/>
      <c r="F711" s="18"/>
      <c r="G711" s="20"/>
      <c r="H711" s="18"/>
      <c r="I711" s="20"/>
      <c r="J711" s="18"/>
    </row>
    <row r="712" spans="1:10">
      <c r="A712" s="20"/>
      <c r="B712" s="18"/>
      <c r="C712" s="18"/>
      <c r="D712" s="20"/>
      <c r="E712" s="18"/>
      <c r="F712" s="18"/>
      <c r="G712" s="20"/>
      <c r="H712" s="18"/>
      <c r="I712" s="20"/>
      <c r="J712" s="18"/>
    </row>
    <row r="713" spans="1:10">
      <c r="A713" s="20"/>
      <c r="B713" s="18"/>
      <c r="C713" s="18"/>
      <c r="D713" s="20"/>
      <c r="E713" s="18"/>
      <c r="F713" s="18"/>
      <c r="G713" s="20"/>
      <c r="H713" s="18"/>
      <c r="I713" s="20"/>
      <c r="J713" s="18"/>
    </row>
    <row r="714" spans="1:10">
      <c r="A714" s="20"/>
      <c r="B714" s="18"/>
      <c r="C714" s="18"/>
      <c r="D714" s="20"/>
      <c r="E714" s="18"/>
      <c r="F714" s="18"/>
      <c r="G714" s="20"/>
      <c r="H714" s="18"/>
      <c r="I714" s="20"/>
      <c r="J714" s="18"/>
    </row>
    <row r="715" spans="1:10">
      <c r="A715" s="20"/>
      <c r="B715" s="18"/>
      <c r="C715" s="18"/>
      <c r="D715" s="20"/>
      <c r="E715" s="18"/>
      <c r="F715" s="18"/>
      <c r="G715" s="20"/>
      <c r="H715" s="18"/>
      <c r="I715" s="20"/>
      <c r="J715" s="18"/>
    </row>
    <row r="716" spans="1:10">
      <c r="A716" s="20"/>
      <c r="B716" s="18"/>
      <c r="C716" s="18"/>
      <c r="D716" s="20"/>
      <c r="E716" s="18"/>
      <c r="F716" s="18"/>
      <c r="G716" s="20"/>
      <c r="H716" s="18"/>
      <c r="I716" s="20"/>
      <c r="J716" s="18"/>
    </row>
    <row r="717" spans="1:10">
      <c r="A717" s="20"/>
      <c r="B717" s="18"/>
      <c r="C717" s="18"/>
      <c r="D717" s="20"/>
      <c r="E717" s="18"/>
      <c r="F717" s="18"/>
      <c r="G717" s="20"/>
      <c r="H717" s="18"/>
      <c r="I717" s="20"/>
      <c r="J717" s="18"/>
    </row>
    <row r="718" spans="1:10">
      <c r="A718" s="20"/>
      <c r="B718" s="18"/>
      <c r="C718" s="18"/>
      <c r="D718" s="20"/>
      <c r="E718" s="18"/>
      <c r="F718" s="18"/>
      <c r="G718" s="20"/>
      <c r="H718" s="18"/>
      <c r="I718" s="20"/>
      <c r="J718" s="18"/>
    </row>
    <row r="719" spans="1:10">
      <c r="A719" s="20"/>
      <c r="B719" s="18"/>
      <c r="C719" s="18"/>
      <c r="D719" s="20"/>
      <c r="E719" s="18"/>
      <c r="F719" s="18"/>
      <c r="G719" s="20"/>
      <c r="H719" s="18"/>
      <c r="I719" s="20"/>
      <c r="J719" s="18"/>
    </row>
    <row r="720" spans="1:10">
      <c r="A720" s="20"/>
      <c r="B720" s="18"/>
      <c r="C720" s="18"/>
      <c r="D720" s="20"/>
      <c r="E720" s="18"/>
      <c r="F720" s="18"/>
      <c r="G720" s="20"/>
      <c r="H720" s="18"/>
      <c r="I720" s="20"/>
      <c r="J720" s="18"/>
    </row>
    <row r="721" spans="1:10">
      <c r="A721" s="20"/>
      <c r="B721" s="18"/>
      <c r="C721" s="18"/>
      <c r="D721" s="20"/>
      <c r="E721" s="18"/>
      <c r="F721" s="18"/>
      <c r="G721" s="20"/>
      <c r="H721" s="18"/>
      <c r="I721" s="20"/>
      <c r="J721" s="18"/>
    </row>
    <row r="722" spans="1:10">
      <c r="A722" s="20"/>
      <c r="B722" s="18"/>
      <c r="C722" s="18"/>
      <c r="D722" s="20"/>
      <c r="E722" s="18"/>
      <c r="F722" s="18"/>
      <c r="G722" s="20"/>
      <c r="H722" s="18"/>
      <c r="I722" s="20"/>
      <c r="J722" s="18"/>
    </row>
    <row r="723" spans="1:10">
      <c r="A723" s="20"/>
      <c r="B723" s="18"/>
      <c r="C723" s="18"/>
      <c r="D723" s="20"/>
      <c r="E723" s="18"/>
      <c r="F723" s="18"/>
      <c r="G723" s="20"/>
      <c r="H723" s="18"/>
      <c r="I723" s="20"/>
      <c r="J723" s="18"/>
    </row>
    <row r="724" spans="1:10">
      <c r="A724" s="20"/>
      <c r="B724" s="18"/>
      <c r="C724" s="18"/>
      <c r="D724" s="20"/>
      <c r="E724" s="18"/>
      <c r="F724" s="18"/>
      <c r="G724" s="20"/>
      <c r="H724" s="18"/>
      <c r="I724" s="20"/>
      <c r="J724" s="18"/>
    </row>
    <row r="725" spans="1:10">
      <c r="A725" s="20"/>
      <c r="B725" s="18"/>
      <c r="C725" s="18"/>
      <c r="D725" s="20"/>
      <c r="E725" s="18"/>
      <c r="F725" s="18"/>
      <c r="G725" s="20"/>
      <c r="H725" s="18"/>
      <c r="I725" s="20"/>
      <c r="J725" s="18"/>
    </row>
    <row r="726" spans="1:10">
      <c r="A726" s="20"/>
      <c r="B726" s="18"/>
      <c r="C726" s="18"/>
      <c r="D726" s="20"/>
      <c r="E726" s="18"/>
      <c r="F726" s="18"/>
      <c r="G726" s="20"/>
      <c r="H726" s="18"/>
      <c r="I726" s="20"/>
      <c r="J726" s="18"/>
    </row>
    <row r="727" spans="1:10">
      <c r="A727" s="20"/>
      <c r="B727" s="18"/>
      <c r="C727" s="18"/>
      <c r="D727" s="20"/>
      <c r="E727" s="18"/>
      <c r="F727" s="18"/>
      <c r="G727" s="20"/>
      <c r="H727" s="18"/>
      <c r="I727" s="20"/>
      <c r="J727" s="18"/>
    </row>
    <row r="728" spans="1:10">
      <c r="A728" s="20"/>
      <c r="B728" s="18"/>
      <c r="C728" s="18"/>
      <c r="D728" s="20"/>
      <c r="E728" s="18"/>
      <c r="F728" s="18"/>
      <c r="G728" s="20"/>
      <c r="H728" s="18"/>
      <c r="I728" s="20"/>
      <c r="J728" s="18"/>
    </row>
    <row r="729" spans="1:10">
      <c r="A729" s="20"/>
      <c r="B729" s="18"/>
      <c r="C729" s="18"/>
      <c r="D729" s="20"/>
      <c r="E729" s="18"/>
      <c r="F729" s="18"/>
      <c r="G729" s="20"/>
      <c r="H729" s="18"/>
      <c r="I729" s="20"/>
      <c r="J729" s="18"/>
    </row>
    <row r="730" spans="1:10">
      <c r="A730" s="20"/>
      <c r="B730" s="18"/>
      <c r="C730" s="18"/>
      <c r="D730" s="20"/>
      <c r="E730" s="18"/>
      <c r="F730" s="18"/>
      <c r="G730" s="20"/>
      <c r="H730" s="18"/>
      <c r="I730" s="20"/>
      <c r="J730" s="18"/>
    </row>
    <row r="731" spans="1:10">
      <c r="A731" s="20"/>
      <c r="B731" s="18"/>
      <c r="C731" s="18"/>
      <c r="D731" s="20"/>
      <c r="E731" s="18"/>
      <c r="F731" s="18"/>
      <c r="G731" s="20"/>
      <c r="H731" s="18"/>
      <c r="I731" s="20"/>
      <c r="J731" s="18"/>
    </row>
    <row r="732" spans="1:10">
      <c r="A732" s="20"/>
      <c r="B732" s="18"/>
      <c r="C732" s="18"/>
      <c r="D732" s="20"/>
      <c r="E732" s="18"/>
      <c r="F732" s="18"/>
      <c r="G732" s="20"/>
      <c r="H732" s="18"/>
      <c r="I732" s="20"/>
      <c r="J732" s="18"/>
    </row>
    <row r="733" spans="1:10">
      <c r="A733" s="20"/>
      <c r="B733" s="18"/>
      <c r="C733" s="18"/>
      <c r="D733" s="20"/>
      <c r="E733" s="18"/>
      <c r="F733" s="18"/>
      <c r="G733" s="20"/>
      <c r="H733" s="18"/>
      <c r="I733" s="20"/>
      <c r="J733" s="18"/>
    </row>
    <row r="734" spans="1:10">
      <c r="A734" s="20"/>
      <c r="B734" s="18"/>
      <c r="C734" s="18"/>
      <c r="D734" s="20"/>
      <c r="E734" s="18"/>
      <c r="F734" s="18"/>
      <c r="G734" s="20"/>
      <c r="H734" s="18"/>
      <c r="I734" s="20"/>
      <c r="J734" s="18"/>
    </row>
    <row r="735" spans="1:10">
      <c r="A735" s="20"/>
      <c r="B735" s="18"/>
      <c r="C735" s="18"/>
      <c r="D735" s="20"/>
      <c r="E735" s="18"/>
      <c r="F735" s="18"/>
      <c r="G735" s="20"/>
      <c r="H735" s="18"/>
      <c r="I735" s="20"/>
      <c r="J735" s="18"/>
    </row>
    <row r="736" spans="1:10">
      <c r="A736" s="20"/>
      <c r="B736" s="18"/>
      <c r="C736" s="18"/>
      <c r="D736" s="20"/>
      <c r="E736" s="18"/>
      <c r="F736" s="18"/>
      <c r="G736" s="20"/>
      <c r="H736" s="18"/>
      <c r="I736" s="20"/>
      <c r="J736" s="18"/>
    </row>
    <row r="737" spans="1:10">
      <c r="A737" s="20"/>
      <c r="B737" s="18"/>
      <c r="C737" s="18"/>
      <c r="D737" s="20"/>
      <c r="E737" s="18"/>
      <c r="F737" s="18"/>
      <c r="G737" s="20"/>
      <c r="H737" s="18"/>
      <c r="I737" s="20"/>
      <c r="J737" s="18"/>
    </row>
    <row r="738" spans="1:10">
      <c r="A738" s="20"/>
      <c r="B738" s="18"/>
      <c r="C738" s="18"/>
      <c r="D738" s="20"/>
      <c r="E738" s="18"/>
      <c r="F738" s="18"/>
      <c r="G738" s="20"/>
      <c r="H738" s="18"/>
      <c r="I738" s="20"/>
      <c r="J738" s="18"/>
    </row>
    <row r="739" spans="1:10">
      <c r="A739" s="20"/>
      <c r="B739" s="18"/>
      <c r="C739" s="18"/>
      <c r="D739" s="20"/>
      <c r="E739" s="18"/>
      <c r="F739" s="18"/>
      <c r="G739" s="20"/>
      <c r="H739" s="18"/>
      <c r="I739" s="20"/>
      <c r="J739" s="18"/>
    </row>
    <row r="740" spans="1:10">
      <c r="A740" s="20"/>
      <c r="B740" s="18"/>
      <c r="C740" s="18"/>
      <c r="D740" s="20"/>
      <c r="E740" s="18"/>
      <c r="F740" s="18"/>
      <c r="G740" s="20"/>
      <c r="H740" s="18"/>
      <c r="I740" s="20"/>
      <c r="J740" s="18"/>
    </row>
    <row r="741" spans="1:10">
      <c r="A741" s="20"/>
      <c r="B741" s="18"/>
      <c r="C741" s="18"/>
      <c r="D741" s="20"/>
      <c r="E741" s="18"/>
      <c r="F741" s="18"/>
      <c r="G741" s="20"/>
      <c r="H741" s="18"/>
      <c r="I741" s="20"/>
      <c r="J741" s="18"/>
    </row>
    <row r="742" spans="1:10">
      <c r="A742" s="20"/>
      <c r="B742" s="18"/>
      <c r="C742" s="18"/>
      <c r="D742" s="20"/>
      <c r="E742" s="18"/>
      <c r="F742" s="18"/>
      <c r="G742" s="20"/>
      <c r="H742" s="18"/>
      <c r="I742" s="20"/>
      <c r="J742" s="18"/>
    </row>
    <row r="743" spans="1:10">
      <c r="A743" s="20"/>
      <c r="B743" s="18"/>
      <c r="C743" s="18"/>
      <c r="D743" s="20"/>
      <c r="E743" s="18"/>
      <c r="F743" s="18"/>
      <c r="G743" s="20"/>
      <c r="H743" s="18"/>
      <c r="I743" s="20"/>
      <c r="J743" s="18"/>
    </row>
    <row r="744" spans="1:10">
      <c r="A744" s="20"/>
      <c r="B744" s="18"/>
      <c r="C744" s="18"/>
      <c r="D744" s="20"/>
      <c r="E744" s="18"/>
      <c r="F744" s="18"/>
      <c r="G744" s="20"/>
      <c r="H744" s="18"/>
      <c r="I744" s="20"/>
      <c r="J744" s="18"/>
    </row>
    <row r="745" spans="1:10">
      <c r="A745" s="20"/>
      <c r="B745" s="18"/>
      <c r="C745" s="18"/>
      <c r="D745" s="20"/>
      <c r="E745" s="18"/>
      <c r="F745" s="18"/>
      <c r="G745" s="20"/>
      <c r="H745" s="18"/>
      <c r="I745" s="20"/>
      <c r="J745" s="18"/>
    </row>
    <row r="746" spans="1:10">
      <c r="A746" s="20"/>
      <c r="B746" s="18"/>
      <c r="C746" s="18"/>
      <c r="D746" s="20"/>
      <c r="E746" s="18"/>
      <c r="F746" s="18"/>
      <c r="G746" s="20"/>
      <c r="H746" s="18"/>
      <c r="I746" s="20"/>
      <c r="J746" s="18"/>
    </row>
    <row r="747" spans="1:10">
      <c r="A747" s="20"/>
      <c r="B747" s="18"/>
      <c r="C747" s="18"/>
      <c r="D747" s="20"/>
      <c r="E747" s="18"/>
      <c r="F747" s="18"/>
      <c r="G747" s="20"/>
      <c r="H747" s="18"/>
      <c r="I747" s="20"/>
      <c r="J747" s="18"/>
    </row>
    <row r="748" spans="1:10">
      <c r="A748" s="20"/>
      <c r="B748" s="18"/>
      <c r="C748" s="18"/>
      <c r="D748" s="20"/>
      <c r="E748" s="18"/>
      <c r="F748" s="18"/>
      <c r="G748" s="20"/>
      <c r="H748" s="18"/>
      <c r="I748" s="20"/>
      <c r="J748" s="18"/>
    </row>
    <row r="749" spans="1:10">
      <c r="A749" s="20"/>
      <c r="B749" s="18"/>
      <c r="C749" s="18"/>
      <c r="D749" s="20"/>
      <c r="E749" s="18"/>
      <c r="F749" s="18"/>
      <c r="G749" s="20"/>
      <c r="H749" s="18"/>
      <c r="I749" s="20"/>
      <c r="J749" s="18"/>
    </row>
    <row r="750" spans="1:10">
      <c r="A750" s="20"/>
      <c r="B750" s="18"/>
      <c r="C750" s="18"/>
      <c r="D750" s="20"/>
      <c r="E750" s="18"/>
      <c r="F750" s="18"/>
      <c r="G750" s="20"/>
      <c r="H750" s="18"/>
      <c r="I750" s="20"/>
      <c r="J750" s="18"/>
    </row>
    <row r="751" spans="1:10">
      <c r="A751" s="20"/>
      <c r="B751" s="18"/>
      <c r="C751" s="18"/>
      <c r="D751" s="20"/>
      <c r="E751" s="18"/>
      <c r="F751" s="18"/>
      <c r="G751" s="20"/>
      <c r="H751" s="18"/>
      <c r="I751" s="20"/>
      <c r="J751" s="18"/>
    </row>
    <row r="752" spans="1:10">
      <c r="A752" s="20"/>
      <c r="B752" s="18"/>
      <c r="C752" s="18"/>
      <c r="D752" s="20"/>
      <c r="E752" s="18"/>
      <c r="F752" s="18"/>
      <c r="G752" s="20"/>
      <c r="H752" s="18"/>
      <c r="I752" s="20"/>
      <c r="J752" s="18"/>
    </row>
    <row r="753" spans="1:10">
      <c r="A753" s="20"/>
      <c r="B753" s="18"/>
      <c r="C753" s="18"/>
      <c r="D753" s="20"/>
      <c r="E753" s="18"/>
      <c r="F753" s="18"/>
      <c r="G753" s="20"/>
      <c r="H753" s="18"/>
      <c r="I753" s="20"/>
      <c r="J753" s="18"/>
    </row>
    <row r="754" spans="1:10">
      <c r="A754" s="20"/>
      <c r="B754" s="18"/>
      <c r="C754" s="18"/>
      <c r="D754" s="20"/>
      <c r="E754" s="18"/>
      <c r="F754" s="18"/>
      <c r="G754" s="20"/>
      <c r="H754" s="18"/>
      <c r="I754" s="20"/>
      <c r="J754" s="18"/>
    </row>
    <row r="755" spans="1:10">
      <c r="A755" s="20"/>
      <c r="B755" s="18"/>
      <c r="C755" s="18"/>
      <c r="D755" s="20"/>
      <c r="E755" s="18"/>
      <c r="F755" s="18"/>
      <c r="G755" s="20"/>
      <c r="H755" s="18"/>
      <c r="I755" s="20"/>
      <c r="J755" s="18"/>
    </row>
    <row r="756" spans="1:10">
      <c r="A756" s="20"/>
      <c r="B756" s="18"/>
      <c r="C756" s="18"/>
      <c r="D756" s="20"/>
      <c r="E756" s="18"/>
      <c r="F756" s="18"/>
      <c r="G756" s="20"/>
      <c r="H756" s="18"/>
      <c r="I756" s="20"/>
      <c r="J756" s="18"/>
    </row>
    <row r="757" spans="1:10">
      <c r="A757" s="20"/>
      <c r="B757" s="18"/>
      <c r="C757" s="18"/>
      <c r="D757" s="20"/>
      <c r="E757" s="18"/>
      <c r="F757" s="18"/>
      <c r="G757" s="20"/>
      <c r="H757" s="18"/>
      <c r="I757" s="20"/>
      <c r="J757" s="18"/>
    </row>
    <row r="758" spans="1:10">
      <c r="A758" s="20"/>
      <c r="B758" s="18"/>
      <c r="C758" s="18"/>
      <c r="D758" s="20"/>
      <c r="E758" s="18"/>
      <c r="F758" s="18"/>
      <c r="G758" s="20"/>
      <c r="H758" s="18"/>
      <c r="I758" s="20"/>
      <c r="J758" s="18"/>
    </row>
    <row r="759" spans="1:10">
      <c r="A759" s="20"/>
      <c r="B759" s="18"/>
      <c r="C759" s="18"/>
      <c r="D759" s="20"/>
      <c r="E759" s="18"/>
      <c r="F759" s="18"/>
      <c r="G759" s="20"/>
      <c r="H759" s="18"/>
      <c r="I759" s="20"/>
      <c r="J759" s="18"/>
    </row>
    <row r="760" spans="1:10">
      <c r="A760" s="20"/>
      <c r="B760" s="18"/>
      <c r="C760" s="18"/>
      <c r="D760" s="20"/>
      <c r="E760" s="18"/>
      <c r="F760" s="18"/>
      <c r="G760" s="20"/>
      <c r="H760" s="18"/>
      <c r="I760" s="20"/>
      <c r="J760" s="18"/>
    </row>
    <row r="761" spans="1:10">
      <c r="A761" s="20"/>
      <c r="B761" s="18"/>
      <c r="C761" s="18"/>
      <c r="D761" s="20"/>
      <c r="E761" s="18"/>
      <c r="F761" s="18"/>
      <c r="G761" s="20"/>
      <c r="H761" s="18"/>
      <c r="I761" s="20"/>
      <c r="J761" s="18"/>
    </row>
    <row r="762" spans="1:10">
      <c r="A762" s="20"/>
      <c r="B762" s="18"/>
      <c r="C762" s="18"/>
      <c r="D762" s="20"/>
      <c r="E762" s="18"/>
      <c r="F762" s="18"/>
      <c r="G762" s="20"/>
      <c r="H762" s="18"/>
      <c r="I762" s="20"/>
      <c r="J762" s="18"/>
    </row>
    <row r="763" spans="1:10">
      <c r="A763" s="20"/>
      <c r="B763" s="18"/>
      <c r="C763" s="18"/>
      <c r="D763" s="20"/>
      <c r="E763" s="18"/>
      <c r="F763" s="18"/>
      <c r="G763" s="20"/>
      <c r="H763" s="18"/>
      <c r="I763" s="20"/>
      <c r="J763" s="18"/>
    </row>
    <row r="764" spans="1:10">
      <c r="A764" s="20"/>
      <c r="B764" s="18"/>
      <c r="C764" s="18"/>
      <c r="D764" s="20"/>
      <c r="E764" s="18"/>
      <c r="F764" s="18"/>
      <c r="G764" s="20"/>
      <c r="H764" s="18"/>
      <c r="I764" s="20"/>
      <c r="J764" s="18"/>
    </row>
    <row r="765" spans="1:10">
      <c r="A765" s="20"/>
      <c r="B765" s="18"/>
      <c r="C765" s="18"/>
      <c r="D765" s="20"/>
      <c r="E765" s="18"/>
      <c r="F765" s="18"/>
      <c r="G765" s="20"/>
      <c r="H765" s="18"/>
      <c r="I765" s="20"/>
      <c r="J765" s="18"/>
    </row>
    <row r="766" spans="1:10">
      <c r="A766" s="20"/>
      <c r="B766" s="18"/>
      <c r="C766" s="18"/>
      <c r="D766" s="20"/>
      <c r="E766" s="18"/>
      <c r="F766" s="18"/>
      <c r="G766" s="20"/>
      <c r="H766" s="18"/>
      <c r="I766" s="20"/>
      <c r="J766" s="18"/>
    </row>
    <row r="767" spans="1:10">
      <c r="A767" s="20"/>
      <c r="B767" s="18"/>
      <c r="C767" s="18"/>
      <c r="D767" s="20"/>
      <c r="E767" s="18"/>
      <c r="F767" s="18"/>
      <c r="G767" s="20"/>
      <c r="H767" s="18"/>
      <c r="I767" s="20"/>
      <c r="J767" s="18"/>
    </row>
    <row r="768" spans="1:10">
      <c r="A768" s="20"/>
      <c r="B768" s="18"/>
      <c r="C768" s="18"/>
      <c r="D768" s="20"/>
      <c r="E768" s="18"/>
      <c r="F768" s="18"/>
      <c r="G768" s="20"/>
      <c r="H768" s="18"/>
      <c r="I768" s="20"/>
      <c r="J768" s="18"/>
    </row>
    <row r="769" spans="1:10">
      <c r="A769" s="20"/>
      <c r="B769" s="18"/>
      <c r="C769" s="18"/>
      <c r="D769" s="20"/>
      <c r="E769" s="18"/>
      <c r="F769" s="18"/>
      <c r="G769" s="20"/>
      <c r="H769" s="18"/>
      <c r="I769" s="20"/>
      <c r="J769" s="18"/>
    </row>
    <row r="770" spans="1:10">
      <c r="A770" s="20"/>
      <c r="B770" s="18"/>
      <c r="C770" s="18"/>
      <c r="D770" s="20"/>
      <c r="E770" s="18"/>
      <c r="F770" s="18"/>
      <c r="G770" s="20"/>
      <c r="H770" s="18"/>
      <c r="I770" s="20"/>
      <c r="J770" s="18"/>
    </row>
    <row r="771" spans="1:10">
      <c r="A771" s="20"/>
      <c r="B771" s="18"/>
      <c r="C771" s="18"/>
      <c r="D771" s="20"/>
      <c r="E771" s="18"/>
      <c r="F771" s="18"/>
      <c r="G771" s="20"/>
      <c r="H771" s="18"/>
      <c r="I771" s="20"/>
      <c r="J771" s="18"/>
    </row>
    <row r="772" spans="1:10">
      <c r="A772" s="20"/>
      <c r="B772" s="18"/>
      <c r="C772" s="18"/>
      <c r="D772" s="20"/>
      <c r="E772" s="18"/>
      <c r="F772" s="18"/>
      <c r="G772" s="20"/>
      <c r="H772" s="18"/>
      <c r="I772" s="20"/>
      <c r="J772" s="18"/>
    </row>
    <row r="773" spans="1:10">
      <c r="A773" s="20"/>
      <c r="B773" s="18"/>
      <c r="C773" s="18"/>
      <c r="D773" s="20"/>
      <c r="E773" s="18"/>
      <c r="F773" s="18"/>
      <c r="G773" s="20"/>
      <c r="H773" s="18"/>
      <c r="I773" s="20"/>
      <c r="J773" s="18"/>
    </row>
    <row r="774" spans="1:10">
      <c r="A774" s="20"/>
      <c r="B774" s="18"/>
      <c r="C774" s="18"/>
      <c r="D774" s="20"/>
      <c r="E774" s="18"/>
      <c r="F774" s="18"/>
      <c r="G774" s="20"/>
      <c r="H774" s="18"/>
      <c r="I774" s="20"/>
      <c r="J774" s="18"/>
    </row>
    <row r="775" spans="1:10">
      <c r="A775" s="20"/>
      <c r="B775" s="18"/>
      <c r="C775" s="18"/>
      <c r="D775" s="20"/>
      <c r="E775" s="18"/>
      <c r="F775" s="18"/>
      <c r="G775" s="20"/>
      <c r="H775" s="18"/>
      <c r="I775" s="20"/>
      <c r="J775" s="18"/>
    </row>
    <row r="776" spans="1:10">
      <c r="A776" s="20"/>
      <c r="B776" s="18"/>
      <c r="C776" s="18"/>
      <c r="D776" s="20"/>
      <c r="E776" s="18"/>
      <c r="F776" s="18"/>
      <c r="G776" s="20"/>
      <c r="H776" s="18"/>
      <c r="I776" s="20"/>
      <c r="J776" s="18"/>
    </row>
    <row r="777" spans="1:10">
      <c r="A777" s="20"/>
      <c r="B777" s="18"/>
      <c r="C777" s="18"/>
      <c r="D777" s="20"/>
      <c r="E777" s="18"/>
      <c r="F777" s="18"/>
      <c r="G777" s="20"/>
      <c r="H777" s="18"/>
      <c r="I777" s="20"/>
      <c r="J777" s="18"/>
    </row>
    <row r="778" spans="1:10">
      <c r="A778" s="20"/>
      <c r="B778" s="18"/>
      <c r="C778" s="18"/>
      <c r="D778" s="20"/>
      <c r="E778" s="18"/>
      <c r="F778" s="18"/>
      <c r="G778" s="20"/>
      <c r="H778" s="18"/>
      <c r="I778" s="20"/>
      <c r="J778" s="18"/>
    </row>
    <row r="779" spans="1:10">
      <c r="A779" s="20"/>
      <c r="B779" s="18"/>
      <c r="C779" s="18"/>
      <c r="D779" s="20"/>
      <c r="E779" s="18"/>
      <c r="F779" s="18"/>
      <c r="G779" s="20"/>
      <c r="H779" s="18"/>
      <c r="I779" s="20"/>
      <c r="J779" s="18"/>
    </row>
    <row r="780" spans="1:10">
      <c r="A780" s="20"/>
      <c r="B780" s="18"/>
      <c r="C780" s="18"/>
      <c r="D780" s="20"/>
      <c r="E780" s="18"/>
      <c r="F780" s="18"/>
      <c r="G780" s="20"/>
      <c r="H780" s="18"/>
      <c r="I780" s="20"/>
      <c r="J780" s="18"/>
    </row>
    <row r="781" spans="1:10">
      <c r="A781" s="20"/>
      <c r="B781" s="18"/>
      <c r="C781" s="18"/>
      <c r="D781" s="20"/>
      <c r="E781" s="18"/>
      <c r="F781" s="18"/>
      <c r="G781" s="20"/>
      <c r="H781" s="18"/>
      <c r="I781" s="20"/>
      <c r="J781" s="18"/>
    </row>
    <row r="782" spans="1:10">
      <c r="A782" s="20"/>
      <c r="B782" s="18"/>
      <c r="C782" s="18"/>
      <c r="D782" s="20"/>
      <c r="E782" s="18"/>
      <c r="F782" s="18"/>
      <c r="G782" s="20"/>
      <c r="H782" s="18"/>
      <c r="I782" s="20"/>
      <c r="J782" s="18"/>
    </row>
    <row r="783" spans="1:10">
      <c r="A783" s="20"/>
      <c r="B783" s="18"/>
      <c r="C783" s="18"/>
      <c r="D783" s="20"/>
      <c r="E783" s="18"/>
      <c r="F783" s="18"/>
      <c r="G783" s="20"/>
      <c r="H783" s="18"/>
      <c r="I783" s="20"/>
      <c r="J783" s="18"/>
    </row>
    <row r="784" spans="1:10">
      <c r="A784" s="20"/>
      <c r="B784" s="18"/>
      <c r="C784" s="18"/>
      <c r="D784" s="20"/>
      <c r="E784" s="18"/>
      <c r="F784" s="18"/>
      <c r="G784" s="20"/>
      <c r="H784" s="18"/>
      <c r="I784" s="20"/>
      <c r="J784" s="18"/>
    </row>
    <row r="785" spans="1:10">
      <c r="A785" s="20"/>
      <c r="B785" s="18"/>
      <c r="C785" s="18"/>
      <c r="D785" s="20"/>
      <c r="E785" s="18"/>
      <c r="F785" s="18"/>
      <c r="G785" s="20"/>
      <c r="H785" s="18"/>
      <c r="I785" s="20"/>
      <c r="J785" s="18"/>
    </row>
    <row r="786" spans="1:10">
      <c r="A786" s="20"/>
      <c r="B786" s="18"/>
      <c r="C786" s="18"/>
      <c r="D786" s="20"/>
      <c r="E786" s="18"/>
      <c r="F786" s="18"/>
      <c r="G786" s="20"/>
      <c r="H786" s="18"/>
      <c r="I786" s="20"/>
      <c r="J786" s="18"/>
    </row>
    <row r="787" spans="1:10">
      <c r="A787" s="20"/>
      <c r="B787" s="18"/>
      <c r="C787" s="18"/>
      <c r="D787" s="20"/>
      <c r="E787" s="18"/>
      <c r="F787" s="18"/>
      <c r="G787" s="20"/>
      <c r="H787" s="18"/>
      <c r="I787" s="20"/>
      <c r="J787" s="18"/>
    </row>
    <row r="788" spans="1:10">
      <c r="A788" s="20"/>
      <c r="B788" s="18"/>
      <c r="C788" s="18"/>
      <c r="D788" s="20"/>
      <c r="E788" s="18"/>
      <c r="F788" s="18"/>
      <c r="G788" s="20"/>
      <c r="H788" s="18"/>
      <c r="I788" s="20"/>
      <c r="J788" s="18"/>
    </row>
    <row r="789" spans="1:10">
      <c r="A789" s="20"/>
      <c r="B789" s="18"/>
      <c r="C789" s="18"/>
      <c r="D789" s="20"/>
      <c r="E789" s="18"/>
      <c r="F789" s="18"/>
      <c r="G789" s="20"/>
      <c r="H789" s="18"/>
      <c r="I789" s="20"/>
      <c r="J789" s="18"/>
    </row>
    <row r="790" spans="1:10">
      <c r="A790" s="20"/>
      <c r="B790" s="18"/>
      <c r="C790" s="18"/>
      <c r="D790" s="20"/>
      <c r="E790" s="18"/>
      <c r="F790" s="18"/>
      <c r="G790" s="20"/>
      <c r="H790" s="18"/>
      <c r="I790" s="20"/>
      <c r="J790" s="18"/>
    </row>
    <row r="791" spans="1:10">
      <c r="A791" s="20"/>
      <c r="B791" s="18"/>
      <c r="C791" s="18"/>
      <c r="D791" s="20"/>
      <c r="E791" s="18"/>
      <c r="F791" s="18"/>
      <c r="G791" s="20"/>
      <c r="H791" s="18"/>
      <c r="I791" s="20"/>
      <c r="J791" s="18"/>
    </row>
    <row r="792" spans="1:10">
      <c r="A792" s="20"/>
      <c r="B792" s="18"/>
      <c r="C792" s="18"/>
      <c r="D792" s="20"/>
      <c r="E792" s="18"/>
      <c r="F792" s="18"/>
      <c r="G792" s="20"/>
      <c r="H792" s="18"/>
      <c r="I792" s="20"/>
      <c r="J792" s="18"/>
    </row>
    <row r="793" spans="1:10">
      <c r="A793" s="20"/>
      <c r="B793" s="18"/>
      <c r="C793" s="18"/>
      <c r="D793" s="20"/>
      <c r="E793" s="18"/>
      <c r="F793" s="18"/>
      <c r="G793" s="20"/>
      <c r="H793" s="18"/>
      <c r="I793" s="20"/>
      <c r="J793" s="18"/>
    </row>
    <row r="794" spans="1:10">
      <c r="A794" s="20"/>
      <c r="B794" s="18"/>
      <c r="C794" s="18"/>
      <c r="D794" s="20"/>
      <c r="E794" s="18"/>
      <c r="F794" s="18"/>
      <c r="G794" s="20"/>
      <c r="H794" s="18"/>
      <c r="I794" s="20"/>
      <c r="J794" s="18"/>
    </row>
    <row r="795" spans="1:10">
      <c r="A795" s="20"/>
      <c r="B795" s="18"/>
      <c r="C795" s="18"/>
      <c r="D795" s="20"/>
      <c r="E795" s="18"/>
      <c r="F795" s="18"/>
      <c r="G795" s="20"/>
      <c r="H795" s="18"/>
      <c r="I795" s="20"/>
      <c r="J795" s="18"/>
    </row>
    <row r="796" spans="1:10">
      <c r="A796" s="20"/>
      <c r="B796" s="18"/>
      <c r="C796" s="18"/>
      <c r="D796" s="20"/>
      <c r="E796" s="18"/>
      <c r="F796" s="18"/>
      <c r="G796" s="20"/>
      <c r="H796" s="18"/>
      <c r="I796" s="20"/>
      <c r="J796" s="18"/>
    </row>
    <row r="797" spans="1:10">
      <c r="A797" s="20"/>
      <c r="B797" s="18"/>
      <c r="C797" s="18"/>
      <c r="D797" s="20"/>
      <c r="E797" s="18"/>
      <c r="F797" s="18"/>
      <c r="G797" s="20"/>
      <c r="H797" s="18"/>
      <c r="I797" s="20"/>
      <c r="J797" s="18"/>
    </row>
    <row r="798" spans="1:10">
      <c r="A798" s="20"/>
      <c r="B798" s="18"/>
      <c r="C798" s="18"/>
      <c r="D798" s="20"/>
      <c r="E798" s="18"/>
      <c r="F798" s="18"/>
      <c r="G798" s="20"/>
      <c r="H798" s="18"/>
      <c r="I798" s="20"/>
      <c r="J798" s="18"/>
    </row>
    <row r="799" spans="1:10">
      <c r="A799" s="20"/>
      <c r="B799" s="18"/>
      <c r="C799" s="18"/>
      <c r="D799" s="20"/>
      <c r="E799" s="18"/>
      <c r="F799" s="18"/>
      <c r="G799" s="20"/>
      <c r="H799" s="18"/>
      <c r="I799" s="20"/>
      <c r="J799" s="18"/>
    </row>
    <row r="800" spans="1:10">
      <c r="A800" s="20"/>
      <c r="B800" s="18"/>
      <c r="C800" s="18"/>
      <c r="D800" s="20"/>
      <c r="E800" s="18"/>
      <c r="F800" s="18"/>
      <c r="G800" s="20"/>
      <c r="H800" s="18"/>
      <c r="I800" s="20"/>
      <c r="J800" s="18"/>
    </row>
    <row r="801" spans="1:10">
      <c r="A801" s="20"/>
      <c r="B801" s="18"/>
      <c r="C801" s="18"/>
      <c r="D801" s="20"/>
      <c r="E801" s="18"/>
      <c r="F801" s="18"/>
      <c r="G801" s="20"/>
      <c r="H801" s="18"/>
      <c r="I801" s="20"/>
      <c r="J801" s="18"/>
    </row>
    <row r="802" spans="1:10">
      <c r="A802" s="20"/>
      <c r="B802" s="18"/>
      <c r="C802" s="18"/>
      <c r="D802" s="20"/>
      <c r="E802" s="18"/>
      <c r="F802" s="18"/>
      <c r="G802" s="20"/>
      <c r="H802" s="18"/>
      <c r="I802" s="20"/>
      <c r="J802" s="18"/>
    </row>
    <row r="803" spans="1:10">
      <c r="A803" s="20"/>
      <c r="B803" s="18"/>
      <c r="C803" s="18"/>
      <c r="D803" s="20"/>
      <c r="E803" s="18"/>
      <c r="F803" s="18"/>
      <c r="G803" s="20"/>
      <c r="H803" s="18"/>
      <c r="I803" s="20"/>
      <c r="J803" s="18"/>
    </row>
    <row r="804" spans="1:10">
      <c r="A804" s="20"/>
      <c r="B804" s="18"/>
      <c r="C804" s="18"/>
      <c r="D804" s="20"/>
      <c r="E804" s="18"/>
      <c r="F804" s="18"/>
      <c r="G804" s="20"/>
      <c r="H804" s="18"/>
      <c r="I804" s="20"/>
      <c r="J804" s="18"/>
    </row>
    <row r="805" spans="1:10">
      <c r="A805" s="20"/>
      <c r="B805" s="18"/>
      <c r="C805" s="18"/>
      <c r="D805" s="20"/>
      <c r="E805" s="18"/>
      <c r="F805" s="18"/>
      <c r="G805" s="20"/>
      <c r="H805" s="18"/>
      <c r="I805" s="20"/>
      <c r="J805" s="18"/>
    </row>
    <row r="806" spans="1:10">
      <c r="A806" s="20"/>
      <c r="B806" s="18"/>
      <c r="C806" s="18"/>
      <c r="D806" s="20"/>
      <c r="E806" s="18"/>
      <c r="F806" s="18"/>
      <c r="G806" s="20"/>
      <c r="H806" s="18"/>
      <c r="I806" s="20"/>
      <c r="J806" s="18"/>
    </row>
    <row r="807" spans="1:10">
      <c r="A807" s="20"/>
      <c r="B807" s="18"/>
      <c r="C807" s="18"/>
      <c r="D807" s="20"/>
      <c r="E807" s="18"/>
      <c r="F807" s="18"/>
      <c r="G807" s="20"/>
      <c r="H807" s="18"/>
      <c r="I807" s="20"/>
      <c r="J807" s="18"/>
    </row>
    <row r="808" spans="1:10">
      <c r="A808" s="20"/>
      <c r="B808" s="18"/>
      <c r="C808" s="18"/>
      <c r="D808" s="20"/>
      <c r="E808" s="18"/>
      <c r="F808" s="18"/>
      <c r="G808" s="20"/>
      <c r="H808" s="18"/>
      <c r="I808" s="20"/>
      <c r="J808" s="18"/>
    </row>
    <row r="809" spans="1:10">
      <c r="A809" s="20"/>
      <c r="B809" s="18"/>
      <c r="C809" s="18"/>
      <c r="D809" s="20"/>
      <c r="E809" s="18"/>
      <c r="F809" s="18"/>
      <c r="G809" s="20"/>
      <c r="H809" s="18"/>
      <c r="I809" s="20"/>
      <c r="J809" s="18"/>
    </row>
    <row r="810" spans="1:10">
      <c r="A810" s="20"/>
      <c r="B810" s="18"/>
      <c r="C810" s="18"/>
      <c r="D810" s="20"/>
      <c r="E810" s="18"/>
      <c r="F810" s="18"/>
      <c r="G810" s="20"/>
      <c r="H810" s="18"/>
      <c r="I810" s="20"/>
      <c r="J810" s="18"/>
    </row>
    <row r="811" spans="1:10">
      <c r="A811" s="20"/>
      <c r="B811" s="18"/>
      <c r="C811" s="18"/>
      <c r="D811" s="20"/>
      <c r="E811" s="18"/>
      <c r="F811" s="18"/>
      <c r="G811" s="20"/>
      <c r="H811" s="18"/>
      <c r="I811" s="20"/>
      <c r="J811" s="18"/>
    </row>
    <row r="812" spans="1:10">
      <c r="A812" s="20"/>
      <c r="B812" s="18"/>
      <c r="C812" s="18"/>
      <c r="D812" s="20"/>
      <c r="E812" s="18"/>
      <c r="F812" s="18"/>
      <c r="G812" s="20"/>
      <c r="H812" s="18"/>
      <c r="I812" s="20"/>
      <c r="J812" s="18"/>
    </row>
    <row r="813" spans="1:10">
      <c r="A813" s="20"/>
      <c r="B813" s="18"/>
      <c r="C813" s="18"/>
      <c r="D813" s="20"/>
      <c r="E813" s="18"/>
      <c r="F813" s="18"/>
      <c r="G813" s="20"/>
      <c r="H813" s="18"/>
      <c r="I813" s="20"/>
      <c r="J813" s="18"/>
    </row>
    <row r="814" spans="1:10">
      <c r="A814" s="20"/>
      <c r="B814" s="18"/>
      <c r="C814" s="18"/>
      <c r="D814" s="20"/>
      <c r="E814" s="18"/>
      <c r="F814" s="18"/>
      <c r="G814" s="20"/>
      <c r="H814" s="18"/>
      <c r="I814" s="20"/>
      <c r="J814" s="18"/>
    </row>
    <row r="815" spans="1:10">
      <c r="A815" s="20"/>
      <c r="B815" s="18"/>
      <c r="C815" s="18"/>
      <c r="D815" s="20"/>
      <c r="E815" s="18"/>
      <c r="F815" s="18"/>
      <c r="G815" s="20"/>
      <c r="H815" s="18"/>
      <c r="I815" s="20"/>
      <c r="J815" s="18"/>
    </row>
    <row r="816" spans="1:10">
      <c r="A816" s="20"/>
      <c r="B816" s="18"/>
      <c r="C816" s="18"/>
      <c r="D816" s="20"/>
      <c r="E816" s="18"/>
      <c r="F816" s="18"/>
      <c r="G816" s="20"/>
      <c r="H816" s="18"/>
      <c r="I816" s="20"/>
      <c r="J816" s="18"/>
    </row>
    <row r="817" spans="1:10">
      <c r="A817" s="20"/>
      <c r="B817" s="18"/>
      <c r="C817" s="18"/>
      <c r="D817" s="20"/>
      <c r="E817" s="18"/>
      <c r="F817" s="18"/>
      <c r="G817" s="20"/>
      <c r="H817" s="18"/>
      <c r="I817" s="20"/>
      <c r="J817" s="18"/>
    </row>
    <row r="818" spans="1:10">
      <c r="A818" s="20"/>
      <c r="B818" s="18"/>
      <c r="C818" s="18"/>
      <c r="D818" s="20"/>
      <c r="E818" s="18"/>
      <c r="F818" s="18"/>
      <c r="G818" s="20"/>
      <c r="H818" s="18"/>
      <c r="I818" s="20"/>
      <c r="J818" s="18"/>
    </row>
    <row r="819" spans="1:10">
      <c r="A819" s="20"/>
      <c r="B819" s="18"/>
      <c r="C819" s="18"/>
      <c r="D819" s="20"/>
      <c r="E819" s="18"/>
      <c r="F819" s="18"/>
      <c r="G819" s="20"/>
      <c r="H819" s="18"/>
      <c r="I819" s="20"/>
      <c r="J819" s="18"/>
    </row>
    <row r="820" spans="1:10">
      <c r="A820" s="20"/>
      <c r="B820" s="18"/>
      <c r="C820" s="18"/>
      <c r="D820" s="20"/>
      <c r="E820" s="18"/>
      <c r="F820" s="18"/>
      <c r="G820" s="20"/>
      <c r="H820" s="18"/>
      <c r="I820" s="20"/>
      <c r="J820" s="18"/>
    </row>
    <row r="821" spans="1:10">
      <c r="A821" s="20"/>
      <c r="B821" s="18"/>
      <c r="C821" s="18"/>
      <c r="D821" s="20"/>
      <c r="E821" s="18"/>
      <c r="F821" s="18"/>
      <c r="G821" s="20"/>
      <c r="H821" s="18"/>
      <c r="I821" s="20"/>
      <c r="J821" s="18"/>
    </row>
    <row r="822" spans="1:10">
      <c r="A822" s="20"/>
      <c r="B822" s="18"/>
      <c r="C822" s="18"/>
      <c r="D822" s="20"/>
      <c r="E822" s="18"/>
      <c r="F822" s="18"/>
      <c r="G822" s="20"/>
      <c r="H822" s="18"/>
      <c r="I822" s="20"/>
      <c r="J822" s="18"/>
    </row>
    <row r="823" spans="1:10">
      <c r="A823" s="20"/>
      <c r="B823" s="18"/>
      <c r="C823" s="18"/>
      <c r="D823" s="20"/>
      <c r="E823" s="18"/>
      <c r="F823" s="18"/>
      <c r="G823" s="20"/>
      <c r="H823" s="18"/>
      <c r="I823" s="20"/>
      <c r="J823" s="18"/>
    </row>
    <row r="824" spans="1:10">
      <c r="A824" s="20"/>
      <c r="B824" s="18"/>
      <c r="C824" s="18"/>
      <c r="D824" s="20"/>
      <c r="E824" s="18"/>
      <c r="F824" s="18"/>
      <c r="G824" s="20"/>
      <c r="H824" s="18"/>
      <c r="I824" s="20"/>
      <c r="J824" s="18"/>
    </row>
    <row r="825" spans="1:10">
      <c r="A825" s="20"/>
      <c r="B825" s="18"/>
      <c r="C825" s="18"/>
      <c r="D825" s="20"/>
      <c r="E825" s="18"/>
      <c r="F825" s="18"/>
      <c r="G825" s="20"/>
      <c r="H825" s="18"/>
      <c r="I825" s="20"/>
      <c r="J825" s="18"/>
    </row>
    <row r="826" spans="1:10">
      <c r="A826" s="20"/>
      <c r="B826" s="18"/>
      <c r="C826" s="18"/>
      <c r="D826" s="20"/>
      <c r="E826" s="18"/>
      <c r="F826" s="18"/>
      <c r="G826" s="20"/>
      <c r="H826" s="18"/>
      <c r="I826" s="20"/>
      <c r="J826" s="18"/>
    </row>
    <row r="827" spans="1:10">
      <c r="A827" s="20"/>
      <c r="B827" s="18"/>
      <c r="C827" s="18"/>
      <c r="D827" s="20"/>
      <c r="E827" s="18"/>
      <c r="F827" s="18"/>
      <c r="G827" s="20"/>
      <c r="H827" s="18"/>
      <c r="I827" s="20"/>
      <c r="J827" s="18"/>
    </row>
    <row r="828" spans="1:10">
      <c r="A828" s="20"/>
      <c r="B828" s="18"/>
      <c r="C828" s="18"/>
      <c r="D828" s="20"/>
      <c r="E828" s="18"/>
      <c r="F828" s="18"/>
      <c r="G828" s="20"/>
      <c r="H828" s="18"/>
      <c r="I828" s="20"/>
      <c r="J828" s="18"/>
    </row>
    <row r="829" spans="1:10">
      <c r="A829" s="20"/>
      <c r="B829" s="18"/>
      <c r="C829" s="18"/>
      <c r="D829" s="20"/>
      <c r="E829" s="18"/>
      <c r="F829" s="18"/>
      <c r="G829" s="20"/>
      <c r="H829" s="18"/>
      <c r="I829" s="20"/>
      <c r="J829" s="18"/>
    </row>
    <row r="830" spans="1:10">
      <c r="A830" s="20"/>
      <c r="B830" s="18"/>
      <c r="C830" s="18"/>
      <c r="D830" s="20"/>
      <c r="E830" s="18"/>
      <c r="F830" s="18"/>
      <c r="G830" s="20"/>
      <c r="H830" s="18"/>
      <c r="I830" s="20"/>
      <c r="J830" s="18"/>
    </row>
    <row r="831" spans="1:10">
      <c r="A831" s="20"/>
      <c r="B831" s="18"/>
      <c r="C831" s="18"/>
      <c r="D831" s="20"/>
      <c r="E831" s="18"/>
      <c r="F831" s="18"/>
      <c r="G831" s="20"/>
      <c r="H831" s="18"/>
      <c r="I831" s="20"/>
      <c r="J831" s="18"/>
    </row>
    <row r="832" spans="1:10">
      <c r="A832" s="20"/>
      <c r="B832" s="18"/>
      <c r="C832" s="18"/>
      <c r="D832" s="20"/>
      <c r="E832" s="18"/>
      <c r="F832" s="18"/>
      <c r="G832" s="20"/>
      <c r="H832" s="18"/>
      <c r="I832" s="20"/>
      <c r="J832" s="18"/>
    </row>
    <row r="833" spans="1:10">
      <c r="A833" s="20"/>
      <c r="B833" s="18"/>
      <c r="C833" s="18"/>
      <c r="D833" s="20"/>
      <c r="E833" s="18"/>
      <c r="F833" s="18"/>
      <c r="G833" s="20"/>
      <c r="H833" s="18"/>
      <c r="I833" s="20"/>
      <c r="J833" s="18"/>
    </row>
    <row r="834" spans="1:10">
      <c r="A834" s="20"/>
      <c r="B834" s="18"/>
      <c r="C834" s="18"/>
      <c r="D834" s="20"/>
      <c r="E834" s="18"/>
      <c r="F834" s="18"/>
      <c r="G834" s="20"/>
      <c r="H834" s="18"/>
      <c r="I834" s="20"/>
      <c r="J834" s="18"/>
    </row>
    <row r="835" spans="1:10">
      <c r="A835" s="20"/>
      <c r="B835" s="18"/>
      <c r="C835" s="18"/>
      <c r="D835" s="20"/>
      <c r="E835" s="18"/>
      <c r="F835" s="18"/>
      <c r="G835" s="20"/>
      <c r="H835" s="18"/>
      <c r="I835" s="20"/>
      <c r="J835" s="18"/>
    </row>
    <row r="836" spans="1:10">
      <c r="A836" s="20"/>
      <c r="B836" s="18"/>
      <c r="C836" s="18"/>
      <c r="D836" s="20"/>
      <c r="E836" s="18"/>
      <c r="F836" s="18"/>
      <c r="G836" s="20"/>
      <c r="H836" s="18"/>
      <c r="I836" s="20"/>
      <c r="J836" s="18"/>
    </row>
    <row r="837" spans="1:10">
      <c r="A837" s="20"/>
      <c r="B837" s="18"/>
      <c r="C837" s="18"/>
      <c r="D837" s="20"/>
      <c r="E837" s="18"/>
      <c r="F837" s="18"/>
      <c r="G837" s="20"/>
      <c r="H837" s="18"/>
      <c r="I837" s="20"/>
      <c r="J837" s="18"/>
    </row>
    <row r="838" spans="1:10">
      <c r="A838" s="20"/>
      <c r="B838" s="18"/>
      <c r="C838" s="18"/>
      <c r="D838" s="20"/>
      <c r="E838" s="18"/>
      <c r="F838" s="18"/>
      <c r="G838" s="20"/>
      <c r="H838" s="18"/>
      <c r="I838" s="20"/>
      <c r="J838" s="18"/>
    </row>
    <row r="839" spans="1:10">
      <c r="A839" s="20"/>
      <c r="B839" s="18"/>
      <c r="C839" s="18"/>
      <c r="D839" s="20"/>
      <c r="E839" s="18"/>
      <c r="F839" s="18"/>
      <c r="G839" s="20"/>
      <c r="H839" s="18"/>
      <c r="I839" s="20"/>
      <c r="J839" s="18"/>
    </row>
    <row r="840" spans="1:10">
      <c r="A840" s="20"/>
      <c r="B840" s="18"/>
      <c r="C840" s="18"/>
      <c r="D840" s="20"/>
      <c r="E840" s="18"/>
      <c r="F840" s="18"/>
      <c r="G840" s="20"/>
      <c r="H840" s="18"/>
      <c r="I840" s="20"/>
      <c r="J840" s="18"/>
    </row>
    <row r="841" spans="1:10">
      <c r="A841" s="20"/>
      <c r="B841" s="18"/>
      <c r="C841" s="18"/>
      <c r="D841" s="20"/>
      <c r="E841" s="18"/>
      <c r="F841" s="18"/>
      <c r="G841" s="20"/>
      <c r="H841" s="18"/>
      <c r="I841" s="20"/>
      <c r="J841" s="18"/>
    </row>
    <row r="842" spans="1:10">
      <c r="A842" s="20"/>
      <c r="B842" s="18"/>
      <c r="C842" s="18"/>
      <c r="D842" s="20"/>
      <c r="E842" s="18"/>
      <c r="F842" s="18"/>
      <c r="G842" s="20"/>
      <c r="H842" s="18"/>
      <c r="I842" s="20"/>
      <c r="J842" s="18"/>
    </row>
    <row r="843" spans="1:10">
      <c r="A843" s="20"/>
      <c r="B843" s="18"/>
      <c r="C843" s="18"/>
      <c r="D843" s="20"/>
      <c r="E843" s="18"/>
      <c r="F843" s="18"/>
      <c r="G843" s="20"/>
      <c r="H843" s="18"/>
      <c r="I843" s="20"/>
      <c r="J843" s="18"/>
    </row>
    <row r="844" spans="1:10">
      <c r="A844" s="20"/>
      <c r="B844" s="18"/>
      <c r="C844" s="18"/>
      <c r="D844" s="20"/>
      <c r="E844" s="18"/>
      <c r="F844" s="18"/>
      <c r="G844" s="20"/>
      <c r="H844" s="18"/>
      <c r="I844" s="20"/>
      <c r="J844" s="18"/>
    </row>
    <row r="845" spans="1:10">
      <c r="A845" s="20"/>
      <c r="B845" s="18"/>
      <c r="C845" s="18"/>
      <c r="D845" s="20"/>
      <c r="E845" s="18"/>
      <c r="F845" s="18"/>
      <c r="G845" s="20"/>
      <c r="H845" s="18"/>
      <c r="I845" s="20"/>
      <c r="J845" s="18"/>
    </row>
    <row r="846" spans="1:10">
      <c r="A846" s="20"/>
      <c r="B846" s="18"/>
      <c r="C846" s="18"/>
      <c r="D846" s="20"/>
      <c r="E846" s="18"/>
      <c r="F846" s="18"/>
      <c r="G846" s="20"/>
      <c r="H846" s="18"/>
      <c r="I846" s="20"/>
      <c r="J846" s="18"/>
    </row>
    <row r="847" spans="1:10">
      <c r="A847" s="20"/>
      <c r="B847" s="18"/>
      <c r="C847" s="18"/>
      <c r="D847" s="20"/>
      <c r="E847" s="18"/>
      <c r="F847" s="18"/>
      <c r="G847" s="20"/>
      <c r="H847" s="18"/>
      <c r="I847" s="20"/>
      <c r="J847" s="18"/>
    </row>
    <row r="848" spans="1:10">
      <c r="A848" s="20"/>
      <c r="B848" s="18"/>
      <c r="C848" s="18"/>
      <c r="D848" s="20"/>
      <c r="E848" s="18"/>
      <c r="F848" s="18"/>
      <c r="G848" s="20"/>
      <c r="H848" s="18"/>
      <c r="I848" s="20"/>
      <c r="J848" s="18"/>
    </row>
    <row r="849" spans="1:10">
      <c r="A849" s="20"/>
      <c r="B849" s="18"/>
      <c r="C849" s="18"/>
      <c r="D849" s="20"/>
      <c r="E849" s="18"/>
      <c r="F849" s="18"/>
      <c r="G849" s="20"/>
      <c r="H849" s="18"/>
      <c r="I849" s="20"/>
      <c r="J849" s="18"/>
    </row>
    <row r="850" spans="1:10">
      <c r="A850" s="20"/>
      <c r="B850" s="18"/>
      <c r="C850" s="18"/>
      <c r="D850" s="20"/>
      <c r="E850" s="18"/>
      <c r="F850" s="18"/>
      <c r="G850" s="20"/>
      <c r="H850" s="18"/>
      <c r="I850" s="20"/>
      <c r="J850" s="18"/>
    </row>
    <row r="851" spans="1:10">
      <c r="A851" s="20"/>
      <c r="B851" s="18"/>
      <c r="C851" s="18"/>
      <c r="D851" s="20"/>
      <c r="E851" s="18"/>
      <c r="F851" s="18"/>
      <c r="G851" s="20"/>
      <c r="H851" s="18"/>
      <c r="I851" s="20"/>
      <c r="J851" s="18"/>
    </row>
    <row r="852" spans="1:10">
      <c r="A852" s="20"/>
      <c r="B852" s="18"/>
      <c r="C852" s="18"/>
      <c r="D852" s="20"/>
      <c r="E852" s="18"/>
      <c r="F852" s="18"/>
      <c r="G852" s="20"/>
      <c r="H852" s="18"/>
      <c r="I852" s="20"/>
      <c r="J852" s="18"/>
    </row>
    <row r="853" spans="1:10">
      <c r="A853" s="20"/>
      <c r="B853" s="18"/>
      <c r="C853" s="18"/>
      <c r="D853" s="20"/>
      <c r="E853" s="18"/>
      <c r="F853" s="18"/>
      <c r="G853" s="20"/>
      <c r="H853" s="18"/>
      <c r="I853" s="20"/>
      <c r="J853" s="18"/>
    </row>
    <row r="854" spans="1:10">
      <c r="A854" s="20"/>
      <c r="B854" s="18"/>
      <c r="C854" s="18"/>
      <c r="D854" s="20"/>
      <c r="E854" s="18"/>
      <c r="F854" s="18"/>
      <c r="G854" s="20"/>
      <c r="H854" s="18"/>
      <c r="I854" s="20"/>
      <c r="J854" s="18"/>
    </row>
    <row r="855" spans="1:10">
      <c r="A855" s="20"/>
      <c r="B855" s="18"/>
      <c r="C855" s="18"/>
      <c r="D855" s="20"/>
      <c r="E855" s="18"/>
      <c r="F855" s="18"/>
      <c r="G855" s="20"/>
      <c r="H855" s="18"/>
      <c r="I855" s="20"/>
      <c r="J855" s="18"/>
    </row>
    <row r="856" spans="1:10">
      <c r="A856" s="20"/>
      <c r="B856" s="18"/>
      <c r="C856" s="18"/>
      <c r="D856" s="20"/>
      <c r="E856" s="18"/>
      <c r="F856" s="18"/>
      <c r="G856" s="20"/>
      <c r="H856" s="18"/>
      <c r="I856" s="20"/>
      <c r="J856" s="18"/>
    </row>
    <row r="857" spans="1:10">
      <c r="A857" s="20"/>
      <c r="B857" s="18"/>
      <c r="C857" s="18"/>
      <c r="D857" s="20"/>
      <c r="E857" s="18"/>
      <c r="F857" s="18"/>
      <c r="G857" s="20"/>
      <c r="H857" s="18"/>
      <c r="I857" s="20"/>
      <c r="J857" s="18"/>
    </row>
    <row r="858" spans="1:10">
      <c r="A858" s="20"/>
      <c r="B858" s="18"/>
      <c r="C858" s="18"/>
      <c r="D858" s="20"/>
      <c r="E858" s="18"/>
      <c r="F858" s="18"/>
      <c r="G858" s="20"/>
      <c r="H858" s="18"/>
      <c r="I858" s="20"/>
      <c r="J858" s="18"/>
    </row>
    <row r="859" spans="1:10">
      <c r="A859" s="20"/>
      <c r="B859" s="18"/>
      <c r="C859" s="18"/>
      <c r="D859" s="20"/>
      <c r="E859" s="18"/>
      <c r="F859" s="18"/>
      <c r="G859" s="20"/>
      <c r="H859" s="18"/>
      <c r="I859" s="20"/>
      <c r="J859" s="18"/>
    </row>
    <row r="860" spans="1:10">
      <c r="A860" s="20"/>
      <c r="B860" s="18"/>
      <c r="C860" s="18"/>
      <c r="D860" s="20"/>
      <c r="E860" s="18"/>
      <c r="F860" s="18"/>
      <c r="G860" s="20"/>
      <c r="H860" s="18"/>
      <c r="I860" s="20"/>
      <c r="J860" s="18"/>
    </row>
    <row r="861" spans="1:10">
      <c r="A861" s="20"/>
      <c r="B861" s="18"/>
      <c r="C861" s="18"/>
      <c r="D861" s="20"/>
      <c r="E861" s="18"/>
      <c r="F861" s="18"/>
      <c r="G861" s="20"/>
      <c r="H861" s="18"/>
      <c r="I861" s="20"/>
      <c r="J861" s="18"/>
    </row>
    <row r="862" spans="1:10">
      <c r="A862" s="20"/>
      <c r="B862" s="18"/>
      <c r="C862" s="18"/>
      <c r="D862" s="20"/>
      <c r="E862" s="18"/>
      <c r="F862" s="18"/>
      <c r="G862" s="20"/>
      <c r="H862" s="18"/>
      <c r="I862" s="20"/>
      <c r="J862" s="18"/>
    </row>
    <row r="863" spans="1:10">
      <c r="A863" s="20"/>
      <c r="B863" s="18"/>
      <c r="C863" s="18"/>
      <c r="D863" s="20"/>
      <c r="E863" s="18"/>
      <c r="F863" s="18"/>
      <c r="G863" s="20"/>
      <c r="H863" s="18"/>
      <c r="I863" s="20"/>
      <c r="J863" s="18"/>
    </row>
    <row r="864" spans="1:10">
      <c r="A864" s="20"/>
      <c r="B864" s="18"/>
      <c r="C864" s="18"/>
      <c r="D864" s="20"/>
      <c r="E864" s="18"/>
      <c r="F864" s="18"/>
      <c r="G864" s="20"/>
      <c r="H864" s="18"/>
      <c r="I864" s="20"/>
      <c r="J864" s="18"/>
    </row>
    <row r="865" spans="1:10">
      <c r="A865" s="20"/>
      <c r="B865" s="18"/>
      <c r="C865" s="18"/>
      <c r="D865" s="20"/>
      <c r="E865" s="18"/>
      <c r="F865" s="18"/>
      <c r="G865" s="20"/>
      <c r="H865" s="18"/>
      <c r="I865" s="20"/>
      <c r="J865" s="18"/>
    </row>
    <row r="866" spans="1:10">
      <c r="A866" s="20"/>
      <c r="B866" s="18"/>
      <c r="C866" s="18"/>
      <c r="D866" s="20"/>
      <c r="E866" s="18"/>
      <c r="F866" s="18"/>
      <c r="G866" s="20"/>
      <c r="H866" s="18"/>
      <c r="I866" s="20"/>
      <c r="J866" s="18"/>
    </row>
    <row r="867" spans="1:10">
      <c r="A867" s="20"/>
      <c r="B867" s="18"/>
      <c r="C867" s="18"/>
      <c r="D867" s="20"/>
      <c r="E867" s="18"/>
      <c r="F867" s="18"/>
      <c r="G867" s="20"/>
      <c r="H867" s="18"/>
      <c r="I867" s="20"/>
      <c r="J867" s="18"/>
    </row>
    <row r="868" spans="1:10">
      <c r="A868" s="20"/>
      <c r="B868" s="18"/>
      <c r="C868" s="18"/>
      <c r="D868" s="20"/>
      <c r="E868" s="18"/>
      <c r="F868" s="18"/>
      <c r="G868" s="20"/>
      <c r="H868" s="18"/>
      <c r="I868" s="20"/>
      <c r="J868" s="18"/>
    </row>
    <row r="869" spans="1:10">
      <c r="A869" s="20"/>
      <c r="B869" s="18"/>
      <c r="C869" s="18"/>
      <c r="D869" s="20"/>
      <c r="E869" s="18"/>
      <c r="F869" s="18"/>
      <c r="G869" s="20"/>
      <c r="H869" s="18"/>
      <c r="I869" s="20"/>
      <c r="J869" s="18"/>
    </row>
    <row r="870" spans="1:10">
      <c r="A870" s="20"/>
      <c r="B870" s="18"/>
      <c r="C870" s="18"/>
      <c r="D870" s="20"/>
      <c r="E870" s="18"/>
      <c r="F870" s="18"/>
      <c r="G870" s="20"/>
      <c r="H870" s="18"/>
      <c r="I870" s="20"/>
      <c r="J870" s="18"/>
    </row>
    <row r="871" spans="1:10">
      <c r="A871" s="20"/>
      <c r="B871" s="18"/>
      <c r="C871" s="18"/>
      <c r="D871" s="20"/>
      <c r="E871" s="18"/>
      <c r="F871" s="18"/>
      <c r="G871" s="20"/>
      <c r="H871" s="18"/>
      <c r="I871" s="20"/>
      <c r="J871" s="18"/>
    </row>
    <row r="872" spans="1:10">
      <c r="A872" s="20"/>
      <c r="B872" s="18"/>
      <c r="C872" s="18"/>
      <c r="D872" s="20"/>
      <c r="E872" s="18"/>
      <c r="F872" s="18"/>
      <c r="G872" s="20"/>
      <c r="H872" s="18"/>
      <c r="I872" s="20"/>
      <c r="J872" s="18"/>
    </row>
    <row r="873" spans="1:10">
      <c r="A873" s="20"/>
      <c r="B873" s="18"/>
      <c r="C873" s="18"/>
      <c r="D873" s="20"/>
      <c r="E873" s="18"/>
      <c r="F873" s="18"/>
      <c r="G873" s="20"/>
      <c r="H873" s="18"/>
      <c r="I873" s="20"/>
      <c r="J873" s="18"/>
    </row>
    <row r="874" spans="1:10">
      <c r="A874" s="20"/>
      <c r="B874" s="18"/>
      <c r="C874" s="18"/>
      <c r="D874" s="20"/>
      <c r="E874" s="18"/>
      <c r="F874" s="18"/>
      <c r="G874" s="20"/>
      <c r="H874" s="18"/>
      <c r="I874" s="20"/>
      <c r="J874" s="18"/>
    </row>
    <row r="875" spans="1:10">
      <c r="A875" s="20"/>
      <c r="B875" s="18"/>
      <c r="C875" s="18"/>
      <c r="D875" s="20"/>
      <c r="E875" s="18"/>
      <c r="F875" s="18"/>
      <c r="G875" s="20"/>
      <c r="H875" s="18"/>
      <c r="I875" s="20"/>
      <c r="J875" s="18"/>
    </row>
    <row r="876" spans="1:10">
      <c r="A876" s="20"/>
      <c r="B876" s="18"/>
      <c r="C876" s="18"/>
      <c r="D876" s="20"/>
      <c r="E876" s="18"/>
      <c r="F876" s="18"/>
      <c r="G876" s="20"/>
      <c r="H876" s="18"/>
      <c r="I876" s="20"/>
      <c r="J876" s="18"/>
    </row>
    <row r="877" spans="1:10">
      <c r="A877" s="20"/>
      <c r="B877" s="18"/>
      <c r="C877" s="18"/>
      <c r="D877" s="20"/>
      <c r="E877" s="18"/>
      <c r="F877" s="18"/>
      <c r="G877" s="20"/>
      <c r="H877" s="18"/>
      <c r="I877" s="20"/>
      <c r="J877" s="18"/>
    </row>
    <row r="878" spans="1:10">
      <c r="A878" s="20"/>
      <c r="B878" s="18"/>
      <c r="C878" s="18"/>
      <c r="D878" s="20"/>
      <c r="E878" s="18"/>
      <c r="F878" s="18"/>
      <c r="G878" s="20"/>
      <c r="H878" s="18"/>
      <c r="I878" s="20"/>
      <c r="J878" s="18"/>
    </row>
    <row r="879" spans="1:10">
      <c r="A879" s="20"/>
      <c r="B879" s="18"/>
      <c r="C879" s="18"/>
      <c r="D879" s="20"/>
      <c r="E879" s="18"/>
      <c r="F879" s="18"/>
      <c r="G879" s="20"/>
      <c r="H879" s="18"/>
      <c r="I879" s="20"/>
      <c r="J879" s="18"/>
    </row>
    <row r="880" spans="1:10">
      <c r="A880" s="20"/>
      <c r="B880" s="18"/>
      <c r="C880" s="18"/>
      <c r="D880" s="20"/>
      <c r="E880" s="18"/>
      <c r="F880" s="18"/>
      <c r="G880" s="20"/>
      <c r="H880" s="18"/>
      <c r="I880" s="20"/>
      <c r="J880" s="18"/>
    </row>
    <row r="881" spans="1:10">
      <c r="A881" s="20"/>
      <c r="B881" s="18"/>
      <c r="C881" s="18"/>
      <c r="D881" s="20"/>
      <c r="E881" s="18"/>
      <c r="F881" s="18"/>
      <c r="G881" s="20"/>
      <c r="H881" s="18"/>
      <c r="I881" s="20"/>
      <c r="J881" s="18"/>
    </row>
    <row r="882" spans="1:10">
      <c r="A882" s="20"/>
      <c r="B882" s="18"/>
      <c r="C882" s="18"/>
      <c r="D882" s="20"/>
      <c r="E882" s="18"/>
      <c r="F882" s="18"/>
      <c r="G882" s="20"/>
      <c r="H882" s="18"/>
      <c r="I882" s="20"/>
      <c r="J882" s="18"/>
    </row>
    <row r="883" spans="1:10">
      <c r="A883" s="20"/>
      <c r="B883" s="18"/>
      <c r="C883" s="18"/>
      <c r="D883" s="20"/>
      <c r="E883" s="18"/>
      <c r="F883" s="18"/>
      <c r="G883" s="20"/>
      <c r="H883" s="18"/>
      <c r="I883" s="20"/>
      <c r="J883" s="18"/>
    </row>
    <row r="884" spans="1:10">
      <c r="A884" s="20"/>
      <c r="B884" s="18"/>
      <c r="C884" s="18"/>
      <c r="D884" s="20"/>
      <c r="E884" s="18"/>
      <c r="F884" s="18"/>
      <c r="G884" s="20"/>
      <c r="H884" s="18"/>
      <c r="I884" s="20"/>
      <c r="J884" s="18"/>
    </row>
    <row r="885" spans="1:10">
      <c r="A885" s="20"/>
      <c r="B885" s="18"/>
      <c r="C885" s="18"/>
      <c r="D885" s="20"/>
      <c r="E885" s="18"/>
      <c r="F885" s="18"/>
      <c r="G885" s="20"/>
      <c r="H885" s="18"/>
      <c r="I885" s="20"/>
      <c r="J885" s="18"/>
    </row>
    <row r="886" spans="1:10">
      <c r="A886" s="20"/>
      <c r="B886" s="18"/>
      <c r="C886" s="18"/>
      <c r="D886" s="20"/>
      <c r="E886" s="18"/>
      <c r="F886" s="18"/>
      <c r="G886" s="20"/>
      <c r="H886" s="18"/>
      <c r="I886" s="20"/>
      <c r="J886" s="18"/>
    </row>
    <row r="887" spans="1:10">
      <c r="A887" s="20"/>
      <c r="B887" s="18"/>
      <c r="C887" s="18"/>
      <c r="D887" s="20"/>
      <c r="E887" s="18"/>
      <c r="F887" s="18"/>
      <c r="G887" s="20"/>
      <c r="H887" s="18"/>
      <c r="I887" s="20"/>
      <c r="J887" s="18"/>
    </row>
    <row r="888" spans="1:10">
      <c r="A888" s="20"/>
      <c r="B888" s="18"/>
      <c r="C888" s="18"/>
      <c r="D888" s="20"/>
      <c r="E888" s="18"/>
      <c r="F888" s="18"/>
      <c r="G888" s="20"/>
      <c r="H888" s="18"/>
      <c r="I888" s="20"/>
      <c r="J888" s="18"/>
    </row>
    <row r="889" spans="1:10">
      <c r="A889" s="20"/>
      <c r="B889" s="18"/>
      <c r="C889" s="18"/>
      <c r="D889" s="20"/>
      <c r="E889" s="18"/>
      <c r="F889" s="18"/>
      <c r="G889" s="20"/>
      <c r="H889" s="18"/>
      <c r="I889" s="20"/>
      <c r="J889" s="18"/>
    </row>
    <row r="890" spans="1:10">
      <c r="A890" s="20"/>
      <c r="B890" s="18"/>
      <c r="C890" s="18"/>
      <c r="D890" s="20"/>
      <c r="E890" s="18"/>
      <c r="F890" s="18"/>
      <c r="G890" s="20"/>
      <c r="H890" s="18"/>
      <c r="I890" s="20"/>
      <c r="J890" s="18"/>
    </row>
    <row r="891" spans="1:10">
      <c r="A891" s="20"/>
      <c r="B891" s="18"/>
      <c r="C891" s="18"/>
      <c r="D891" s="20"/>
      <c r="E891" s="18"/>
      <c r="F891" s="18"/>
      <c r="G891" s="20"/>
      <c r="H891" s="18"/>
      <c r="I891" s="20"/>
      <c r="J891" s="18"/>
    </row>
    <row r="892" spans="1:10">
      <c r="A892" s="20"/>
      <c r="B892" s="18"/>
      <c r="C892" s="18"/>
      <c r="D892" s="20"/>
      <c r="E892" s="18"/>
      <c r="F892" s="18"/>
      <c r="G892" s="20"/>
      <c r="H892" s="18"/>
      <c r="I892" s="20"/>
      <c r="J892" s="18"/>
    </row>
    <row r="893" spans="1:10">
      <c r="A893" s="20"/>
      <c r="B893" s="18"/>
      <c r="C893" s="18"/>
      <c r="D893" s="20"/>
      <c r="E893" s="18"/>
      <c r="F893" s="18"/>
      <c r="G893" s="20"/>
      <c r="H893" s="18"/>
      <c r="I893" s="20"/>
      <c r="J893" s="18"/>
    </row>
    <row r="894" spans="1:10">
      <c r="A894" s="20"/>
      <c r="B894" s="18"/>
      <c r="C894" s="18"/>
      <c r="D894" s="20"/>
      <c r="E894" s="18"/>
      <c r="F894" s="18"/>
      <c r="G894" s="20"/>
      <c r="H894" s="18"/>
      <c r="I894" s="20"/>
      <c r="J894" s="18"/>
    </row>
    <row r="895" spans="1:10">
      <c r="A895" s="20"/>
      <c r="B895" s="18"/>
      <c r="C895" s="18"/>
      <c r="D895" s="20"/>
      <c r="E895" s="18"/>
      <c r="F895" s="18"/>
      <c r="G895" s="20"/>
      <c r="H895" s="18"/>
      <c r="I895" s="20"/>
      <c r="J895" s="18"/>
    </row>
    <row r="896" spans="1:10">
      <c r="A896" s="20"/>
      <c r="B896" s="18"/>
      <c r="C896" s="18"/>
      <c r="D896" s="20"/>
      <c r="E896" s="18"/>
      <c r="F896" s="18"/>
      <c r="G896" s="20"/>
      <c r="H896" s="18"/>
      <c r="I896" s="20"/>
      <c r="J896" s="18"/>
    </row>
    <row r="897" spans="1:10">
      <c r="A897" s="20"/>
      <c r="B897" s="18"/>
      <c r="C897" s="18"/>
      <c r="D897" s="20"/>
      <c r="E897" s="18"/>
      <c r="F897" s="18"/>
      <c r="G897" s="20"/>
      <c r="H897" s="18"/>
      <c r="I897" s="20"/>
      <c r="J897" s="18"/>
    </row>
    <row r="898" spans="1:10">
      <c r="A898" s="20"/>
      <c r="B898" s="18"/>
      <c r="C898" s="18"/>
      <c r="D898" s="20"/>
      <c r="E898" s="18"/>
      <c r="F898" s="18"/>
      <c r="G898" s="20"/>
      <c r="H898" s="18"/>
      <c r="I898" s="20"/>
      <c r="J898" s="18"/>
    </row>
    <row r="899" spans="1:10">
      <c r="A899" s="20"/>
      <c r="B899" s="18"/>
      <c r="C899" s="18"/>
      <c r="D899" s="20"/>
      <c r="E899" s="18"/>
      <c r="F899" s="18"/>
      <c r="G899" s="20"/>
      <c r="H899" s="18"/>
      <c r="I899" s="20"/>
      <c r="J899" s="18"/>
    </row>
    <row r="900" spans="1:10">
      <c r="A900" s="20"/>
      <c r="B900" s="18"/>
      <c r="C900" s="18"/>
      <c r="D900" s="20"/>
      <c r="E900" s="18"/>
      <c r="F900" s="18"/>
      <c r="G900" s="20"/>
      <c r="H900" s="18"/>
      <c r="I900" s="20"/>
      <c r="J900" s="18"/>
    </row>
    <row r="901" spans="1:10">
      <c r="A901" s="20"/>
      <c r="B901" s="18"/>
      <c r="C901" s="18"/>
      <c r="D901" s="20"/>
      <c r="E901" s="18"/>
      <c r="F901" s="18"/>
      <c r="G901" s="20"/>
      <c r="H901" s="18"/>
      <c r="I901" s="20"/>
      <c r="J901" s="18"/>
    </row>
    <row r="902" spans="1:10">
      <c r="A902" s="20"/>
      <c r="B902" s="18"/>
      <c r="C902" s="18"/>
      <c r="D902" s="20"/>
      <c r="E902" s="18"/>
      <c r="F902" s="18"/>
      <c r="G902" s="20"/>
      <c r="H902" s="18"/>
      <c r="I902" s="20"/>
      <c r="J902" s="18"/>
    </row>
    <row r="903" spans="1:10">
      <c r="A903" s="20"/>
      <c r="B903" s="18"/>
      <c r="C903" s="18"/>
      <c r="D903" s="20"/>
      <c r="E903" s="18"/>
      <c r="F903" s="18"/>
      <c r="G903" s="20"/>
      <c r="H903" s="18"/>
      <c r="I903" s="20"/>
      <c r="J903" s="18"/>
    </row>
    <row r="904" spans="1:10">
      <c r="A904" s="20"/>
      <c r="B904" s="18"/>
      <c r="C904" s="18"/>
      <c r="D904" s="20"/>
      <c r="E904" s="18"/>
      <c r="F904" s="18"/>
      <c r="G904" s="20"/>
      <c r="H904" s="18"/>
      <c r="I904" s="20"/>
      <c r="J904" s="18"/>
    </row>
    <row r="905" spans="1:10">
      <c r="A905" s="20"/>
      <c r="B905" s="18"/>
      <c r="C905" s="18"/>
      <c r="D905" s="20"/>
      <c r="E905" s="18"/>
      <c r="F905" s="18"/>
      <c r="G905" s="20"/>
      <c r="H905" s="18"/>
      <c r="I905" s="20"/>
      <c r="J905" s="18"/>
    </row>
    <row r="906" spans="1:10">
      <c r="A906" s="20"/>
      <c r="B906" s="18"/>
      <c r="C906" s="18"/>
      <c r="D906" s="20"/>
      <c r="E906" s="18"/>
      <c r="F906" s="18"/>
      <c r="G906" s="20"/>
      <c r="H906" s="18"/>
      <c r="I906" s="20"/>
      <c r="J906" s="18"/>
    </row>
    <row r="907" spans="1:10">
      <c r="A907" s="20"/>
      <c r="B907" s="18"/>
      <c r="C907" s="18"/>
      <c r="D907" s="20"/>
      <c r="E907" s="18"/>
      <c r="F907" s="18"/>
      <c r="G907" s="20"/>
      <c r="H907" s="18"/>
      <c r="I907" s="20"/>
      <c r="J907" s="18"/>
    </row>
    <row r="908" spans="1:10">
      <c r="A908" s="20"/>
      <c r="B908" s="18"/>
      <c r="C908" s="18"/>
      <c r="D908" s="20"/>
      <c r="E908" s="18"/>
      <c r="F908" s="18"/>
      <c r="G908" s="20"/>
      <c r="H908" s="18"/>
      <c r="I908" s="20"/>
      <c r="J908" s="18"/>
    </row>
    <row r="909" spans="1:10">
      <c r="A909" s="20"/>
      <c r="B909" s="18"/>
      <c r="C909" s="18"/>
      <c r="D909" s="20"/>
      <c r="E909" s="18"/>
      <c r="F909" s="18"/>
      <c r="G909" s="20"/>
      <c r="H909" s="18"/>
      <c r="I909" s="20"/>
      <c r="J909" s="18"/>
    </row>
    <row r="910" spans="1:10">
      <c r="A910" s="20"/>
      <c r="B910" s="18"/>
      <c r="C910" s="18"/>
      <c r="D910" s="20"/>
      <c r="E910" s="18"/>
      <c r="F910" s="18"/>
      <c r="G910" s="20"/>
      <c r="H910" s="18"/>
      <c r="I910" s="20"/>
      <c r="J910" s="18"/>
    </row>
    <row r="911" spans="1:10">
      <c r="A911" s="20"/>
      <c r="B911" s="18"/>
      <c r="C911" s="18"/>
      <c r="D911" s="20"/>
      <c r="E911" s="18"/>
      <c r="F911" s="18"/>
      <c r="G911" s="20"/>
      <c r="H911" s="18"/>
      <c r="I911" s="20"/>
      <c r="J911" s="18"/>
    </row>
    <row r="912" spans="1:10">
      <c r="A912" s="20"/>
      <c r="B912" s="18"/>
      <c r="C912" s="18"/>
      <c r="D912" s="20"/>
      <c r="E912" s="18"/>
      <c r="F912" s="18"/>
      <c r="G912" s="20"/>
      <c r="H912" s="18"/>
      <c r="I912" s="20"/>
      <c r="J912" s="18"/>
    </row>
    <row r="913" spans="1:10">
      <c r="A913" s="20"/>
      <c r="B913" s="18"/>
      <c r="C913" s="18"/>
      <c r="D913" s="20"/>
      <c r="E913" s="18"/>
      <c r="F913" s="18"/>
      <c r="G913" s="20"/>
      <c r="H913" s="18"/>
      <c r="I913" s="20"/>
      <c r="J913" s="18"/>
    </row>
    <row r="914" spans="1:10">
      <c r="A914" s="20"/>
      <c r="B914" s="18"/>
      <c r="C914" s="18"/>
      <c r="D914" s="20"/>
      <c r="E914" s="18"/>
      <c r="F914" s="18"/>
      <c r="G914" s="20"/>
      <c r="H914" s="18"/>
      <c r="I914" s="20"/>
      <c r="J914" s="18"/>
    </row>
    <row r="915" spans="1:10">
      <c r="A915" s="20"/>
      <c r="B915" s="18"/>
      <c r="C915" s="18"/>
      <c r="D915" s="20"/>
      <c r="E915" s="18"/>
      <c r="F915" s="18"/>
      <c r="G915" s="20"/>
      <c r="H915" s="18"/>
      <c r="I915" s="20"/>
      <c r="J915" s="18"/>
    </row>
    <row r="916" spans="1:10">
      <c r="A916" s="20"/>
      <c r="B916" s="18"/>
      <c r="C916" s="18"/>
      <c r="D916" s="20"/>
      <c r="E916" s="18"/>
      <c r="F916" s="18"/>
      <c r="G916" s="20"/>
      <c r="H916" s="18"/>
      <c r="I916" s="20"/>
      <c r="J916" s="18"/>
    </row>
    <row r="917" spans="1:10">
      <c r="A917" s="20"/>
      <c r="B917" s="18"/>
      <c r="C917" s="18"/>
      <c r="D917" s="20"/>
      <c r="E917" s="18"/>
      <c r="F917" s="18"/>
      <c r="G917" s="20"/>
      <c r="H917" s="18"/>
      <c r="I917" s="20"/>
      <c r="J917" s="18"/>
    </row>
    <row r="918" spans="1:10">
      <c r="A918" s="20"/>
      <c r="B918" s="18"/>
      <c r="C918" s="18"/>
      <c r="D918" s="20"/>
      <c r="E918" s="18"/>
      <c r="F918" s="18"/>
      <c r="G918" s="20"/>
      <c r="H918" s="18"/>
      <c r="I918" s="20"/>
      <c r="J918" s="18"/>
    </row>
    <row r="919" spans="1:10">
      <c r="A919" s="20"/>
      <c r="B919" s="18"/>
      <c r="C919" s="18"/>
      <c r="D919" s="20"/>
      <c r="E919" s="18"/>
      <c r="F919" s="18"/>
      <c r="G919" s="20"/>
      <c r="H919" s="18"/>
      <c r="I919" s="20"/>
      <c r="J919" s="18"/>
    </row>
    <row r="920" spans="1:10">
      <c r="A920" s="20"/>
      <c r="B920" s="18"/>
      <c r="C920" s="18"/>
      <c r="D920" s="20"/>
      <c r="E920" s="18"/>
      <c r="F920" s="18"/>
      <c r="G920" s="20"/>
      <c r="H920" s="18"/>
      <c r="I920" s="20"/>
      <c r="J920" s="18"/>
    </row>
    <row r="921" spans="1:10">
      <c r="A921" s="20"/>
      <c r="B921" s="18"/>
      <c r="C921" s="18"/>
      <c r="D921" s="20"/>
      <c r="E921" s="18"/>
      <c r="F921" s="18"/>
      <c r="G921" s="20"/>
      <c r="H921" s="18"/>
      <c r="I921" s="20"/>
      <c r="J921" s="18"/>
    </row>
    <row r="922" spans="1:10">
      <c r="A922" s="20"/>
      <c r="B922" s="18"/>
      <c r="C922" s="18"/>
      <c r="D922" s="20"/>
      <c r="E922" s="18"/>
      <c r="F922" s="18"/>
      <c r="G922" s="20"/>
      <c r="H922" s="18"/>
      <c r="I922" s="20"/>
      <c r="J922" s="18"/>
    </row>
    <row r="923" spans="1:10">
      <c r="A923" s="20"/>
      <c r="B923" s="18"/>
      <c r="C923" s="18"/>
      <c r="D923" s="20"/>
      <c r="E923" s="18"/>
      <c r="F923" s="18"/>
      <c r="G923" s="20"/>
      <c r="H923" s="18"/>
      <c r="I923" s="20"/>
      <c r="J923" s="18"/>
    </row>
    <row r="924" spans="1:10">
      <c r="A924" s="20"/>
      <c r="B924" s="18"/>
      <c r="C924" s="18"/>
      <c r="D924" s="20"/>
      <c r="E924" s="18"/>
      <c r="F924" s="18"/>
      <c r="G924" s="20"/>
      <c r="H924" s="18"/>
      <c r="I924" s="20"/>
      <c r="J924" s="18"/>
    </row>
    <row r="925" spans="1:10">
      <c r="A925" s="20"/>
      <c r="B925" s="18"/>
      <c r="C925" s="18"/>
      <c r="D925" s="20"/>
      <c r="E925" s="18"/>
      <c r="F925" s="18"/>
      <c r="G925" s="20"/>
      <c r="H925" s="18"/>
      <c r="I925" s="20"/>
      <c r="J925" s="18"/>
    </row>
    <row r="926" spans="1:10">
      <c r="A926" s="20"/>
      <c r="B926" s="18"/>
      <c r="C926" s="18"/>
      <c r="D926" s="20"/>
      <c r="E926" s="18"/>
      <c r="F926" s="18"/>
      <c r="G926" s="20"/>
      <c r="H926" s="18"/>
      <c r="I926" s="20"/>
      <c r="J926" s="18"/>
    </row>
    <row r="927" spans="1:10">
      <c r="A927" s="20"/>
      <c r="B927" s="18"/>
      <c r="C927" s="18"/>
      <c r="D927" s="20"/>
      <c r="E927" s="18"/>
      <c r="F927" s="18"/>
      <c r="G927" s="20"/>
      <c r="H927" s="18"/>
      <c r="I927" s="20"/>
      <c r="J927" s="18"/>
    </row>
    <row r="928" spans="1:10">
      <c r="A928" s="20"/>
      <c r="B928" s="18"/>
      <c r="C928" s="18"/>
      <c r="D928" s="20"/>
      <c r="E928" s="18"/>
      <c r="F928" s="18"/>
      <c r="G928" s="20"/>
      <c r="H928" s="18"/>
      <c r="I928" s="20"/>
      <c r="J928" s="18"/>
    </row>
    <row r="929" spans="1:10">
      <c r="A929" s="20"/>
      <c r="B929" s="18"/>
      <c r="C929" s="18"/>
      <c r="D929" s="20"/>
      <c r="E929" s="18"/>
      <c r="F929" s="18"/>
      <c r="G929" s="20"/>
      <c r="H929" s="18"/>
      <c r="I929" s="20"/>
      <c r="J929" s="18"/>
    </row>
    <row r="930" spans="1:10">
      <c r="A930" s="20"/>
      <c r="B930" s="18"/>
      <c r="C930" s="18"/>
      <c r="D930" s="20"/>
      <c r="E930" s="18"/>
      <c r="F930" s="18"/>
      <c r="G930" s="20"/>
      <c r="H930" s="18"/>
      <c r="I930" s="20"/>
      <c r="J930" s="18"/>
    </row>
    <row r="931" spans="1:10">
      <c r="A931" s="20"/>
      <c r="B931" s="18"/>
      <c r="C931" s="18"/>
      <c r="D931" s="20"/>
      <c r="E931" s="18"/>
      <c r="F931" s="18"/>
      <c r="G931" s="20"/>
      <c r="H931" s="18"/>
      <c r="I931" s="20"/>
      <c r="J931" s="18"/>
    </row>
    <row r="932" spans="1:10">
      <c r="A932" s="20"/>
      <c r="B932" s="18"/>
      <c r="C932" s="18"/>
      <c r="D932" s="20"/>
      <c r="E932" s="18"/>
      <c r="F932" s="18"/>
      <c r="G932" s="20"/>
      <c r="H932" s="18"/>
      <c r="I932" s="20"/>
      <c r="J932" s="18"/>
    </row>
    <row r="933" spans="1:10">
      <c r="A933" s="20"/>
      <c r="B933" s="18"/>
      <c r="C933" s="18"/>
      <c r="D933" s="20"/>
      <c r="E933" s="18"/>
      <c r="F933" s="18"/>
      <c r="G933" s="20"/>
      <c r="H933" s="18"/>
      <c r="I933" s="20"/>
      <c r="J933" s="18"/>
    </row>
    <row r="934" spans="1:10">
      <c r="A934" s="20"/>
      <c r="B934" s="18"/>
      <c r="C934" s="18"/>
      <c r="D934" s="20"/>
      <c r="E934" s="18"/>
      <c r="F934" s="18"/>
      <c r="G934" s="20"/>
      <c r="H934" s="18"/>
      <c r="I934" s="20"/>
      <c r="J934" s="18"/>
    </row>
    <row r="935" spans="1:10">
      <c r="A935" s="20"/>
      <c r="B935" s="18"/>
      <c r="C935" s="18"/>
      <c r="D935" s="20"/>
      <c r="E935" s="18"/>
      <c r="F935" s="18"/>
      <c r="G935" s="20"/>
      <c r="H935" s="18"/>
      <c r="I935" s="20"/>
      <c r="J935" s="18"/>
    </row>
    <row r="936" spans="1:10">
      <c r="A936" s="20"/>
      <c r="B936" s="18"/>
      <c r="C936" s="18"/>
      <c r="D936" s="20"/>
      <c r="E936" s="18"/>
      <c r="F936" s="18"/>
      <c r="G936" s="20"/>
      <c r="H936" s="18"/>
      <c r="I936" s="20"/>
      <c r="J936" s="18"/>
    </row>
    <row r="937" spans="1:10">
      <c r="A937" s="20"/>
      <c r="B937" s="18"/>
      <c r="C937" s="18"/>
      <c r="D937" s="20"/>
      <c r="E937" s="18"/>
      <c r="F937" s="18"/>
      <c r="G937" s="20"/>
      <c r="H937" s="18"/>
      <c r="I937" s="20"/>
      <c r="J937" s="18"/>
    </row>
    <row r="938" spans="1:10">
      <c r="A938" s="20"/>
      <c r="B938" s="18"/>
      <c r="C938" s="18"/>
      <c r="D938" s="20"/>
      <c r="E938" s="18"/>
      <c r="F938" s="18"/>
      <c r="G938" s="20"/>
      <c r="H938" s="18"/>
      <c r="I938" s="20"/>
      <c r="J938" s="18"/>
    </row>
    <row r="939" spans="1:10">
      <c r="A939" s="20"/>
      <c r="B939" s="18"/>
      <c r="C939" s="18"/>
      <c r="D939" s="20"/>
      <c r="E939" s="18"/>
      <c r="F939" s="18"/>
      <c r="G939" s="20"/>
      <c r="H939" s="18"/>
      <c r="I939" s="20"/>
      <c r="J939" s="18"/>
    </row>
    <row r="940" spans="1:10">
      <c r="A940" s="20"/>
      <c r="B940" s="18"/>
      <c r="C940" s="18"/>
      <c r="D940" s="20"/>
      <c r="E940" s="18"/>
      <c r="F940" s="18"/>
      <c r="G940" s="20"/>
      <c r="H940" s="18"/>
      <c r="I940" s="20"/>
      <c r="J940" s="18"/>
    </row>
    <row r="941" spans="1:10">
      <c r="A941" s="20"/>
      <c r="B941" s="18"/>
      <c r="C941" s="18"/>
      <c r="D941" s="20"/>
      <c r="E941" s="18"/>
      <c r="F941" s="18"/>
      <c r="G941" s="20"/>
      <c r="H941" s="18"/>
      <c r="I941" s="20"/>
      <c r="J941" s="18"/>
    </row>
    <row r="942" spans="1:10">
      <c r="A942" s="20"/>
      <c r="B942" s="18"/>
      <c r="C942" s="18"/>
      <c r="D942" s="20"/>
      <c r="E942" s="18"/>
      <c r="F942" s="18"/>
      <c r="G942" s="20"/>
      <c r="H942" s="18"/>
      <c r="I942" s="20"/>
      <c r="J942" s="18"/>
    </row>
    <row r="943" spans="1:10">
      <c r="A943" s="20"/>
      <c r="B943" s="18"/>
      <c r="C943" s="18"/>
      <c r="D943" s="20"/>
      <c r="E943" s="18"/>
      <c r="F943" s="18"/>
      <c r="G943" s="20"/>
      <c r="H943" s="18"/>
      <c r="I943" s="20"/>
      <c r="J943" s="18"/>
    </row>
    <row r="944" spans="1:10">
      <c r="A944" s="20"/>
      <c r="B944" s="18"/>
      <c r="C944" s="18"/>
      <c r="D944" s="20"/>
      <c r="E944" s="18"/>
      <c r="F944" s="18"/>
      <c r="G944" s="20"/>
      <c r="H944" s="18"/>
      <c r="I944" s="20"/>
      <c r="J944" s="18"/>
    </row>
    <row r="945" spans="1:10">
      <c r="A945" s="20"/>
      <c r="B945" s="18"/>
      <c r="C945" s="18"/>
      <c r="D945" s="20"/>
      <c r="E945" s="18"/>
      <c r="F945" s="18"/>
      <c r="G945" s="20"/>
      <c r="H945" s="18"/>
      <c r="I945" s="20"/>
      <c r="J945" s="18"/>
    </row>
    <row r="946" spans="1:10">
      <c r="A946" s="20"/>
      <c r="B946" s="18"/>
      <c r="C946" s="18"/>
      <c r="D946" s="20"/>
      <c r="E946" s="18"/>
      <c r="F946" s="18"/>
      <c r="G946" s="20"/>
      <c r="H946" s="18"/>
      <c r="I946" s="20"/>
      <c r="J946" s="18"/>
    </row>
    <row r="947" spans="1:10">
      <c r="A947" s="20"/>
      <c r="B947" s="18"/>
      <c r="C947" s="18"/>
      <c r="D947" s="20"/>
      <c r="E947" s="18"/>
      <c r="F947" s="18"/>
      <c r="G947" s="20"/>
      <c r="H947" s="18"/>
      <c r="I947" s="20"/>
      <c r="J947" s="18"/>
    </row>
    <row r="948" spans="1:10">
      <c r="A948" s="20"/>
      <c r="B948" s="18"/>
      <c r="C948" s="18"/>
      <c r="D948" s="20"/>
      <c r="E948" s="18"/>
      <c r="F948" s="18"/>
      <c r="G948" s="20"/>
      <c r="H948" s="18"/>
      <c r="I948" s="20"/>
      <c r="J948" s="18"/>
    </row>
    <row r="949" spans="1:10">
      <c r="A949" s="20"/>
      <c r="B949" s="18"/>
      <c r="C949" s="18"/>
      <c r="D949" s="20"/>
      <c r="E949" s="18"/>
      <c r="F949" s="18"/>
      <c r="G949" s="20"/>
      <c r="H949" s="18"/>
      <c r="I949" s="20"/>
      <c r="J949" s="18"/>
    </row>
    <row r="950" spans="1:10">
      <c r="A950" s="20"/>
      <c r="B950" s="18"/>
      <c r="C950" s="18"/>
      <c r="D950" s="20"/>
      <c r="E950" s="18"/>
      <c r="F950" s="18"/>
      <c r="G950" s="20"/>
      <c r="H950" s="18"/>
      <c r="I950" s="20"/>
      <c r="J950" s="18"/>
    </row>
    <row r="951" spans="1:10">
      <c r="A951" s="20"/>
      <c r="B951" s="18"/>
      <c r="C951" s="18"/>
      <c r="D951" s="20"/>
      <c r="E951" s="18"/>
      <c r="F951" s="18"/>
      <c r="G951" s="20"/>
      <c r="H951" s="18"/>
      <c r="I951" s="20"/>
      <c r="J951" s="18"/>
    </row>
    <row r="952" spans="1:10">
      <c r="A952" s="20"/>
      <c r="B952" s="18"/>
      <c r="C952" s="18"/>
      <c r="D952" s="20"/>
      <c r="E952" s="18"/>
      <c r="F952" s="18"/>
      <c r="G952" s="20"/>
      <c r="H952" s="18"/>
      <c r="I952" s="20"/>
      <c r="J952" s="18"/>
    </row>
    <row r="953" spans="1:10">
      <c r="A953" s="20"/>
      <c r="B953" s="18"/>
      <c r="C953" s="18"/>
      <c r="D953" s="20"/>
      <c r="E953" s="18"/>
      <c r="F953" s="18"/>
      <c r="G953" s="20"/>
      <c r="H953" s="18"/>
      <c r="I953" s="20"/>
      <c r="J953" s="18"/>
    </row>
    <row r="954" spans="1:10">
      <c r="A954" s="20"/>
      <c r="B954" s="18"/>
      <c r="C954" s="18"/>
      <c r="D954" s="20"/>
      <c r="E954" s="18"/>
      <c r="F954" s="18"/>
      <c r="G954" s="20"/>
      <c r="H954" s="18"/>
      <c r="I954" s="20"/>
      <c r="J954" s="18"/>
    </row>
    <row r="955" spans="1:10">
      <c r="A955" s="20"/>
      <c r="B955" s="18"/>
      <c r="C955" s="18"/>
      <c r="D955" s="20"/>
      <c r="E955" s="18"/>
      <c r="F955" s="18"/>
      <c r="G955" s="20"/>
      <c r="H955" s="18"/>
      <c r="I955" s="20"/>
      <c r="J955" s="18"/>
    </row>
    <row r="956" spans="1:10">
      <c r="A956" s="20"/>
      <c r="B956" s="18"/>
      <c r="C956" s="18"/>
      <c r="D956" s="20"/>
      <c r="E956" s="18"/>
      <c r="F956" s="18"/>
      <c r="G956" s="20"/>
      <c r="H956" s="18"/>
      <c r="I956" s="20"/>
      <c r="J956" s="18"/>
    </row>
    <row r="957" spans="1:10">
      <c r="A957" s="20"/>
      <c r="B957" s="18"/>
      <c r="C957" s="18"/>
      <c r="D957" s="20"/>
      <c r="E957" s="18"/>
      <c r="F957" s="18"/>
      <c r="G957" s="20"/>
      <c r="H957" s="18"/>
      <c r="I957" s="20"/>
      <c r="J957" s="18"/>
    </row>
    <row r="958" spans="1:10">
      <c r="A958" s="20"/>
      <c r="B958" s="18"/>
      <c r="C958" s="18"/>
      <c r="D958" s="20"/>
      <c r="E958" s="18"/>
      <c r="F958" s="18"/>
      <c r="G958" s="20"/>
      <c r="H958" s="18"/>
      <c r="I958" s="20"/>
      <c r="J958" s="18"/>
    </row>
    <row r="959" spans="1:10">
      <c r="A959" s="20"/>
      <c r="B959" s="18"/>
      <c r="C959" s="18"/>
      <c r="D959" s="20"/>
      <c r="E959" s="18"/>
      <c r="F959" s="18"/>
      <c r="G959" s="20"/>
      <c r="H959" s="18"/>
      <c r="I959" s="20"/>
      <c r="J959" s="18"/>
    </row>
    <row r="960" spans="1:10">
      <c r="A960" s="20"/>
      <c r="B960" s="18"/>
      <c r="C960" s="18"/>
      <c r="D960" s="20"/>
      <c r="E960" s="18"/>
      <c r="F960" s="18"/>
      <c r="G960" s="20"/>
      <c r="H960" s="18"/>
      <c r="I960" s="20"/>
      <c r="J960" s="18"/>
    </row>
    <row r="961" spans="1:10">
      <c r="A961" s="20"/>
      <c r="B961" s="18"/>
      <c r="C961" s="18"/>
      <c r="D961" s="20"/>
      <c r="E961" s="18"/>
      <c r="F961" s="18"/>
      <c r="G961" s="20"/>
      <c r="H961" s="18"/>
      <c r="I961" s="20"/>
      <c r="J961" s="18"/>
    </row>
    <row r="962" spans="1:10">
      <c r="A962" s="20"/>
      <c r="B962" s="18"/>
      <c r="C962" s="18"/>
      <c r="D962" s="20"/>
      <c r="E962" s="18"/>
      <c r="F962" s="18"/>
      <c r="G962" s="20"/>
      <c r="H962" s="18"/>
      <c r="I962" s="20"/>
      <c r="J962" s="18"/>
    </row>
    <row r="963" spans="1:10">
      <c r="A963" s="20"/>
      <c r="B963" s="18"/>
      <c r="C963" s="18"/>
      <c r="D963" s="20"/>
      <c r="E963" s="18"/>
      <c r="F963" s="18"/>
      <c r="G963" s="20"/>
      <c r="H963" s="18"/>
      <c r="I963" s="20"/>
      <c r="J963" s="18"/>
    </row>
    <row r="964" spans="1:10">
      <c r="A964" s="20"/>
      <c r="B964" s="18"/>
      <c r="C964" s="18"/>
      <c r="D964" s="20"/>
      <c r="E964" s="18"/>
      <c r="F964" s="18"/>
      <c r="G964" s="20"/>
      <c r="H964" s="18"/>
      <c r="I964" s="20"/>
      <c r="J964" s="18"/>
    </row>
    <row r="965" spans="1:10">
      <c r="A965" s="20"/>
      <c r="B965" s="18"/>
      <c r="C965" s="18"/>
      <c r="D965" s="20"/>
      <c r="E965" s="18"/>
      <c r="F965" s="18"/>
      <c r="G965" s="20"/>
      <c r="H965" s="18"/>
      <c r="I965" s="20"/>
      <c r="J965" s="18"/>
    </row>
    <row r="966" spans="1:10">
      <c r="A966" s="20"/>
      <c r="B966" s="18"/>
      <c r="C966" s="18"/>
      <c r="D966" s="20"/>
      <c r="E966" s="18"/>
      <c r="F966" s="18"/>
      <c r="G966" s="20"/>
      <c r="H966" s="18"/>
      <c r="I966" s="20"/>
      <c r="J966" s="18"/>
    </row>
    <row r="967" spans="1:10">
      <c r="A967" s="20"/>
      <c r="B967" s="18"/>
      <c r="C967" s="18"/>
      <c r="D967" s="20"/>
      <c r="E967" s="18"/>
      <c r="F967" s="18"/>
      <c r="G967" s="20"/>
      <c r="H967" s="18"/>
      <c r="I967" s="20"/>
      <c r="J967" s="18"/>
    </row>
    <row r="968" spans="1:10">
      <c r="A968" s="20"/>
      <c r="B968" s="18"/>
      <c r="C968" s="18"/>
      <c r="D968" s="20"/>
      <c r="E968" s="18"/>
      <c r="F968" s="18"/>
      <c r="G968" s="20"/>
      <c r="H968" s="18"/>
      <c r="I968" s="20"/>
      <c r="J968" s="18"/>
    </row>
    <row r="969" spans="1:10">
      <c r="A969" s="20"/>
      <c r="B969" s="18"/>
      <c r="C969" s="18"/>
      <c r="D969" s="20"/>
      <c r="E969" s="18"/>
      <c r="F969" s="18"/>
      <c r="G969" s="20"/>
      <c r="H969" s="18"/>
      <c r="I969" s="20"/>
      <c r="J969" s="18"/>
    </row>
    <row r="970" spans="1:10">
      <c r="A970" s="20"/>
      <c r="B970" s="18"/>
      <c r="C970" s="18"/>
      <c r="D970" s="20"/>
      <c r="E970" s="18"/>
      <c r="F970" s="18"/>
      <c r="G970" s="20"/>
      <c r="H970" s="18"/>
      <c r="I970" s="20"/>
      <c r="J970" s="18"/>
    </row>
    <row r="971" spans="1:10">
      <c r="A971" s="20"/>
      <c r="B971" s="18"/>
      <c r="C971" s="18"/>
      <c r="D971" s="20"/>
      <c r="E971" s="18"/>
      <c r="F971" s="18"/>
      <c r="G971" s="20"/>
      <c r="H971" s="18"/>
      <c r="I971" s="20"/>
      <c r="J971" s="18"/>
    </row>
    <row r="972" spans="1:10">
      <c r="A972" s="20"/>
      <c r="B972" s="18"/>
      <c r="C972" s="18"/>
      <c r="D972" s="20"/>
      <c r="E972" s="18"/>
      <c r="F972" s="18"/>
      <c r="G972" s="20"/>
      <c r="H972" s="18"/>
      <c r="I972" s="20"/>
      <c r="J972" s="18"/>
    </row>
    <row r="973" spans="1:10">
      <c r="A973" s="20"/>
      <c r="B973" s="18"/>
      <c r="C973" s="18"/>
      <c r="D973" s="20"/>
      <c r="E973" s="18"/>
      <c r="F973" s="18"/>
      <c r="G973" s="20"/>
      <c r="H973" s="18"/>
      <c r="I973" s="20"/>
      <c r="J973" s="18"/>
    </row>
    <row r="974" spans="1:10">
      <c r="A974" s="20"/>
      <c r="B974" s="18"/>
      <c r="C974" s="18"/>
      <c r="D974" s="20"/>
      <c r="E974" s="18"/>
      <c r="F974" s="18"/>
      <c r="G974" s="20"/>
      <c r="H974" s="18"/>
      <c r="I974" s="20"/>
      <c r="J974" s="18"/>
    </row>
    <row r="975" spans="1:10">
      <c r="A975" s="20"/>
      <c r="B975" s="18"/>
      <c r="C975" s="18"/>
      <c r="D975" s="20"/>
      <c r="E975" s="18"/>
      <c r="F975" s="18"/>
      <c r="G975" s="20"/>
      <c r="H975" s="18"/>
      <c r="I975" s="20"/>
      <c r="J975" s="18"/>
    </row>
    <row r="976" spans="1:10">
      <c r="A976" s="20"/>
      <c r="B976" s="18"/>
      <c r="C976" s="18"/>
      <c r="D976" s="20"/>
      <c r="E976" s="18"/>
      <c r="F976" s="18"/>
      <c r="G976" s="20"/>
      <c r="H976" s="18"/>
      <c r="I976" s="20"/>
      <c r="J976" s="18"/>
    </row>
    <row r="977" spans="1:10">
      <c r="A977" s="20"/>
      <c r="B977" s="18"/>
      <c r="C977" s="18"/>
      <c r="D977" s="20"/>
      <c r="E977" s="18"/>
      <c r="F977" s="18"/>
      <c r="G977" s="20"/>
      <c r="H977" s="18"/>
      <c r="I977" s="20"/>
      <c r="J977" s="18"/>
    </row>
    <row r="978" spans="1:10">
      <c r="A978" s="20"/>
      <c r="B978" s="18"/>
      <c r="C978" s="18"/>
      <c r="D978" s="20"/>
      <c r="E978" s="18"/>
      <c r="F978" s="18"/>
      <c r="G978" s="20"/>
      <c r="H978" s="18"/>
      <c r="I978" s="20"/>
      <c r="J978" s="18"/>
    </row>
    <row r="979" spans="1:10">
      <c r="A979" s="20"/>
      <c r="B979" s="18"/>
      <c r="C979" s="18"/>
      <c r="D979" s="20"/>
      <c r="E979" s="18"/>
      <c r="F979" s="18"/>
      <c r="G979" s="20"/>
      <c r="H979" s="18"/>
      <c r="I979" s="20"/>
      <c r="J979" s="18"/>
    </row>
    <row r="980" spans="1:10">
      <c r="A980" s="20"/>
      <c r="B980" s="18"/>
      <c r="C980" s="18"/>
      <c r="D980" s="20"/>
      <c r="E980" s="18"/>
      <c r="F980" s="18"/>
      <c r="G980" s="20"/>
      <c r="H980" s="18"/>
      <c r="I980" s="20"/>
      <c r="J980" s="18"/>
    </row>
    <row r="981" spans="1:10">
      <c r="A981" s="20"/>
      <c r="B981" s="18"/>
      <c r="C981" s="18"/>
      <c r="D981" s="20"/>
      <c r="E981" s="18"/>
      <c r="F981" s="18"/>
      <c r="G981" s="20"/>
      <c r="H981" s="18"/>
      <c r="I981" s="20"/>
      <c r="J981" s="18"/>
    </row>
    <row r="982" spans="1:10">
      <c r="A982" s="20"/>
      <c r="B982" s="18"/>
      <c r="C982" s="18"/>
      <c r="D982" s="20"/>
      <c r="E982" s="18"/>
      <c r="F982" s="18"/>
      <c r="G982" s="20"/>
      <c r="H982" s="18"/>
      <c r="I982" s="20"/>
      <c r="J982" s="18"/>
    </row>
    <row r="983" spans="1:10">
      <c r="A983" s="20"/>
      <c r="B983" s="18"/>
      <c r="C983" s="18"/>
      <c r="D983" s="20"/>
      <c r="E983" s="18"/>
      <c r="F983" s="18"/>
      <c r="G983" s="20"/>
      <c r="H983" s="18"/>
      <c r="I983" s="20"/>
      <c r="J983" s="18"/>
    </row>
    <row r="984" spans="1:10">
      <c r="A984" s="20"/>
      <c r="B984" s="18"/>
      <c r="C984" s="18"/>
      <c r="D984" s="20"/>
      <c r="E984" s="18"/>
      <c r="F984" s="18"/>
      <c r="G984" s="20"/>
      <c r="H984" s="18"/>
      <c r="I984" s="20"/>
      <c r="J984" s="18"/>
    </row>
    <row r="985" spans="1:10">
      <c r="A985" s="20"/>
      <c r="B985" s="18"/>
      <c r="C985" s="18"/>
      <c r="D985" s="20"/>
      <c r="E985" s="18"/>
      <c r="F985" s="18"/>
      <c r="G985" s="20"/>
      <c r="H985" s="18"/>
      <c r="I985" s="20"/>
      <c r="J985" s="18"/>
    </row>
    <row r="986" spans="1:10">
      <c r="A986" s="20"/>
      <c r="B986" s="18"/>
      <c r="C986" s="18"/>
      <c r="D986" s="20"/>
      <c r="E986" s="18"/>
      <c r="F986" s="18"/>
      <c r="G986" s="20"/>
      <c r="H986" s="18"/>
      <c r="I986" s="20"/>
      <c r="J986" s="18"/>
    </row>
    <row r="987" spans="1:10">
      <c r="A987" s="20"/>
      <c r="B987" s="18"/>
      <c r="C987" s="18"/>
      <c r="D987" s="20"/>
      <c r="E987" s="18"/>
      <c r="F987" s="18"/>
      <c r="G987" s="20"/>
      <c r="H987" s="18"/>
      <c r="I987" s="20"/>
      <c r="J987" s="18"/>
    </row>
    <row r="988" spans="1:10">
      <c r="A988" s="20"/>
      <c r="B988" s="18"/>
      <c r="C988" s="18"/>
      <c r="D988" s="20"/>
      <c r="E988" s="18"/>
      <c r="F988" s="18"/>
      <c r="G988" s="20"/>
      <c r="H988" s="18"/>
      <c r="I988" s="20"/>
      <c r="J988" s="18"/>
    </row>
    <row r="989" spans="1:10">
      <c r="A989" s="20"/>
      <c r="B989" s="18"/>
      <c r="C989" s="18"/>
      <c r="D989" s="20"/>
      <c r="E989" s="18"/>
      <c r="F989" s="18"/>
      <c r="G989" s="20"/>
      <c r="H989" s="18"/>
      <c r="I989" s="20"/>
      <c r="J989" s="18"/>
    </row>
    <row r="990" spans="1:10">
      <c r="A990" s="20"/>
      <c r="B990" s="18"/>
      <c r="C990" s="18"/>
      <c r="D990" s="20"/>
      <c r="E990" s="18"/>
      <c r="F990" s="18"/>
      <c r="G990" s="20"/>
      <c r="H990" s="18"/>
      <c r="I990" s="20"/>
      <c r="J990" s="18"/>
    </row>
    <row r="991" spans="1:10">
      <c r="A991" s="20"/>
      <c r="B991" s="18"/>
      <c r="C991" s="18"/>
      <c r="D991" s="20"/>
      <c r="E991" s="18"/>
      <c r="F991" s="18"/>
      <c r="G991" s="20"/>
      <c r="H991" s="18"/>
      <c r="I991" s="20"/>
      <c r="J991" s="18"/>
    </row>
    <row r="992" spans="1:10">
      <c r="A992" s="20"/>
      <c r="B992" s="18"/>
      <c r="C992" s="18"/>
      <c r="D992" s="20"/>
      <c r="E992" s="18"/>
      <c r="F992" s="18"/>
      <c r="G992" s="20"/>
      <c r="H992" s="18"/>
      <c r="I992" s="20"/>
      <c r="J992" s="18"/>
    </row>
    <row r="993" spans="1:10">
      <c r="A993" s="20"/>
      <c r="B993" s="18"/>
      <c r="C993" s="18"/>
      <c r="D993" s="20"/>
      <c r="E993" s="18"/>
      <c r="F993" s="18"/>
      <c r="G993" s="20"/>
      <c r="H993" s="18"/>
      <c r="I993" s="20"/>
      <c r="J993" s="18"/>
    </row>
    <row r="994" spans="1:10">
      <c r="A994" s="20"/>
      <c r="B994" s="18"/>
      <c r="C994" s="18"/>
      <c r="D994" s="20"/>
      <c r="E994" s="18"/>
      <c r="F994" s="18"/>
      <c r="G994" s="20"/>
      <c r="H994" s="18"/>
      <c r="I994" s="20"/>
      <c r="J994" s="18"/>
    </row>
    <row r="995" spans="1:10">
      <c r="A995" s="20"/>
      <c r="B995" s="18"/>
      <c r="C995" s="18"/>
      <c r="D995" s="20"/>
      <c r="E995" s="18"/>
      <c r="F995" s="18"/>
      <c r="G995" s="20"/>
      <c r="H995" s="18"/>
      <c r="I995" s="20"/>
      <c r="J995" s="18"/>
    </row>
    <row r="996" spans="1:10">
      <c r="A996" s="20"/>
      <c r="B996" s="18"/>
      <c r="C996" s="18"/>
      <c r="D996" s="20"/>
      <c r="E996" s="18"/>
      <c r="F996" s="18"/>
      <c r="G996" s="20"/>
      <c r="H996" s="18"/>
      <c r="I996" s="20"/>
      <c r="J996" s="18"/>
    </row>
    <row r="997" spans="1:10">
      <c r="A997" s="20"/>
      <c r="B997" s="18"/>
      <c r="C997" s="18"/>
      <c r="D997" s="20"/>
      <c r="E997" s="18"/>
      <c r="F997" s="18"/>
      <c r="G997" s="20"/>
      <c r="H997" s="18"/>
      <c r="I997" s="20"/>
      <c r="J997" s="18"/>
    </row>
    <row r="998" spans="1:10">
      <c r="A998" s="20"/>
      <c r="B998" s="18"/>
      <c r="C998" s="18"/>
      <c r="D998" s="20"/>
      <c r="E998" s="18"/>
      <c r="F998" s="18"/>
      <c r="G998" s="20"/>
      <c r="H998" s="18"/>
      <c r="I998" s="20"/>
      <c r="J998" s="18"/>
    </row>
    <row r="999" spans="1:10">
      <c r="A999" s="20"/>
      <c r="B999" s="18"/>
      <c r="C999" s="18"/>
      <c r="D999" s="20"/>
      <c r="E999" s="18"/>
      <c r="F999" s="18"/>
      <c r="G999" s="20"/>
      <c r="H999" s="18"/>
      <c r="I999" s="20"/>
      <c r="J999" s="18"/>
    </row>
    <row r="1000" spans="1:10">
      <c r="A1000" s="20"/>
      <c r="B1000" s="18"/>
      <c r="C1000" s="18"/>
      <c r="D1000" s="20"/>
      <c r="E1000" s="18"/>
      <c r="F1000" s="18"/>
      <c r="G1000" s="20"/>
      <c r="H1000" s="18"/>
      <c r="I1000" s="20"/>
      <c r="J1000" s="18"/>
    </row>
    <row r="1001" spans="1:10">
      <c r="A1001" s="20"/>
      <c r="B1001" s="18"/>
      <c r="C1001" s="18"/>
      <c r="D1001" s="20"/>
      <c r="E1001" s="18"/>
      <c r="F1001" s="18"/>
      <c r="G1001" s="20"/>
      <c r="H1001" s="18"/>
      <c r="I1001" s="20"/>
      <c r="J1001" s="18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B9"/>
  <sheetViews>
    <sheetView zoomScaleNormal="100" workbookViewId="0">
      <selection activeCell="D13" sqref="D13"/>
    </sheetView>
  </sheetViews>
  <sheetFormatPr baseColWidth="10" defaultColWidth="9.1640625" defaultRowHeight="15"/>
  <cols>
    <col min="1" max="1" width="14" customWidth="1"/>
    <col min="2" max="2" width="9.83203125" customWidth="1"/>
  </cols>
  <sheetData>
    <row r="1" spans="1:2">
      <c r="A1" s="26" t="s">
        <v>159</v>
      </c>
      <c r="B1" s="27" t="s">
        <v>160</v>
      </c>
    </row>
    <row r="2" spans="1:2">
      <c r="A2" s="28">
        <v>0</v>
      </c>
      <c r="B2" s="29" t="s">
        <v>15</v>
      </c>
    </row>
    <row r="3" spans="1:2">
      <c r="A3" s="28">
        <v>40000</v>
      </c>
      <c r="B3" s="29" t="s">
        <v>121</v>
      </c>
    </row>
    <row r="4" spans="1:2">
      <c r="A4" s="28">
        <v>60000</v>
      </c>
      <c r="B4" s="29" t="s">
        <v>119</v>
      </c>
    </row>
    <row r="5" spans="1:2">
      <c r="A5" s="28">
        <v>100000</v>
      </c>
      <c r="B5" s="29" t="s">
        <v>117</v>
      </c>
    </row>
    <row r="6" spans="1:2">
      <c r="A6" s="28">
        <v>220000</v>
      </c>
      <c r="B6" s="29" t="s">
        <v>126</v>
      </c>
    </row>
    <row r="7" spans="1:2">
      <c r="A7" s="30"/>
      <c r="B7" s="29"/>
    </row>
    <row r="8" spans="1:2">
      <c r="A8" s="30"/>
      <c r="B8" s="29"/>
    </row>
    <row r="9" spans="1:2">
      <c r="A9" s="31"/>
      <c r="B9" s="32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B9"/>
  <sheetViews>
    <sheetView zoomScaleNormal="100" workbookViewId="0">
      <selection activeCell="Q43" sqref="Q43"/>
    </sheetView>
  </sheetViews>
  <sheetFormatPr baseColWidth="10" defaultColWidth="9.1640625" defaultRowHeight="15"/>
  <cols>
    <col min="1" max="1" width="14" customWidth="1"/>
    <col min="2" max="2" width="12" customWidth="1"/>
  </cols>
  <sheetData>
    <row r="1" spans="1:2">
      <c r="A1" s="33" t="s">
        <v>159</v>
      </c>
      <c r="B1" s="34" t="s">
        <v>160</v>
      </c>
    </row>
    <row r="2" spans="1:2">
      <c r="A2" s="35">
        <v>0</v>
      </c>
      <c r="B2" s="36" t="s">
        <v>15</v>
      </c>
    </row>
    <row r="3" spans="1:2">
      <c r="A3" s="35">
        <v>40000</v>
      </c>
      <c r="B3" s="36" t="s">
        <v>121</v>
      </c>
    </row>
    <row r="4" spans="1:2">
      <c r="A4" s="35">
        <v>60000</v>
      </c>
      <c r="B4" s="36" t="s">
        <v>119</v>
      </c>
    </row>
    <row r="5" spans="1:2">
      <c r="A5" s="35">
        <v>100000</v>
      </c>
      <c r="B5" s="36" t="s">
        <v>161</v>
      </c>
    </row>
    <row r="6" spans="1:2">
      <c r="A6" s="35">
        <v>120000</v>
      </c>
      <c r="B6" s="36" t="s">
        <v>162</v>
      </c>
    </row>
    <row r="7" spans="1:2">
      <c r="A7" s="35">
        <v>190000</v>
      </c>
      <c r="B7" s="36" t="s">
        <v>117</v>
      </c>
    </row>
    <row r="8" spans="1:2">
      <c r="A8" s="35">
        <v>220000</v>
      </c>
      <c r="B8" s="36" t="s">
        <v>126</v>
      </c>
    </row>
    <row r="9" spans="1:2">
      <c r="A9" s="37"/>
      <c r="B9" s="38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BA140"/>
  <sheetViews>
    <sheetView zoomScaleNormal="100" workbookViewId="0">
      <selection activeCell="B12" sqref="B12"/>
    </sheetView>
  </sheetViews>
  <sheetFormatPr baseColWidth="10" defaultColWidth="9.1640625" defaultRowHeight="15"/>
  <cols>
    <col min="1" max="1" width="9.6640625" bestFit="1" customWidth="1"/>
  </cols>
  <sheetData>
    <row r="1" spans="1:53" ht="119">
      <c r="A1" s="39" t="s">
        <v>1</v>
      </c>
      <c r="B1" s="40" t="s">
        <v>163</v>
      </c>
      <c r="C1" s="39" t="s">
        <v>14</v>
      </c>
      <c r="D1" s="39" t="s">
        <v>133</v>
      </c>
      <c r="E1" s="41" t="s">
        <v>164</v>
      </c>
      <c r="F1" s="42" t="s">
        <v>165</v>
      </c>
      <c r="G1" s="42" t="s">
        <v>166</v>
      </c>
      <c r="H1" s="42" t="s">
        <v>167</v>
      </c>
      <c r="I1" s="43" t="s">
        <v>168</v>
      </c>
      <c r="J1" s="43" t="s">
        <v>169</v>
      </c>
      <c r="K1" s="44" t="s">
        <v>170</v>
      </c>
      <c r="L1" s="41" t="s">
        <v>171</v>
      </c>
      <c r="M1" s="42" t="s">
        <v>172</v>
      </c>
      <c r="N1" s="42" t="s">
        <v>173</v>
      </c>
      <c r="O1" s="42" t="s">
        <v>174</v>
      </c>
      <c r="P1" s="43" t="s">
        <v>175</v>
      </c>
      <c r="Q1" s="43" t="s">
        <v>176</v>
      </c>
      <c r="R1" s="44" t="s">
        <v>177</v>
      </c>
      <c r="S1" s="41" t="s">
        <v>178</v>
      </c>
      <c r="T1" s="42" t="s">
        <v>179</v>
      </c>
      <c r="U1" s="42" t="s">
        <v>180</v>
      </c>
      <c r="V1" s="42" t="s">
        <v>181</v>
      </c>
      <c r="W1" s="43" t="s">
        <v>182</v>
      </c>
      <c r="X1" s="43" t="s">
        <v>183</v>
      </c>
      <c r="Y1" s="44" t="s">
        <v>184</v>
      </c>
      <c r="Z1" s="41" t="s">
        <v>185</v>
      </c>
      <c r="AA1" s="42" t="s">
        <v>186</v>
      </c>
      <c r="AB1" s="42" t="s">
        <v>187</v>
      </c>
      <c r="AC1" s="42" t="s">
        <v>188</v>
      </c>
      <c r="AD1" s="43" t="s">
        <v>189</v>
      </c>
      <c r="AE1" s="43" t="s">
        <v>190</v>
      </c>
      <c r="AF1" s="44" t="s">
        <v>191</v>
      </c>
      <c r="AG1" s="41" t="s">
        <v>192</v>
      </c>
      <c r="AH1" s="42" t="s">
        <v>193</v>
      </c>
      <c r="AI1" s="42" t="s">
        <v>194</v>
      </c>
      <c r="AJ1" s="42" t="s">
        <v>195</v>
      </c>
      <c r="AK1" s="43" t="s">
        <v>196</v>
      </c>
      <c r="AL1" s="43" t="s">
        <v>197</v>
      </c>
      <c r="AM1" s="44" t="s">
        <v>198</v>
      </c>
      <c r="AN1" s="41" t="s">
        <v>199</v>
      </c>
      <c r="AO1" s="42" t="s">
        <v>200</v>
      </c>
      <c r="AP1" s="42" t="s">
        <v>201</v>
      </c>
      <c r="AQ1" s="42" t="s">
        <v>202</v>
      </c>
      <c r="AR1" s="43" t="s">
        <v>203</v>
      </c>
      <c r="AS1" s="43" t="s">
        <v>204</v>
      </c>
      <c r="AT1" s="44" t="s">
        <v>205</v>
      </c>
      <c r="AU1" s="41" t="s">
        <v>206</v>
      </c>
      <c r="AV1" s="42" t="s">
        <v>207</v>
      </c>
      <c r="AW1" s="42" t="s">
        <v>208</v>
      </c>
      <c r="AX1" s="42" t="s">
        <v>209</v>
      </c>
      <c r="AY1" s="43" t="s">
        <v>210</v>
      </c>
      <c r="AZ1" s="43" t="s">
        <v>211</v>
      </c>
      <c r="BA1" s="44" t="s">
        <v>212</v>
      </c>
    </row>
    <row r="2" spans="1:53" ht="16">
      <c r="A2" s="136">
        <v>43466</v>
      </c>
      <c r="B2" s="137" t="str">
        <f>INDEX('[1]Indices Mines Exporting Ports'!$C$26:$C$51,MATCH(C2,'[1]Indices Mines Exporting Ports'!$Q$26:$Q$51,0))</f>
        <v>MRN</v>
      </c>
      <c r="C2" s="129" t="s">
        <v>46</v>
      </c>
      <c r="D2" s="138" t="s">
        <v>113</v>
      </c>
      <c r="E2" s="139" t="e">
        <v>#N/A</v>
      </c>
      <c r="F2" s="140">
        <v>0</v>
      </c>
      <c r="G2" s="141" t="s">
        <v>118</v>
      </c>
      <c r="H2" s="141" t="s">
        <v>213</v>
      </c>
      <c r="I2" s="142" t="s">
        <v>318</v>
      </c>
      <c r="J2" s="142" t="s">
        <v>215</v>
      </c>
      <c r="K2" s="143" t="s">
        <v>216</v>
      </c>
      <c r="L2" s="139" t="e">
        <v>#N/A</v>
      </c>
      <c r="M2" s="140">
        <v>0</v>
      </c>
      <c r="N2" s="141" t="s">
        <v>118</v>
      </c>
      <c r="O2" s="141" t="s">
        <v>213</v>
      </c>
      <c r="P2" s="142" t="s">
        <v>318</v>
      </c>
      <c r="Q2" s="142" t="s">
        <v>215</v>
      </c>
      <c r="R2" s="143" t="s">
        <v>216</v>
      </c>
      <c r="S2" s="139" t="e">
        <v>#N/A</v>
      </c>
      <c r="T2" s="140">
        <v>0</v>
      </c>
      <c r="U2" s="141" t="s">
        <v>118</v>
      </c>
      <c r="V2" s="141" t="s">
        <v>213</v>
      </c>
      <c r="W2" s="142" t="s">
        <v>318</v>
      </c>
      <c r="X2" s="142" t="s">
        <v>215</v>
      </c>
      <c r="Y2" s="143" t="s">
        <v>216</v>
      </c>
      <c r="Z2" s="139" t="e">
        <v>#N/A</v>
      </c>
      <c r="AA2" s="140">
        <v>0</v>
      </c>
      <c r="AB2" s="141" t="s">
        <v>118</v>
      </c>
      <c r="AC2" s="141" t="s">
        <v>213</v>
      </c>
      <c r="AD2" s="142" t="s">
        <v>318</v>
      </c>
      <c r="AE2" s="142" t="s">
        <v>215</v>
      </c>
      <c r="AF2" s="143" t="s">
        <v>216</v>
      </c>
      <c r="AG2" s="139">
        <v>11184</v>
      </c>
      <c r="AH2" s="140">
        <v>0</v>
      </c>
      <c r="AI2" s="141" t="s">
        <v>120</v>
      </c>
      <c r="AJ2" s="141" t="s">
        <v>213</v>
      </c>
      <c r="AK2" s="142" t="s">
        <v>318</v>
      </c>
      <c r="AL2" s="142" t="s">
        <v>215</v>
      </c>
      <c r="AM2" s="143" t="s">
        <v>217</v>
      </c>
      <c r="AN2" s="139">
        <v>11184</v>
      </c>
      <c r="AO2" s="140">
        <v>0</v>
      </c>
      <c r="AP2" s="141" t="s">
        <v>122</v>
      </c>
      <c r="AQ2" s="141" t="s">
        <v>213</v>
      </c>
      <c r="AR2" s="142" t="s">
        <v>318</v>
      </c>
      <c r="AS2" s="142" t="s">
        <v>215</v>
      </c>
      <c r="AT2" s="143" t="s">
        <v>217</v>
      </c>
      <c r="AU2" s="139">
        <v>11184</v>
      </c>
      <c r="AV2" s="140">
        <v>0</v>
      </c>
      <c r="AW2" s="141" t="s">
        <v>123</v>
      </c>
      <c r="AX2" s="141" t="s">
        <v>213</v>
      </c>
      <c r="AY2" s="142" t="s">
        <v>318</v>
      </c>
      <c r="AZ2" s="142" t="s">
        <v>215</v>
      </c>
      <c r="BA2" s="143" t="s">
        <v>217</v>
      </c>
    </row>
    <row r="3" spans="1:53" ht="16">
      <c r="A3" s="136">
        <v>43466</v>
      </c>
      <c r="B3" s="137" t="str">
        <f>INDEX('[1]Indices Mines Exporting Ports'!$C$26:$C$51,MATCH(C3,'[1]Indices Mines Exporting Ports'!$Q$26:$Q$51,0))</f>
        <v>MRN</v>
      </c>
      <c r="C3" s="129" t="s">
        <v>46</v>
      </c>
      <c r="D3" s="138" t="s">
        <v>44</v>
      </c>
      <c r="E3" s="139" t="e">
        <v>#N/A</v>
      </c>
      <c r="F3" s="140">
        <v>0</v>
      </c>
      <c r="G3" s="141" t="s">
        <v>118</v>
      </c>
      <c r="H3" s="141" t="s">
        <v>213</v>
      </c>
      <c r="I3" s="142" t="s">
        <v>318</v>
      </c>
      <c r="J3" s="142" t="s">
        <v>215</v>
      </c>
      <c r="K3" s="143" t="s">
        <v>216</v>
      </c>
      <c r="L3" s="139" t="e">
        <v>#N/A</v>
      </c>
      <c r="M3" s="140">
        <v>0</v>
      </c>
      <c r="N3" s="141" t="s">
        <v>118</v>
      </c>
      <c r="O3" s="141" t="s">
        <v>213</v>
      </c>
      <c r="P3" s="142" t="s">
        <v>318</v>
      </c>
      <c r="Q3" s="142" t="s">
        <v>215</v>
      </c>
      <c r="R3" s="143" t="s">
        <v>216</v>
      </c>
      <c r="S3" s="139" t="e">
        <v>#N/A</v>
      </c>
      <c r="T3" s="140">
        <v>0</v>
      </c>
      <c r="U3" s="141" t="s">
        <v>118</v>
      </c>
      <c r="V3" s="141" t="s">
        <v>213</v>
      </c>
      <c r="W3" s="142" t="s">
        <v>318</v>
      </c>
      <c r="X3" s="142" t="s">
        <v>215</v>
      </c>
      <c r="Y3" s="143" t="s">
        <v>216</v>
      </c>
      <c r="Z3" s="139" t="e">
        <v>#N/A</v>
      </c>
      <c r="AA3" s="140">
        <v>0</v>
      </c>
      <c r="AB3" s="141" t="s">
        <v>118</v>
      </c>
      <c r="AC3" s="141" t="s">
        <v>213</v>
      </c>
      <c r="AD3" s="142" t="s">
        <v>318</v>
      </c>
      <c r="AE3" s="142" t="s">
        <v>215</v>
      </c>
      <c r="AF3" s="143" t="s">
        <v>216</v>
      </c>
      <c r="AG3" s="139">
        <v>1623</v>
      </c>
      <c r="AH3" s="140">
        <v>0</v>
      </c>
      <c r="AI3" s="141" t="s">
        <v>120</v>
      </c>
      <c r="AJ3" s="141" t="s">
        <v>213</v>
      </c>
      <c r="AK3" s="142" t="s">
        <v>318</v>
      </c>
      <c r="AL3" s="142" t="s">
        <v>215</v>
      </c>
      <c r="AM3" s="143" t="s">
        <v>216</v>
      </c>
      <c r="AN3" s="139">
        <v>1632</v>
      </c>
      <c r="AO3" s="140">
        <v>0</v>
      </c>
      <c r="AP3" s="141" t="s">
        <v>122</v>
      </c>
      <c r="AQ3" s="141" t="s">
        <v>213</v>
      </c>
      <c r="AR3" s="142" t="s">
        <v>318</v>
      </c>
      <c r="AS3" s="142" t="s">
        <v>215</v>
      </c>
      <c r="AT3" s="143" t="s">
        <v>216</v>
      </c>
      <c r="AU3" s="139">
        <v>1632</v>
      </c>
      <c r="AV3" s="140">
        <v>0</v>
      </c>
      <c r="AW3" s="141" t="s">
        <v>123</v>
      </c>
      <c r="AX3" s="141" t="s">
        <v>213</v>
      </c>
      <c r="AY3" s="142" t="s">
        <v>318</v>
      </c>
      <c r="AZ3" s="142" t="s">
        <v>215</v>
      </c>
      <c r="BA3" s="143" t="s">
        <v>216</v>
      </c>
    </row>
    <row r="4" spans="1:53" ht="16">
      <c r="A4" s="136">
        <v>43466</v>
      </c>
      <c r="B4" s="137" t="str">
        <f>INDEX('[1]Indices Mines Exporting Ports'!$C$26:$C$51,MATCH(C4,'[1]Indices Mines Exporting Ports'!$Q$26:$Q$51,0))</f>
        <v>MRN</v>
      </c>
      <c r="C4" s="129" t="s">
        <v>44</v>
      </c>
      <c r="D4" s="138" t="s">
        <v>113</v>
      </c>
      <c r="E4" s="139">
        <v>13157</v>
      </c>
      <c r="F4" s="140">
        <v>0</v>
      </c>
      <c r="G4" s="141" t="s">
        <v>118</v>
      </c>
      <c r="H4" s="141" t="s">
        <v>213</v>
      </c>
      <c r="I4" s="142" t="s">
        <v>318</v>
      </c>
      <c r="J4" s="142" t="s">
        <v>215</v>
      </c>
      <c r="K4" s="143" t="s">
        <v>216</v>
      </c>
      <c r="L4" s="139">
        <v>13157</v>
      </c>
      <c r="M4" s="140">
        <v>0</v>
      </c>
      <c r="N4" s="141" t="s">
        <v>118</v>
      </c>
      <c r="O4" s="141" t="s">
        <v>213</v>
      </c>
      <c r="P4" s="142" t="s">
        <v>318</v>
      </c>
      <c r="Q4" s="142" t="s">
        <v>215</v>
      </c>
      <c r="R4" s="143" t="s">
        <v>216</v>
      </c>
      <c r="S4" s="139">
        <v>13157</v>
      </c>
      <c r="T4" s="140">
        <v>0</v>
      </c>
      <c r="U4" s="141" t="s">
        <v>118</v>
      </c>
      <c r="V4" s="141" t="s">
        <v>213</v>
      </c>
      <c r="W4" s="142" t="s">
        <v>318</v>
      </c>
      <c r="X4" s="142" t="s">
        <v>215</v>
      </c>
      <c r="Y4" s="143" t="s">
        <v>216</v>
      </c>
      <c r="Z4" s="139" t="e">
        <v>#N/A</v>
      </c>
      <c r="AA4" s="140">
        <v>0</v>
      </c>
      <c r="AB4" s="141" t="s">
        <v>118</v>
      </c>
      <c r="AC4" s="141" t="s">
        <v>213</v>
      </c>
      <c r="AD4" s="142" t="s">
        <v>318</v>
      </c>
      <c r="AE4" s="142" t="s">
        <v>215</v>
      </c>
      <c r="AF4" s="143" t="s">
        <v>216</v>
      </c>
      <c r="AG4" s="139" t="e">
        <v>#N/A</v>
      </c>
      <c r="AH4" s="140">
        <v>0</v>
      </c>
      <c r="AI4" s="141" t="s">
        <v>120</v>
      </c>
      <c r="AJ4" s="141" t="s">
        <v>213</v>
      </c>
      <c r="AK4" s="142" t="s">
        <v>318</v>
      </c>
      <c r="AL4" s="142" t="s">
        <v>215</v>
      </c>
      <c r="AM4" s="143" t="s">
        <v>216</v>
      </c>
      <c r="AN4" s="139" t="e">
        <v>#N/A</v>
      </c>
      <c r="AO4" s="140">
        <v>0</v>
      </c>
      <c r="AP4" s="141" t="s">
        <v>122</v>
      </c>
      <c r="AQ4" s="141" t="s">
        <v>213</v>
      </c>
      <c r="AR4" s="142" t="s">
        <v>318</v>
      </c>
      <c r="AS4" s="142" t="s">
        <v>215</v>
      </c>
      <c r="AT4" s="143" t="s">
        <v>216</v>
      </c>
      <c r="AU4" s="139" t="e">
        <v>#N/A</v>
      </c>
      <c r="AV4" s="140">
        <v>0</v>
      </c>
      <c r="AW4" s="141" t="s">
        <v>123</v>
      </c>
      <c r="AX4" s="141" t="s">
        <v>213</v>
      </c>
      <c r="AY4" s="142" t="s">
        <v>318</v>
      </c>
      <c r="AZ4" s="142" t="s">
        <v>215</v>
      </c>
      <c r="BA4" s="143" t="s">
        <v>216</v>
      </c>
    </row>
    <row r="5" spans="1:53" ht="16">
      <c r="A5" s="136">
        <v>43466</v>
      </c>
      <c r="B5" s="137" t="str">
        <f>INDEX('[1]Indices Mines Exporting Ports'!$C$26:$C$51,MATCH(C5,'[1]Indices Mines Exporting Ports'!$Q$26:$Q$51,0))</f>
        <v>Juruti</v>
      </c>
      <c r="C5" s="129" t="s">
        <v>47</v>
      </c>
      <c r="D5" s="138" t="s">
        <v>113</v>
      </c>
      <c r="E5" s="139" t="e">
        <v>#N/A</v>
      </c>
      <c r="F5" s="140">
        <v>0</v>
      </c>
      <c r="G5" s="141" t="s">
        <v>118</v>
      </c>
      <c r="H5" s="141" t="s">
        <v>213</v>
      </c>
      <c r="I5" s="142" t="s">
        <v>318</v>
      </c>
      <c r="J5" s="142" t="s">
        <v>215</v>
      </c>
      <c r="K5" s="143" t="s">
        <v>216</v>
      </c>
      <c r="L5" s="139" t="e">
        <v>#N/A</v>
      </c>
      <c r="M5" s="140">
        <v>0</v>
      </c>
      <c r="N5" s="141" t="s">
        <v>118</v>
      </c>
      <c r="O5" s="141" t="s">
        <v>213</v>
      </c>
      <c r="P5" s="142" t="s">
        <v>318</v>
      </c>
      <c r="Q5" s="142" t="s">
        <v>215</v>
      </c>
      <c r="R5" s="143" t="s">
        <v>216</v>
      </c>
      <c r="S5" s="139" t="e">
        <v>#N/A</v>
      </c>
      <c r="T5" s="140">
        <v>0</v>
      </c>
      <c r="U5" s="141" t="s">
        <v>118</v>
      </c>
      <c r="V5" s="141" t="s">
        <v>213</v>
      </c>
      <c r="W5" s="142" t="s">
        <v>318</v>
      </c>
      <c r="X5" s="142" t="s">
        <v>215</v>
      </c>
      <c r="Y5" s="143" t="s">
        <v>216</v>
      </c>
      <c r="Z5" s="139" t="e">
        <v>#N/A</v>
      </c>
      <c r="AA5" s="140">
        <v>0</v>
      </c>
      <c r="AB5" s="141" t="s">
        <v>118</v>
      </c>
      <c r="AC5" s="141" t="s">
        <v>213</v>
      </c>
      <c r="AD5" s="142" t="s">
        <v>318</v>
      </c>
      <c r="AE5" s="142" t="s">
        <v>215</v>
      </c>
      <c r="AF5" s="143" t="s">
        <v>216</v>
      </c>
      <c r="AG5" s="139">
        <v>11153</v>
      </c>
      <c r="AH5" s="140">
        <v>0</v>
      </c>
      <c r="AI5" s="141" t="s">
        <v>120</v>
      </c>
      <c r="AJ5" s="141" t="s">
        <v>213</v>
      </c>
      <c r="AK5" s="142" t="s">
        <v>318</v>
      </c>
      <c r="AL5" s="142" t="s">
        <v>215</v>
      </c>
      <c r="AM5" s="143" t="s">
        <v>217</v>
      </c>
      <c r="AN5" s="139">
        <v>11153</v>
      </c>
      <c r="AO5" s="140">
        <v>0</v>
      </c>
      <c r="AP5" s="141" t="s">
        <v>122</v>
      </c>
      <c r="AQ5" s="141" t="s">
        <v>213</v>
      </c>
      <c r="AR5" s="142" t="s">
        <v>318</v>
      </c>
      <c r="AS5" s="142" t="s">
        <v>215</v>
      </c>
      <c r="AT5" s="143" t="s">
        <v>217</v>
      </c>
      <c r="AU5" s="139">
        <v>11153</v>
      </c>
      <c r="AV5" s="140">
        <v>0</v>
      </c>
      <c r="AW5" s="141" t="s">
        <v>123</v>
      </c>
      <c r="AX5" s="141" t="s">
        <v>213</v>
      </c>
      <c r="AY5" s="142" t="s">
        <v>318</v>
      </c>
      <c r="AZ5" s="142" t="s">
        <v>215</v>
      </c>
      <c r="BA5" s="143" t="s">
        <v>217</v>
      </c>
    </row>
    <row r="6" spans="1:53" ht="16">
      <c r="A6" s="136">
        <v>43466</v>
      </c>
      <c r="B6" s="137" t="str">
        <f>INDEX('[1]Indices Mines Exporting Ports'!$C$26:$C$51,MATCH(C6,'[1]Indices Mines Exporting Ports'!$Q$26:$Q$51,0))</f>
        <v>Juruti</v>
      </c>
      <c r="C6" s="129" t="s">
        <v>47</v>
      </c>
      <c r="D6" s="138" t="s">
        <v>44</v>
      </c>
      <c r="E6" s="139" t="e">
        <v>#N/A</v>
      </c>
      <c r="F6" s="140">
        <v>0</v>
      </c>
      <c r="G6" s="141" t="s">
        <v>118</v>
      </c>
      <c r="H6" s="141" t="s">
        <v>213</v>
      </c>
      <c r="I6" s="142" t="s">
        <v>318</v>
      </c>
      <c r="J6" s="142" t="s">
        <v>215</v>
      </c>
      <c r="K6" s="143" t="s">
        <v>216</v>
      </c>
      <c r="L6" s="139" t="e">
        <v>#N/A</v>
      </c>
      <c r="M6" s="140">
        <v>0</v>
      </c>
      <c r="N6" s="141" t="s">
        <v>118</v>
      </c>
      <c r="O6" s="141" t="s">
        <v>213</v>
      </c>
      <c r="P6" s="142" t="s">
        <v>318</v>
      </c>
      <c r="Q6" s="142" t="s">
        <v>215</v>
      </c>
      <c r="R6" s="143" t="s">
        <v>216</v>
      </c>
      <c r="S6" s="139" t="e">
        <v>#N/A</v>
      </c>
      <c r="T6" s="140">
        <v>0</v>
      </c>
      <c r="U6" s="141" t="s">
        <v>118</v>
      </c>
      <c r="V6" s="141" t="s">
        <v>213</v>
      </c>
      <c r="W6" s="142" t="s">
        <v>318</v>
      </c>
      <c r="X6" s="142" t="s">
        <v>215</v>
      </c>
      <c r="Y6" s="143" t="s">
        <v>216</v>
      </c>
      <c r="Z6" s="139" t="e">
        <v>#N/A</v>
      </c>
      <c r="AA6" s="140">
        <v>0</v>
      </c>
      <c r="AB6" s="141" t="s">
        <v>118</v>
      </c>
      <c r="AC6" s="141" t="s">
        <v>213</v>
      </c>
      <c r="AD6" s="142" t="s">
        <v>318</v>
      </c>
      <c r="AE6" s="142" t="s">
        <v>215</v>
      </c>
      <c r="AF6" s="143" t="s">
        <v>216</v>
      </c>
      <c r="AG6" s="139">
        <v>1601</v>
      </c>
      <c r="AH6" s="140">
        <v>0</v>
      </c>
      <c r="AI6" s="141" t="s">
        <v>120</v>
      </c>
      <c r="AJ6" s="141" t="s">
        <v>213</v>
      </c>
      <c r="AK6" s="142" t="s">
        <v>318</v>
      </c>
      <c r="AL6" s="142" t="s">
        <v>215</v>
      </c>
      <c r="AM6" s="143" t="s">
        <v>216</v>
      </c>
      <c r="AN6" s="139">
        <v>1601</v>
      </c>
      <c r="AO6" s="140">
        <v>0</v>
      </c>
      <c r="AP6" s="141" t="s">
        <v>122</v>
      </c>
      <c r="AQ6" s="141" t="s">
        <v>213</v>
      </c>
      <c r="AR6" s="142" t="s">
        <v>318</v>
      </c>
      <c r="AS6" s="142" t="s">
        <v>215</v>
      </c>
      <c r="AT6" s="143" t="s">
        <v>216</v>
      </c>
      <c r="AU6" s="139">
        <v>1601</v>
      </c>
      <c r="AV6" s="140">
        <v>0</v>
      </c>
      <c r="AW6" s="141" t="s">
        <v>123</v>
      </c>
      <c r="AX6" s="141" t="s">
        <v>213</v>
      </c>
      <c r="AY6" s="142" t="s">
        <v>318</v>
      </c>
      <c r="AZ6" s="142" t="s">
        <v>215</v>
      </c>
      <c r="BA6" s="143" t="s">
        <v>216</v>
      </c>
    </row>
    <row r="7" spans="1:53" ht="16">
      <c r="A7" s="136">
        <v>43466</v>
      </c>
      <c r="B7" s="137" t="str">
        <f>INDEX('[1]Indices Mines Exporting Ports'!$C$26:$C$51,MATCH(C7,'[1]Indices Mines Exporting Ports'!$Q$26:$Q$51,0))</f>
        <v>SMB Generic</v>
      </c>
      <c r="C7" s="129" t="s">
        <v>32</v>
      </c>
      <c r="D7" s="138" t="s">
        <v>113</v>
      </c>
      <c r="E7" s="139">
        <v>11150</v>
      </c>
      <c r="F7" s="140">
        <v>0</v>
      </c>
      <c r="G7" s="141" t="s">
        <v>118</v>
      </c>
      <c r="H7" s="141" t="s">
        <v>213</v>
      </c>
      <c r="I7" s="142" t="s">
        <v>318</v>
      </c>
      <c r="J7" s="142" t="s">
        <v>215</v>
      </c>
      <c r="K7" s="143" t="s">
        <v>216</v>
      </c>
      <c r="L7" s="139">
        <v>11150</v>
      </c>
      <c r="M7" s="140">
        <v>0</v>
      </c>
      <c r="N7" s="141" t="s">
        <v>118</v>
      </c>
      <c r="O7" s="141" t="s">
        <v>213</v>
      </c>
      <c r="P7" s="142" t="s">
        <v>318</v>
      </c>
      <c r="Q7" s="142" t="s">
        <v>215</v>
      </c>
      <c r="R7" s="143" t="s">
        <v>216</v>
      </c>
      <c r="S7" s="139">
        <v>11150</v>
      </c>
      <c r="T7" s="140">
        <v>0</v>
      </c>
      <c r="U7" s="141" t="s">
        <v>118</v>
      </c>
      <c r="V7" s="141" t="s">
        <v>213</v>
      </c>
      <c r="W7" s="142" t="s">
        <v>318</v>
      </c>
      <c r="X7" s="142" t="s">
        <v>215</v>
      </c>
      <c r="Y7" s="143" t="s">
        <v>216</v>
      </c>
      <c r="Z7" s="139">
        <v>11150</v>
      </c>
      <c r="AA7" s="140">
        <v>0</v>
      </c>
      <c r="AB7" s="141" t="s">
        <v>118</v>
      </c>
      <c r="AC7" s="141" t="s">
        <v>213</v>
      </c>
      <c r="AD7" s="142" t="s">
        <v>318</v>
      </c>
      <c r="AE7" s="142" t="s">
        <v>215</v>
      </c>
      <c r="AF7" s="143" t="s">
        <v>216</v>
      </c>
      <c r="AG7" s="139">
        <v>11150</v>
      </c>
      <c r="AH7" s="140">
        <v>0</v>
      </c>
      <c r="AI7" s="141" t="s">
        <v>120</v>
      </c>
      <c r="AJ7" s="141" t="s">
        <v>213</v>
      </c>
      <c r="AK7" s="142" t="s">
        <v>318</v>
      </c>
      <c r="AL7" s="142" t="s">
        <v>215</v>
      </c>
      <c r="AM7" s="143" t="s">
        <v>216</v>
      </c>
      <c r="AN7" s="139">
        <v>11150</v>
      </c>
      <c r="AO7" s="140">
        <v>0</v>
      </c>
      <c r="AP7" s="141" t="s">
        <v>122</v>
      </c>
      <c r="AQ7" s="141" t="s">
        <v>213</v>
      </c>
      <c r="AR7" s="142" t="s">
        <v>318</v>
      </c>
      <c r="AS7" s="142" t="s">
        <v>215</v>
      </c>
      <c r="AT7" s="143" t="s">
        <v>216</v>
      </c>
      <c r="AU7" s="139">
        <v>11150</v>
      </c>
      <c r="AV7" s="140">
        <v>0</v>
      </c>
      <c r="AW7" s="141" t="s">
        <v>123</v>
      </c>
      <c r="AX7" s="141" t="s">
        <v>213</v>
      </c>
      <c r="AY7" s="142" t="s">
        <v>318</v>
      </c>
      <c r="AZ7" s="142" t="s">
        <v>215</v>
      </c>
      <c r="BA7" s="143" t="s">
        <v>216</v>
      </c>
    </row>
    <row r="8" spans="1:53" ht="16">
      <c r="A8" s="136">
        <v>43466</v>
      </c>
      <c r="B8" s="137" t="str">
        <f>INDEX('[1]Indices Mines Exporting Ports'!$C$26:$C$51,MATCH(C8,'[1]Indices Mines Exporting Ports'!$Q$26:$Q$51,0))</f>
        <v>Alufer Bel Air</v>
      </c>
      <c r="C8" s="129" t="s">
        <v>34</v>
      </c>
      <c r="D8" s="138" t="s">
        <v>113</v>
      </c>
      <c r="E8" s="139">
        <v>11100</v>
      </c>
      <c r="F8" s="140">
        <v>0</v>
      </c>
      <c r="G8" s="141" t="s">
        <v>118</v>
      </c>
      <c r="H8" s="141" t="s">
        <v>213</v>
      </c>
      <c r="I8" s="142" t="s">
        <v>318</v>
      </c>
      <c r="J8" s="142" t="s">
        <v>215</v>
      </c>
      <c r="K8" s="143" t="s">
        <v>216</v>
      </c>
      <c r="L8" s="139">
        <v>11100</v>
      </c>
      <c r="M8" s="140">
        <v>0</v>
      </c>
      <c r="N8" s="141" t="s">
        <v>118</v>
      </c>
      <c r="O8" s="141" t="s">
        <v>213</v>
      </c>
      <c r="P8" s="142" t="s">
        <v>318</v>
      </c>
      <c r="Q8" s="142" t="s">
        <v>215</v>
      </c>
      <c r="R8" s="143" t="s">
        <v>216</v>
      </c>
      <c r="S8" s="139">
        <v>11100</v>
      </c>
      <c r="T8" s="140">
        <v>0</v>
      </c>
      <c r="U8" s="141" t="s">
        <v>118</v>
      </c>
      <c r="V8" s="141" t="s">
        <v>213</v>
      </c>
      <c r="W8" s="142" t="s">
        <v>318</v>
      </c>
      <c r="X8" s="142" t="s">
        <v>215</v>
      </c>
      <c r="Y8" s="143" t="s">
        <v>216</v>
      </c>
      <c r="Z8" s="139">
        <v>11100</v>
      </c>
      <c r="AA8" s="140">
        <v>0</v>
      </c>
      <c r="AB8" s="141" t="s">
        <v>118</v>
      </c>
      <c r="AC8" s="141" t="s">
        <v>213</v>
      </c>
      <c r="AD8" s="142" t="s">
        <v>318</v>
      </c>
      <c r="AE8" s="142" t="s">
        <v>215</v>
      </c>
      <c r="AF8" s="143" t="s">
        <v>216</v>
      </c>
      <c r="AG8" s="139">
        <v>11100</v>
      </c>
      <c r="AH8" s="140">
        <v>0</v>
      </c>
      <c r="AI8" s="141" t="s">
        <v>120</v>
      </c>
      <c r="AJ8" s="141" t="s">
        <v>213</v>
      </c>
      <c r="AK8" s="142" t="s">
        <v>318</v>
      </c>
      <c r="AL8" s="142" t="s">
        <v>215</v>
      </c>
      <c r="AM8" s="143" t="s">
        <v>216</v>
      </c>
      <c r="AN8" s="139">
        <v>11100</v>
      </c>
      <c r="AO8" s="140">
        <v>0</v>
      </c>
      <c r="AP8" s="141" t="s">
        <v>122</v>
      </c>
      <c r="AQ8" s="141" t="s">
        <v>213</v>
      </c>
      <c r="AR8" s="142" t="s">
        <v>318</v>
      </c>
      <c r="AS8" s="142" t="s">
        <v>215</v>
      </c>
      <c r="AT8" s="143" t="s">
        <v>216</v>
      </c>
      <c r="AU8" s="139">
        <v>11100</v>
      </c>
      <c r="AV8" s="140">
        <v>0</v>
      </c>
      <c r="AW8" s="141" t="s">
        <v>123</v>
      </c>
      <c r="AX8" s="141" t="s">
        <v>213</v>
      </c>
      <c r="AY8" s="142" t="s">
        <v>318</v>
      </c>
      <c r="AZ8" s="142" t="s">
        <v>215</v>
      </c>
      <c r="BA8" s="143" t="s">
        <v>216</v>
      </c>
    </row>
    <row r="9" spans="1:53" ht="16">
      <c r="A9" s="136">
        <v>43466</v>
      </c>
      <c r="B9" s="137" t="str">
        <f>INDEX('[1]Indices Mines Exporting Ports'!$C$26:$C$51,MATCH(C9,'[1]Indices Mines Exporting Ports'!$Q$26:$Q$51,0))</f>
        <v>CBG LT</v>
      </c>
      <c r="C9" s="129" t="s">
        <v>36</v>
      </c>
      <c r="D9" s="138" t="s">
        <v>113</v>
      </c>
      <c r="E9" s="139">
        <v>11170</v>
      </c>
      <c r="F9" s="140">
        <v>0</v>
      </c>
      <c r="G9" s="141" t="s">
        <v>118</v>
      </c>
      <c r="H9" s="141" t="s">
        <v>213</v>
      </c>
      <c r="I9" s="142" t="s">
        <v>318</v>
      </c>
      <c r="J9" s="142" t="s">
        <v>215</v>
      </c>
      <c r="K9" s="143" t="s">
        <v>216</v>
      </c>
      <c r="L9" s="139">
        <v>11170</v>
      </c>
      <c r="M9" s="140">
        <v>0</v>
      </c>
      <c r="N9" s="141" t="s">
        <v>118</v>
      </c>
      <c r="O9" s="141" t="s">
        <v>213</v>
      </c>
      <c r="P9" s="142" t="s">
        <v>318</v>
      </c>
      <c r="Q9" s="142" t="s">
        <v>215</v>
      </c>
      <c r="R9" s="143" t="s">
        <v>216</v>
      </c>
      <c r="S9" s="139">
        <v>11170</v>
      </c>
      <c r="T9" s="140">
        <v>0</v>
      </c>
      <c r="U9" s="141" t="s">
        <v>118</v>
      </c>
      <c r="V9" s="141" t="s">
        <v>213</v>
      </c>
      <c r="W9" s="142" t="s">
        <v>318</v>
      </c>
      <c r="X9" s="142" t="s">
        <v>215</v>
      </c>
      <c r="Y9" s="143" t="s">
        <v>216</v>
      </c>
      <c r="Z9" s="139">
        <v>11170</v>
      </c>
      <c r="AA9" s="140">
        <v>0</v>
      </c>
      <c r="AB9" s="141" t="s">
        <v>118</v>
      </c>
      <c r="AC9" s="141" t="s">
        <v>213</v>
      </c>
      <c r="AD9" s="142" t="s">
        <v>318</v>
      </c>
      <c r="AE9" s="142" t="s">
        <v>215</v>
      </c>
      <c r="AF9" s="143" t="s">
        <v>216</v>
      </c>
      <c r="AG9" s="139">
        <v>11170</v>
      </c>
      <c r="AH9" s="140">
        <v>0</v>
      </c>
      <c r="AI9" s="141" t="s">
        <v>120</v>
      </c>
      <c r="AJ9" s="141" t="s">
        <v>213</v>
      </c>
      <c r="AK9" s="142" t="s">
        <v>318</v>
      </c>
      <c r="AL9" s="142" t="s">
        <v>215</v>
      </c>
      <c r="AM9" s="143" t="s">
        <v>216</v>
      </c>
      <c r="AN9" s="139">
        <v>11170</v>
      </c>
      <c r="AO9" s="140">
        <v>0</v>
      </c>
      <c r="AP9" s="141" t="s">
        <v>122</v>
      </c>
      <c r="AQ9" s="141" t="s">
        <v>213</v>
      </c>
      <c r="AR9" s="142" t="s">
        <v>318</v>
      </c>
      <c r="AS9" s="142" t="s">
        <v>215</v>
      </c>
      <c r="AT9" s="143" t="s">
        <v>216</v>
      </c>
      <c r="AU9" s="139">
        <v>11170</v>
      </c>
      <c r="AV9" s="140">
        <v>0</v>
      </c>
      <c r="AW9" s="141" t="s">
        <v>123</v>
      </c>
      <c r="AX9" s="141" t="s">
        <v>213</v>
      </c>
      <c r="AY9" s="142" t="s">
        <v>318</v>
      </c>
      <c r="AZ9" s="142" t="s">
        <v>215</v>
      </c>
      <c r="BA9" s="143" t="s">
        <v>216</v>
      </c>
    </row>
    <row r="10" spans="1:53" ht="16">
      <c r="A10" s="136">
        <v>43466</v>
      </c>
      <c r="B10" s="137" t="str">
        <f>INDEX('[1]Indices Mines Exporting Ports'!$C$26:$C$51,MATCH(C10,'[1]Indices Mines Exporting Ports'!$Q$26:$Q$51,0))</f>
        <v>GAC Generic</v>
      </c>
      <c r="C10" s="129" t="s">
        <v>38</v>
      </c>
      <c r="D10" s="138" t="s">
        <v>113</v>
      </c>
      <c r="E10" s="139">
        <v>11150</v>
      </c>
      <c r="F10" s="140">
        <v>0</v>
      </c>
      <c r="G10" s="141" t="s">
        <v>118</v>
      </c>
      <c r="H10" s="141" t="s">
        <v>213</v>
      </c>
      <c r="I10" s="142" t="s">
        <v>318</v>
      </c>
      <c r="J10" s="142" t="s">
        <v>215</v>
      </c>
      <c r="K10" s="143" t="s">
        <v>216</v>
      </c>
      <c r="L10" s="139">
        <v>11150</v>
      </c>
      <c r="M10" s="140">
        <v>0</v>
      </c>
      <c r="N10" s="141" t="s">
        <v>118</v>
      </c>
      <c r="O10" s="141" t="s">
        <v>213</v>
      </c>
      <c r="P10" s="142" t="s">
        <v>318</v>
      </c>
      <c r="Q10" s="142" t="s">
        <v>215</v>
      </c>
      <c r="R10" s="143" t="s">
        <v>216</v>
      </c>
      <c r="S10" s="139">
        <v>11150</v>
      </c>
      <c r="T10" s="140">
        <v>0</v>
      </c>
      <c r="U10" s="141" t="s">
        <v>118</v>
      </c>
      <c r="V10" s="141" t="s">
        <v>213</v>
      </c>
      <c r="W10" s="142" t="s">
        <v>318</v>
      </c>
      <c r="X10" s="142" t="s">
        <v>215</v>
      </c>
      <c r="Y10" s="143" t="s">
        <v>216</v>
      </c>
      <c r="Z10" s="139">
        <v>11150</v>
      </c>
      <c r="AA10" s="140">
        <v>0</v>
      </c>
      <c r="AB10" s="141" t="s">
        <v>118</v>
      </c>
      <c r="AC10" s="141" t="s">
        <v>213</v>
      </c>
      <c r="AD10" s="142" t="s">
        <v>318</v>
      </c>
      <c r="AE10" s="142" t="s">
        <v>215</v>
      </c>
      <c r="AF10" s="143" t="s">
        <v>216</v>
      </c>
      <c r="AG10" s="139">
        <v>11150</v>
      </c>
      <c r="AH10" s="140">
        <v>0</v>
      </c>
      <c r="AI10" s="141" t="s">
        <v>120</v>
      </c>
      <c r="AJ10" s="141" t="s">
        <v>213</v>
      </c>
      <c r="AK10" s="142" t="s">
        <v>318</v>
      </c>
      <c r="AL10" s="142" t="s">
        <v>215</v>
      </c>
      <c r="AM10" s="143" t="s">
        <v>216</v>
      </c>
      <c r="AN10" s="139">
        <v>11150</v>
      </c>
      <c r="AO10" s="140">
        <v>0</v>
      </c>
      <c r="AP10" s="141" t="s">
        <v>122</v>
      </c>
      <c r="AQ10" s="141" t="s">
        <v>213</v>
      </c>
      <c r="AR10" s="142" t="s">
        <v>318</v>
      </c>
      <c r="AS10" s="142" t="s">
        <v>215</v>
      </c>
      <c r="AT10" s="143" t="s">
        <v>216</v>
      </c>
      <c r="AU10" s="139">
        <v>11150</v>
      </c>
      <c r="AV10" s="140">
        <v>0</v>
      </c>
      <c r="AW10" s="141" t="s">
        <v>123</v>
      </c>
      <c r="AX10" s="141" t="s">
        <v>213</v>
      </c>
      <c r="AY10" s="142" t="s">
        <v>318</v>
      </c>
      <c r="AZ10" s="142" t="s">
        <v>215</v>
      </c>
      <c r="BA10" s="143" t="s">
        <v>216</v>
      </c>
    </row>
    <row r="11" spans="1:53" ht="16">
      <c r="A11" s="136">
        <v>43466</v>
      </c>
      <c r="B11" s="137" t="str">
        <f>INDEX('[1]Indices Mines Exporting Ports'!$C$26:$C$51,MATCH(C11,'[1]Indices Mines Exporting Ports'!$Q$26:$Q$51,0))</f>
        <v>Weipa/Amrun Generic</v>
      </c>
      <c r="C11" s="129" t="s">
        <v>40</v>
      </c>
      <c r="D11" s="138" t="s">
        <v>113</v>
      </c>
      <c r="E11" s="139">
        <v>3280</v>
      </c>
      <c r="F11" s="140">
        <v>0</v>
      </c>
      <c r="G11" s="141" t="s">
        <v>118</v>
      </c>
      <c r="H11" s="141" t="s">
        <v>213</v>
      </c>
      <c r="I11" s="142" t="s">
        <v>318</v>
      </c>
      <c r="J11" s="142" t="s">
        <v>215</v>
      </c>
      <c r="K11" s="143" t="s">
        <v>216</v>
      </c>
      <c r="L11" s="139">
        <v>3280</v>
      </c>
      <c r="M11" s="140">
        <v>0</v>
      </c>
      <c r="N11" s="141" t="s">
        <v>118</v>
      </c>
      <c r="O11" s="141" t="s">
        <v>213</v>
      </c>
      <c r="P11" s="142" t="s">
        <v>318</v>
      </c>
      <c r="Q11" s="142" t="s">
        <v>215</v>
      </c>
      <c r="R11" s="143" t="s">
        <v>216</v>
      </c>
      <c r="S11" s="139">
        <v>3280</v>
      </c>
      <c r="T11" s="140">
        <v>0</v>
      </c>
      <c r="U11" s="141" t="s">
        <v>118</v>
      </c>
      <c r="V11" s="141" t="s">
        <v>213</v>
      </c>
      <c r="W11" s="142" t="s">
        <v>318</v>
      </c>
      <c r="X11" s="142" t="s">
        <v>215</v>
      </c>
      <c r="Y11" s="143" t="s">
        <v>216</v>
      </c>
      <c r="Z11" s="139">
        <v>3280</v>
      </c>
      <c r="AA11" s="140">
        <v>0</v>
      </c>
      <c r="AB11" s="141" t="s">
        <v>118</v>
      </c>
      <c r="AC11" s="141" t="s">
        <v>213</v>
      </c>
      <c r="AD11" s="142" t="s">
        <v>318</v>
      </c>
      <c r="AE11" s="142" t="s">
        <v>215</v>
      </c>
      <c r="AF11" s="143" t="s">
        <v>216</v>
      </c>
      <c r="AG11" s="139">
        <v>3280</v>
      </c>
      <c r="AH11" s="140">
        <v>0</v>
      </c>
      <c r="AI11" s="141" t="s">
        <v>120</v>
      </c>
      <c r="AJ11" s="141" t="s">
        <v>213</v>
      </c>
      <c r="AK11" s="142" t="s">
        <v>318</v>
      </c>
      <c r="AL11" s="142" t="s">
        <v>215</v>
      </c>
      <c r="AM11" s="143" t="s">
        <v>216</v>
      </c>
      <c r="AN11" s="139">
        <v>3280</v>
      </c>
      <c r="AO11" s="140">
        <v>0</v>
      </c>
      <c r="AP11" s="141" t="s">
        <v>122</v>
      </c>
      <c r="AQ11" s="141" t="s">
        <v>213</v>
      </c>
      <c r="AR11" s="142" t="s">
        <v>318</v>
      </c>
      <c r="AS11" s="142" t="s">
        <v>215</v>
      </c>
      <c r="AT11" s="143" t="s">
        <v>216</v>
      </c>
      <c r="AU11" s="139">
        <v>3280</v>
      </c>
      <c r="AV11" s="140">
        <v>0</v>
      </c>
      <c r="AW11" s="141" t="s">
        <v>123</v>
      </c>
      <c r="AX11" s="141" t="s">
        <v>213</v>
      </c>
      <c r="AY11" s="142" t="s">
        <v>318</v>
      </c>
      <c r="AZ11" s="142" t="s">
        <v>215</v>
      </c>
      <c r="BA11" s="143" t="s">
        <v>216</v>
      </c>
    </row>
    <row r="12" spans="1:53" ht="16">
      <c r="A12" s="136">
        <v>43466</v>
      </c>
      <c r="B12" s="137" t="str">
        <f>INDEX('[1]Indices Mines Exporting Ports'!$C$26:$C$51,MATCH(C12,'[1]Indices Mines Exporting Ports'!$Q$26:$Q$51,0))</f>
        <v>West Kalimantan Generic</v>
      </c>
      <c r="C12" s="129" t="s">
        <v>42</v>
      </c>
      <c r="D12" s="138" t="s">
        <v>113</v>
      </c>
      <c r="E12" s="139">
        <v>2326</v>
      </c>
      <c r="F12" s="140">
        <v>0</v>
      </c>
      <c r="G12" s="141" t="s">
        <v>118</v>
      </c>
      <c r="H12" s="141" t="s">
        <v>213</v>
      </c>
      <c r="I12" s="142" t="s">
        <v>318</v>
      </c>
      <c r="J12" s="142" t="s">
        <v>215</v>
      </c>
      <c r="K12" s="143" t="s">
        <v>216</v>
      </c>
      <c r="L12" s="139">
        <v>2326</v>
      </c>
      <c r="M12" s="140">
        <v>0</v>
      </c>
      <c r="N12" s="141" t="s">
        <v>118</v>
      </c>
      <c r="O12" s="141" t="s">
        <v>213</v>
      </c>
      <c r="P12" s="142" t="s">
        <v>318</v>
      </c>
      <c r="Q12" s="142" t="s">
        <v>215</v>
      </c>
      <c r="R12" s="143" t="s">
        <v>216</v>
      </c>
      <c r="S12" s="139">
        <v>2326</v>
      </c>
      <c r="T12" s="140">
        <v>0</v>
      </c>
      <c r="U12" s="141" t="s">
        <v>118</v>
      </c>
      <c r="V12" s="141" t="s">
        <v>213</v>
      </c>
      <c r="W12" s="142" t="s">
        <v>318</v>
      </c>
      <c r="X12" s="142" t="s">
        <v>215</v>
      </c>
      <c r="Y12" s="143" t="s">
        <v>216</v>
      </c>
      <c r="Z12" s="139">
        <v>2326</v>
      </c>
      <c r="AA12" s="140">
        <v>0</v>
      </c>
      <c r="AB12" s="141" t="s">
        <v>118</v>
      </c>
      <c r="AC12" s="141" t="s">
        <v>213</v>
      </c>
      <c r="AD12" s="142" t="s">
        <v>318</v>
      </c>
      <c r="AE12" s="142" t="s">
        <v>215</v>
      </c>
      <c r="AF12" s="143" t="s">
        <v>216</v>
      </c>
      <c r="AG12" s="139">
        <v>2326</v>
      </c>
      <c r="AH12" s="140">
        <v>0</v>
      </c>
      <c r="AI12" s="141" t="s">
        <v>120</v>
      </c>
      <c r="AJ12" s="141" t="s">
        <v>213</v>
      </c>
      <c r="AK12" s="142" t="s">
        <v>318</v>
      </c>
      <c r="AL12" s="142" t="s">
        <v>215</v>
      </c>
      <c r="AM12" s="143" t="s">
        <v>216</v>
      </c>
      <c r="AN12" s="139">
        <v>2326</v>
      </c>
      <c r="AO12" s="140">
        <v>0</v>
      </c>
      <c r="AP12" s="141" t="s">
        <v>122</v>
      </c>
      <c r="AQ12" s="141" t="s">
        <v>213</v>
      </c>
      <c r="AR12" s="142" t="s">
        <v>318</v>
      </c>
      <c r="AS12" s="142" t="s">
        <v>215</v>
      </c>
      <c r="AT12" s="143" t="s">
        <v>216</v>
      </c>
      <c r="AU12" s="139">
        <v>2326</v>
      </c>
      <c r="AV12" s="140">
        <v>0</v>
      </c>
      <c r="AW12" s="141" t="s">
        <v>123</v>
      </c>
      <c r="AX12" s="141" t="s">
        <v>213</v>
      </c>
      <c r="AY12" s="142" t="s">
        <v>318</v>
      </c>
      <c r="AZ12" s="142" t="s">
        <v>215</v>
      </c>
      <c r="BA12" s="143" t="s">
        <v>216</v>
      </c>
    </row>
    <row r="13" spans="1:53" ht="16">
      <c r="A13" s="136">
        <v>43466</v>
      </c>
      <c r="B13" s="137" t="str">
        <f>INDEX('[1]Indices Mines Exporting Ports'!$C$26:$C$51,MATCH(C13,'[1]Indices Mines Exporting Ports'!$Q$26:$Q$51,0))</f>
        <v>Gove</v>
      </c>
      <c r="C13" s="129" t="s">
        <v>49</v>
      </c>
      <c r="D13" s="138" t="s">
        <v>113</v>
      </c>
      <c r="E13" s="139" t="e">
        <v>#N/A</v>
      </c>
      <c r="F13" s="140">
        <v>0</v>
      </c>
      <c r="G13" s="141" t="s">
        <v>118</v>
      </c>
      <c r="H13" s="141" t="s">
        <v>213</v>
      </c>
      <c r="I13" s="142" t="s">
        <v>318</v>
      </c>
      <c r="J13" s="142" t="s">
        <v>215</v>
      </c>
      <c r="K13" s="143" t="s">
        <v>216</v>
      </c>
      <c r="L13" s="139" t="e">
        <v>#N/A</v>
      </c>
      <c r="M13" s="140">
        <v>0</v>
      </c>
      <c r="N13" s="141" t="s">
        <v>118</v>
      </c>
      <c r="O13" s="141" t="s">
        <v>213</v>
      </c>
      <c r="P13" s="142" t="s">
        <v>318</v>
      </c>
      <c r="Q13" s="142" t="s">
        <v>215</v>
      </c>
      <c r="R13" s="143" t="s">
        <v>216</v>
      </c>
      <c r="S13" s="139" t="e">
        <v>#N/A</v>
      </c>
      <c r="T13" s="140">
        <v>0</v>
      </c>
      <c r="U13" s="141" t="s">
        <v>118</v>
      </c>
      <c r="V13" s="141" t="s">
        <v>213</v>
      </c>
      <c r="W13" s="142" t="s">
        <v>318</v>
      </c>
      <c r="X13" s="142" t="s">
        <v>215</v>
      </c>
      <c r="Y13" s="143" t="s">
        <v>216</v>
      </c>
      <c r="Z13" s="139">
        <v>3079</v>
      </c>
      <c r="AA13" s="140">
        <v>0</v>
      </c>
      <c r="AB13" s="141" t="s">
        <v>118</v>
      </c>
      <c r="AC13" s="141" t="s">
        <v>213</v>
      </c>
      <c r="AD13" s="142" t="s">
        <v>318</v>
      </c>
      <c r="AE13" s="142" t="s">
        <v>215</v>
      </c>
      <c r="AF13" s="143" t="s">
        <v>216</v>
      </c>
      <c r="AG13" s="139">
        <v>3079</v>
      </c>
      <c r="AH13" s="140">
        <v>0</v>
      </c>
      <c r="AI13" s="141" t="s">
        <v>120</v>
      </c>
      <c r="AJ13" s="141" t="s">
        <v>213</v>
      </c>
      <c r="AK13" s="142" t="s">
        <v>318</v>
      </c>
      <c r="AL13" s="142" t="s">
        <v>215</v>
      </c>
      <c r="AM13" s="143" t="s">
        <v>216</v>
      </c>
      <c r="AN13" s="139">
        <v>3079</v>
      </c>
      <c r="AO13" s="140">
        <v>0</v>
      </c>
      <c r="AP13" s="141" t="s">
        <v>122</v>
      </c>
      <c r="AQ13" s="141" t="s">
        <v>213</v>
      </c>
      <c r="AR13" s="142" t="s">
        <v>318</v>
      </c>
      <c r="AS13" s="142" t="s">
        <v>215</v>
      </c>
      <c r="AT13" s="143" t="s">
        <v>216</v>
      </c>
      <c r="AU13" s="139">
        <v>3079</v>
      </c>
      <c r="AV13" s="140">
        <v>0</v>
      </c>
      <c r="AW13" s="141" t="s">
        <v>123</v>
      </c>
      <c r="AX13" s="141" t="s">
        <v>213</v>
      </c>
      <c r="AY13" s="142" t="s">
        <v>318</v>
      </c>
      <c r="AZ13" s="142" t="s">
        <v>215</v>
      </c>
      <c r="BA13" s="143" t="s">
        <v>216</v>
      </c>
    </row>
    <row r="14" spans="1:53" ht="16">
      <c r="A14" s="136">
        <v>43466</v>
      </c>
      <c r="B14" s="137" t="str">
        <f>INDEX('[1]Indices Mines Exporting Ports'!$C$26:$C$51,MATCH(C14,'[1]Indices Mines Exporting Ports'!$Q$26:$Q$51,0))</f>
        <v>Central Kalimantan Generic</v>
      </c>
      <c r="C14" s="129" t="s">
        <v>51</v>
      </c>
      <c r="D14" s="138" t="s">
        <v>113</v>
      </c>
      <c r="E14" s="139">
        <v>2300</v>
      </c>
      <c r="F14" s="140">
        <v>0</v>
      </c>
      <c r="G14" s="141" t="s">
        <v>118</v>
      </c>
      <c r="H14" s="141" t="s">
        <v>213</v>
      </c>
      <c r="I14" s="142" t="s">
        <v>318</v>
      </c>
      <c r="J14" s="142" t="s">
        <v>215</v>
      </c>
      <c r="K14" s="143" t="s">
        <v>216</v>
      </c>
      <c r="L14" s="139">
        <v>2300</v>
      </c>
      <c r="M14" s="140">
        <v>0</v>
      </c>
      <c r="N14" s="141" t="s">
        <v>118</v>
      </c>
      <c r="O14" s="141" t="s">
        <v>213</v>
      </c>
      <c r="P14" s="142" t="s">
        <v>318</v>
      </c>
      <c r="Q14" s="142" t="s">
        <v>215</v>
      </c>
      <c r="R14" s="143" t="s">
        <v>216</v>
      </c>
      <c r="S14" s="139">
        <v>2300</v>
      </c>
      <c r="T14" s="140">
        <v>0</v>
      </c>
      <c r="U14" s="141" t="s">
        <v>118</v>
      </c>
      <c r="V14" s="141" t="s">
        <v>213</v>
      </c>
      <c r="W14" s="142" t="s">
        <v>318</v>
      </c>
      <c r="X14" s="142" t="s">
        <v>215</v>
      </c>
      <c r="Y14" s="143" t="s">
        <v>216</v>
      </c>
      <c r="Z14" s="139">
        <v>2300</v>
      </c>
      <c r="AA14" s="140">
        <v>0</v>
      </c>
      <c r="AB14" s="141" t="s">
        <v>118</v>
      </c>
      <c r="AC14" s="141" t="s">
        <v>213</v>
      </c>
      <c r="AD14" s="142" t="s">
        <v>318</v>
      </c>
      <c r="AE14" s="142" t="s">
        <v>215</v>
      </c>
      <c r="AF14" s="143" t="s">
        <v>216</v>
      </c>
      <c r="AG14" s="139">
        <v>2300</v>
      </c>
      <c r="AH14" s="140">
        <v>0</v>
      </c>
      <c r="AI14" s="141" t="s">
        <v>120</v>
      </c>
      <c r="AJ14" s="141" t="s">
        <v>213</v>
      </c>
      <c r="AK14" s="142" t="s">
        <v>318</v>
      </c>
      <c r="AL14" s="142" t="s">
        <v>215</v>
      </c>
      <c r="AM14" s="143" t="s">
        <v>216</v>
      </c>
      <c r="AN14" s="139">
        <v>2300</v>
      </c>
      <c r="AO14" s="140">
        <v>0</v>
      </c>
      <c r="AP14" s="141" t="s">
        <v>122</v>
      </c>
      <c r="AQ14" s="141" t="s">
        <v>213</v>
      </c>
      <c r="AR14" s="142" t="s">
        <v>318</v>
      </c>
      <c r="AS14" s="142" t="s">
        <v>215</v>
      </c>
      <c r="AT14" s="143" t="s">
        <v>216</v>
      </c>
      <c r="AU14" s="139">
        <v>2300</v>
      </c>
      <c r="AV14" s="140">
        <v>0</v>
      </c>
      <c r="AW14" s="141" t="s">
        <v>123</v>
      </c>
      <c r="AX14" s="141" t="s">
        <v>213</v>
      </c>
      <c r="AY14" s="142" t="s">
        <v>318</v>
      </c>
      <c r="AZ14" s="142" t="s">
        <v>215</v>
      </c>
      <c r="BA14" s="143" t="s">
        <v>216</v>
      </c>
    </row>
    <row r="15" spans="1:53" ht="16">
      <c r="A15" s="136">
        <v>43466</v>
      </c>
      <c r="B15" s="137" t="str">
        <f>INDEX('[1]Indices Mines Exporting Ports'!$C$26:$C$51,MATCH(C15,'[1]Indices Mines Exporting Ports'!$Q$26:$Q$51,0))</f>
        <v>Huntly</v>
      </c>
      <c r="C15" s="129" t="s">
        <v>53</v>
      </c>
      <c r="D15" s="138" t="s">
        <v>113</v>
      </c>
      <c r="E15" s="139" t="e">
        <v>#N/A</v>
      </c>
      <c r="F15" s="140">
        <v>0</v>
      </c>
      <c r="G15" s="141" t="s">
        <v>118</v>
      </c>
      <c r="H15" s="141" t="s">
        <v>213</v>
      </c>
      <c r="I15" s="142" t="s">
        <v>318</v>
      </c>
      <c r="J15" s="142" t="s">
        <v>215</v>
      </c>
      <c r="K15" s="143" t="s">
        <v>216</v>
      </c>
      <c r="L15" s="139" t="e">
        <v>#N/A</v>
      </c>
      <c r="M15" s="140">
        <v>0</v>
      </c>
      <c r="N15" s="141" t="s">
        <v>118</v>
      </c>
      <c r="O15" s="141" t="s">
        <v>213</v>
      </c>
      <c r="P15" s="142" t="s">
        <v>318</v>
      </c>
      <c r="Q15" s="142" t="s">
        <v>215</v>
      </c>
      <c r="R15" s="143" t="s">
        <v>216</v>
      </c>
      <c r="S15" s="139" t="e">
        <v>#N/A</v>
      </c>
      <c r="T15" s="140">
        <v>0</v>
      </c>
      <c r="U15" s="141" t="s">
        <v>118</v>
      </c>
      <c r="V15" s="141" t="s">
        <v>213</v>
      </c>
      <c r="W15" s="142" t="s">
        <v>318</v>
      </c>
      <c r="X15" s="142" t="s">
        <v>215</v>
      </c>
      <c r="Y15" s="143" t="s">
        <v>216</v>
      </c>
      <c r="Z15" s="139" t="e">
        <v>#N/A</v>
      </c>
      <c r="AA15" s="140">
        <v>0</v>
      </c>
      <c r="AB15" s="141" t="s">
        <v>118</v>
      </c>
      <c r="AC15" s="141" t="s">
        <v>213</v>
      </c>
      <c r="AD15" s="142" t="s">
        <v>318</v>
      </c>
      <c r="AE15" s="142" t="s">
        <v>215</v>
      </c>
      <c r="AF15" s="143" t="s">
        <v>216</v>
      </c>
      <c r="AG15" s="139">
        <v>4250</v>
      </c>
      <c r="AH15" s="140">
        <v>0</v>
      </c>
      <c r="AI15" s="141" t="s">
        <v>120</v>
      </c>
      <c r="AJ15" s="141" t="s">
        <v>213</v>
      </c>
      <c r="AK15" s="142" t="s">
        <v>318</v>
      </c>
      <c r="AL15" s="142" t="s">
        <v>215</v>
      </c>
      <c r="AM15" s="143" t="s">
        <v>216</v>
      </c>
      <c r="AN15" s="139">
        <v>4250</v>
      </c>
      <c r="AO15" s="140">
        <v>0</v>
      </c>
      <c r="AP15" s="141" t="s">
        <v>122</v>
      </c>
      <c r="AQ15" s="141" t="s">
        <v>213</v>
      </c>
      <c r="AR15" s="142" t="s">
        <v>318</v>
      </c>
      <c r="AS15" s="142" t="s">
        <v>215</v>
      </c>
      <c r="AT15" s="143" t="s">
        <v>216</v>
      </c>
      <c r="AU15" s="139">
        <v>4250</v>
      </c>
      <c r="AV15" s="140">
        <v>0</v>
      </c>
      <c r="AW15" s="141" t="s">
        <v>123</v>
      </c>
      <c r="AX15" s="141" t="s">
        <v>213</v>
      </c>
      <c r="AY15" s="142" t="s">
        <v>318</v>
      </c>
      <c r="AZ15" s="142" t="s">
        <v>215</v>
      </c>
      <c r="BA15" s="143" t="s">
        <v>216</v>
      </c>
    </row>
    <row r="16" spans="1:53" ht="16">
      <c r="A16" s="136">
        <v>43466</v>
      </c>
      <c r="B16" s="137" t="str">
        <f>INDEX('[1]Indices Mines Exporting Ports'!$C$26:$C$51,MATCH(C16,'[1]Indices Mines Exporting Ports'!$Q$26:$Q$51,0))</f>
        <v>Turkey</v>
      </c>
      <c r="C16" s="129" t="s">
        <v>54</v>
      </c>
      <c r="D16" s="138" t="s">
        <v>113</v>
      </c>
      <c r="E16" s="139">
        <v>14562</v>
      </c>
      <c r="F16" s="140">
        <v>0</v>
      </c>
      <c r="G16" s="141" t="s">
        <v>118</v>
      </c>
      <c r="H16" s="141" t="s">
        <v>213</v>
      </c>
      <c r="I16" s="142" t="s">
        <v>318</v>
      </c>
      <c r="J16" s="142" t="s">
        <v>215</v>
      </c>
      <c r="K16" s="143" t="s">
        <v>216</v>
      </c>
      <c r="L16" s="139">
        <v>14562</v>
      </c>
      <c r="M16" s="140">
        <v>0</v>
      </c>
      <c r="N16" s="141" t="s">
        <v>118</v>
      </c>
      <c r="O16" s="141" t="s">
        <v>213</v>
      </c>
      <c r="P16" s="142" t="s">
        <v>318</v>
      </c>
      <c r="Q16" s="142" t="s">
        <v>215</v>
      </c>
      <c r="R16" s="143" t="s">
        <v>216</v>
      </c>
      <c r="S16" s="139">
        <v>8426</v>
      </c>
      <c r="T16" s="140">
        <v>0</v>
      </c>
      <c r="U16" s="141" t="s">
        <v>118</v>
      </c>
      <c r="V16" s="141" t="s">
        <v>213</v>
      </c>
      <c r="W16" s="142" t="s">
        <v>318</v>
      </c>
      <c r="X16" s="142" t="s">
        <v>215</v>
      </c>
      <c r="Y16" s="143" t="s">
        <v>218</v>
      </c>
      <c r="Z16" s="139">
        <v>8426</v>
      </c>
      <c r="AA16" s="140">
        <v>0</v>
      </c>
      <c r="AB16" s="141" t="s">
        <v>118</v>
      </c>
      <c r="AC16" s="141" t="s">
        <v>213</v>
      </c>
      <c r="AD16" s="142" t="s">
        <v>318</v>
      </c>
      <c r="AE16" s="142" t="s">
        <v>215</v>
      </c>
      <c r="AF16" s="143" t="s">
        <v>218</v>
      </c>
      <c r="AG16" s="139">
        <v>8426</v>
      </c>
      <c r="AH16" s="140">
        <v>0</v>
      </c>
      <c r="AI16" s="141" t="s">
        <v>120</v>
      </c>
      <c r="AJ16" s="141" t="s">
        <v>213</v>
      </c>
      <c r="AK16" s="142" t="s">
        <v>318</v>
      </c>
      <c r="AL16" s="142" t="s">
        <v>215</v>
      </c>
      <c r="AM16" s="143" t="s">
        <v>218</v>
      </c>
      <c r="AN16" s="139">
        <v>8426</v>
      </c>
      <c r="AO16" s="140">
        <v>0</v>
      </c>
      <c r="AP16" s="141" t="s">
        <v>122</v>
      </c>
      <c r="AQ16" s="141" t="s">
        <v>213</v>
      </c>
      <c r="AR16" s="142" t="s">
        <v>318</v>
      </c>
      <c r="AS16" s="142" t="s">
        <v>215</v>
      </c>
      <c r="AT16" s="143" t="s">
        <v>218</v>
      </c>
      <c r="AU16" s="139">
        <v>8426</v>
      </c>
      <c r="AV16" s="140">
        <v>0</v>
      </c>
      <c r="AW16" s="141" t="s">
        <v>123</v>
      </c>
      <c r="AX16" s="141" t="s">
        <v>213</v>
      </c>
      <c r="AY16" s="142" t="s">
        <v>318</v>
      </c>
      <c r="AZ16" s="142" t="s">
        <v>215</v>
      </c>
      <c r="BA16" s="143" t="s">
        <v>218</v>
      </c>
    </row>
    <row r="17" spans="1:53" ht="16">
      <c r="A17" s="136">
        <v>43466</v>
      </c>
      <c r="B17" s="137" t="str">
        <f>INDEX('[1]Indices Mines Exporting Ports'!$C$26:$C$51,MATCH(C17,'[1]Indices Mines Exporting Ports'!$Q$26:$Q$51,0))</f>
        <v>Bauxite Hills</v>
      </c>
      <c r="C17" s="129" t="s">
        <v>56</v>
      </c>
      <c r="D17" s="138" t="s">
        <v>113</v>
      </c>
      <c r="E17" s="139">
        <v>3270</v>
      </c>
      <c r="F17" s="140">
        <v>0</v>
      </c>
      <c r="G17" s="141" t="s">
        <v>118</v>
      </c>
      <c r="H17" s="141" t="s">
        <v>213</v>
      </c>
      <c r="I17" s="142" t="s">
        <v>318</v>
      </c>
      <c r="J17" s="142" t="s">
        <v>215</v>
      </c>
      <c r="K17" s="143" t="s">
        <v>216</v>
      </c>
      <c r="L17" s="139">
        <v>3270</v>
      </c>
      <c r="M17" s="140">
        <v>0</v>
      </c>
      <c r="N17" s="141" t="s">
        <v>118</v>
      </c>
      <c r="O17" s="141" t="s">
        <v>213</v>
      </c>
      <c r="P17" s="142" t="s">
        <v>318</v>
      </c>
      <c r="Q17" s="142" t="s">
        <v>215</v>
      </c>
      <c r="R17" s="143" t="s">
        <v>216</v>
      </c>
      <c r="S17" s="139">
        <v>3270</v>
      </c>
      <c r="T17" s="140">
        <v>0</v>
      </c>
      <c r="U17" s="141" t="s">
        <v>118</v>
      </c>
      <c r="V17" s="141" t="s">
        <v>213</v>
      </c>
      <c r="W17" s="142" t="s">
        <v>318</v>
      </c>
      <c r="X17" s="142" t="s">
        <v>215</v>
      </c>
      <c r="Y17" s="143" t="s">
        <v>218</v>
      </c>
      <c r="Z17" s="139">
        <v>3270</v>
      </c>
      <c r="AA17" s="140">
        <v>0</v>
      </c>
      <c r="AB17" s="141" t="s">
        <v>118</v>
      </c>
      <c r="AC17" s="141" t="s">
        <v>213</v>
      </c>
      <c r="AD17" s="142" t="s">
        <v>318</v>
      </c>
      <c r="AE17" s="142" t="s">
        <v>215</v>
      </c>
      <c r="AF17" s="143" t="s">
        <v>218</v>
      </c>
      <c r="AG17" s="139">
        <v>3270</v>
      </c>
      <c r="AH17" s="140">
        <v>0</v>
      </c>
      <c r="AI17" s="141" t="s">
        <v>120</v>
      </c>
      <c r="AJ17" s="141" t="s">
        <v>213</v>
      </c>
      <c r="AK17" s="142" t="s">
        <v>318</v>
      </c>
      <c r="AL17" s="142" t="s">
        <v>215</v>
      </c>
      <c r="AM17" s="143" t="s">
        <v>218</v>
      </c>
      <c r="AN17" s="139">
        <v>3270</v>
      </c>
      <c r="AO17" s="140">
        <v>0</v>
      </c>
      <c r="AP17" s="141" t="s">
        <v>122</v>
      </c>
      <c r="AQ17" s="141" t="s">
        <v>213</v>
      </c>
      <c r="AR17" s="142" t="s">
        <v>318</v>
      </c>
      <c r="AS17" s="142" t="s">
        <v>215</v>
      </c>
      <c r="AT17" s="143" t="s">
        <v>218</v>
      </c>
      <c r="AU17" s="139">
        <v>3270</v>
      </c>
      <c r="AV17" s="140">
        <v>0</v>
      </c>
      <c r="AW17" s="141" t="s">
        <v>123</v>
      </c>
      <c r="AX17" s="141" t="s">
        <v>213</v>
      </c>
      <c r="AY17" s="142" t="s">
        <v>318</v>
      </c>
      <c r="AZ17" s="142" t="s">
        <v>215</v>
      </c>
      <c r="BA17" s="143" t="s">
        <v>218</v>
      </c>
    </row>
    <row r="18" spans="1:53" ht="16">
      <c r="A18" s="136">
        <v>43466</v>
      </c>
      <c r="B18" s="137" t="str">
        <f>INDEX('[1]Indices Mines Exporting Ports'!$C$26:$C$51,MATCH(C18,'[1]Indices Mines Exporting Ports'!$Q$26:$Q$51,0))</f>
        <v>Chalco Boffa</v>
      </c>
      <c r="C18" s="129" t="s">
        <v>58</v>
      </c>
      <c r="D18" s="138" t="s">
        <v>113</v>
      </c>
      <c r="E18" s="139">
        <v>11050</v>
      </c>
      <c r="F18" s="140">
        <v>0</v>
      </c>
      <c r="G18" s="141" t="s">
        <v>118</v>
      </c>
      <c r="H18" s="141" t="s">
        <v>213</v>
      </c>
      <c r="I18" s="142" t="s">
        <v>318</v>
      </c>
      <c r="J18" s="142" t="s">
        <v>215</v>
      </c>
      <c r="K18" s="143" t="s">
        <v>216</v>
      </c>
      <c r="L18" s="139">
        <v>11050</v>
      </c>
      <c r="M18" s="140">
        <v>0</v>
      </c>
      <c r="N18" s="141" t="s">
        <v>118</v>
      </c>
      <c r="O18" s="141" t="s">
        <v>213</v>
      </c>
      <c r="P18" s="142" t="s">
        <v>318</v>
      </c>
      <c r="Q18" s="142" t="s">
        <v>215</v>
      </c>
      <c r="R18" s="143" t="s">
        <v>216</v>
      </c>
      <c r="S18" s="139">
        <v>11050</v>
      </c>
      <c r="T18" s="140">
        <v>0</v>
      </c>
      <c r="U18" s="141" t="s">
        <v>118</v>
      </c>
      <c r="V18" s="141" t="s">
        <v>213</v>
      </c>
      <c r="W18" s="142" t="s">
        <v>318</v>
      </c>
      <c r="X18" s="142" t="s">
        <v>215</v>
      </c>
      <c r="Y18" s="143" t="s">
        <v>216</v>
      </c>
      <c r="Z18" s="139">
        <v>11050</v>
      </c>
      <c r="AA18" s="140">
        <v>0</v>
      </c>
      <c r="AB18" s="141" t="s">
        <v>118</v>
      </c>
      <c r="AC18" s="141" t="s">
        <v>213</v>
      </c>
      <c r="AD18" s="142" t="s">
        <v>318</v>
      </c>
      <c r="AE18" s="142" t="s">
        <v>215</v>
      </c>
      <c r="AF18" s="143" t="s">
        <v>216</v>
      </c>
      <c r="AG18" s="139">
        <v>11050</v>
      </c>
      <c r="AH18" s="140">
        <v>0</v>
      </c>
      <c r="AI18" s="141" t="s">
        <v>120</v>
      </c>
      <c r="AJ18" s="141" t="s">
        <v>213</v>
      </c>
      <c r="AK18" s="142" t="s">
        <v>318</v>
      </c>
      <c r="AL18" s="142" t="s">
        <v>215</v>
      </c>
      <c r="AM18" s="143" t="s">
        <v>216</v>
      </c>
      <c r="AN18" s="139">
        <v>11050</v>
      </c>
      <c r="AO18" s="140">
        <v>0</v>
      </c>
      <c r="AP18" s="141" t="s">
        <v>122</v>
      </c>
      <c r="AQ18" s="141" t="s">
        <v>213</v>
      </c>
      <c r="AR18" s="142" t="s">
        <v>318</v>
      </c>
      <c r="AS18" s="142" t="s">
        <v>215</v>
      </c>
      <c r="AT18" s="143" t="s">
        <v>216</v>
      </c>
      <c r="AU18" s="139">
        <v>11050</v>
      </c>
      <c r="AV18" s="140">
        <v>0</v>
      </c>
      <c r="AW18" s="141" t="s">
        <v>123</v>
      </c>
      <c r="AX18" s="141" t="s">
        <v>213</v>
      </c>
      <c r="AY18" s="142" t="s">
        <v>318</v>
      </c>
      <c r="AZ18" s="142" t="s">
        <v>215</v>
      </c>
      <c r="BA18" s="143" t="s">
        <v>216</v>
      </c>
    </row>
    <row r="19" spans="1:53" ht="16">
      <c r="A19" s="136">
        <v>43466</v>
      </c>
      <c r="B19" s="137" t="str">
        <f>INDEX('[1]Indices Mines Exporting Ports'!$C$26:$C$51,MATCH(C19,'[1]Indices Mines Exporting Ports'!$Q$26:$Q$51,0))</f>
        <v>Rennell Island</v>
      </c>
      <c r="C19" s="129" t="s">
        <v>60</v>
      </c>
      <c r="D19" s="138" t="s">
        <v>113</v>
      </c>
      <c r="E19" s="139">
        <v>3542</v>
      </c>
      <c r="F19" s="140">
        <v>0</v>
      </c>
      <c r="G19" s="141" t="s">
        <v>118</v>
      </c>
      <c r="H19" s="141" t="s">
        <v>213</v>
      </c>
      <c r="I19" s="142" t="s">
        <v>318</v>
      </c>
      <c r="J19" s="142" t="s">
        <v>215</v>
      </c>
      <c r="K19" s="143" t="s">
        <v>216</v>
      </c>
      <c r="L19" s="139">
        <v>3542</v>
      </c>
      <c r="M19" s="140">
        <v>0</v>
      </c>
      <c r="N19" s="141" t="s">
        <v>118</v>
      </c>
      <c r="O19" s="141" t="s">
        <v>213</v>
      </c>
      <c r="P19" s="142" t="s">
        <v>318</v>
      </c>
      <c r="Q19" s="142" t="s">
        <v>215</v>
      </c>
      <c r="R19" s="143" t="s">
        <v>216</v>
      </c>
      <c r="S19" s="139">
        <v>3542</v>
      </c>
      <c r="T19" s="140">
        <v>0</v>
      </c>
      <c r="U19" s="141" t="s">
        <v>118</v>
      </c>
      <c r="V19" s="141" t="s">
        <v>213</v>
      </c>
      <c r="W19" s="142" t="s">
        <v>318</v>
      </c>
      <c r="X19" s="142" t="s">
        <v>215</v>
      </c>
      <c r="Y19" s="143" t="s">
        <v>216</v>
      </c>
      <c r="Z19" s="139">
        <v>3542</v>
      </c>
      <c r="AA19" s="140">
        <v>0</v>
      </c>
      <c r="AB19" s="141" t="s">
        <v>118</v>
      </c>
      <c r="AC19" s="141" t="s">
        <v>213</v>
      </c>
      <c r="AD19" s="142" t="s">
        <v>318</v>
      </c>
      <c r="AE19" s="142" t="s">
        <v>215</v>
      </c>
      <c r="AF19" s="143" t="s">
        <v>216</v>
      </c>
      <c r="AG19" s="139">
        <v>3542</v>
      </c>
      <c r="AH19" s="140">
        <v>0</v>
      </c>
      <c r="AI19" s="141" t="s">
        <v>120</v>
      </c>
      <c r="AJ19" s="141" t="s">
        <v>213</v>
      </c>
      <c r="AK19" s="142" t="s">
        <v>318</v>
      </c>
      <c r="AL19" s="142" t="s">
        <v>215</v>
      </c>
      <c r="AM19" s="143" t="s">
        <v>216</v>
      </c>
      <c r="AN19" s="139">
        <v>3542</v>
      </c>
      <c r="AO19" s="140">
        <v>0</v>
      </c>
      <c r="AP19" s="141" t="s">
        <v>122</v>
      </c>
      <c r="AQ19" s="141" t="s">
        <v>213</v>
      </c>
      <c r="AR19" s="142" t="s">
        <v>318</v>
      </c>
      <c r="AS19" s="142" t="s">
        <v>215</v>
      </c>
      <c r="AT19" s="143" t="s">
        <v>216</v>
      </c>
      <c r="AU19" s="139">
        <v>3542</v>
      </c>
      <c r="AV19" s="140">
        <v>0</v>
      </c>
      <c r="AW19" s="141" t="s">
        <v>123</v>
      </c>
      <c r="AX19" s="141" t="s">
        <v>213</v>
      </c>
      <c r="AY19" s="142" t="s">
        <v>318</v>
      </c>
      <c r="AZ19" s="142" t="s">
        <v>215</v>
      </c>
      <c r="BA19" s="143" t="s">
        <v>216</v>
      </c>
    </row>
    <row r="20" spans="1:53" ht="16">
      <c r="A20" s="136">
        <v>43466</v>
      </c>
      <c r="B20" s="137" t="str">
        <f>INDEX('[1]Indices Mines Exporting Ports'!$C$26:$C$51,MATCH(C20,'[1]Indices Mines Exporting Ports'!$Q$26:$Q$51,0))</f>
        <v>Discovery Bay</v>
      </c>
      <c r="C20" s="129" t="s">
        <v>62</v>
      </c>
      <c r="D20" s="138" t="s">
        <v>113</v>
      </c>
      <c r="E20" s="139">
        <v>14116</v>
      </c>
      <c r="F20" s="140">
        <v>0</v>
      </c>
      <c r="G20" s="141" t="s">
        <v>118</v>
      </c>
      <c r="H20" s="141" t="s">
        <v>213</v>
      </c>
      <c r="I20" s="142" t="s">
        <v>318</v>
      </c>
      <c r="J20" s="142" t="s">
        <v>215</v>
      </c>
      <c r="K20" s="143" t="s">
        <v>216</v>
      </c>
      <c r="L20" s="139">
        <v>14116</v>
      </c>
      <c r="M20" s="140">
        <v>0</v>
      </c>
      <c r="N20" s="141" t="s">
        <v>118</v>
      </c>
      <c r="O20" s="141" t="s">
        <v>213</v>
      </c>
      <c r="P20" s="142" t="s">
        <v>318</v>
      </c>
      <c r="Q20" s="142" t="s">
        <v>215</v>
      </c>
      <c r="R20" s="143" t="s">
        <v>216</v>
      </c>
      <c r="S20" s="139">
        <v>14116</v>
      </c>
      <c r="T20" s="140">
        <v>0</v>
      </c>
      <c r="U20" s="141" t="s">
        <v>118</v>
      </c>
      <c r="V20" s="141" t="s">
        <v>213</v>
      </c>
      <c r="W20" s="142" t="s">
        <v>318</v>
      </c>
      <c r="X20" s="142" t="s">
        <v>215</v>
      </c>
      <c r="Y20" s="143" t="s">
        <v>216</v>
      </c>
      <c r="Z20" s="139">
        <v>9156</v>
      </c>
      <c r="AA20" s="140">
        <v>0</v>
      </c>
      <c r="AB20" s="141" t="s">
        <v>118</v>
      </c>
      <c r="AC20" s="141" t="s">
        <v>213</v>
      </c>
      <c r="AD20" s="142" t="s">
        <v>318</v>
      </c>
      <c r="AE20" s="142" t="s">
        <v>215</v>
      </c>
      <c r="AF20" s="143" t="s">
        <v>219</v>
      </c>
      <c r="AG20" s="139">
        <v>9156</v>
      </c>
      <c r="AH20" s="140">
        <v>0</v>
      </c>
      <c r="AI20" s="141" t="s">
        <v>120</v>
      </c>
      <c r="AJ20" s="141" t="s">
        <v>213</v>
      </c>
      <c r="AK20" s="142" t="s">
        <v>318</v>
      </c>
      <c r="AL20" s="142" t="s">
        <v>215</v>
      </c>
      <c r="AM20" s="143" t="s">
        <v>217</v>
      </c>
      <c r="AN20" s="139">
        <v>9156</v>
      </c>
      <c r="AO20" s="140">
        <v>0</v>
      </c>
      <c r="AP20" s="141" t="s">
        <v>122</v>
      </c>
      <c r="AQ20" s="141" t="s">
        <v>213</v>
      </c>
      <c r="AR20" s="142" t="s">
        <v>318</v>
      </c>
      <c r="AS20" s="142" t="s">
        <v>215</v>
      </c>
      <c r="AT20" s="143" t="s">
        <v>217</v>
      </c>
      <c r="AU20" s="139">
        <v>9156</v>
      </c>
      <c r="AV20" s="140">
        <v>0</v>
      </c>
      <c r="AW20" s="141" t="s">
        <v>123</v>
      </c>
      <c r="AX20" s="141" t="s">
        <v>213</v>
      </c>
      <c r="AY20" s="142" t="s">
        <v>318</v>
      </c>
      <c r="AZ20" s="142" t="s">
        <v>215</v>
      </c>
      <c r="BA20" s="143" t="s">
        <v>217</v>
      </c>
    </row>
    <row r="21" spans="1:53" ht="16">
      <c r="A21" s="136">
        <v>43466</v>
      </c>
      <c r="B21" s="137" t="str">
        <f>INDEX('[1]Indices Mines Exporting Ports'!$C$26:$C$51,MATCH(C21,'[1]Indices Mines Exporting Ports'!$Q$26:$Q$51,0))</f>
        <v>Turkey</v>
      </c>
      <c r="C21" s="129" t="s">
        <v>54</v>
      </c>
      <c r="D21" s="138" t="s">
        <v>113</v>
      </c>
      <c r="E21" s="139">
        <v>14562</v>
      </c>
      <c r="F21" s="140">
        <v>0</v>
      </c>
      <c r="G21" s="141" t="s">
        <v>118</v>
      </c>
      <c r="H21" s="141" t="s">
        <v>213</v>
      </c>
      <c r="I21" s="142" t="s">
        <v>318</v>
      </c>
      <c r="J21" s="142" t="s">
        <v>215</v>
      </c>
      <c r="K21" s="143" t="s">
        <v>216</v>
      </c>
      <c r="L21" s="139">
        <v>14562</v>
      </c>
      <c r="M21" s="140">
        <v>0</v>
      </c>
      <c r="N21" s="141" t="s">
        <v>118</v>
      </c>
      <c r="O21" s="141" t="s">
        <v>213</v>
      </c>
      <c r="P21" s="142" t="s">
        <v>318</v>
      </c>
      <c r="Q21" s="142" t="s">
        <v>215</v>
      </c>
      <c r="R21" s="143" t="s">
        <v>216</v>
      </c>
      <c r="S21" s="139">
        <v>8426</v>
      </c>
      <c r="T21" s="140">
        <v>0</v>
      </c>
      <c r="U21" s="141" t="s">
        <v>118</v>
      </c>
      <c r="V21" s="141" t="s">
        <v>213</v>
      </c>
      <c r="W21" s="142" t="s">
        <v>318</v>
      </c>
      <c r="X21" s="142" t="s">
        <v>215</v>
      </c>
      <c r="Y21" s="143" t="s">
        <v>218</v>
      </c>
      <c r="Z21" s="139">
        <v>8426</v>
      </c>
      <c r="AA21" s="140">
        <v>0</v>
      </c>
      <c r="AB21" s="141" t="s">
        <v>118</v>
      </c>
      <c r="AC21" s="141" t="s">
        <v>213</v>
      </c>
      <c r="AD21" s="142" t="s">
        <v>318</v>
      </c>
      <c r="AE21" s="142" t="s">
        <v>215</v>
      </c>
      <c r="AF21" s="143" t="s">
        <v>218</v>
      </c>
      <c r="AG21" s="139">
        <v>8426</v>
      </c>
      <c r="AH21" s="140">
        <v>0</v>
      </c>
      <c r="AI21" s="141" t="s">
        <v>120</v>
      </c>
      <c r="AJ21" s="141" t="s">
        <v>213</v>
      </c>
      <c r="AK21" s="142" t="s">
        <v>318</v>
      </c>
      <c r="AL21" s="142" t="s">
        <v>215</v>
      </c>
      <c r="AM21" s="143" t="s">
        <v>218</v>
      </c>
      <c r="AN21" s="139">
        <v>8426</v>
      </c>
      <c r="AO21" s="140">
        <v>0</v>
      </c>
      <c r="AP21" s="141" t="s">
        <v>122</v>
      </c>
      <c r="AQ21" s="141" t="s">
        <v>213</v>
      </c>
      <c r="AR21" s="142" t="s">
        <v>318</v>
      </c>
      <c r="AS21" s="142" t="s">
        <v>215</v>
      </c>
      <c r="AT21" s="143" t="s">
        <v>218</v>
      </c>
      <c r="AU21" s="139">
        <v>8426</v>
      </c>
      <c r="AV21" s="140">
        <v>0</v>
      </c>
      <c r="AW21" s="141" t="s">
        <v>123</v>
      </c>
      <c r="AX21" s="141" t="s">
        <v>213</v>
      </c>
      <c r="AY21" s="142" t="s">
        <v>318</v>
      </c>
      <c r="AZ21" s="142" t="s">
        <v>215</v>
      </c>
      <c r="BA21" s="143" t="s">
        <v>218</v>
      </c>
    </row>
    <row r="22" spans="1:53" ht="16">
      <c r="A22" s="136">
        <v>43466</v>
      </c>
      <c r="B22" s="137" t="str">
        <f>INDEX('[1]Indices Mines Exporting Ports'!$C$26:$C$51,MATCH(C22,'[1]Indices Mines Exporting Ports'!$Q$26:$Q$51,0))</f>
        <v>West Kalimantan Generic</v>
      </c>
      <c r="C22" s="129" t="s">
        <v>42</v>
      </c>
      <c r="D22" s="138" t="s">
        <v>113</v>
      </c>
      <c r="E22" s="139">
        <v>2326</v>
      </c>
      <c r="F22" s="140">
        <v>0</v>
      </c>
      <c r="G22" s="141" t="s">
        <v>118</v>
      </c>
      <c r="H22" s="141" t="s">
        <v>213</v>
      </c>
      <c r="I22" s="142" t="s">
        <v>318</v>
      </c>
      <c r="J22" s="142" t="s">
        <v>215</v>
      </c>
      <c r="K22" s="143" t="s">
        <v>216</v>
      </c>
      <c r="L22" s="139">
        <v>2326</v>
      </c>
      <c r="M22" s="140">
        <v>0</v>
      </c>
      <c r="N22" s="141" t="s">
        <v>118</v>
      </c>
      <c r="O22" s="141" t="s">
        <v>213</v>
      </c>
      <c r="P22" s="142" t="s">
        <v>318</v>
      </c>
      <c r="Q22" s="142" t="s">
        <v>215</v>
      </c>
      <c r="R22" s="143" t="s">
        <v>216</v>
      </c>
      <c r="S22" s="139">
        <v>2326</v>
      </c>
      <c r="T22" s="140">
        <v>0</v>
      </c>
      <c r="U22" s="141" t="s">
        <v>118</v>
      </c>
      <c r="V22" s="141" t="s">
        <v>213</v>
      </c>
      <c r="W22" s="142" t="s">
        <v>318</v>
      </c>
      <c r="X22" s="142" t="s">
        <v>215</v>
      </c>
      <c r="Y22" s="143" t="s">
        <v>216</v>
      </c>
      <c r="Z22" s="139">
        <v>2326</v>
      </c>
      <c r="AA22" s="140">
        <v>0</v>
      </c>
      <c r="AB22" s="141" t="s">
        <v>118</v>
      </c>
      <c r="AC22" s="141" t="s">
        <v>213</v>
      </c>
      <c r="AD22" s="142" t="s">
        <v>318</v>
      </c>
      <c r="AE22" s="142" t="s">
        <v>215</v>
      </c>
      <c r="AF22" s="143" t="s">
        <v>216</v>
      </c>
      <c r="AG22" s="139">
        <v>2326</v>
      </c>
      <c r="AH22" s="140">
        <v>0</v>
      </c>
      <c r="AI22" s="141" t="s">
        <v>120</v>
      </c>
      <c r="AJ22" s="141" t="s">
        <v>213</v>
      </c>
      <c r="AK22" s="142" t="s">
        <v>318</v>
      </c>
      <c r="AL22" s="142" t="s">
        <v>215</v>
      </c>
      <c r="AM22" s="143" t="s">
        <v>216</v>
      </c>
      <c r="AN22" s="139">
        <v>2326</v>
      </c>
      <c r="AO22" s="140">
        <v>0</v>
      </c>
      <c r="AP22" s="141" t="s">
        <v>122</v>
      </c>
      <c r="AQ22" s="141" t="s">
        <v>213</v>
      </c>
      <c r="AR22" s="142" t="s">
        <v>318</v>
      </c>
      <c r="AS22" s="142" t="s">
        <v>215</v>
      </c>
      <c r="AT22" s="143" t="s">
        <v>216</v>
      </c>
      <c r="AU22" s="139">
        <v>2326</v>
      </c>
      <c r="AV22" s="140">
        <v>0</v>
      </c>
      <c r="AW22" s="141" t="s">
        <v>123</v>
      </c>
      <c r="AX22" s="141" t="s">
        <v>213</v>
      </c>
      <c r="AY22" s="142" t="s">
        <v>318</v>
      </c>
      <c r="AZ22" s="142" t="s">
        <v>215</v>
      </c>
      <c r="BA22" s="143" t="s">
        <v>216</v>
      </c>
    </row>
    <row r="23" spans="1:53" ht="16">
      <c r="A23" s="136">
        <v>43466</v>
      </c>
      <c r="B23" s="137" t="str">
        <f>INDEX('[1]Indices Mines Exporting Ports'!$C$26:$C$51,MATCH(C23,'[1]Indices Mines Exporting Ports'!$Q$26:$Q$51,0))</f>
        <v>Chalco Boffa</v>
      </c>
      <c r="C23" s="129" t="s">
        <v>58</v>
      </c>
      <c r="D23" s="138" t="s">
        <v>113</v>
      </c>
      <c r="E23" s="139">
        <v>11050</v>
      </c>
      <c r="F23" s="140">
        <v>0</v>
      </c>
      <c r="G23" s="141" t="s">
        <v>118</v>
      </c>
      <c r="H23" s="141" t="s">
        <v>213</v>
      </c>
      <c r="I23" s="142" t="s">
        <v>318</v>
      </c>
      <c r="J23" s="142" t="s">
        <v>215</v>
      </c>
      <c r="K23" s="143" t="s">
        <v>216</v>
      </c>
      <c r="L23" s="139">
        <v>11050</v>
      </c>
      <c r="M23" s="140">
        <v>0</v>
      </c>
      <c r="N23" s="141" t="s">
        <v>118</v>
      </c>
      <c r="O23" s="141" t="s">
        <v>213</v>
      </c>
      <c r="P23" s="142" t="s">
        <v>318</v>
      </c>
      <c r="Q23" s="142" t="s">
        <v>215</v>
      </c>
      <c r="R23" s="143" t="s">
        <v>216</v>
      </c>
      <c r="S23" s="144">
        <v>11050</v>
      </c>
      <c r="T23" s="145">
        <v>0</v>
      </c>
      <c r="U23" s="141" t="s">
        <v>118</v>
      </c>
      <c r="V23" s="141" t="s">
        <v>213</v>
      </c>
      <c r="W23" s="142" t="s">
        <v>318</v>
      </c>
      <c r="X23" s="142" t="s">
        <v>215</v>
      </c>
      <c r="Y23" s="143" t="s">
        <v>216</v>
      </c>
      <c r="Z23" s="144">
        <v>11050</v>
      </c>
      <c r="AA23" s="145">
        <v>0</v>
      </c>
      <c r="AB23" s="141" t="s">
        <v>118</v>
      </c>
      <c r="AC23" s="141" t="s">
        <v>213</v>
      </c>
      <c r="AD23" s="142" t="s">
        <v>318</v>
      </c>
      <c r="AE23" s="142" t="s">
        <v>215</v>
      </c>
      <c r="AF23" s="143" t="s">
        <v>216</v>
      </c>
      <c r="AG23" s="144">
        <v>11050</v>
      </c>
      <c r="AH23" s="145">
        <v>0</v>
      </c>
      <c r="AI23" s="141" t="s">
        <v>120</v>
      </c>
      <c r="AJ23" s="141" t="s">
        <v>213</v>
      </c>
      <c r="AK23" s="142" t="s">
        <v>318</v>
      </c>
      <c r="AL23" s="142" t="s">
        <v>215</v>
      </c>
      <c r="AM23" s="143" t="s">
        <v>216</v>
      </c>
      <c r="AN23" s="144">
        <v>11050</v>
      </c>
      <c r="AO23" s="145">
        <v>0</v>
      </c>
      <c r="AP23" s="141" t="s">
        <v>122</v>
      </c>
      <c r="AQ23" s="141" t="s">
        <v>213</v>
      </c>
      <c r="AR23" s="142" t="s">
        <v>318</v>
      </c>
      <c r="AS23" s="142" t="s">
        <v>215</v>
      </c>
      <c r="AT23" s="143" t="s">
        <v>216</v>
      </c>
      <c r="AU23" s="144">
        <v>11050</v>
      </c>
      <c r="AV23" s="145">
        <v>0</v>
      </c>
      <c r="AW23" s="141" t="s">
        <v>123</v>
      </c>
      <c r="AX23" s="141" t="s">
        <v>213</v>
      </c>
      <c r="AY23" s="142" t="s">
        <v>318</v>
      </c>
      <c r="AZ23" s="142" t="s">
        <v>215</v>
      </c>
      <c r="BA23" s="143" t="s">
        <v>216</v>
      </c>
    </row>
    <row r="24" spans="1:53" ht="16">
      <c r="A24" s="136">
        <v>43466</v>
      </c>
      <c r="B24" s="137" t="str">
        <f>INDEX('[1]Indices Mines Exporting Ports'!$C$26:$C$51,MATCH(C24,'[1]Indices Mines Exporting Ports'!$Q$26:$Q$51,0))</f>
        <v>SMB Generic</v>
      </c>
      <c r="C24" s="129" t="s">
        <v>32</v>
      </c>
      <c r="D24" s="138" t="s">
        <v>319</v>
      </c>
      <c r="E24" s="139">
        <v>6612</v>
      </c>
      <c r="F24" s="140">
        <v>0</v>
      </c>
      <c r="G24" s="141" t="s">
        <v>118</v>
      </c>
      <c r="H24" s="141" t="s">
        <v>213</v>
      </c>
      <c r="I24" s="142" t="s">
        <v>318</v>
      </c>
      <c r="J24" s="142" t="s">
        <v>215</v>
      </c>
      <c r="K24" s="143" t="s">
        <v>216</v>
      </c>
      <c r="L24" s="139">
        <v>6612</v>
      </c>
      <c r="M24" s="140">
        <v>0</v>
      </c>
      <c r="N24" s="141" t="s">
        <v>118</v>
      </c>
      <c r="O24" s="141" t="s">
        <v>213</v>
      </c>
      <c r="P24" s="142" t="s">
        <v>318</v>
      </c>
      <c r="Q24" s="142" t="s">
        <v>215</v>
      </c>
      <c r="R24" s="143" t="s">
        <v>216</v>
      </c>
      <c r="S24" s="144">
        <v>6612</v>
      </c>
      <c r="T24" s="145">
        <v>0</v>
      </c>
      <c r="U24" s="141" t="s">
        <v>118</v>
      </c>
      <c r="V24" s="141" t="s">
        <v>213</v>
      </c>
      <c r="W24" s="142" t="s">
        <v>318</v>
      </c>
      <c r="X24" s="142" t="s">
        <v>215</v>
      </c>
      <c r="Y24" s="143" t="s">
        <v>218</v>
      </c>
      <c r="Z24" s="144">
        <v>6612</v>
      </c>
      <c r="AA24" s="145">
        <v>0</v>
      </c>
      <c r="AB24" s="141" t="s">
        <v>118</v>
      </c>
      <c r="AC24" s="141" t="s">
        <v>213</v>
      </c>
      <c r="AD24" s="142" t="s">
        <v>318</v>
      </c>
      <c r="AE24" s="142" t="s">
        <v>215</v>
      </c>
      <c r="AF24" s="143" t="s">
        <v>218</v>
      </c>
      <c r="AG24" s="144">
        <v>6612</v>
      </c>
      <c r="AH24" s="145">
        <v>0</v>
      </c>
      <c r="AI24" s="141" t="s">
        <v>120</v>
      </c>
      <c r="AJ24" s="141" t="s">
        <v>213</v>
      </c>
      <c r="AK24" s="142" t="s">
        <v>318</v>
      </c>
      <c r="AL24" s="142" t="s">
        <v>215</v>
      </c>
      <c r="AM24" s="143" t="s">
        <v>218</v>
      </c>
      <c r="AN24" s="144">
        <v>6612</v>
      </c>
      <c r="AO24" s="145">
        <v>0</v>
      </c>
      <c r="AP24" s="141" t="s">
        <v>122</v>
      </c>
      <c r="AQ24" s="141" t="s">
        <v>213</v>
      </c>
      <c r="AR24" s="142" t="s">
        <v>318</v>
      </c>
      <c r="AS24" s="142" t="s">
        <v>215</v>
      </c>
      <c r="AT24" s="143" t="s">
        <v>218</v>
      </c>
      <c r="AU24" s="144">
        <v>6612</v>
      </c>
      <c r="AV24" s="145">
        <v>0</v>
      </c>
      <c r="AW24" s="141" t="s">
        <v>123</v>
      </c>
      <c r="AX24" s="141" t="s">
        <v>213</v>
      </c>
      <c r="AY24" s="142" t="s">
        <v>318</v>
      </c>
      <c r="AZ24" s="142" t="s">
        <v>215</v>
      </c>
      <c r="BA24" s="143" t="s">
        <v>218</v>
      </c>
    </row>
    <row r="25" spans="1:53" ht="16">
      <c r="A25" s="136">
        <v>43466</v>
      </c>
      <c r="B25" s="137" t="str">
        <f>INDEX('[1]Indices Mines Exporting Ports'!$C$26:$C$51,MATCH(C25,'[1]Indices Mines Exporting Ports'!$Q$26:$Q$51,0))</f>
        <v>CBG LT</v>
      </c>
      <c r="C25" s="129" t="s">
        <v>36</v>
      </c>
      <c r="D25" s="138" t="s">
        <v>320</v>
      </c>
      <c r="E25" s="139">
        <v>2791</v>
      </c>
      <c r="F25" s="140">
        <v>0</v>
      </c>
      <c r="G25" s="141" t="s">
        <v>118</v>
      </c>
      <c r="H25" s="141" t="s">
        <v>213</v>
      </c>
      <c r="I25" s="142" t="s">
        <v>318</v>
      </c>
      <c r="J25" s="142" t="s">
        <v>215</v>
      </c>
      <c r="K25" s="143" t="s">
        <v>216</v>
      </c>
      <c r="L25" s="139">
        <v>2791</v>
      </c>
      <c r="M25" s="140">
        <v>0</v>
      </c>
      <c r="N25" s="141" t="s">
        <v>118</v>
      </c>
      <c r="O25" s="141" t="s">
        <v>213</v>
      </c>
      <c r="P25" s="142" t="s">
        <v>318</v>
      </c>
      <c r="Q25" s="142" t="s">
        <v>215</v>
      </c>
      <c r="R25" s="143" t="s">
        <v>216</v>
      </c>
      <c r="S25" s="144">
        <v>2791</v>
      </c>
      <c r="T25" s="145">
        <v>0</v>
      </c>
      <c r="U25" s="141" t="s">
        <v>118</v>
      </c>
      <c r="V25" s="141" t="s">
        <v>213</v>
      </c>
      <c r="W25" s="142" t="s">
        <v>318</v>
      </c>
      <c r="X25" s="142" t="s">
        <v>215</v>
      </c>
      <c r="Y25" s="143" t="s">
        <v>216</v>
      </c>
      <c r="Z25" s="144">
        <v>2791</v>
      </c>
      <c r="AA25" s="145">
        <v>0</v>
      </c>
      <c r="AB25" s="141" t="s">
        <v>118</v>
      </c>
      <c r="AC25" s="141" t="s">
        <v>213</v>
      </c>
      <c r="AD25" s="142" t="s">
        <v>318</v>
      </c>
      <c r="AE25" s="142" t="s">
        <v>215</v>
      </c>
      <c r="AF25" s="143" t="s">
        <v>216</v>
      </c>
      <c r="AG25" s="144">
        <v>2791</v>
      </c>
      <c r="AH25" s="145">
        <v>0</v>
      </c>
      <c r="AI25" s="141" t="s">
        <v>120</v>
      </c>
      <c r="AJ25" s="141" t="s">
        <v>213</v>
      </c>
      <c r="AK25" s="142" t="s">
        <v>318</v>
      </c>
      <c r="AL25" s="142" t="s">
        <v>215</v>
      </c>
      <c r="AM25" s="143" t="s">
        <v>216</v>
      </c>
      <c r="AN25" s="144">
        <v>2791</v>
      </c>
      <c r="AO25" s="145">
        <v>0</v>
      </c>
      <c r="AP25" s="141" t="s">
        <v>122</v>
      </c>
      <c r="AQ25" s="141" t="s">
        <v>213</v>
      </c>
      <c r="AR25" s="142" t="s">
        <v>318</v>
      </c>
      <c r="AS25" s="142" t="s">
        <v>215</v>
      </c>
      <c r="AT25" s="143" t="s">
        <v>216</v>
      </c>
      <c r="AU25" s="144">
        <v>2791</v>
      </c>
      <c r="AV25" s="145">
        <v>0</v>
      </c>
      <c r="AW25" s="141" t="s">
        <v>123</v>
      </c>
      <c r="AX25" s="141" t="s">
        <v>213</v>
      </c>
      <c r="AY25" s="142" t="s">
        <v>318</v>
      </c>
      <c r="AZ25" s="142" t="s">
        <v>215</v>
      </c>
      <c r="BA25" s="143" t="s">
        <v>216</v>
      </c>
    </row>
    <row r="26" spans="1:53" ht="16">
      <c r="A26" s="136">
        <v>43466</v>
      </c>
      <c r="B26" s="137" t="str">
        <f>INDEX('[1]Indices Mines Exporting Ports'!$C$26:$C$51,MATCH(C26,'[1]Indices Mines Exporting Ports'!$Q$26:$Q$51,0))</f>
        <v>CBG LT</v>
      </c>
      <c r="C26" s="129" t="s">
        <v>36</v>
      </c>
      <c r="D26" s="138" t="s">
        <v>321</v>
      </c>
      <c r="E26" s="139">
        <v>4161</v>
      </c>
      <c r="F26" s="140">
        <v>0</v>
      </c>
      <c r="G26" s="141" t="s">
        <v>118</v>
      </c>
      <c r="H26" s="141" t="s">
        <v>213</v>
      </c>
      <c r="I26" s="142" t="s">
        <v>318</v>
      </c>
      <c r="J26" s="142" t="s">
        <v>215</v>
      </c>
      <c r="K26" s="143" t="s">
        <v>216</v>
      </c>
      <c r="L26" s="139">
        <v>4161</v>
      </c>
      <c r="M26" s="140">
        <v>0</v>
      </c>
      <c r="N26" s="141" t="s">
        <v>118</v>
      </c>
      <c r="O26" s="141" t="s">
        <v>213</v>
      </c>
      <c r="P26" s="142" t="s">
        <v>318</v>
      </c>
      <c r="Q26" s="142" t="s">
        <v>215</v>
      </c>
      <c r="R26" s="143" t="s">
        <v>216</v>
      </c>
      <c r="S26" s="144">
        <v>4161</v>
      </c>
      <c r="T26" s="145">
        <v>0</v>
      </c>
      <c r="U26" s="141" t="s">
        <v>118</v>
      </c>
      <c r="V26" s="141" t="s">
        <v>213</v>
      </c>
      <c r="W26" s="142" t="s">
        <v>318</v>
      </c>
      <c r="X26" s="142" t="s">
        <v>215</v>
      </c>
      <c r="Y26" s="143" t="s">
        <v>216</v>
      </c>
      <c r="Z26" s="144">
        <v>4161</v>
      </c>
      <c r="AA26" s="145">
        <v>0</v>
      </c>
      <c r="AB26" s="141" t="s">
        <v>118</v>
      </c>
      <c r="AC26" s="141" t="s">
        <v>213</v>
      </c>
      <c r="AD26" s="142" t="s">
        <v>318</v>
      </c>
      <c r="AE26" s="142" t="s">
        <v>215</v>
      </c>
      <c r="AF26" s="143" t="s">
        <v>216</v>
      </c>
      <c r="AG26" s="144">
        <v>4161</v>
      </c>
      <c r="AH26" s="145">
        <v>0</v>
      </c>
      <c r="AI26" s="141" t="s">
        <v>120</v>
      </c>
      <c r="AJ26" s="141" t="s">
        <v>213</v>
      </c>
      <c r="AK26" s="142" t="s">
        <v>318</v>
      </c>
      <c r="AL26" s="142" t="s">
        <v>215</v>
      </c>
      <c r="AM26" s="143" t="s">
        <v>216</v>
      </c>
      <c r="AN26" s="144">
        <v>4161</v>
      </c>
      <c r="AO26" s="145">
        <v>0</v>
      </c>
      <c r="AP26" s="141" t="s">
        <v>122</v>
      </c>
      <c r="AQ26" s="141" t="s">
        <v>213</v>
      </c>
      <c r="AR26" s="142" t="s">
        <v>318</v>
      </c>
      <c r="AS26" s="142" t="s">
        <v>215</v>
      </c>
      <c r="AT26" s="143" t="s">
        <v>216</v>
      </c>
      <c r="AU26" s="144">
        <v>4161</v>
      </c>
      <c r="AV26" s="145">
        <v>0</v>
      </c>
      <c r="AW26" s="141" t="s">
        <v>123</v>
      </c>
      <c r="AX26" s="141" t="s">
        <v>213</v>
      </c>
      <c r="AY26" s="142" t="s">
        <v>318</v>
      </c>
      <c r="AZ26" s="142" t="s">
        <v>215</v>
      </c>
      <c r="BA26" s="143" t="s">
        <v>216</v>
      </c>
    </row>
    <row r="27" spans="1:53" ht="16">
      <c r="A27" s="136">
        <v>43466</v>
      </c>
      <c r="B27" s="137" t="str">
        <f>INDEX('[1]Indices Mines Exporting Ports'!$C$26:$C$51,MATCH(C27,'[1]Indices Mines Exporting Ports'!$Q$26:$Q$51,0))</f>
        <v>SMB Generic</v>
      </c>
      <c r="C27" s="129" t="s">
        <v>32</v>
      </c>
      <c r="D27" s="138" t="s">
        <v>322</v>
      </c>
      <c r="E27" s="139">
        <v>8382</v>
      </c>
      <c r="F27" s="140">
        <v>0</v>
      </c>
      <c r="G27" s="141" t="s">
        <v>118</v>
      </c>
      <c r="H27" s="141" t="s">
        <v>213</v>
      </c>
      <c r="I27" s="142" t="s">
        <v>318</v>
      </c>
      <c r="J27" s="142" t="s">
        <v>215</v>
      </c>
      <c r="K27" s="143" t="s">
        <v>216</v>
      </c>
      <c r="L27" s="139">
        <v>8382</v>
      </c>
      <c r="M27" s="140">
        <v>0</v>
      </c>
      <c r="N27" s="141" t="s">
        <v>118</v>
      </c>
      <c r="O27" s="141" t="s">
        <v>213</v>
      </c>
      <c r="P27" s="142" t="s">
        <v>318</v>
      </c>
      <c r="Q27" s="142" t="s">
        <v>215</v>
      </c>
      <c r="R27" s="143" t="s">
        <v>216</v>
      </c>
      <c r="S27" s="144">
        <v>8382</v>
      </c>
      <c r="T27" s="145">
        <v>0</v>
      </c>
      <c r="U27" s="141" t="s">
        <v>118</v>
      </c>
      <c r="V27" s="141" t="s">
        <v>213</v>
      </c>
      <c r="W27" s="142" t="s">
        <v>318</v>
      </c>
      <c r="X27" s="142" t="s">
        <v>215</v>
      </c>
      <c r="Y27" s="143" t="s">
        <v>216</v>
      </c>
      <c r="Z27" s="144">
        <v>8382</v>
      </c>
      <c r="AA27" s="145">
        <v>0</v>
      </c>
      <c r="AB27" s="141" t="s">
        <v>118</v>
      </c>
      <c r="AC27" s="141" t="s">
        <v>213</v>
      </c>
      <c r="AD27" s="142" t="s">
        <v>318</v>
      </c>
      <c r="AE27" s="142" t="s">
        <v>215</v>
      </c>
      <c r="AF27" s="143" t="s">
        <v>216</v>
      </c>
      <c r="AG27" s="144">
        <v>8382</v>
      </c>
      <c r="AH27" s="145">
        <v>0</v>
      </c>
      <c r="AI27" s="141" t="s">
        <v>120</v>
      </c>
      <c r="AJ27" s="141" t="s">
        <v>213</v>
      </c>
      <c r="AK27" s="142" t="s">
        <v>318</v>
      </c>
      <c r="AL27" s="142" t="s">
        <v>215</v>
      </c>
      <c r="AM27" s="143" t="s">
        <v>216</v>
      </c>
      <c r="AN27" s="144">
        <v>8382</v>
      </c>
      <c r="AO27" s="145">
        <v>0</v>
      </c>
      <c r="AP27" s="141" t="s">
        <v>122</v>
      </c>
      <c r="AQ27" s="141" t="s">
        <v>213</v>
      </c>
      <c r="AR27" s="142" t="s">
        <v>318</v>
      </c>
      <c r="AS27" s="142" t="s">
        <v>215</v>
      </c>
      <c r="AT27" s="143" t="s">
        <v>216</v>
      </c>
      <c r="AU27" s="144">
        <v>8382</v>
      </c>
      <c r="AV27" s="145">
        <v>0</v>
      </c>
      <c r="AW27" s="141" t="s">
        <v>123</v>
      </c>
      <c r="AX27" s="141" t="s">
        <v>213</v>
      </c>
      <c r="AY27" s="142" t="s">
        <v>318</v>
      </c>
      <c r="AZ27" s="142" t="s">
        <v>215</v>
      </c>
      <c r="BA27" s="143" t="s">
        <v>216</v>
      </c>
    </row>
    <row r="28" spans="1:53" ht="16">
      <c r="A28" s="146">
        <v>43466</v>
      </c>
      <c r="B28" s="147" t="str">
        <f>INDEX('[1]Indices Mines Exporting Ports'!$C$26:$C$51,MATCH(C28,'[1]Indices Mines Exporting Ports'!$Q$26:$Q$51,0))</f>
        <v>Gujarat &amp; Maharashtra</v>
      </c>
      <c r="C28" s="129" t="s">
        <v>316</v>
      </c>
      <c r="D28" s="138" t="s">
        <v>113</v>
      </c>
      <c r="E28" s="139">
        <v>5345</v>
      </c>
      <c r="F28" s="140">
        <v>0</v>
      </c>
      <c r="G28" s="141" t="s">
        <v>118</v>
      </c>
      <c r="H28" s="141" t="s">
        <v>213</v>
      </c>
      <c r="I28" s="142" t="s">
        <v>318</v>
      </c>
      <c r="J28" s="142" t="s">
        <v>215</v>
      </c>
      <c r="K28" s="143" t="s">
        <v>216</v>
      </c>
      <c r="L28" s="139">
        <v>5345</v>
      </c>
      <c r="M28" s="140">
        <v>0</v>
      </c>
      <c r="N28" s="141" t="s">
        <v>118</v>
      </c>
      <c r="O28" s="141" t="s">
        <v>213</v>
      </c>
      <c r="P28" s="142" t="s">
        <v>318</v>
      </c>
      <c r="Q28" s="142" t="s">
        <v>215</v>
      </c>
      <c r="R28" s="143" t="s">
        <v>216</v>
      </c>
      <c r="S28" s="144">
        <v>5345</v>
      </c>
      <c r="T28" s="145">
        <v>0</v>
      </c>
      <c r="U28" s="141" t="s">
        <v>118</v>
      </c>
      <c r="V28" s="141" t="s">
        <v>213</v>
      </c>
      <c r="W28" s="142" t="s">
        <v>318</v>
      </c>
      <c r="X28" s="142" t="s">
        <v>215</v>
      </c>
      <c r="Y28" s="143" t="s">
        <v>216</v>
      </c>
      <c r="Z28" s="144">
        <v>5345</v>
      </c>
      <c r="AA28" s="145">
        <v>0</v>
      </c>
      <c r="AB28" s="141" t="s">
        <v>118</v>
      </c>
      <c r="AC28" s="141" t="s">
        <v>213</v>
      </c>
      <c r="AD28" s="142" t="s">
        <v>318</v>
      </c>
      <c r="AE28" s="142" t="s">
        <v>215</v>
      </c>
      <c r="AF28" s="143" t="s">
        <v>216</v>
      </c>
      <c r="AG28" s="144">
        <v>5345</v>
      </c>
      <c r="AH28" s="145">
        <v>0</v>
      </c>
      <c r="AI28" s="141" t="s">
        <v>120</v>
      </c>
      <c r="AJ28" s="141" t="s">
        <v>213</v>
      </c>
      <c r="AK28" s="142" t="s">
        <v>318</v>
      </c>
      <c r="AL28" s="142" t="s">
        <v>215</v>
      </c>
      <c r="AM28" s="143" t="s">
        <v>216</v>
      </c>
      <c r="AN28" s="144">
        <v>5345</v>
      </c>
      <c r="AO28" s="145">
        <v>0</v>
      </c>
      <c r="AP28" s="141" t="s">
        <v>122</v>
      </c>
      <c r="AQ28" s="141" t="s">
        <v>213</v>
      </c>
      <c r="AR28" s="142" t="s">
        <v>318</v>
      </c>
      <c r="AS28" s="142" t="s">
        <v>215</v>
      </c>
      <c r="AT28" s="143" t="s">
        <v>216</v>
      </c>
      <c r="AU28" s="144">
        <v>5345</v>
      </c>
      <c r="AV28" s="145">
        <v>0</v>
      </c>
      <c r="AW28" s="141" t="s">
        <v>123</v>
      </c>
      <c r="AX28" s="141" t="s">
        <v>213</v>
      </c>
      <c r="AY28" s="142" t="s">
        <v>318</v>
      </c>
      <c r="AZ28" s="142" t="s">
        <v>215</v>
      </c>
      <c r="BA28" s="143" t="s">
        <v>216</v>
      </c>
    </row>
    <row r="29" spans="1:53" ht="16">
      <c r="A29" s="136">
        <v>43831</v>
      </c>
      <c r="B29" s="137" t="str">
        <f>INDEX('[1]Indices Mines Exporting Ports'!$C$26:$C$51,MATCH(C29,'[1]Indices Mines Exporting Ports'!$Q$26:$Q$51,0))</f>
        <v>MRN</v>
      </c>
      <c r="C29" s="129" t="s">
        <v>46</v>
      </c>
      <c r="D29" s="138" t="s">
        <v>113</v>
      </c>
      <c r="E29" s="139" t="e">
        <v>#N/A</v>
      </c>
      <c r="F29" s="140">
        <v>0</v>
      </c>
      <c r="G29" s="141" t="s">
        <v>118</v>
      </c>
      <c r="H29" s="141" t="s">
        <v>213</v>
      </c>
      <c r="I29" s="142" t="s">
        <v>214</v>
      </c>
      <c r="J29" s="142" t="s">
        <v>215</v>
      </c>
      <c r="K29" s="143" t="s">
        <v>216</v>
      </c>
      <c r="L29" s="139" t="e">
        <v>#N/A</v>
      </c>
      <c r="M29" s="140">
        <v>0</v>
      </c>
      <c r="N29" s="141" t="s">
        <v>118</v>
      </c>
      <c r="O29" s="141" t="s">
        <v>213</v>
      </c>
      <c r="P29" s="142" t="s">
        <v>214</v>
      </c>
      <c r="Q29" s="142" t="s">
        <v>215</v>
      </c>
      <c r="R29" s="143" t="s">
        <v>216</v>
      </c>
      <c r="S29" s="144" t="e">
        <v>#N/A</v>
      </c>
      <c r="T29" s="145">
        <v>0</v>
      </c>
      <c r="U29" s="141" t="s">
        <v>118</v>
      </c>
      <c r="V29" s="141" t="s">
        <v>213</v>
      </c>
      <c r="W29" s="142" t="s">
        <v>214</v>
      </c>
      <c r="X29" s="142" t="s">
        <v>215</v>
      </c>
      <c r="Y29" s="143" t="s">
        <v>216</v>
      </c>
      <c r="Z29" s="144" t="e">
        <v>#N/A</v>
      </c>
      <c r="AA29" s="145">
        <v>0</v>
      </c>
      <c r="AB29" s="141" t="s">
        <v>118</v>
      </c>
      <c r="AC29" s="141" t="s">
        <v>213</v>
      </c>
      <c r="AD29" s="142" t="s">
        <v>214</v>
      </c>
      <c r="AE29" s="142" t="s">
        <v>215</v>
      </c>
      <c r="AF29" s="143" t="s">
        <v>216</v>
      </c>
      <c r="AG29" s="144">
        <v>11184</v>
      </c>
      <c r="AH29" s="145">
        <v>0</v>
      </c>
      <c r="AI29" s="141" t="s">
        <v>120</v>
      </c>
      <c r="AJ29" s="141" t="s">
        <v>213</v>
      </c>
      <c r="AK29" s="142" t="s">
        <v>214</v>
      </c>
      <c r="AL29" s="142" t="s">
        <v>215</v>
      </c>
      <c r="AM29" s="143" t="s">
        <v>217</v>
      </c>
      <c r="AN29" s="144">
        <v>11184</v>
      </c>
      <c r="AO29" s="145">
        <v>0</v>
      </c>
      <c r="AP29" s="141" t="s">
        <v>122</v>
      </c>
      <c r="AQ29" s="141" t="s">
        <v>213</v>
      </c>
      <c r="AR29" s="142" t="s">
        <v>214</v>
      </c>
      <c r="AS29" s="142" t="s">
        <v>215</v>
      </c>
      <c r="AT29" s="143" t="s">
        <v>217</v>
      </c>
      <c r="AU29" s="144">
        <v>11184</v>
      </c>
      <c r="AV29" s="145">
        <v>0</v>
      </c>
      <c r="AW29" s="141" t="s">
        <v>123</v>
      </c>
      <c r="AX29" s="141" t="s">
        <v>213</v>
      </c>
      <c r="AY29" s="142" t="s">
        <v>214</v>
      </c>
      <c r="AZ29" s="142" t="s">
        <v>215</v>
      </c>
      <c r="BA29" s="143" t="s">
        <v>217</v>
      </c>
    </row>
    <row r="30" spans="1:53" ht="16">
      <c r="A30" s="136">
        <v>43831</v>
      </c>
      <c r="B30" s="137" t="str">
        <f>INDEX('[1]Indices Mines Exporting Ports'!$C$26:$C$51,MATCH(C30,'[1]Indices Mines Exporting Ports'!$Q$26:$Q$51,0))</f>
        <v>MRN</v>
      </c>
      <c r="C30" s="129" t="s">
        <v>46</v>
      </c>
      <c r="D30" s="138" t="s">
        <v>44</v>
      </c>
      <c r="E30" s="139" t="e">
        <v>#N/A</v>
      </c>
      <c r="F30" s="140">
        <v>0</v>
      </c>
      <c r="G30" s="141" t="s">
        <v>118</v>
      </c>
      <c r="H30" s="141" t="s">
        <v>213</v>
      </c>
      <c r="I30" s="142" t="s">
        <v>214</v>
      </c>
      <c r="J30" s="142" t="s">
        <v>215</v>
      </c>
      <c r="K30" s="143" t="s">
        <v>216</v>
      </c>
      <c r="L30" s="139" t="e">
        <v>#N/A</v>
      </c>
      <c r="M30" s="140">
        <v>0</v>
      </c>
      <c r="N30" s="141" t="s">
        <v>118</v>
      </c>
      <c r="O30" s="141" t="s">
        <v>213</v>
      </c>
      <c r="P30" s="142" t="s">
        <v>214</v>
      </c>
      <c r="Q30" s="142" t="s">
        <v>215</v>
      </c>
      <c r="R30" s="143" t="s">
        <v>216</v>
      </c>
      <c r="S30" s="144" t="e">
        <v>#N/A</v>
      </c>
      <c r="T30" s="145">
        <v>0</v>
      </c>
      <c r="U30" s="141" t="s">
        <v>118</v>
      </c>
      <c r="V30" s="141" t="s">
        <v>213</v>
      </c>
      <c r="W30" s="142" t="s">
        <v>214</v>
      </c>
      <c r="X30" s="142" t="s">
        <v>215</v>
      </c>
      <c r="Y30" s="143" t="s">
        <v>216</v>
      </c>
      <c r="Z30" s="144" t="e">
        <v>#N/A</v>
      </c>
      <c r="AA30" s="145">
        <v>0</v>
      </c>
      <c r="AB30" s="141" t="s">
        <v>118</v>
      </c>
      <c r="AC30" s="141" t="s">
        <v>213</v>
      </c>
      <c r="AD30" s="142" t="s">
        <v>214</v>
      </c>
      <c r="AE30" s="142" t="s">
        <v>215</v>
      </c>
      <c r="AF30" s="143" t="s">
        <v>216</v>
      </c>
      <c r="AG30" s="144">
        <v>1623</v>
      </c>
      <c r="AH30" s="145">
        <v>0</v>
      </c>
      <c r="AI30" s="141" t="s">
        <v>120</v>
      </c>
      <c r="AJ30" s="141" t="s">
        <v>213</v>
      </c>
      <c r="AK30" s="142" t="s">
        <v>214</v>
      </c>
      <c r="AL30" s="142" t="s">
        <v>215</v>
      </c>
      <c r="AM30" s="143" t="s">
        <v>216</v>
      </c>
      <c r="AN30" s="144">
        <v>1632</v>
      </c>
      <c r="AO30" s="145">
        <v>0</v>
      </c>
      <c r="AP30" s="141" t="s">
        <v>122</v>
      </c>
      <c r="AQ30" s="141" t="s">
        <v>213</v>
      </c>
      <c r="AR30" s="142" t="s">
        <v>214</v>
      </c>
      <c r="AS30" s="142" t="s">
        <v>215</v>
      </c>
      <c r="AT30" s="143" t="s">
        <v>216</v>
      </c>
      <c r="AU30" s="144">
        <v>1632</v>
      </c>
      <c r="AV30" s="145">
        <v>0</v>
      </c>
      <c r="AW30" s="141" t="s">
        <v>123</v>
      </c>
      <c r="AX30" s="141" t="s">
        <v>213</v>
      </c>
      <c r="AY30" s="142" t="s">
        <v>214</v>
      </c>
      <c r="AZ30" s="142" t="s">
        <v>215</v>
      </c>
      <c r="BA30" s="143" t="s">
        <v>216</v>
      </c>
    </row>
    <row r="31" spans="1:53" ht="16">
      <c r="A31" s="136">
        <v>43831</v>
      </c>
      <c r="B31" s="137" t="str">
        <f>INDEX('[1]Indices Mines Exporting Ports'!$C$26:$C$51,MATCH(C31,'[1]Indices Mines Exporting Ports'!$Q$26:$Q$51,0))</f>
        <v>MRN</v>
      </c>
      <c r="C31" s="129" t="s">
        <v>44</v>
      </c>
      <c r="D31" s="138" t="s">
        <v>113</v>
      </c>
      <c r="E31" s="139">
        <v>13157</v>
      </c>
      <c r="F31" s="140">
        <v>0</v>
      </c>
      <c r="G31" s="141" t="s">
        <v>118</v>
      </c>
      <c r="H31" s="141" t="s">
        <v>213</v>
      </c>
      <c r="I31" s="142" t="s">
        <v>214</v>
      </c>
      <c r="J31" s="142" t="s">
        <v>215</v>
      </c>
      <c r="K31" s="143" t="s">
        <v>216</v>
      </c>
      <c r="L31" s="139">
        <v>13157</v>
      </c>
      <c r="M31" s="140">
        <v>0</v>
      </c>
      <c r="N31" s="141" t="s">
        <v>118</v>
      </c>
      <c r="O31" s="141" t="s">
        <v>213</v>
      </c>
      <c r="P31" s="142" t="s">
        <v>214</v>
      </c>
      <c r="Q31" s="142" t="s">
        <v>215</v>
      </c>
      <c r="R31" s="143" t="s">
        <v>216</v>
      </c>
      <c r="S31" s="144">
        <v>13157</v>
      </c>
      <c r="T31" s="145">
        <v>0</v>
      </c>
      <c r="U31" s="141" t="s">
        <v>118</v>
      </c>
      <c r="V31" s="141" t="s">
        <v>213</v>
      </c>
      <c r="W31" s="142" t="s">
        <v>214</v>
      </c>
      <c r="X31" s="142" t="s">
        <v>215</v>
      </c>
      <c r="Y31" s="143" t="s">
        <v>216</v>
      </c>
      <c r="Z31" s="144" t="e">
        <v>#N/A</v>
      </c>
      <c r="AA31" s="145">
        <v>0</v>
      </c>
      <c r="AB31" s="141" t="s">
        <v>118</v>
      </c>
      <c r="AC31" s="141" t="s">
        <v>213</v>
      </c>
      <c r="AD31" s="142" t="s">
        <v>214</v>
      </c>
      <c r="AE31" s="142" t="s">
        <v>215</v>
      </c>
      <c r="AF31" s="143" t="s">
        <v>216</v>
      </c>
      <c r="AG31" s="144" t="e">
        <v>#N/A</v>
      </c>
      <c r="AH31" s="145">
        <v>0</v>
      </c>
      <c r="AI31" s="141" t="s">
        <v>120</v>
      </c>
      <c r="AJ31" s="141" t="s">
        <v>213</v>
      </c>
      <c r="AK31" s="142" t="s">
        <v>214</v>
      </c>
      <c r="AL31" s="142" t="s">
        <v>215</v>
      </c>
      <c r="AM31" s="143" t="s">
        <v>216</v>
      </c>
      <c r="AN31" s="144" t="e">
        <v>#N/A</v>
      </c>
      <c r="AO31" s="145">
        <v>0</v>
      </c>
      <c r="AP31" s="141" t="s">
        <v>122</v>
      </c>
      <c r="AQ31" s="141" t="s">
        <v>213</v>
      </c>
      <c r="AR31" s="142" t="s">
        <v>214</v>
      </c>
      <c r="AS31" s="142" t="s">
        <v>215</v>
      </c>
      <c r="AT31" s="143" t="s">
        <v>216</v>
      </c>
      <c r="AU31" s="144" t="e">
        <v>#N/A</v>
      </c>
      <c r="AV31" s="145">
        <v>0</v>
      </c>
      <c r="AW31" s="141" t="s">
        <v>123</v>
      </c>
      <c r="AX31" s="141" t="s">
        <v>213</v>
      </c>
      <c r="AY31" s="142" t="s">
        <v>214</v>
      </c>
      <c r="AZ31" s="142" t="s">
        <v>215</v>
      </c>
      <c r="BA31" s="143" t="s">
        <v>216</v>
      </c>
    </row>
    <row r="32" spans="1:53" ht="16">
      <c r="A32" s="136">
        <v>43831</v>
      </c>
      <c r="B32" s="137" t="str">
        <f>INDEX('[1]Indices Mines Exporting Ports'!$C$26:$C$51,MATCH(C32,'[1]Indices Mines Exporting Ports'!$Q$26:$Q$51,0))</f>
        <v>Juruti</v>
      </c>
      <c r="C32" s="129" t="s">
        <v>47</v>
      </c>
      <c r="D32" s="138" t="s">
        <v>113</v>
      </c>
      <c r="E32" s="139" t="e">
        <v>#N/A</v>
      </c>
      <c r="F32" s="140">
        <v>0</v>
      </c>
      <c r="G32" s="141" t="s">
        <v>118</v>
      </c>
      <c r="H32" s="141" t="s">
        <v>213</v>
      </c>
      <c r="I32" s="142" t="s">
        <v>214</v>
      </c>
      <c r="J32" s="142" t="s">
        <v>215</v>
      </c>
      <c r="K32" s="143" t="s">
        <v>216</v>
      </c>
      <c r="L32" s="139" t="e">
        <v>#N/A</v>
      </c>
      <c r="M32" s="140">
        <v>0</v>
      </c>
      <c r="N32" s="141" t="s">
        <v>118</v>
      </c>
      <c r="O32" s="141" t="s">
        <v>213</v>
      </c>
      <c r="P32" s="142" t="s">
        <v>214</v>
      </c>
      <c r="Q32" s="142" t="s">
        <v>215</v>
      </c>
      <c r="R32" s="143" t="s">
        <v>216</v>
      </c>
      <c r="S32" s="144" t="e">
        <v>#N/A</v>
      </c>
      <c r="T32" s="145">
        <v>0</v>
      </c>
      <c r="U32" s="141" t="s">
        <v>118</v>
      </c>
      <c r="V32" s="141" t="s">
        <v>213</v>
      </c>
      <c r="W32" s="142" t="s">
        <v>214</v>
      </c>
      <c r="X32" s="142" t="s">
        <v>215</v>
      </c>
      <c r="Y32" s="143" t="s">
        <v>216</v>
      </c>
      <c r="Z32" s="144" t="e">
        <v>#N/A</v>
      </c>
      <c r="AA32" s="145">
        <v>0</v>
      </c>
      <c r="AB32" s="141" t="s">
        <v>118</v>
      </c>
      <c r="AC32" s="141" t="s">
        <v>213</v>
      </c>
      <c r="AD32" s="142" t="s">
        <v>214</v>
      </c>
      <c r="AE32" s="142" t="s">
        <v>215</v>
      </c>
      <c r="AF32" s="143" t="s">
        <v>216</v>
      </c>
      <c r="AG32" s="144">
        <v>11153</v>
      </c>
      <c r="AH32" s="145">
        <v>0</v>
      </c>
      <c r="AI32" s="141" t="s">
        <v>120</v>
      </c>
      <c r="AJ32" s="141" t="s">
        <v>213</v>
      </c>
      <c r="AK32" s="142" t="s">
        <v>214</v>
      </c>
      <c r="AL32" s="142" t="s">
        <v>215</v>
      </c>
      <c r="AM32" s="143" t="s">
        <v>217</v>
      </c>
      <c r="AN32" s="144">
        <v>11153</v>
      </c>
      <c r="AO32" s="145">
        <v>0</v>
      </c>
      <c r="AP32" s="141" t="s">
        <v>122</v>
      </c>
      <c r="AQ32" s="141" t="s">
        <v>213</v>
      </c>
      <c r="AR32" s="142" t="s">
        <v>214</v>
      </c>
      <c r="AS32" s="142" t="s">
        <v>215</v>
      </c>
      <c r="AT32" s="143" t="s">
        <v>217</v>
      </c>
      <c r="AU32" s="144">
        <v>11153</v>
      </c>
      <c r="AV32" s="145">
        <v>0</v>
      </c>
      <c r="AW32" s="141" t="s">
        <v>123</v>
      </c>
      <c r="AX32" s="141" t="s">
        <v>213</v>
      </c>
      <c r="AY32" s="142" t="s">
        <v>214</v>
      </c>
      <c r="AZ32" s="142" t="s">
        <v>215</v>
      </c>
      <c r="BA32" s="143" t="s">
        <v>217</v>
      </c>
    </row>
    <row r="33" spans="1:53" ht="16">
      <c r="A33" s="136">
        <v>43831</v>
      </c>
      <c r="B33" s="137" t="str">
        <f>INDEX('[1]Indices Mines Exporting Ports'!$C$26:$C$51,MATCH(C33,'[1]Indices Mines Exporting Ports'!$Q$26:$Q$51,0))</f>
        <v>Juruti</v>
      </c>
      <c r="C33" s="129" t="s">
        <v>47</v>
      </c>
      <c r="D33" s="138" t="s">
        <v>44</v>
      </c>
      <c r="E33" s="139" t="e">
        <v>#N/A</v>
      </c>
      <c r="F33" s="140">
        <v>0</v>
      </c>
      <c r="G33" s="141" t="s">
        <v>118</v>
      </c>
      <c r="H33" s="141" t="s">
        <v>213</v>
      </c>
      <c r="I33" s="142" t="s">
        <v>214</v>
      </c>
      <c r="J33" s="142" t="s">
        <v>215</v>
      </c>
      <c r="K33" s="143" t="s">
        <v>216</v>
      </c>
      <c r="L33" s="139" t="e">
        <v>#N/A</v>
      </c>
      <c r="M33" s="140">
        <v>0</v>
      </c>
      <c r="N33" s="141" t="s">
        <v>118</v>
      </c>
      <c r="O33" s="141" t="s">
        <v>213</v>
      </c>
      <c r="P33" s="142" t="s">
        <v>214</v>
      </c>
      <c r="Q33" s="142" t="s">
        <v>215</v>
      </c>
      <c r="R33" s="143" t="s">
        <v>216</v>
      </c>
      <c r="S33" s="144" t="e">
        <v>#N/A</v>
      </c>
      <c r="T33" s="145">
        <v>0</v>
      </c>
      <c r="U33" s="141" t="s">
        <v>118</v>
      </c>
      <c r="V33" s="141" t="s">
        <v>213</v>
      </c>
      <c r="W33" s="142" t="s">
        <v>214</v>
      </c>
      <c r="X33" s="142" t="s">
        <v>215</v>
      </c>
      <c r="Y33" s="143" t="s">
        <v>216</v>
      </c>
      <c r="Z33" s="144" t="e">
        <v>#N/A</v>
      </c>
      <c r="AA33" s="145">
        <v>0</v>
      </c>
      <c r="AB33" s="141" t="s">
        <v>118</v>
      </c>
      <c r="AC33" s="141" t="s">
        <v>213</v>
      </c>
      <c r="AD33" s="142" t="s">
        <v>214</v>
      </c>
      <c r="AE33" s="142" t="s">
        <v>215</v>
      </c>
      <c r="AF33" s="143" t="s">
        <v>216</v>
      </c>
      <c r="AG33" s="144">
        <v>1601</v>
      </c>
      <c r="AH33" s="145">
        <v>0</v>
      </c>
      <c r="AI33" s="141" t="s">
        <v>120</v>
      </c>
      <c r="AJ33" s="141" t="s">
        <v>213</v>
      </c>
      <c r="AK33" s="142" t="s">
        <v>214</v>
      </c>
      <c r="AL33" s="142" t="s">
        <v>215</v>
      </c>
      <c r="AM33" s="143" t="s">
        <v>216</v>
      </c>
      <c r="AN33" s="144">
        <v>1601</v>
      </c>
      <c r="AO33" s="145">
        <v>0</v>
      </c>
      <c r="AP33" s="141" t="s">
        <v>122</v>
      </c>
      <c r="AQ33" s="141" t="s">
        <v>213</v>
      </c>
      <c r="AR33" s="142" t="s">
        <v>214</v>
      </c>
      <c r="AS33" s="142" t="s">
        <v>215</v>
      </c>
      <c r="AT33" s="143" t="s">
        <v>216</v>
      </c>
      <c r="AU33" s="144">
        <v>1601</v>
      </c>
      <c r="AV33" s="145">
        <v>0</v>
      </c>
      <c r="AW33" s="141" t="s">
        <v>123</v>
      </c>
      <c r="AX33" s="141" t="s">
        <v>213</v>
      </c>
      <c r="AY33" s="142" t="s">
        <v>214</v>
      </c>
      <c r="AZ33" s="142" t="s">
        <v>215</v>
      </c>
      <c r="BA33" s="143" t="s">
        <v>216</v>
      </c>
    </row>
    <row r="34" spans="1:53" ht="16">
      <c r="A34" s="136">
        <v>43831</v>
      </c>
      <c r="B34" s="137" t="str">
        <f>INDEX('[1]Indices Mines Exporting Ports'!$C$26:$C$51,MATCH(C34,'[1]Indices Mines Exporting Ports'!$Q$26:$Q$51,0))</f>
        <v>SMB Generic</v>
      </c>
      <c r="C34" s="129" t="s">
        <v>32</v>
      </c>
      <c r="D34" s="138" t="s">
        <v>113</v>
      </c>
      <c r="E34" s="139">
        <v>11150</v>
      </c>
      <c r="F34" s="140">
        <v>0</v>
      </c>
      <c r="G34" s="141" t="s">
        <v>118</v>
      </c>
      <c r="H34" s="141" t="s">
        <v>213</v>
      </c>
      <c r="I34" s="142" t="s">
        <v>214</v>
      </c>
      <c r="J34" s="142" t="s">
        <v>215</v>
      </c>
      <c r="K34" s="143" t="s">
        <v>216</v>
      </c>
      <c r="L34" s="139">
        <v>11150</v>
      </c>
      <c r="M34" s="140">
        <v>0</v>
      </c>
      <c r="N34" s="141" t="s">
        <v>118</v>
      </c>
      <c r="O34" s="141" t="s">
        <v>213</v>
      </c>
      <c r="P34" s="142" t="s">
        <v>214</v>
      </c>
      <c r="Q34" s="142" t="s">
        <v>215</v>
      </c>
      <c r="R34" s="143" t="s">
        <v>216</v>
      </c>
      <c r="S34" s="144">
        <v>11150</v>
      </c>
      <c r="T34" s="145">
        <v>0</v>
      </c>
      <c r="U34" s="141" t="s">
        <v>118</v>
      </c>
      <c r="V34" s="141" t="s">
        <v>213</v>
      </c>
      <c r="W34" s="142" t="s">
        <v>214</v>
      </c>
      <c r="X34" s="142" t="s">
        <v>215</v>
      </c>
      <c r="Y34" s="143" t="s">
        <v>216</v>
      </c>
      <c r="Z34" s="144">
        <v>11150</v>
      </c>
      <c r="AA34" s="145">
        <v>0</v>
      </c>
      <c r="AB34" s="141" t="s">
        <v>118</v>
      </c>
      <c r="AC34" s="141" t="s">
        <v>213</v>
      </c>
      <c r="AD34" s="142" t="s">
        <v>214</v>
      </c>
      <c r="AE34" s="142" t="s">
        <v>215</v>
      </c>
      <c r="AF34" s="143" t="s">
        <v>216</v>
      </c>
      <c r="AG34" s="144">
        <v>11150</v>
      </c>
      <c r="AH34" s="145">
        <v>0</v>
      </c>
      <c r="AI34" s="141" t="s">
        <v>120</v>
      </c>
      <c r="AJ34" s="141" t="s">
        <v>213</v>
      </c>
      <c r="AK34" s="142" t="s">
        <v>214</v>
      </c>
      <c r="AL34" s="142" t="s">
        <v>215</v>
      </c>
      <c r="AM34" s="143" t="s">
        <v>216</v>
      </c>
      <c r="AN34" s="144">
        <v>11150</v>
      </c>
      <c r="AO34" s="145">
        <v>0</v>
      </c>
      <c r="AP34" s="141" t="s">
        <v>122</v>
      </c>
      <c r="AQ34" s="141" t="s">
        <v>213</v>
      </c>
      <c r="AR34" s="142" t="s">
        <v>214</v>
      </c>
      <c r="AS34" s="142" t="s">
        <v>215</v>
      </c>
      <c r="AT34" s="143" t="s">
        <v>216</v>
      </c>
      <c r="AU34" s="144">
        <v>11150</v>
      </c>
      <c r="AV34" s="145">
        <v>0</v>
      </c>
      <c r="AW34" s="141" t="s">
        <v>123</v>
      </c>
      <c r="AX34" s="141" t="s">
        <v>213</v>
      </c>
      <c r="AY34" s="142" t="s">
        <v>214</v>
      </c>
      <c r="AZ34" s="142" t="s">
        <v>215</v>
      </c>
      <c r="BA34" s="143" t="s">
        <v>216</v>
      </c>
    </row>
    <row r="35" spans="1:53" ht="16">
      <c r="A35" s="136">
        <v>43831</v>
      </c>
      <c r="B35" s="137" t="str">
        <f>INDEX('[1]Indices Mines Exporting Ports'!$C$26:$C$51,MATCH(C35,'[1]Indices Mines Exporting Ports'!$Q$26:$Q$51,0))</f>
        <v>Alufer Bel Air</v>
      </c>
      <c r="C35" s="129" t="s">
        <v>34</v>
      </c>
      <c r="D35" s="138" t="s">
        <v>113</v>
      </c>
      <c r="E35" s="139">
        <v>11100</v>
      </c>
      <c r="F35" s="140">
        <v>0</v>
      </c>
      <c r="G35" s="141" t="s">
        <v>118</v>
      </c>
      <c r="H35" s="141" t="s">
        <v>213</v>
      </c>
      <c r="I35" s="142" t="s">
        <v>214</v>
      </c>
      <c r="J35" s="142" t="s">
        <v>215</v>
      </c>
      <c r="K35" s="143" t="s">
        <v>216</v>
      </c>
      <c r="L35" s="139">
        <v>11100</v>
      </c>
      <c r="M35" s="140">
        <v>0</v>
      </c>
      <c r="N35" s="141" t="s">
        <v>118</v>
      </c>
      <c r="O35" s="141" t="s">
        <v>213</v>
      </c>
      <c r="P35" s="142" t="s">
        <v>214</v>
      </c>
      <c r="Q35" s="142" t="s">
        <v>215</v>
      </c>
      <c r="R35" s="143" t="s">
        <v>216</v>
      </c>
      <c r="S35" s="144">
        <v>11100</v>
      </c>
      <c r="T35" s="145">
        <v>0</v>
      </c>
      <c r="U35" s="141" t="s">
        <v>118</v>
      </c>
      <c r="V35" s="141" t="s">
        <v>213</v>
      </c>
      <c r="W35" s="142" t="s">
        <v>214</v>
      </c>
      <c r="X35" s="142" t="s">
        <v>215</v>
      </c>
      <c r="Y35" s="143" t="s">
        <v>216</v>
      </c>
      <c r="Z35" s="144">
        <v>11100</v>
      </c>
      <c r="AA35" s="145">
        <v>0</v>
      </c>
      <c r="AB35" s="141" t="s">
        <v>118</v>
      </c>
      <c r="AC35" s="141" t="s">
        <v>213</v>
      </c>
      <c r="AD35" s="142" t="s">
        <v>214</v>
      </c>
      <c r="AE35" s="142" t="s">
        <v>215</v>
      </c>
      <c r="AF35" s="143" t="s">
        <v>216</v>
      </c>
      <c r="AG35" s="144">
        <v>11100</v>
      </c>
      <c r="AH35" s="145">
        <v>0</v>
      </c>
      <c r="AI35" s="141" t="s">
        <v>120</v>
      </c>
      <c r="AJ35" s="141" t="s">
        <v>213</v>
      </c>
      <c r="AK35" s="142" t="s">
        <v>214</v>
      </c>
      <c r="AL35" s="142" t="s">
        <v>215</v>
      </c>
      <c r="AM35" s="143" t="s">
        <v>216</v>
      </c>
      <c r="AN35" s="144">
        <v>11100</v>
      </c>
      <c r="AO35" s="145">
        <v>0</v>
      </c>
      <c r="AP35" s="141" t="s">
        <v>122</v>
      </c>
      <c r="AQ35" s="141" t="s">
        <v>213</v>
      </c>
      <c r="AR35" s="142" t="s">
        <v>214</v>
      </c>
      <c r="AS35" s="142" t="s">
        <v>215</v>
      </c>
      <c r="AT35" s="143" t="s">
        <v>216</v>
      </c>
      <c r="AU35" s="144">
        <v>11100</v>
      </c>
      <c r="AV35" s="145">
        <v>0</v>
      </c>
      <c r="AW35" s="141" t="s">
        <v>123</v>
      </c>
      <c r="AX35" s="141" t="s">
        <v>213</v>
      </c>
      <c r="AY35" s="142" t="s">
        <v>214</v>
      </c>
      <c r="AZ35" s="142" t="s">
        <v>215</v>
      </c>
      <c r="BA35" s="143" t="s">
        <v>216</v>
      </c>
    </row>
    <row r="36" spans="1:53" ht="16">
      <c r="A36" s="136">
        <v>43831</v>
      </c>
      <c r="B36" s="137" t="str">
        <f>INDEX('[1]Indices Mines Exporting Ports'!$C$26:$C$51,MATCH(C36,'[1]Indices Mines Exporting Ports'!$Q$26:$Q$51,0))</f>
        <v>CBG LT</v>
      </c>
      <c r="C36" s="129" t="s">
        <v>36</v>
      </c>
      <c r="D36" s="138" t="s">
        <v>113</v>
      </c>
      <c r="E36" s="139">
        <v>11170</v>
      </c>
      <c r="F36" s="140">
        <v>0</v>
      </c>
      <c r="G36" s="141" t="s">
        <v>118</v>
      </c>
      <c r="H36" s="141" t="s">
        <v>213</v>
      </c>
      <c r="I36" s="142" t="s">
        <v>214</v>
      </c>
      <c r="J36" s="142" t="s">
        <v>215</v>
      </c>
      <c r="K36" s="143" t="s">
        <v>216</v>
      </c>
      <c r="L36" s="139">
        <v>11170</v>
      </c>
      <c r="M36" s="140">
        <v>0</v>
      </c>
      <c r="N36" s="141" t="s">
        <v>118</v>
      </c>
      <c r="O36" s="141" t="s">
        <v>213</v>
      </c>
      <c r="P36" s="142" t="s">
        <v>214</v>
      </c>
      <c r="Q36" s="142" t="s">
        <v>215</v>
      </c>
      <c r="R36" s="143" t="s">
        <v>216</v>
      </c>
      <c r="S36" s="144">
        <v>11170</v>
      </c>
      <c r="T36" s="145">
        <v>0</v>
      </c>
      <c r="U36" s="141" t="s">
        <v>118</v>
      </c>
      <c r="V36" s="141" t="s">
        <v>213</v>
      </c>
      <c r="W36" s="142" t="s">
        <v>214</v>
      </c>
      <c r="X36" s="142" t="s">
        <v>215</v>
      </c>
      <c r="Y36" s="143" t="s">
        <v>216</v>
      </c>
      <c r="Z36" s="144">
        <v>11170</v>
      </c>
      <c r="AA36" s="145">
        <v>0</v>
      </c>
      <c r="AB36" s="141" t="s">
        <v>118</v>
      </c>
      <c r="AC36" s="141" t="s">
        <v>213</v>
      </c>
      <c r="AD36" s="142" t="s">
        <v>214</v>
      </c>
      <c r="AE36" s="142" t="s">
        <v>215</v>
      </c>
      <c r="AF36" s="143" t="s">
        <v>216</v>
      </c>
      <c r="AG36" s="144">
        <v>11170</v>
      </c>
      <c r="AH36" s="145">
        <v>0</v>
      </c>
      <c r="AI36" s="141" t="s">
        <v>120</v>
      </c>
      <c r="AJ36" s="141" t="s">
        <v>213</v>
      </c>
      <c r="AK36" s="142" t="s">
        <v>214</v>
      </c>
      <c r="AL36" s="142" t="s">
        <v>215</v>
      </c>
      <c r="AM36" s="143" t="s">
        <v>216</v>
      </c>
      <c r="AN36" s="144">
        <v>11170</v>
      </c>
      <c r="AO36" s="145">
        <v>0</v>
      </c>
      <c r="AP36" s="141" t="s">
        <v>122</v>
      </c>
      <c r="AQ36" s="141" t="s">
        <v>213</v>
      </c>
      <c r="AR36" s="142" t="s">
        <v>214</v>
      </c>
      <c r="AS36" s="142" t="s">
        <v>215</v>
      </c>
      <c r="AT36" s="143" t="s">
        <v>216</v>
      </c>
      <c r="AU36" s="144">
        <v>11170</v>
      </c>
      <c r="AV36" s="145">
        <v>0</v>
      </c>
      <c r="AW36" s="141" t="s">
        <v>123</v>
      </c>
      <c r="AX36" s="141" t="s">
        <v>213</v>
      </c>
      <c r="AY36" s="142" t="s">
        <v>214</v>
      </c>
      <c r="AZ36" s="142" t="s">
        <v>215</v>
      </c>
      <c r="BA36" s="143" t="s">
        <v>216</v>
      </c>
    </row>
    <row r="37" spans="1:53" ht="16">
      <c r="A37" s="136">
        <v>43831</v>
      </c>
      <c r="B37" s="137" t="str">
        <f>INDEX('[1]Indices Mines Exporting Ports'!$C$26:$C$51,MATCH(C37,'[1]Indices Mines Exporting Ports'!$Q$26:$Q$51,0))</f>
        <v>GAC Generic</v>
      </c>
      <c r="C37" s="129" t="s">
        <v>38</v>
      </c>
      <c r="D37" s="138" t="s">
        <v>113</v>
      </c>
      <c r="E37" s="139">
        <v>11150</v>
      </c>
      <c r="F37" s="140">
        <v>0</v>
      </c>
      <c r="G37" s="141" t="s">
        <v>118</v>
      </c>
      <c r="H37" s="141" t="s">
        <v>213</v>
      </c>
      <c r="I37" s="142" t="s">
        <v>214</v>
      </c>
      <c r="J37" s="142" t="s">
        <v>215</v>
      </c>
      <c r="K37" s="143" t="s">
        <v>216</v>
      </c>
      <c r="L37" s="139">
        <v>11150</v>
      </c>
      <c r="M37" s="140">
        <v>0</v>
      </c>
      <c r="N37" s="141" t="s">
        <v>118</v>
      </c>
      <c r="O37" s="141" t="s">
        <v>213</v>
      </c>
      <c r="P37" s="142" t="s">
        <v>214</v>
      </c>
      <c r="Q37" s="142" t="s">
        <v>215</v>
      </c>
      <c r="R37" s="143" t="s">
        <v>216</v>
      </c>
      <c r="S37" s="144">
        <v>11150</v>
      </c>
      <c r="T37" s="145">
        <v>0</v>
      </c>
      <c r="U37" s="141" t="s">
        <v>118</v>
      </c>
      <c r="V37" s="141" t="s">
        <v>213</v>
      </c>
      <c r="W37" s="142" t="s">
        <v>214</v>
      </c>
      <c r="X37" s="142" t="s">
        <v>215</v>
      </c>
      <c r="Y37" s="143" t="s">
        <v>216</v>
      </c>
      <c r="Z37" s="144">
        <v>11150</v>
      </c>
      <c r="AA37" s="145">
        <v>0</v>
      </c>
      <c r="AB37" s="141" t="s">
        <v>118</v>
      </c>
      <c r="AC37" s="141" t="s">
        <v>213</v>
      </c>
      <c r="AD37" s="142" t="s">
        <v>214</v>
      </c>
      <c r="AE37" s="142" t="s">
        <v>215</v>
      </c>
      <c r="AF37" s="143" t="s">
        <v>216</v>
      </c>
      <c r="AG37" s="144">
        <v>11150</v>
      </c>
      <c r="AH37" s="145">
        <v>0</v>
      </c>
      <c r="AI37" s="141" t="s">
        <v>120</v>
      </c>
      <c r="AJ37" s="141" t="s">
        <v>213</v>
      </c>
      <c r="AK37" s="142" t="s">
        <v>214</v>
      </c>
      <c r="AL37" s="142" t="s">
        <v>215</v>
      </c>
      <c r="AM37" s="143" t="s">
        <v>216</v>
      </c>
      <c r="AN37" s="144">
        <v>11150</v>
      </c>
      <c r="AO37" s="145">
        <v>0</v>
      </c>
      <c r="AP37" s="141" t="s">
        <v>122</v>
      </c>
      <c r="AQ37" s="141" t="s">
        <v>213</v>
      </c>
      <c r="AR37" s="142" t="s">
        <v>214</v>
      </c>
      <c r="AS37" s="142" t="s">
        <v>215</v>
      </c>
      <c r="AT37" s="143" t="s">
        <v>216</v>
      </c>
      <c r="AU37" s="144">
        <v>11150</v>
      </c>
      <c r="AV37" s="145">
        <v>0</v>
      </c>
      <c r="AW37" s="141" t="s">
        <v>123</v>
      </c>
      <c r="AX37" s="141" t="s">
        <v>213</v>
      </c>
      <c r="AY37" s="142" t="s">
        <v>214</v>
      </c>
      <c r="AZ37" s="142" t="s">
        <v>215</v>
      </c>
      <c r="BA37" s="143" t="s">
        <v>216</v>
      </c>
    </row>
    <row r="38" spans="1:53" ht="16">
      <c r="A38" s="136">
        <v>43831</v>
      </c>
      <c r="B38" s="137" t="str">
        <f>INDEX('[1]Indices Mines Exporting Ports'!$C$26:$C$51,MATCH(C38,'[1]Indices Mines Exporting Ports'!$Q$26:$Q$51,0))</f>
        <v>Weipa/Amrun Generic</v>
      </c>
      <c r="C38" s="129" t="s">
        <v>40</v>
      </c>
      <c r="D38" s="138" t="s">
        <v>113</v>
      </c>
      <c r="E38" s="139">
        <v>3280</v>
      </c>
      <c r="F38" s="140">
        <v>0</v>
      </c>
      <c r="G38" s="141" t="s">
        <v>118</v>
      </c>
      <c r="H38" s="141" t="s">
        <v>213</v>
      </c>
      <c r="I38" s="142" t="s">
        <v>214</v>
      </c>
      <c r="J38" s="142" t="s">
        <v>215</v>
      </c>
      <c r="K38" s="143" t="s">
        <v>216</v>
      </c>
      <c r="L38" s="139">
        <v>3280</v>
      </c>
      <c r="M38" s="140">
        <v>0</v>
      </c>
      <c r="N38" s="141" t="s">
        <v>118</v>
      </c>
      <c r="O38" s="141" t="s">
        <v>213</v>
      </c>
      <c r="P38" s="142" t="s">
        <v>214</v>
      </c>
      <c r="Q38" s="142" t="s">
        <v>215</v>
      </c>
      <c r="R38" s="143" t="s">
        <v>216</v>
      </c>
      <c r="S38" s="144">
        <v>3280</v>
      </c>
      <c r="T38" s="145">
        <v>0</v>
      </c>
      <c r="U38" s="141" t="s">
        <v>118</v>
      </c>
      <c r="V38" s="141" t="s">
        <v>213</v>
      </c>
      <c r="W38" s="142" t="s">
        <v>214</v>
      </c>
      <c r="X38" s="142" t="s">
        <v>215</v>
      </c>
      <c r="Y38" s="143" t="s">
        <v>216</v>
      </c>
      <c r="Z38" s="144">
        <v>3280</v>
      </c>
      <c r="AA38" s="145">
        <v>0</v>
      </c>
      <c r="AB38" s="141" t="s">
        <v>118</v>
      </c>
      <c r="AC38" s="141" t="s">
        <v>213</v>
      </c>
      <c r="AD38" s="142" t="s">
        <v>214</v>
      </c>
      <c r="AE38" s="142" t="s">
        <v>215</v>
      </c>
      <c r="AF38" s="143" t="s">
        <v>216</v>
      </c>
      <c r="AG38" s="144">
        <v>3280</v>
      </c>
      <c r="AH38" s="145">
        <v>0</v>
      </c>
      <c r="AI38" s="141" t="s">
        <v>120</v>
      </c>
      <c r="AJ38" s="141" t="s">
        <v>213</v>
      </c>
      <c r="AK38" s="142" t="s">
        <v>214</v>
      </c>
      <c r="AL38" s="142" t="s">
        <v>215</v>
      </c>
      <c r="AM38" s="143" t="s">
        <v>216</v>
      </c>
      <c r="AN38" s="144">
        <v>3280</v>
      </c>
      <c r="AO38" s="145">
        <v>0</v>
      </c>
      <c r="AP38" s="141" t="s">
        <v>122</v>
      </c>
      <c r="AQ38" s="141" t="s">
        <v>213</v>
      </c>
      <c r="AR38" s="142" t="s">
        <v>214</v>
      </c>
      <c r="AS38" s="142" t="s">
        <v>215</v>
      </c>
      <c r="AT38" s="143" t="s">
        <v>216</v>
      </c>
      <c r="AU38" s="144">
        <v>3280</v>
      </c>
      <c r="AV38" s="145">
        <v>0</v>
      </c>
      <c r="AW38" s="141" t="s">
        <v>123</v>
      </c>
      <c r="AX38" s="141" t="s">
        <v>213</v>
      </c>
      <c r="AY38" s="142" t="s">
        <v>214</v>
      </c>
      <c r="AZ38" s="142" t="s">
        <v>215</v>
      </c>
      <c r="BA38" s="143" t="s">
        <v>216</v>
      </c>
    </row>
    <row r="39" spans="1:53" ht="16">
      <c r="A39" s="136">
        <v>43831</v>
      </c>
      <c r="B39" s="137" t="str">
        <f>INDEX('[1]Indices Mines Exporting Ports'!$C$26:$C$51,MATCH(C39,'[1]Indices Mines Exporting Ports'!$Q$26:$Q$51,0))</f>
        <v>West Kalimantan Generic</v>
      </c>
      <c r="C39" s="129" t="s">
        <v>42</v>
      </c>
      <c r="D39" s="138" t="s">
        <v>113</v>
      </c>
      <c r="E39" s="139">
        <v>2326</v>
      </c>
      <c r="F39" s="140">
        <v>0</v>
      </c>
      <c r="G39" s="141" t="s">
        <v>118</v>
      </c>
      <c r="H39" s="141" t="s">
        <v>213</v>
      </c>
      <c r="I39" s="142" t="s">
        <v>214</v>
      </c>
      <c r="J39" s="142" t="s">
        <v>215</v>
      </c>
      <c r="K39" s="143" t="s">
        <v>216</v>
      </c>
      <c r="L39" s="139">
        <v>2326</v>
      </c>
      <c r="M39" s="140">
        <v>0</v>
      </c>
      <c r="N39" s="141" t="s">
        <v>118</v>
      </c>
      <c r="O39" s="141" t="s">
        <v>213</v>
      </c>
      <c r="P39" s="142" t="s">
        <v>214</v>
      </c>
      <c r="Q39" s="142" t="s">
        <v>215</v>
      </c>
      <c r="R39" s="143" t="s">
        <v>216</v>
      </c>
      <c r="S39" s="144">
        <v>2326</v>
      </c>
      <c r="T39" s="145">
        <v>0</v>
      </c>
      <c r="U39" s="141" t="s">
        <v>118</v>
      </c>
      <c r="V39" s="141" t="s">
        <v>213</v>
      </c>
      <c r="W39" s="142" t="s">
        <v>214</v>
      </c>
      <c r="X39" s="142" t="s">
        <v>215</v>
      </c>
      <c r="Y39" s="143" t="s">
        <v>216</v>
      </c>
      <c r="Z39" s="144">
        <v>2326</v>
      </c>
      <c r="AA39" s="145">
        <v>0</v>
      </c>
      <c r="AB39" s="141" t="s">
        <v>118</v>
      </c>
      <c r="AC39" s="141" t="s">
        <v>213</v>
      </c>
      <c r="AD39" s="142" t="s">
        <v>214</v>
      </c>
      <c r="AE39" s="142" t="s">
        <v>215</v>
      </c>
      <c r="AF39" s="143" t="s">
        <v>216</v>
      </c>
      <c r="AG39" s="144">
        <v>2326</v>
      </c>
      <c r="AH39" s="145">
        <v>0</v>
      </c>
      <c r="AI39" s="141" t="s">
        <v>120</v>
      </c>
      <c r="AJ39" s="141" t="s">
        <v>213</v>
      </c>
      <c r="AK39" s="142" t="s">
        <v>214</v>
      </c>
      <c r="AL39" s="142" t="s">
        <v>215</v>
      </c>
      <c r="AM39" s="143" t="s">
        <v>216</v>
      </c>
      <c r="AN39" s="144">
        <v>2326</v>
      </c>
      <c r="AO39" s="145">
        <v>0</v>
      </c>
      <c r="AP39" s="141" t="s">
        <v>122</v>
      </c>
      <c r="AQ39" s="141" t="s">
        <v>213</v>
      </c>
      <c r="AR39" s="142" t="s">
        <v>214</v>
      </c>
      <c r="AS39" s="142" t="s">
        <v>215</v>
      </c>
      <c r="AT39" s="143" t="s">
        <v>216</v>
      </c>
      <c r="AU39" s="144">
        <v>2326</v>
      </c>
      <c r="AV39" s="145">
        <v>0</v>
      </c>
      <c r="AW39" s="141" t="s">
        <v>123</v>
      </c>
      <c r="AX39" s="141" t="s">
        <v>213</v>
      </c>
      <c r="AY39" s="142" t="s">
        <v>214</v>
      </c>
      <c r="AZ39" s="142" t="s">
        <v>215</v>
      </c>
      <c r="BA39" s="143" t="s">
        <v>216</v>
      </c>
    </row>
    <row r="40" spans="1:53" ht="16">
      <c r="A40" s="136">
        <v>43831</v>
      </c>
      <c r="B40" s="137" t="str">
        <f>INDEX('[1]Indices Mines Exporting Ports'!$C$26:$C$51,MATCH(C40,'[1]Indices Mines Exporting Ports'!$Q$26:$Q$51,0))</f>
        <v>Gove</v>
      </c>
      <c r="C40" s="129" t="s">
        <v>49</v>
      </c>
      <c r="D40" s="138" t="s">
        <v>113</v>
      </c>
      <c r="E40" s="139" t="e">
        <v>#N/A</v>
      </c>
      <c r="F40" s="140">
        <v>0</v>
      </c>
      <c r="G40" s="141" t="s">
        <v>118</v>
      </c>
      <c r="H40" s="141" t="s">
        <v>213</v>
      </c>
      <c r="I40" s="142" t="s">
        <v>214</v>
      </c>
      <c r="J40" s="142" t="s">
        <v>215</v>
      </c>
      <c r="K40" s="143" t="s">
        <v>216</v>
      </c>
      <c r="L40" s="139" t="e">
        <v>#N/A</v>
      </c>
      <c r="M40" s="140">
        <v>0</v>
      </c>
      <c r="N40" s="141" t="s">
        <v>118</v>
      </c>
      <c r="O40" s="141" t="s">
        <v>213</v>
      </c>
      <c r="P40" s="142" t="s">
        <v>214</v>
      </c>
      <c r="Q40" s="142" t="s">
        <v>215</v>
      </c>
      <c r="R40" s="143" t="s">
        <v>216</v>
      </c>
      <c r="S40" s="144" t="e">
        <v>#N/A</v>
      </c>
      <c r="T40" s="145">
        <v>0</v>
      </c>
      <c r="U40" s="141" t="s">
        <v>118</v>
      </c>
      <c r="V40" s="141" t="s">
        <v>213</v>
      </c>
      <c r="W40" s="142" t="s">
        <v>214</v>
      </c>
      <c r="X40" s="142" t="s">
        <v>215</v>
      </c>
      <c r="Y40" s="143" t="s">
        <v>216</v>
      </c>
      <c r="Z40" s="144">
        <v>3079</v>
      </c>
      <c r="AA40" s="145">
        <v>0</v>
      </c>
      <c r="AB40" s="141" t="s">
        <v>118</v>
      </c>
      <c r="AC40" s="141" t="s">
        <v>213</v>
      </c>
      <c r="AD40" s="142" t="s">
        <v>214</v>
      </c>
      <c r="AE40" s="142" t="s">
        <v>215</v>
      </c>
      <c r="AF40" s="143" t="s">
        <v>216</v>
      </c>
      <c r="AG40" s="144">
        <v>3079</v>
      </c>
      <c r="AH40" s="145">
        <v>0</v>
      </c>
      <c r="AI40" s="141" t="s">
        <v>120</v>
      </c>
      <c r="AJ40" s="141" t="s">
        <v>213</v>
      </c>
      <c r="AK40" s="142" t="s">
        <v>214</v>
      </c>
      <c r="AL40" s="142" t="s">
        <v>215</v>
      </c>
      <c r="AM40" s="143" t="s">
        <v>216</v>
      </c>
      <c r="AN40" s="144">
        <v>3079</v>
      </c>
      <c r="AO40" s="145">
        <v>0</v>
      </c>
      <c r="AP40" s="141" t="s">
        <v>122</v>
      </c>
      <c r="AQ40" s="141" t="s">
        <v>213</v>
      </c>
      <c r="AR40" s="142" t="s">
        <v>214</v>
      </c>
      <c r="AS40" s="142" t="s">
        <v>215</v>
      </c>
      <c r="AT40" s="143" t="s">
        <v>216</v>
      </c>
      <c r="AU40" s="144">
        <v>3079</v>
      </c>
      <c r="AV40" s="145">
        <v>0</v>
      </c>
      <c r="AW40" s="141" t="s">
        <v>123</v>
      </c>
      <c r="AX40" s="141" t="s">
        <v>213</v>
      </c>
      <c r="AY40" s="142" t="s">
        <v>214</v>
      </c>
      <c r="AZ40" s="142" t="s">
        <v>215</v>
      </c>
      <c r="BA40" s="143" t="s">
        <v>216</v>
      </c>
    </row>
    <row r="41" spans="1:53" ht="16">
      <c r="A41" s="136">
        <v>43831</v>
      </c>
      <c r="B41" s="137" t="str">
        <f>INDEX('[1]Indices Mines Exporting Ports'!$C$26:$C$51,MATCH(C41,'[1]Indices Mines Exporting Ports'!$Q$26:$Q$51,0))</f>
        <v>Central Kalimantan Generic</v>
      </c>
      <c r="C41" s="129" t="s">
        <v>51</v>
      </c>
      <c r="D41" s="138" t="s">
        <v>113</v>
      </c>
      <c r="E41" s="139">
        <v>2300</v>
      </c>
      <c r="F41" s="140">
        <v>0</v>
      </c>
      <c r="G41" s="141" t="s">
        <v>118</v>
      </c>
      <c r="H41" s="141" t="s">
        <v>213</v>
      </c>
      <c r="I41" s="142" t="s">
        <v>214</v>
      </c>
      <c r="J41" s="142" t="s">
        <v>215</v>
      </c>
      <c r="K41" s="143" t="s">
        <v>216</v>
      </c>
      <c r="L41" s="139">
        <v>2300</v>
      </c>
      <c r="M41" s="140">
        <v>0</v>
      </c>
      <c r="N41" s="141" t="s">
        <v>118</v>
      </c>
      <c r="O41" s="141" t="s">
        <v>213</v>
      </c>
      <c r="P41" s="142" t="s">
        <v>214</v>
      </c>
      <c r="Q41" s="142" t="s">
        <v>215</v>
      </c>
      <c r="R41" s="143" t="s">
        <v>216</v>
      </c>
      <c r="S41" s="144">
        <v>2300</v>
      </c>
      <c r="T41" s="145">
        <v>0</v>
      </c>
      <c r="U41" s="141" t="s">
        <v>118</v>
      </c>
      <c r="V41" s="141" t="s">
        <v>213</v>
      </c>
      <c r="W41" s="142" t="s">
        <v>214</v>
      </c>
      <c r="X41" s="142" t="s">
        <v>215</v>
      </c>
      <c r="Y41" s="143" t="s">
        <v>216</v>
      </c>
      <c r="Z41" s="144">
        <v>2300</v>
      </c>
      <c r="AA41" s="145">
        <v>0</v>
      </c>
      <c r="AB41" s="141" t="s">
        <v>118</v>
      </c>
      <c r="AC41" s="141" t="s">
        <v>213</v>
      </c>
      <c r="AD41" s="142" t="s">
        <v>214</v>
      </c>
      <c r="AE41" s="142" t="s">
        <v>215</v>
      </c>
      <c r="AF41" s="143" t="s">
        <v>216</v>
      </c>
      <c r="AG41" s="144">
        <v>2300</v>
      </c>
      <c r="AH41" s="145">
        <v>0</v>
      </c>
      <c r="AI41" s="141" t="s">
        <v>120</v>
      </c>
      <c r="AJ41" s="141" t="s">
        <v>213</v>
      </c>
      <c r="AK41" s="142" t="s">
        <v>214</v>
      </c>
      <c r="AL41" s="142" t="s">
        <v>215</v>
      </c>
      <c r="AM41" s="143" t="s">
        <v>216</v>
      </c>
      <c r="AN41" s="144">
        <v>2300</v>
      </c>
      <c r="AO41" s="145">
        <v>0</v>
      </c>
      <c r="AP41" s="141" t="s">
        <v>122</v>
      </c>
      <c r="AQ41" s="141" t="s">
        <v>213</v>
      </c>
      <c r="AR41" s="142" t="s">
        <v>214</v>
      </c>
      <c r="AS41" s="142" t="s">
        <v>215</v>
      </c>
      <c r="AT41" s="143" t="s">
        <v>216</v>
      </c>
      <c r="AU41" s="144">
        <v>2300</v>
      </c>
      <c r="AV41" s="145">
        <v>0</v>
      </c>
      <c r="AW41" s="141" t="s">
        <v>123</v>
      </c>
      <c r="AX41" s="141" t="s">
        <v>213</v>
      </c>
      <c r="AY41" s="142" t="s">
        <v>214</v>
      </c>
      <c r="AZ41" s="142" t="s">
        <v>215</v>
      </c>
      <c r="BA41" s="143" t="s">
        <v>216</v>
      </c>
    </row>
    <row r="42" spans="1:53" ht="16">
      <c r="A42" s="136">
        <v>43831</v>
      </c>
      <c r="B42" s="137" t="str">
        <f>INDEX('[1]Indices Mines Exporting Ports'!$C$26:$C$51,MATCH(C42,'[1]Indices Mines Exporting Ports'!$Q$26:$Q$51,0))</f>
        <v>Huntly</v>
      </c>
      <c r="C42" s="129" t="s">
        <v>53</v>
      </c>
      <c r="D42" s="138" t="s">
        <v>113</v>
      </c>
      <c r="E42" s="139" t="e">
        <v>#N/A</v>
      </c>
      <c r="F42" s="140">
        <v>0</v>
      </c>
      <c r="G42" s="141" t="s">
        <v>118</v>
      </c>
      <c r="H42" s="141" t="s">
        <v>213</v>
      </c>
      <c r="I42" s="142" t="s">
        <v>214</v>
      </c>
      <c r="J42" s="142" t="s">
        <v>215</v>
      </c>
      <c r="K42" s="143" t="s">
        <v>216</v>
      </c>
      <c r="L42" s="139" t="e">
        <v>#N/A</v>
      </c>
      <c r="M42" s="140">
        <v>0</v>
      </c>
      <c r="N42" s="141" t="s">
        <v>118</v>
      </c>
      <c r="O42" s="141" t="s">
        <v>213</v>
      </c>
      <c r="P42" s="142" t="s">
        <v>214</v>
      </c>
      <c r="Q42" s="142" t="s">
        <v>215</v>
      </c>
      <c r="R42" s="143" t="s">
        <v>216</v>
      </c>
      <c r="S42" s="144" t="e">
        <v>#N/A</v>
      </c>
      <c r="T42" s="145">
        <v>0</v>
      </c>
      <c r="U42" s="141" t="s">
        <v>118</v>
      </c>
      <c r="V42" s="141" t="s">
        <v>213</v>
      </c>
      <c r="W42" s="142" t="s">
        <v>214</v>
      </c>
      <c r="X42" s="142" t="s">
        <v>215</v>
      </c>
      <c r="Y42" s="143" t="s">
        <v>216</v>
      </c>
      <c r="Z42" s="144" t="e">
        <v>#N/A</v>
      </c>
      <c r="AA42" s="145">
        <v>0</v>
      </c>
      <c r="AB42" s="141" t="s">
        <v>118</v>
      </c>
      <c r="AC42" s="141" t="s">
        <v>213</v>
      </c>
      <c r="AD42" s="142" t="s">
        <v>214</v>
      </c>
      <c r="AE42" s="142" t="s">
        <v>215</v>
      </c>
      <c r="AF42" s="143" t="s">
        <v>216</v>
      </c>
      <c r="AG42" s="144">
        <v>4250</v>
      </c>
      <c r="AH42" s="145">
        <v>0</v>
      </c>
      <c r="AI42" s="141" t="s">
        <v>120</v>
      </c>
      <c r="AJ42" s="141" t="s">
        <v>213</v>
      </c>
      <c r="AK42" s="142" t="s">
        <v>214</v>
      </c>
      <c r="AL42" s="142" t="s">
        <v>215</v>
      </c>
      <c r="AM42" s="143" t="s">
        <v>216</v>
      </c>
      <c r="AN42" s="144">
        <v>4250</v>
      </c>
      <c r="AO42" s="145">
        <v>0</v>
      </c>
      <c r="AP42" s="141" t="s">
        <v>122</v>
      </c>
      <c r="AQ42" s="141" t="s">
        <v>213</v>
      </c>
      <c r="AR42" s="142" t="s">
        <v>214</v>
      </c>
      <c r="AS42" s="142" t="s">
        <v>215</v>
      </c>
      <c r="AT42" s="143" t="s">
        <v>216</v>
      </c>
      <c r="AU42" s="144">
        <v>4250</v>
      </c>
      <c r="AV42" s="145">
        <v>0</v>
      </c>
      <c r="AW42" s="141" t="s">
        <v>123</v>
      </c>
      <c r="AX42" s="141" t="s">
        <v>213</v>
      </c>
      <c r="AY42" s="142" t="s">
        <v>214</v>
      </c>
      <c r="AZ42" s="142" t="s">
        <v>215</v>
      </c>
      <c r="BA42" s="143" t="s">
        <v>216</v>
      </c>
    </row>
    <row r="43" spans="1:53" ht="16">
      <c r="A43" s="136">
        <v>43831</v>
      </c>
      <c r="B43" s="137" t="str">
        <f>INDEX('[1]Indices Mines Exporting Ports'!$C$26:$C$51,MATCH(C43,'[1]Indices Mines Exporting Ports'!$Q$26:$Q$51,0))</f>
        <v>Turkey</v>
      </c>
      <c r="C43" s="129" t="s">
        <v>54</v>
      </c>
      <c r="D43" s="138" t="s">
        <v>113</v>
      </c>
      <c r="E43" s="139">
        <v>14562</v>
      </c>
      <c r="F43" s="140">
        <v>0</v>
      </c>
      <c r="G43" s="141" t="s">
        <v>118</v>
      </c>
      <c r="H43" s="141" t="s">
        <v>213</v>
      </c>
      <c r="I43" s="142" t="s">
        <v>214</v>
      </c>
      <c r="J43" s="142" t="s">
        <v>215</v>
      </c>
      <c r="K43" s="143" t="s">
        <v>216</v>
      </c>
      <c r="L43" s="139">
        <v>14562</v>
      </c>
      <c r="M43" s="140">
        <v>0</v>
      </c>
      <c r="N43" s="141" t="s">
        <v>118</v>
      </c>
      <c r="O43" s="141" t="s">
        <v>213</v>
      </c>
      <c r="P43" s="142" t="s">
        <v>214</v>
      </c>
      <c r="Q43" s="142" t="s">
        <v>215</v>
      </c>
      <c r="R43" s="143" t="s">
        <v>216</v>
      </c>
      <c r="S43" s="144">
        <v>8426</v>
      </c>
      <c r="T43" s="145">
        <v>0</v>
      </c>
      <c r="U43" s="141" t="s">
        <v>118</v>
      </c>
      <c r="V43" s="141" t="s">
        <v>213</v>
      </c>
      <c r="W43" s="142" t="s">
        <v>214</v>
      </c>
      <c r="X43" s="142" t="s">
        <v>215</v>
      </c>
      <c r="Y43" s="143" t="s">
        <v>218</v>
      </c>
      <c r="Z43" s="144">
        <v>8426</v>
      </c>
      <c r="AA43" s="145">
        <v>0</v>
      </c>
      <c r="AB43" s="141" t="s">
        <v>118</v>
      </c>
      <c r="AC43" s="141" t="s">
        <v>213</v>
      </c>
      <c r="AD43" s="142" t="s">
        <v>214</v>
      </c>
      <c r="AE43" s="142" t="s">
        <v>215</v>
      </c>
      <c r="AF43" s="143" t="s">
        <v>218</v>
      </c>
      <c r="AG43" s="144">
        <v>8426</v>
      </c>
      <c r="AH43" s="145">
        <v>0</v>
      </c>
      <c r="AI43" s="141" t="s">
        <v>120</v>
      </c>
      <c r="AJ43" s="141" t="s">
        <v>213</v>
      </c>
      <c r="AK43" s="142" t="s">
        <v>214</v>
      </c>
      <c r="AL43" s="142" t="s">
        <v>215</v>
      </c>
      <c r="AM43" s="143" t="s">
        <v>218</v>
      </c>
      <c r="AN43" s="144">
        <v>8426</v>
      </c>
      <c r="AO43" s="145">
        <v>0</v>
      </c>
      <c r="AP43" s="141" t="s">
        <v>122</v>
      </c>
      <c r="AQ43" s="141" t="s">
        <v>213</v>
      </c>
      <c r="AR43" s="142" t="s">
        <v>214</v>
      </c>
      <c r="AS43" s="142" t="s">
        <v>215</v>
      </c>
      <c r="AT43" s="143" t="s">
        <v>218</v>
      </c>
      <c r="AU43" s="144">
        <v>8426</v>
      </c>
      <c r="AV43" s="145">
        <v>0</v>
      </c>
      <c r="AW43" s="141" t="s">
        <v>123</v>
      </c>
      <c r="AX43" s="141" t="s">
        <v>213</v>
      </c>
      <c r="AY43" s="142" t="s">
        <v>214</v>
      </c>
      <c r="AZ43" s="142" t="s">
        <v>215</v>
      </c>
      <c r="BA43" s="143" t="s">
        <v>218</v>
      </c>
    </row>
    <row r="44" spans="1:53" ht="16">
      <c r="A44" s="136">
        <v>43831</v>
      </c>
      <c r="B44" s="137" t="str">
        <f>INDEX('[1]Indices Mines Exporting Ports'!$C$26:$C$51,MATCH(C44,'[1]Indices Mines Exporting Ports'!$Q$26:$Q$51,0))</f>
        <v>Bauxite Hills</v>
      </c>
      <c r="C44" s="129" t="s">
        <v>56</v>
      </c>
      <c r="D44" s="138" t="s">
        <v>113</v>
      </c>
      <c r="E44" s="139">
        <v>3270</v>
      </c>
      <c r="F44" s="140">
        <v>0</v>
      </c>
      <c r="G44" s="141" t="s">
        <v>118</v>
      </c>
      <c r="H44" s="141" t="s">
        <v>213</v>
      </c>
      <c r="I44" s="142" t="s">
        <v>214</v>
      </c>
      <c r="J44" s="142" t="s">
        <v>215</v>
      </c>
      <c r="K44" s="143" t="s">
        <v>216</v>
      </c>
      <c r="L44" s="139">
        <v>3270</v>
      </c>
      <c r="M44" s="140">
        <v>0</v>
      </c>
      <c r="N44" s="141" t="s">
        <v>118</v>
      </c>
      <c r="O44" s="141" t="s">
        <v>213</v>
      </c>
      <c r="P44" s="142" t="s">
        <v>214</v>
      </c>
      <c r="Q44" s="142" t="s">
        <v>215</v>
      </c>
      <c r="R44" s="143" t="s">
        <v>216</v>
      </c>
      <c r="S44" s="144">
        <v>3270</v>
      </c>
      <c r="T44" s="145">
        <v>0</v>
      </c>
      <c r="U44" s="141" t="s">
        <v>118</v>
      </c>
      <c r="V44" s="141" t="s">
        <v>213</v>
      </c>
      <c r="W44" s="142" t="s">
        <v>214</v>
      </c>
      <c r="X44" s="142" t="s">
        <v>215</v>
      </c>
      <c r="Y44" s="143" t="s">
        <v>218</v>
      </c>
      <c r="Z44" s="144">
        <v>3270</v>
      </c>
      <c r="AA44" s="145">
        <v>0</v>
      </c>
      <c r="AB44" s="141" t="s">
        <v>118</v>
      </c>
      <c r="AC44" s="141" t="s">
        <v>213</v>
      </c>
      <c r="AD44" s="142" t="s">
        <v>214</v>
      </c>
      <c r="AE44" s="142" t="s">
        <v>215</v>
      </c>
      <c r="AF44" s="143" t="s">
        <v>218</v>
      </c>
      <c r="AG44" s="144">
        <v>3270</v>
      </c>
      <c r="AH44" s="145">
        <v>0</v>
      </c>
      <c r="AI44" s="141" t="s">
        <v>120</v>
      </c>
      <c r="AJ44" s="141" t="s">
        <v>213</v>
      </c>
      <c r="AK44" s="142" t="s">
        <v>214</v>
      </c>
      <c r="AL44" s="142" t="s">
        <v>215</v>
      </c>
      <c r="AM44" s="143" t="s">
        <v>218</v>
      </c>
      <c r="AN44" s="144">
        <v>3270</v>
      </c>
      <c r="AO44" s="145">
        <v>0</v>
      </c>
      <c r="AP44" s="141" t="s">
        <v>122</v>
      </c>
      <c r="AQ44" s="141" t="s">
        <v>213</v>
      </c>
      <c r="AR44" s="142" t="s">
        <v>214</v>
      </c>
      <c r="AS44" s="142" t="s">
        <v>215</v>
      </c>
      <c r="AT44" s="143" t="s">
        <v>218</v>
      </c>
      <c r="AU44" s="144">
        <v>3270</v>
      </c>
      <c r="AV44" s="145">
        <v>0</v>
      </c>
      <c r="AW44" s="141" t="s">
        <v>123</v>
      </c>
      <c r="AX44" s="141" t="s">
        <v>213</v>
      </c>
      <c r="AY44" s="142" t="s">
        <v>214</v>
      </c>
      <c r="AZ44" s="142" t="s">
        <v>215</v>
      </c>
      <c r="BA44" s="143" t="s">
        <v>218</v>
      </c>
    </row>
    <row r="45" spans="1:53" ht="16">
      <c r="A45" s="136">
        <v>43831</v>
      </c>
      <c r="B45" s="137" t="str">
        <f>INDEX('[1]Indices Mines Exporting Ports'!$C$26:$C$51,MATCH(C45,'[1]Indices Mines Exporting Ports'!$Q$26:$Q$51,0))</f>
        <v>Chalco Boffa</v>
      </c>
      <c r="C45" s="129" t="s">
        <v>58</v>
      </c>
      <c r="D45" s="138" t="s">
        <v>113</v>
      </c>
      <c r="E45" s="139">
        <v>11050</v>
      </c>
      <c r="F45" s="140">
        <v>0</v>
      </c>
      <c r="G45" s="141" t="s">
        <v>118</v>
      </c>
      <c r="H45" s="141" t="s">
        <v>213</v>
      </c>
      <c r="I45" s="142" t="s">
        <v>214</v>
      </c>
      <c r="J45" s="142" t="s">
        <v>215</v>
      </c>
      <c r="K45" s="143" t="s">
        <v>216</v>
      </c>
      <c r="L45" s="139">
        <v>11050</v>
      </c>
      <c r="M45" s="140">
        <v>0</v>
      </c>
      <c r="N45" s="141" t="s">
        <v>118</v>
      </c>
      <c r="O45" s="141" t="s">
        <v>213</v>
      </c>
      <c r="P45" s="142" t="s">
        <v>214</v>
      </c>
      <c r="Q45" s="142" t="s">
        <v>215</v>
      </c>
      <c r="R45" s="143" t="s">
        <v>216</v>
      </c>
      <c r="S45" s="144">
        <v>11050</v>
      </c>
      <c r="T45" s="145">
        <v>0</v>
      </c>
      <c r="U45" s="141" t="s">
        <v>118</v>
      </c>
      <c r="V45" s="141" t="s">
        <v>213</v>
      </c>
      <c r="W45" s="142" t="s">
        <v>214</v>
      </c>
      <c r="X45" s="142" t="s">
        <v>215</v>
      </c>
      <c r="Y45" s="143" t="s">
        <v>216</v>
      </c>
      <c r="Z45" s="144">
        <v>11050</v>
      </c>
      <c r="AA45" s="145">
        <v>0</v>
      </c>
      <c r="AB45" s="141" t="s">
        <v>118</v>
      </c>
      <c r="AC45" s="141" t="s">
        <v>213</v>
      </c>
      <c r="AD45" s="142" t="s">
        <v>214</v>
      </c>
      <c r="AE45" s="142" t="s">
        <v>215</v>
      </c>
      <c r="AF45" s="143" t="s">
        <v>216</v>
      </c>
      <c r="AG45" s="144">
        <v>11050</v>
      </c>
      <c r="AH45" s="145">
        <v>0</v>
      </c>
      <c r="AI45" s="141" t="s">
        <v>120</v>
      </c>
      <c r="AJ45" s="141" t="s">
        <v>213</v>
      </c>
      <c r="AK45" s="142" t="s">
        <v>214</v>
      </c>
      <c r="AL45" s="142" t="s">
        <v>215</v>
      </c>
      <c r="AM45" s="143" t="s">
        <v>216</v>
      </c>
      <c r="AN45" s="144">
        <v>11050</v>
      </c>
      <c r="AO45" s="145">
        <v>0</v>
      </c>
      <c r="AP45" s="141" t="s">
        <v>122</v>
      </c>
      <c r="AQ45" s="141" t="s">
        <v>213</v>
      </c>
      <c r="AR45" s="142" t="s">
        <v>214</v>
      </c>
      <c r="AS45" s="142" t="s">
        <v>215</v>
      </c>
      <c r="AT45" s="143" t="s">
        <v>216</v>
      </c>
      <c r="AU45" s="144">
        <v>11050</v>
      </c>
      <c r="AV45" s="145">
        <v>0</v>
      </c>
      <c r="AW45" s="141" t="s">
        <v>123</v>
      </c>
      <c r="AX45" s="141" t="s">
        <v>213</v>
      </c>
      <c r="AY45" s="142" t="s">
        <v>214</v>
      </c>
      <c r="AZ45" s="142" t="s">
        <v>215</v>
      </c>
      <c r="BA45" s="143" t="s">
        <v>216</v>
      </c>
    </row>
    <row r="46" spans="1:53" ht="16">
      <c r="A46" s="136">
        <v>43831</v>
      </c>
      <c r="B46" s="137" t="str">
        <f>INDEX('[1]Indices Mines Exporting Ports'!$C$26:$C$51,MATCH(C46,'[1]Indices Mines Exporting Ports'!$Q$26:$Q$51,0))</f>
        <v>Rennell Island</v>
      </c>
      <c r="C46" s="129" t="s">
        <v>60</v>
      </c>
      <c r="D46" s="138" t="s">
        <v>113</v>
      </c>
      <c r="E46" s="139">
        <v>3542</v>
      </c>
      <c r="F46" s="140">
        <v>0</v>
      </c>
      <c r="G46" s="141" t="s">
        <v>118</v>
      </c>
      <c r="H46" s="141" t="s">
        <v>213</v>
      </c>
      <c r="I46" s="142" t="s">
        <v>214</v>
      </c>
      <c r="J46" s="142" t="s">
        <v>215</v>
      </c>
      <c r="K46" s="143" t="s">
        <v>216</v>
      </c>
      <c r="L46" s="139">
        <v>3542</v>
      </c>
      <c r="M46" s="140">
        <v>0</v>
      </c>
      <c r="N46" s="141" t="s">
        <v>118</v>
      </c>
      <c r="O46" s="141" t="s">
        <v>213</v>
      </c>
      <c r="P46" s="142" t="s">
        <v>214</v>
      </c>
      <c r="Q46" s="142" t="s">
        <v>215</v>
      </c>
      <c r="R46" s="143" t="s">
        <v>216</v>
      </c>
      <c r="S46" s="144">
        <v>3542</v>
      </c>
      <c r="T46" s="145">
        <v>0</v>
      </c>
      <c r="U46" s="141" t="s">
        <v>118</v>
      </c>
      <c r="V46" s="141" t="s">
        <v>213</v>
      </c>
      <c r="W46" s="142" t="s">
        <v>214</v>
      </c>
      <c r="X46" s="142" t="s">
        <v>215</v>
      </c>
      <c r="Y46" s="143" t="s">
        <v>216</v>
      </c>
      <c r="Z46" s="144">
        <v>3542</v>
      </c>
      <c r="AA46" s="145">
        <v>0</v>
      </c>
      <c r="AB46" s="141" t="s">
        <v>118</v>
      </c>
      <c r="AC46" s="141" t="s">
        <v>213</v>
      </c>
      <c r="AD46" s="142" t="s">
        <v>214</v>
      </c>
      <c r="AE46" s="142" t="s">
        <v>215</v>
      </c>
      <c r="AF46" s="143" t="s">
        <v>216</v>
      </c>
      <c r="AG46" s="144">
        <v>3542</v>
      </c>
      <c r="AH46" s="145">
        <v>0</v>
      </c>
      <c r="AI46" s="141" t="s">
        <v>120</v>
      </c>
      <c r="AJ46" s="141" t="s">
        <v>213</v>
      </c>
      <c r="AK46" s="142" t="s">
        <v>214</v>
      </c>
      <c r="AL46" s="142" t="s">
        <v>215</v>
      </c>
      <c r="AM46" s="143" t="s">
        <v>216</v>
      </c>
      <c r="AN46" s="144">
        <v>3542</v>
      </c>
      <c r="AO46" s="145">
        <v>0</v>
      </c>
      <c r="AP46" s="141" t="s">
        <v>122</v>
      </c>
      <c r="AQ46" s="141" t="s">
        <v>213</v>
      </c>
      <c r="AR46" s="142" t="s">
        <v>214</v>
      </c>
      <c r="AS46" s="142" t="s">
        <v>215</v>
      </c>
      <c r="AT46" s="143" t="s">
        <v>216</v>
      </c>
      <c r="AU46" s="144">
        <v>3542</v>
      </c>
      <c r="AV46" s="145">
        <v>0</v>
      </c>
      <c r="AW46" s="141" t="s">
        <v>123</v>
      </c>
      <c r="AX46" s="141" t="s">
        <v>213</v>
      </c>
      <c r="AY46" s="142" t="s">
        <v>214</v>
      </c>
      <c r="AZ46" s="142" t="s">
        <v>215</v>
      </c>
      <c r="BA46" s="143" t="s">
        <v>216</v>
      </c>
    </row>
    <row r="47" spans="1:53" ht="16">
      <c r="A47" s="136">
        <v>43831</v>
      </c>
      <c r="B47" s="137" t="str">
        <f>INDEX('[1]Indices Mines Exporting Ports'!$C$26:$C$51,MATCH(C47,'[1]Indices Mines Exporting Ports'!$Q$26:$Q$51,0))</f>
        <v>Discovery Bay</v>
      </c>
      <c r="C47" s="129" t="s">
        <v>62</v>
      </c>
      <c r="D47" s="138" t="s">
        <v>113</v>
      </c>
      <c r="E47" s="139">
        <v>14116</v>
      </c>
      <c r="F47" s="140">
        <v>0</v>
      </c>
      <c r="G47" s="141" t="s">
        <v>118</v>
      </c>
      <c r="H47" s="141" t="s">
        <v>213</v>
      </c>
      <c r="I47" s="142" t="s">
        <v>214</v>
      </c>
      <c r="J47" s="142" t="s">
        <v>215</v>
      </c>
      <c r="K47" s="143" t="s">
        <v>216</v>
      </c>
      <c r="L47" s="139">
        <v>14116</v>
      </c>
      <c r="M47" s="140">
        <v>0</v>
      </c>
      <c r="N47" s="141" t="s">
        <v>118</v>
      </c>
      <c r="O47" s="141" t="s">
        <v>213</v>
      </c>
      <c r="P47" s="142" t="s">
        <v>214</v>
      </c>
      <c r="Q47" s="142" t="s">
        <v>215</v>
      </c>
      <c r="R47" s="143" t="s">
        <v>216</v>
      </c>
      <c r="S47" s="144">
        <v>14116</v>
      </c>
      <c r="T47" s="145">
        <v>0</v>
      </c>
      <c r="U47" s="141" t="s">
        <v>118</v>
      </c>
      <c r="V47" s="141" t="s">
        <v>213</v>
      </c>
      <c r="W47" s="142" t="s">
        <v>214</v>
      </c>
      <c r="X47" s="142" t="s">
        <v>215</v>
      </c>
      <c r="Y47" s="143" t="s">
        <v>216</v>
      </c>
      <c r="Z47" s="144">
        <v>9156</v>
      </c>
      <c r="AA47" s="145">
        <v>0</v>
      </c>
      <c r="AB47" s="141" t="s">
        <v>118</v>
      </c>
      <c r="AC47" s="141" t="s">
        <v>213</v>
      </c>
      <c r="AD47" s="142" t="s">
        <v>214</v>
      </c>
      <c r="AE47" s="142" t="s">
        <v>215</v>
      </c>
      <c r="AF47" s="143" t="s">
        <v>219</v>
      </c>
      <c r="AG47" s="144">
        <v>9156</v>
      </c>
      <c r="AH47" s="145">
        <v>0</v>
      </c>
      <c r="AI47" s="141" t="s">
        <v>120</v>
      </c>
      <c r="AJ47" s="141" t="s">
        <v>213</v>
      </c>
      <c r="AK47" s="142" t="s">
        <v>214</v>
      </c>
      <c r="AL47" s="142" t="s">
        <v>215</v>
      </c>
      <c r="AM47" s="143" t="s">
        <v>217</v>
      </c>
      <c r="AN47" s="144">
        <v>9156</v>
      </c>
      <c r="AO47" s="145">
        <v>0</v>
      </c>
      <c r="AP47" s="141" t="s">
        <v>122</v>
      </c>
      <c r="AQ47" s="141" t="s">
        <v>213</v>
      </c>
      <c r="AR47" s="142" t="s">
        <v>214</v>
      </c>
      <c r="AS47" s="142" t="s">
        <v>215</v>
      </c>
      <c r="AT47" s="143" t="s">
        <v>217</v>
      </c>
      <c r="AU47" s="144">
        <v>9156</v>
      </c>
      <c r="AV47" s="145">
        <v>0</v>
      </c>
      <c r="AW47" s="141" t="s">
        <v>123</v>
      </c>
      <c r="AX47" s="141" t="s">
        <v>213</v>
      </c>
      <c r="AY47" s="142" t="s">
        <v>214</v>
      </c>
      <c r="AZ47" s="142" t="s">
        <v>215</v>
      </c>
      <c r="BA47" s="143" t="s">
        <v>217</v>
      </c>
    </row>
    <row r="48" spans="1:53" ht="16">
      <c r="A48" s="136">
        <v>43831</v>
      </c>
      <c r="B48" s="137" t="str">
        <f>INDEX('[1]Indices Mines Exporting Ports'!$C$26:$C$51,MATCH(C48,'[1]Indices Mines Exporting Ports'!$Q$26:$Q$51,0))</f>
        <v>Turkey</v>
      </c>
      <c r="C48" s="129" t="s">
        <v>54</v>
      </c>
      <c r="D48" s="138" t="s">
        <v>113</v>
      </c>
      <c r="E48" s="139">
        <v>14562</v>
      </c>
      <c r="F48" s="140">
        <v>0</v>
      </c>
      <c r="G48" s="141" t="s">
        <v>118</v>
      </c>
      <c r="H48" s="141" t="s">
        <v>213</v>
      </c>
      <c r="I48" s="142" t="s">
        <v>214</v>
      </c>
      <c r="J48" s="142" t="s">
        <v>215</v>
      </c>
      <c r="K48" s="143" t="s">
        <v>216</v>
      </c>
      <c r="L48" s="139">
        <v>14562</v>
      </c>
      <c r="M48" s="140">
        <v>0</v>
      </c>
      <c r="N48" s="141" t="s">
        <v>118</v>
      </c>
      <c r="O48" s="141" t="s">
        <v>213</v>
      </c>
      <c r="P48" s="142" t="s">
        <v>214</v>
      </c>
      <c r="Q48" s="142" t="s">
        <v>215</v>
      </c>
      <c r="R48" s="143" t="s">
        <v>216</v>
      </c>
      <c r="S48" s="144">
        <v>8426</v>
      </c>
      <c r="T48" s="145">
        <v>0</v>
      </c>
      <c r="U48" s="141" t="s">
        <v>118</v>
      </c>
      <c r="V48" s="141" t="s">
        <v>213</v>
      </c>
      <c r="W48" s="142" t="s">
        <v>214</v>
      </c>
      <c r="X48" s="142" t="s">
        <v>215</v>
      </c>
      <c r="Y48" s="143" t="s">
        <v>218</v>
      </c>
      <c r="Z48" s="144">
        <v>8426</v>
      </c>
      <c r="AA48" s="145">
        <v>0</v>
      </c>
      <c r="AB48" s="141" t="s">
        <v>118</v>
      </c>
      <c r="AC48" s="141" t="s">
        <v>213</v>
      </c>
      <c r="AD48" s="142" t="s">
        <v>214</v>
      </c>
      <c r="AE48" s="142" t="s">
        <v>215</v>
      </c>
      <c r="AF48" s="143" t="s">
        <v>218</v>
      </c>
      <c r="AG48" s="144">
        <v>8426</v>
      </c>
      <c r="AH48" s="145">
        <v>0</v>
      </c>
      <c r="AI48" s="141" t="s">
        <v>120</v>
      </c>
      <c r="AJ48" s="141" t="s">
        <v>213</v>
      </c>
      <c r="AK48" s="142" t="s">
        <v>214</v>
      </c>
      <c r="AL48" s="142" t="s">
        <v>215</v>
      </c>
      <c r="AM48" s="143" t="s">
        <v>218</v>
      </c>
      <c r="AN48" s="144">
        <v>8426</v>
      </c>
      <c r="AO48" s="145">
        <v>0</v>
      </c>
      <c r="AP48" s="141" t="s">
        <v>122</v>
      </c>
      <c r="AQ48" s="141" t="s">
        <v>213</v>
      </c>
      <c r="AR48" s="142" t="s">
        <v>214</v>
      </c>
      <c r="AS48" s="142" t="s">
        <v>215</v>
      </c>
      <c r="AT48" s="143" t="s">
        <v>218</v>
      </c>
      <c r="AU48" s="144">
        <v>8426</v>
      </c>
      <c r="AV48" s="145">
        <v>0</v>
      </c>
      <c r="AW48" s="141" t="s">
        <v>123</v>
      </c>
      <c r="AX48" s="141" t="s">
        <v>213</v>
      </c>
      <c r="AY48" s="142" t="s">
        <v>214</v>
      </c>
      <c r="AZ48" s="142" t="s">
        <v>215</v>
      </c>
      <c r="BA48" s="143" t="s">
        <v>218</v>
      </c>
    </row>
    <row r="49" spans="1:53" ht="16">
      <c r="A49" s="136">
        <v>43831</v>
      </c>
      <c r="B49" s="137" t="str">
        <f>INDEX('[1]Indices Mines Exporting Ports'!$C$26:$C$51,MATCH(C49,'[1]Indices Mines Exporting Ports'!$Q$26:$Q$51,0))</f>
        <v>West Kalimantan Generic</v>
      </c>
      <c r="C49" s="129" t="s">
        <v>42</v>
      </c>
      <c r="D49" s="138" t="s">
        <v>113</v>
      </c>
      <c r="E49" s="139">
        <v>2326</v>
      </c>
      <c r="F49" s="140">
        <v>0</v>
      </c>
      <c r="G49" s="141" t="s">
        <v>118</v>
      </c>
      <c r="H49" s="141" t="s">
        <v>213</v>
      </c>
      <c r="I49" s="142" t="s">
        <v>214</v>
      </c>
      <c r="J49" s="142" t="s">
        <v>215</v>
      </c>
      <c r="K49" s="143" t="s">
        <v>216</v>
      </c>
      <c r="L49" s="139">
        <v>2326</v>
      </c>
      <c r="M49" s="140">
        <v>0</v>
      </c>
      <c r="N49" s="141" t="s">
        <v>118</v>
      </c>
      <c r="O49" s="141" t="s">
        <v>213</v>
      </c>
      <c r="P49" s="142" t="s">
        <v>214</v>
      </c>
      <c r="Q49" s="142" t="s">
        <v>215</v>
      </c>
      <c r="R49" s="143" t="s">
        <v>216</v>
      </c>
      <c r="S49" s="144">
        <v>2326</v>
      </c>
      <c r="T49" s="145">
        <v>0</v>
      </c>
      <c r="U49" s="141" t="s">
        <v>118</v>
      </c>
      <c r="V49" s="141" t="s">
        <v>213</v>
      </c>
      <c r="W49" s="142" t="s">
        <v>214</v>
      </c>
      <c r="X49" s="142" t="s">
        <v>215</v>
      </c>
      <c r="Y49" s="143" t="s">
        <v>216</v>
      </c>
      <c r="Z49" s="144">
        <v>2326</v>
      </c>
      <c r="AA49" s="145">
        <v>0</v>
      </c>
      <c r="AB49" s="141" t="s">
        <v>118</v>
      </c>
      <c r="AC49" s="141" t="s">
        <v>213</v>
      </c>
      <c r="AD49" s="142" t="s">
        <v>214</v>
      </c>
      <c r="AE49" s="142" t="s">
        <v>215</v>
      </c>
      <c r="AF49" s="143" t="s">
        <v>216</v>
      </c>
      <c r="AG49" s="144">
        <v>2326</v>
      </c>
      <c r="AH49" s="145">
        <v>0</v>
      </c>
      <c r="AI49" s="141" t="s">
        <v>120</v>
      </c>
      <c r="AJ49" s="141" t="s">
        <v>213</v>
      </c>
      <c r="AK49" s="142" t="s">
        <v>214</v>
      </c>
      <c r="AL49" s="142" t="s">
        <v>215</v>
      </c>
      <c r="AM49" s="143" t="s">
        <v>216</v>
      </c>
      <c r="AN49" s="144">
        <v>2326</v>
      </c>
      <c r="AO49" s="145">
        <v>0</v>
      </c>
      <c r="AP49" s="141" t="s">
        <v>122</v>
      </c>
      <c r="AQ49" s="141" t="s">
        <v>213</v>
      </c>
      <c r="AR49" s="142" t="s">
        <v>214</v>
      </c>
      <c r="AS49" s="142" t="s">
        <v>215</v>
      </c>
      <c r="AT49" s="143" t="s">
        <v>216</v>
      </c>
      <c r="AU49" s="144">
        <v>2326</v>
      </c>
      <c r="AV49" s="145">
        <v>0</v>
      </c>
      <c r="AW49" s="141" t="s">
        <v>123</v>
      </c>
      <c r="AX49" s="141" t="s">
        <v>213</v>
      </c>
      <c r="AY49" s="142" t="s">
        <v>214</v>
      </c>
      <c r="AZ49" s="142" t="s">
        <v>215</v>
      </c>
      <c r="BA49" s="143" t="s">
        <v>216</v>
      </c>
    </row>
    <row r="50" spans="1:53" ht="16">
      <c r="A50" s="136">
        <v>43831</v>
      </c>
      <c r="B50" s="137" t="str">
        <f>INDEX('[1]Indices Mines Exporting Ports'!$C$26:$C$51,MATCH(C50,'[1]Indices Mines Exporting Ports'!$Q$26:$Q$51,0))</f>
        <v>Chalco Boffa</v>
      </c>
      <c r="C50" s="129" t="s">
        <v>58</v>
      </c>
      <c r="D50" s="138" t="s">
        <v>113</v>
      </c>
      <c r="E50" s="139">
        <v>11050</v>
      </c>
      <c r="F50" s="140">
        <v>0</v>
      </c>
      <c r="G50" s="141" t="s">
        <v>118</v>
      </c>
      <c r="H50" s="141" t="s">
        <v>213</v>
      </c>
      <c r="I50" s="142" t="s">
        <v>214</v>
      </c>
      <c r="J50" s="142" t="s">
        <v>215</v>
      </c>
      <c r="K50" s="143" t="s">
        <v>216</v>
      </c>
      <c r="L50" s="139">
        <v>11050</v>
      </c>
      <c r="M50" s="140">
        <v>0</v>
      </c>
      <c r="N50" s="141" t="s">
        <v>118</v>
      </c>
      <c r="O50" s="141" t="s">
        <v>213</v>
      </c>
      <c r="P50" s="142" t="s">
        <v>214</v>
      </c>
      <c r="Q50" s="142" t="s">
        <v>215</v>
      </c>
      <c r="R50" s="143" t="s">
        <v>216</v>
      </c>
      <c r="S50" s="144">
        <v>11050</v>
      </c>
      <c r="T50" s="145">
        <v>0</v>
      </c>
      <c r="U50" s="141" t="s">
        <v>118</v>
      </c>
      <c r="V50" s="141" t="s">
        <v>213</v>
      </c>
      <c r="W50" s="142" t="s">
        <v>214</v>
      </c>
      <c r="X50" s="142" t="s">
        <v>215</v>
      </c>
      <c r="Y50" s="143" t="s">
        <v>216</v>
      </c>
      <c r="Z50" s="144">
        <v>11050</v>
      </c>
      <c r="AA50" s="145">
        <v>0</v>
      </c>
      <c r="AB50" s="141" t="s">
        <v>118</v>
      </c>
      <c r="AC50" s="141" t="s">
        <v>213</v>
      </c>
      <c r="AD50" s="142" t="s">
        <v>214</v>
      </c>
      <c r="AE50" s="142" t="s">
        <v>215</v>
      </c>
      <c r="AF50" s="143" t="s">
        <v>216</v>
      </c>
      <c r="AG50" s="144">
        <v>11050</v>
      </c>
      <c r="AH50" s="145">
        <v>0</v>
      </c>
      <c r="AI50" s="141" t="s">
        <v>120</v>
      </c>
      <c r="AJ50" s="141" t="s">
        <v>213</v>
      </c>
      <c r="AK50" s="142" t="s">
        <v>214</v>
      </c>
      <c r="AL50" s="142" t="s">
        <v>215</v>
      </c>
      <c r="AM50" s="143" t="s">
        <v>216</v>
      </c>
      <c r="AN50" s="144">
        <v>11050</v>
      </c>
      <c r="AO50" s="145">
        <v>0</v>
      </c>
      <c r="AP50" s="141" t="s">
        <v>122</v>
      </c>
      <c r="AQ50" s="141" t="s">
        <v>213</v>
      </c>
      <c r="AR50" s="142" t="s">
        <v>214</v>
      </c>
      <c r="AS50" s="142" t="s">
        <v>215</v>
      </c>
      <c r="AT50" s="143" t="s">
        <v>216</v>
      </c>
      <c r="AU50" s="144">
        <v>11050</v>
      </c>
      <c r="AV50" s="145">
        <v>0</v>
      </c>
      <c r="AW50" s="141" t="s">
        <v>123</v>
      </c>
      <c r="AX50" s="141" t="s">
        <v>213</v>
      </c>
      <c r="AY50" s="142" t="s">
        <v>214</v>
      </c>
      <c r="AZ50" s="142" t="s">
        <v>215</v>
      </c>
      <c r="BA50" s="143" t="s">
        <v>216</v>
      </c>
    </row>
    <row r="51" spans="1:53" ht="16">
      <c r="A51" s="136">
        <v>43831</v>
      </c>
      <c r="B51" s="137" t="str">
        <f>INDEX('[1]Indices Mines Exporting Ports'!$C$26:$C$51,MATCH(C51,'[1]Indices Mines Exporting Ports'!$Q$26:$Q$51,0))</f>
        <v>SMB Generic</v>
      </c>
      <c r="C51" s="129" t="s">
        <v>32</v>
      </c>
      <c r="D51" s="138" t="s">
        <v>319</v>
      </c>
      <c r="E51" s="139">
        <v>6612</v>
      </c>
      <c r="F51" s="140">
        <v>0</v>
      </c>
      <c r="G51" s="141" t="s">
        <v>118</v>
      </c>
      <c r="H51" s="141" t="s">
        <v>213</v>
      </c>
      <c r="I51" s="142" t="s">
        <v>214</v>
      </c>
      <c r="J51" s="142" t="s">
        <v>215</v>
      </c>
      <c r="K51" s="143" t="s">
        <v>216</v>
      </c>
      <c r="L51" s="139">
        <v>6612</v>
      </c>
      <c r="M51" s="140">
        <v>0</v>
      </c>
      <c r="N51" s="141" t="s">
        <v>118</v>
      </c>
      <c r="O51" s="141" t="s">
        <v>213</v>
      </c>
      <c r="P51" s="142" t="s">
        <v>214</v>
      </c>
      <c r="Q51" s="142" t="s">
        <v>215</v>
      </c>
      <c r="R51" s="143" t="s">
        <v>216</v>
      </c>
      <c r="S51" s="144">
        <v>6612</v>
      </c>
      <c r="T51" s="145">
        <v>0</v>
      </c>
      <c r="U51" s="141" t="s">
        <v>118</v>
      </c>
      <c r="V51" s="141" t="s">
        <v>213</v>
      </c>
      <c r="W51" s="142" t="s">
        <v>214</v>
      </c>
      <c r="X51" s="142" t="s">
        <v>215</v>
      </c>
      <c r="Y51" s="143" t="s">
        <v>218</v>
      </c>
      <c r="Z51" s="144">
        <v>6612</v>
      </c>
      <c r="AA51" s="145">
        <v>0</v>
      </c>
      <c r="AB51" s="141" t="s">
        <v>118</v>
      </c>
      <c r="AC51" s="141" t="s">
        <v>213</v>
      </c>
      <c r="AD51" s="142" t="s">
        <v>214</v>
      </c>
      <c r="AE51" s="142" t="s">
        <v>215</v>
      </c>
      <c r="AF51" s="143" t="s">
        <v>218</v>
      </c>
      <c r="AG51" s="144">
        <v>6612</v>
      </c>
      <c r="AH51" s="145">
        <v>0</v>
      </c>
      <c r="AI51" s="141" t="s">
        <v>120</v>
      </c>
      <c r="AJ51" s="141" t="s">
        <v>213</v>
      </c>
      <c r="AK51" s="142" t="s">
        <v>214</v>
      </c>
      <c r="AL51" s="142" t="s">
        <v>215</v>
      </c>
      <c r="AM51" s="143" t="s">
        <v>218</v>
      </c>
      <c r="AN51" s="144">
        <v>6612</v>
      </c>
      <c r="AO51" s="145">
        <v>0</v>
      </c>
      <c r="AP51" s="141" t="s">
        <v>122</v>
      </c>
      <c r="AQ51" s="141" t="s">
        <v>213</v>
      </c>
      <c r="AR51" s="142" t="s">
        <v>214</v>
      </c>
      <c r="AS51" s="142" t="s">
        <v>215</v>
      </c>
      <c r="AT51" s="143" t="s">
        <v>218</v>
      </c>
      <c r="AU51" s="144">
        <v>6612</v>
      </c>
      <c r="AV51" s="145">
        <v>0</v>
      </c>
      <c r="AW51" s="141" t="s">
        <v>123</v>
      </c>
      <c r="AX51" s="141" t="s">
        <v>213</v>
      </c>
      <c r="AY51" s="142" t="s">
        <v>214</v>
      </c>
      <c r="AZ51" s="142" t="s">
        <v>215</v>
      </c>
      <c r="BA51" s="143" t="s">
        <v>218</v>
      </c>
    </row>
    <row r="52" spans="1:53" ht="16">
      <c r="A52" s="136">
        <v>43831</v>
      </c>
      <c r="B52" s="137" t="str">
        <f>INDEX('[1]Indices Mines Exporting Ports'!$C$26:$C$51,MATCH(C52,'[1]Indices Mines Exporting Ports'!$Q$26:$Q$51,0))</f>
        <v>CBG LT</v>
      </c>
      <c r="C52" s="129" t="s">
        <v>36</v>
      </c>
      <c r="D52" s="138" t="s">
        <v>320</v>
      </c>
      <c r="E52" s="139">
        <v>2791</v>
      </c>
      <c r="F52" s="140">
        <v>0</v>
      </c>
      <c r="G52" s="141" t="s">
        <v>118</v>
      </c>
      <c r="H52" s="141" t="s">
        <v>213</v>
      </c>
      <c r="I52" s="142" t="s">
        <v>214</v>
      </c>
      <c r="J52" s="142" t="s">
        <v>215</v>
      </c>
      <c r="K52" s="143" t="s">
        <v>216</v>
      </c>
      <c r="L52" s="139">
        <v>2791</v>
      </c>
      <c r="M52" s="140">
        <v>0</v>
      </c>
      <c r="N52" s="141" t="s">
        <v>118</v>
      </c>
      <c r="O52" s="141" t="s">
        <v>213</v>
      </c>
      <c r="P52" s="142" t="s">
        <v>214</v>
      </c>
      <c r="Q52" s="142" t="s">
        <v>215</v>
      </c>
      <c r="R52" s="143" t="s">
        <v>216</v>
      </c>
      <c r="S52" s="144">
        <v>2791</v>
      </c>
      <c r="T52" s="145">
        <v>0</v>
      </c>
      <c r="U52" s="141" t="s">
        <v>118</v>
      </c>
      <c r="V52" s="141" t="s">
        <v>213</v>
      </c>
      <c r="W52" s="142" t="s">
        <v>214</v>
      </c>
      <c r="X52" s="142" t="s">
        <v>215</v>
      </c>
      <c r="Y52" s="143" t="s">
        <v>216</v>
      </c>
      <c r="Z52" s="144">
        <v>2791</v>
      </c>
      <c r="AA52" s="145">
        <v>0</v>
      </c>
      <c r="AB52" s="141" t="s">
        <v>118</v>
      </c>
      <c r="AC52" s="141" t="s">
        <v>213</v>
      </c>
      <c r="AD52" s="142" t="s">
        <v>214</v>
      </c>
      <c r="AE52" s="142" t="s">
        <v>215</v>
      </c>
      <c r="AF52" s="143" t="s">
        <v>216</v>
      </c>
      <c r="AG52" s="144">
        <v>2791</v>
      </c>
      <c r="AH52" s="145">
        <v>0</v>
      </c>
      <c r="AI52" s="141" t="s">
        <v>120</v>
      </c>
      <c r="AJ52" s="141" t="s">
        <v>213</v>
      </c>
      <c r="AK52" s="142" t="s">
        <v>214</v>
      </c>
      <c r="AL52" s="142" t="s">
        <v>215</v>
      </c>
      <c r="AM52" s="143" t="s">
        <v>216</v>
      </c>
      <c r="AN52" s="144">
        <v>2791</v>
      </c>
      <c r="AO52" s="145">
        <v>0</v>
      </c>
      <c r="AP52" s="141" t="s">
        <v>122</v>
      </c>
      <c r="AQ52" s="141" t="s">
        <v>213</v>
      </c>
      <c r="AR52" s="142" t="s">
        <v>214</v>
      </c>
      <c r="AS52" s="142" t="s">
        <v>215</v>
      </c>
      <c r="AT52" s="143" t="s">
        <v>216</v>
      </c>
      <c r="AU52" s="144">
        <v>2791</v>
      </c>
      <c r="AV52" s="145">
        <v>0</v>
      </c>
      <c r="AW52" s="141" t="s">
        <v>123</v>
      </c>
      <c r="AX52" s="141" t="s">
        <v>213</v>
      </c>
      <c r="AY52" s="142" t="s">
        <v>214</v>
      </c>
      <c r="AZ52" s="142" t="s">
        <v>215</v>
      </c>
      <c r="BA52" s="143" t="s">
        <v>216</v>
      </c>
    </row>
    <row r="53" spans="1:53" ht="16">
      <c r="A53" s="136">
        <v>43831</v>
      </c>
      <c r="B53" s="137" t="str">
        <f>INDEX('[1]Indices Mines Exporting Ports'!$C$26:$C$51,MATCH(C53,'[1]Indices Mines Exporting Ports'!$Q$26:$Q$51,0))</f>
        <v>CBG LT</v>
      </c>
      <c r="C53" s="129" t="s">
        <v>36</v>
      </c>
      <c r="D53" s="138" t="s">
        <v>321</v>
      </c>
      <c r="E53" s="139">
        <v>4161</v>
      </c>
      <c r="F53" s="140">
        <v>0</v>
      </c>
      <c r="G53" s="141" t="s">
        <v>118</v>
      </c>
      <c r="H53" s="141" t="s">
        <v>213</v>
      </c>
      <c r="I53" s="142" t="s">
        <v>214</v>
      </c>
      <c r="J53" s="142" t="s">
        <v>215</v>
      </c>
      <c r="K53" s="143" t="s">
        <v>216</v>
      </c>
      <c r="L53" s="139">
        <v>4161</v>
      </c>
      <c r="M53" s="140">
        <v>0</v>
      </c>
      <c r="N53" s="141" t="s">
        <v>118</v>
      </c>
      <c r="O53" s="141" t="s">
        <v>213</v>
      </c>
      <c r="P53" s="142" t="s">
        <v>214</v>
      </c>
      <c r="Q53" s="142" t="s">
        <v>215</v>
      </c>
      <c r="R53" s="143" t="s">
        <v>216</v>
      </c>
      <c r="S53" s="144">
        <v>4161</v>
      </c>
      <c r="T53" s="145">
        <v>0</v>
      </c>
      <c r="U53" s="141" t="s">
        <v>118</v>
      </c>
      <c r="V53" s="141" t="s">
        <v>213</v>
      </c>
      <c r="W53" s="142" t="s">
        <v>214</v>
      </c>
      <c r="X53" s="142" t="s">
        <v>215</v>
      </c>
      <c r="Y53" s="143" t="s">
        <v>216</v>
      </c>
      <c r="Z53" s="144">
        <v>4161</v>
      </c>
      <c r="AA53" s="145">
        <v>0</v>
      </c>
      <c r="AB53" s="141" t="s">
        <v>118</v>
      </c>
      <c r="AC53" s="141" t="s">
        <v>213</v>
      </c>
      <c r="AD53" s="142" t="s">
        <v>214</v>
      </c>
      <c r="AE53" s="142" t="s">
        <v>215</v>
      </c>
      <c r="AF53" s="143" t="s">
        <v>216</v>
      </c>
      <c r="AG53" s="144">
        <v>4161</v>
      </c>
      <c r="AH53" s="145">
        <v>0</v>
      </c>
      <c r="AI53" s="141" t="s">
        <v>120</v>
      </c>
      <c r="AJ53" s="141" t="s">
        <v>213</v>
      </c>
      <c r="AK53" s="142" t="s">
        <v>214</v>
      </c>
      <c r="AL53" s="142" t="s">
        <v>215</v>
      </c>
      <c r="AM53" s="143" t="s">
        <v>216</v>
      </c>
      <c r="AN53" s="144">
        <v>4161</v>
      </c>
      <c r="AO53" s="145">
        <v>0</v>
      </c>
      <c r="AP53" s="141" t="s">
        <v>122</v>
      </c>
      <c r="AQ53" s="141" t="s">
        <v>213</v>
      </c>
      <c r="AR53" s="142" t="s">
        <v>214</v>
      </c>
      <c r="AS53" s="142" t="s">
        <v>215</v>
      </c>
      <c r="AT53" s="143" t="s">
        <v>216</v>
      </c>
      <c r="AU53" s="144">
        <v>4161</v>
      </c>
      <c r="AV53" s="145">
        <v>0</v>
      </c>
      <c r="AW53" s="141" t="s">
        <v>123</v>
      </c>
      <c r="AX53" s="141" t="s">
        <v>213</v>
      </c>
      <c r="AY53" s="142" t="s">
        <v>214</v>
      </c>
      <c r="AZ53" s="142" t="s">
        <v>215</v>
      </c>
      <c r="BA53" s="143" t="s">
        <v>216</v>
      </c>
    </row>
    <row r="54" spans="1:53" ht="16">
      <c r="A54" s="136">
        <v>43831</v>
      </c>
      <c r="B54" s="137" t="str">
        <f>INDEX('[1]Indices Mines Exporting Ports'!$C$26:$C$51,MATCH(C54,'[1]Indices Mines Exporting Ports'!$Q$26:$Q$51,0))</f>
        <v>SMB Generic</v>
      </c>
      <c r="C54" s="129" t="s">
        <v>32</v>
      </c>
      <c r="D54" s="138" t="s">
        <v>322</v>
      </c>
      <c r="E54" s="139">
        <v>8382</v>
      </c>
      <c r="F54" s="140">
        <v>0</v>
      </c>
      <c r="G54" s="141" t="s">
        <v>118</v>
      </c>
      <c r="H54" s="141" t="s">
        <v>213</v>
      </c>
      <c r="I54" s="142" t="s">
        <v>214</v>
      </c>
      <c r="J54" s="142" t="s">
        <v>215</v>
      </c>
      <c r="K54" s="143" t="s">
        <v>216</v>
      </c>
      <c r="L54" s="139">
        <v>8382</v>
      </c>
      <c r="M54" s="140">
        <v>0</v>
      </c>
      <c r="N54" s="141" t="s">
        <v>118</v>
      </c>
      <c r="O54" s="141" t="s">
        <v>213</v>
      </c>
      <c r="P54" s="142" t="s">
        <v>214</v>
      </c>
      <c r="Q54" s="142" t="s">
        <v>215</v>
      </c>
      <c r="R54" s="143" t="s">
        <v>216</v>
      </c>
      <c r="S54" s="144">
        <v>8382</v>
      </c>
      <c r="T54" s="145">
        <v>0</v>
      </c>
      <c r="U54" s="141" t="s">
        <v>118</v>
      </c>
      <c r="V54" s="141" t="s">
        <v>213</v>
      </c>
      <c r="W54" s="142" t="s">
        <v>214</v>
      </c>
      <c r="X54" s="142" t="s">
        <v>215</v>
      </c>
      <c r="Y54" s="143" t="s">
        <v>216</v>
      </c>
      <c r="Z54" s="144">
        <v>8382</v>
      </c>
      <c r="AA54" s="145">
        <v>0</v>
      </c>
      <c r="AB54" s="141" t="s">
        <v>118</v>
      </c>
      <c r="AC54" s="141" t="s">
        <v>213</v>
      </c>
      <c r="AD54" s="142" t="s">
        <v>214</v>
      </c>
      <c r="AE54" s="142" t="s">
        <v>215</v>
      </c>
      <c r="AF54" s="143" t="s">
        <v>216</v>
      </c>
      <c r="AG54" s="144">
        <v>8382</v>
      </c>
      <c r="AH54" s="145">
        <v>0</v>
      </c>
      <c r="AI54" s="141" t="s">
        <v>120</v>
      </c>
      <c r="AJ54" s="141" t="s">
        <v>213</v>
      </c>
      <c r="AK54" s="142" t="s">
        <v>214</v>
      </c>
      <c r="AL54" s="142" t="s">
        <v>215</v>
      </c>
      <c r="AM54" s="143" t="s">
        <v>216</v>
      </c>
      <c r="AN54" s="144">
        <v>8382</v>
      </c>
      <c r="AO54" s="145">
        <v>0</v>
      </c>
      <c r="AP54" s="141" t="s">
        <v>122</v>
      </c>
      <c r="AQ54" s="141" t="s">
        <v>213</v>
      </c>
      <c r="AR54" s="142" t="s">
        <v>214</v>
      </c>
      <c r="AS54" s="142" t="s">
        <v>215</v>
      </c>
      <c r="AT54" s="143" t="s">
        <v>216</v>
      </c>
      <c r="AU54" s="144">
        <v>8382</v>
      </c>
      <c r="AV54" s="145">
        <v>0</v>
      </c>
      <c r="AW54" s="141" t="s">
        <v>123</v>
      </c>
      <c r="AX54" s="141" t="s">
        <v>213</v>
      </c>
      <c r="AY54" s="142" t="s">
        <v>214</v>
      </c>
      <c r="AZ54" s="142" t="s">
        <v>215</v>
      </c>
      <c r="BA54" s="143" t="s">
        <v>216</v>
      </c>
    </row>
    <row r="55" spans="1:53" ht="16">
      <c r="A55" s="146">
        <v>43466</v>
      </c>
      <c r="B55" s="147" t="str">
        <f>INDEX('[1]Indices Mines Exporting Ports'!$C$26:$C$51,MATCH(C55,'[1]Indices Mines Exporting Ports'!$Q$26:$Q$51,0))</f>
        <v>Gujarat &amp; Maharashtra</v>
      </c>
      <c r="C55" s="129" t="s">
        <v>316</v>
      </c>
      <c r="D55" s="138" t="s">
        <v>113</v>
      </c>
      <c r="E55" s="139">
        <v>5345</v>
      </c>
      <c r="F55" s="140">
        <v>0</v>
      </c>
      <c r="G55" s="141" t="s">
        <v>118</v>
      </c>
      <c r="H55" s="141" t="s">
        <v>213</v>
      </c>
      <c r="I55" s="142" t="s">
        <v>214</v>
      </c>
      <c r="J55" s="142" t="s">
        <v>215</v>
      </c>
      <c r="K55" s="143" t="s">
        <v>216</v>
      </c>
      <c r="L55" s="139">
        <v>5345</v>
      </c>
      <c r="M55" s="140">
        <v>0</v>
      </c>
      <c r="N55" s="141" t="s">
        <v>118</v>
      </c>
      <c r="O55" s="141" t="s">
        <v>213</v>
      </c>
      <c r="P55" s="142" t="s">
        <v>214</v>
      </c>
      <c r="Q55" s="142" t="s">
        <v>215</v>
      </c>
      <c r="R55" s="143" t="s">
        <v>216</v>
      </c>
      <c r="S55" s="144">
        <v>5345</v>
      </c>
      <c r="T55" s="145">
        <v>0</v>
      </c>
      <c r="U55" s="141" t="s">
        <v>118</v>
      </c>
      <c r="V55" s="141" t="s">
        <v>213</v>
      </c>
      <c r="W55" s="142" t="s">
        <v>214</v>
      </c>
      <c r="X55" s="142" t="s">
        <v>215</v>
      </c>
      <c r="Y55" s="143" t="s">
        <v>216</v>
      </c>
      <c r="Z55" s="144">
        <v>5345</v>
      </c>
      <c r="AA55" s="145">
        <v>0</v>
      </c>
      <c r="AB55" s="141" t="s">
        <v>118</v>
      </c>
      <c r="AC55" s="141" t="s">
        <v>213</v>
      </c>
      <c r="AD55" s="142" t="s">
        <v>214</v>
      </c>
      <c r="AE55" s="142" t="s">
        <v>215</v>
      </c>
      <c r="AF55" s="143" t="s">
        <v>216</v>
      </c>
      <c r="AG55" s="144">
        <v>5345</v>
      </c>
      <c r="AH55" s="145">
        <v>0</v>
      </c>
      <c r="AI55" s="141" t="s">
        <v>120</v>
      </c>
      <c r="AJ55" s="141" t="s">
        <v>213</v>
      </c>
      <c r="AK55" s="142" t="s">
        <v>214</v>
      </c>
      <c r="AL55" s="142" t="s">
        <v>215</v>
      </c>
      <c r="AM55" s="143" t="s">
        <v>216</v>
      </c>
      <c r="AN55" s="144">
        <v>5345</v>
      </c>
      <c r="AO55" s="145">
        <v>0</v>
      </c>
      <c r="AP55" s="141" t="s">
        <v>122</v>
      </c>
      <c r="AQ55" s="141" t="s">
        <v>213</v>
      </c>
      <c r="AR55" s="142" t="s">
        <v>214</v>
      </c>
      <c r="AS55" s="142" t="s">
        <v>215</v>
      </c>
      <c r="AT55" s="143" t="s">
        <v>216</v>
      </c>
      <c r="AU55" s="144">
        <v>5345</v>
      </c>
      <c r="AV55" s="145">
        <v>0</v>
      </c>
      <c r="AW55" s="141" t="s">
        <v>123</v>
      </c>
      <c r="AX55" s="141" t="s">
        <v>213</v>
      </c>
      <c r="AY55" s="142" t="s">
        <v>214</v>
      </c>
      <c r="AZ55" s="142" t="s">
        <v>215</v>
      </c>
      <c r="BA55" s="143" t="s">
        <v>216</v>
      </c>
    </row>
    <row r="56" spans="1:53" ht="16">
      <c r="A56" s="45"/>
      <c r="B56" s="52"/>
      <c r="C56" s="6"/>
      <c r="D56" s="46"/>
      <c r="E56" s="47"/>
      <c r="F56" s="48"/>
      <c r="G56" s="49"/>
      <c r="H56" s="49"/>
      <c r="I56" s="50"/>
      <c r="J56" s="50"/>
      <c r="K56" s="51"/>
      <c r="L56" s="47"/>
      <c r="M56" s="48"/>
      <c r="N56" s="49"/>
      <c r="O56" s="49"/>
      <c r="P56" s="50"/>
      <c r="Q56" s="50"/>
      <c r="R56" s="51"/>
      <c r="S56" s="53"/>
      <c r="T56" s="54"/>
      <c r="U56" s="49"/>
      <c r="V56" s="49"/>
      <c r="W56" s="50"/>
      <c r="X56" s="50"/>
      <c r="Y56" s="51"/>
      <c r="Z56" s="53"/>
      <c r="AA56" s="54"/>
      <c r="AB56" s="49"/>
      <c r="AC56" s="49"/>
      <c r="AD56" s="50"/>
      <c r="AE56" s="50"/>
      <c r="AF56" s="51"/>
      <c r="AG56" s="53"/>
      <c r="AH56" s="54"/>
      <c r="AI56" s="49"/>
      <c r="AJ56" s="49"/>
      <c r="AK56" s="50"/>
      <c r="AL56" s="50"/>
      <c r="AM56" s="51"/>
      <c r="AN56" s="53"/>
      <c r="AO56" s="54"/>
      <c r="AP56" s="49"/>
      <c r="AQ56" s="49"/>
      <c r="AR56" s="50"/>
      <c r="AS56" s="50"/>
      <c r="AT56" s="51"/>
      <c r="AU56" s="53"/>
      <c r="AV56" s="54"/>
      <c r="AW56" s="49"/>
      <c r="AX56" s="49"/>
      <c r="AY56" s="50"/>
      <c r="AZ56" s="50"/>
      <c r="BA56" s="51"/>
    </row>
    <row r="57" spans="1:53" ht="16">
      <c r="A57" s="45"/>
      <c r="B57" s="52"/>
      <c r="C57" s="6"/>
      <c r="D57" s="46"/>
      <c r="E57" s="47"/>
      <c r="F57" s="48"/>
      <c r="G57" s="49"/>
      <c r="H57" s="49"/>
      <c r="I57" s="50"/>
      <c r="J57" s="50"/>
      <c r="K57" s="51"/>
      <c r="L57" s="47"/>
      <c r="M57" s="48"/>
      <c r="N57" s="49"/>
      <c r="O57" s="49"/>
      <c r="P57" s="50"/>
      <c r="Q57" s="50"/>
      <c r="R57" s="51"/>
      <c r="S57" s="53"/>
      <c r="T57" s="54"/>
      <c r="U57" s="49"/>
      <c r="V57" s="49"/>
      <c r="W57" s="50"/>
      <c r="X57" s="50"/>
      <c r="Y57" s="51"/>
      <c r="Z57" s="53"/>
      <c r="AA57" s="54"/>
      <c r="AB57" s="49"/>
      <c r="AC57" s="49"/>
      <c r="AD57" s="50"/>
      <c r="AE57" s="50"/>
      <c r="AF57" s="51"/>
      <c r="AG57" s="53"/>
      <c r="AH57" s="54"/>
      <c r="AI57" s="49"/>
      <c r="AJ57" s="49"/>
      <c r="AK57" s="50"/>
      <c r="AL57" s="50"/>
      <c r="AM57" s="51"/>
      <c r="AN57" s="53"/>
      <c r="AO57" s="54"/>
      <c r="AP57" s="49"/>
      <c r="AQ57" s="49"/>
      <c r="AR57" s="50"/>
      <c r="AS57" s="50"/>
      <c r="AT57" s="51"/>
      <c r="AU57" s="53"/>
      <c r="AV57" s="54"/>
      <c r="AW57" s="49"/>
      <c r="AX57" s="49"/>
      <c r="AY57" s="50"/>
      <c r="AZ57" s="50"/>
      <c r="BA57" s="51"/>
    </row>
    <row r="58" spans="1:53" ht="16">
      <c r="A58" s="45"/>
      <c r="B58" s="52"/>
      <c r="C58" s="6"/>
      <c r="D58" s="46"/>
      <c r="E58" s="47"/>
      <c r="F58" s="48"/>
      <c r="G58" s="49"/>
      <c r="H58" s="49"/>
      <c r="I58" s="50"/>
      <c r="J58" s="50"/>
      <c r="K58" s="51"/>
      <c r="L58" s="47"/>
      <c r="M58" s="48"/>
      <c r="N58" s="49"/>
      <c r="O58" s="49"/>
      <c r="P58" s="50"/>
      <c r="Q58" s="50"/>
      <c r="R58" s="51"/>
      <c r="S58" s="53"/>
      <c r="T58" s="54"/>
      <c r="U58" s="49"/>
      <c r="V58" s="49"/>
      <c r="W58" s="50"/>
      <c r="X58" s="50"/>
      <c r="Y58" s="51"/>
      <c r="Z58" s="53"/>
      <c r="AA58" s="54"/>
      <c r="AB58" s="49"/>
      <c r="AC58" s="49"/>
      <c r="AD58" s="50"/>
      <c r="AE58" s="50"/>
      <c r="AF58" s="51"/>
      <c r="AG58" s="53"/>
      <c r="AH58" s="54"/>
      <c r="AI58" s="49"/>
      <c r="AJ58" s="49"/>
      <c r="AK58" s="50"/>
      <c r="AL58" s="50"/>
      <c r="AM58" s="51"/>
      <c r="AN58" s="53"/>
      <c r="AO58" s="54"/>
      <c r="AP58" s="49"/>
      <c r="AQ58" s="49"/>
      <c r="AR58" s="50"/>
      <c r="AS58" s="50"/>
      <c r="AT58" s="51"/>
      <c r="AU58" s="53"/>
      <c r="AV58" s="54"/>
      <c r="AW58" s="49"/>
      <c r="AX58" s="49"/>
      <c r="AY58" s="50"/>
      <c r="AZ58" s="50"/>
      <c r="BA58" s="51"/>
    </row>
    <row r="59" spans="1:53" ht="16">
      <c r="A59" s="45"/>
      <c r="B59" s="52"/>
      <c r="C59" s="6"/>
      <c r="D59" s="46"/>
      <c r="E59" s="47"/>
      <c r="F59" s="48"/>
      <c r="G59" s="49"/>
      <c r="H59" s="49"/>
      <c r="I59" s="50"/>
      <c r="J59" s="50"/>
      <c r="K59" s="51"/>
      <c r="L59" s="47"/>
      <c r="M59" s="48"/>
      <c r="N59" s="49"/>
      <c r="O59" s="49"/>
      <c r="P59" s="50"/>
      <c r="Q59" s="50"/>
      <c r="R59" s="51"/>
      <c r="S59" s="53"/>
      <c r="T59" s="54"/>
      <c r="U59" s="49"/>
      <c r="V59" s="49"/>
      <c r="W59" s="50"/>
      <c r="X59" s="50"/>
      <c r="Y59" s="51"/>
      <c r="Z59" s="53"/>
      <c r="AA59" s="54"/>
      <c r="AB59" s="49"/>
      <c r="AC59" s="49"/>
      <c r="AD59" s="50"/>
      <c r="AE59" s="50"/>
      <c r="AF59" s="51"/>
      <c r="AG59" s="53"/>
      <c r="AH59" s="54"/>
      <c r="AI59" s="49"/>
      <c r="AJ59" s="49"/>
      <c r="AK59" s="50"/>
      <c r="AL59" s="50"/>
      <c r="AM59" s="51"/>
      <c r="AN59" s="53"/>
      <c r="AO59" s="54"/>
      <c r="AP59" s="49"/>
      <c r="AQ59" s="49"/>
      <c r="AR59" s="50"/>
      <c r="AS59" s="50"/>
      <c r="AT59" s="51"/>
      <c r="AU59" s="53"/>
      <c r="AV59" s="54"/>
      <c r="AW59" s="49"/>
      <c r="AX59" s="49"/>
      <c r="AY59" s="50"/>
      <c r="AZ59" s="50"/>
      <c r="BA59" s="51"/>
    </row>
    <row r="60" spans="1:53" ht="16">
      <c r="A60" s="45"/>
      <c r="B60" s="52"/>
      <c r="C60" s="6"/>
      <c r="D60" s="46"/>
      <c r="E60" s="47"/>
      <c r="F60" s="48"/>
      <c r="G60" s="49"/>
      <c r="H60" s="49"/>
      <c r="I60" s="50"/>
      <c r="J60" s="50"/>
      <c r="K60" s="51"/>
      <c r="L60" s="47"/>
      <c r="M60" s="48"/>
      <c r="N60" s="49"/>
      <c r="O60" s="49"/>
      <c r="P60" s="50"/>
      <c r="Q60" s="50"/>
      <c r="R60" s="51"/>
      <c r="S60" s="53"/>
      <c r="T60" s="54"/>
      <c r="U60" s="49"/>
      <c r="V60" s="49"/>
      <c r="W60" s="50"/>
      <c r="X60" s="50"/>
      <c r="Y60" s="51"/>
      <c r="Z60" s="53"/>
      <c r="AA60" s="54"/>
      <c r="AB60" s="49"/>
      <c r="AC60" s="49"/>
      <c r="AD60" s="50"/>
      <c r="AE60" s="50"/>
      <c r="AF60" s="51"/>
      <c r="AG60" s="53"/>
      <c r="AH60" s="54"/>
      <c r="AI60" s="49"/>
      <c r="AJ60" s="49"/>
      <c r="AK60" s="50"/>
      <c r="AL60" s="50"/>
      <c r="AM60" s="51"/>
      <c r="AN60" s="53"/>
      <c r="AO60" s="54"/>
      <c r="AP60" s="49"/>
      <c r="AQ60" s="49"/>
      <c r="AR60" s="50"/>
      <c r="AS60" s="50"/>
      <c r="AT60" s="51"/>
      <c r="AU60" s="53"/>
      <c r="AV60" s="54"/>
      <c r="AW60" s="49"/>
      <c r="AX60" s="49"/>
      <c r="AY60" s="50"/>
      <c r="AZ60" s="50"/>
      <c r="BA60" s="51"/>
    </row>
    <row r="61" spans="1:53" ht="16">
      <c r="A61" s="45"/>
      <c r="B61" s="52"/>
      <c r="C61" s="6"/>
      <c r="D61" s="46"/>
      <c r="E61" s="47"/>
      <c r="F61" s="48"/>
      <c r="G61" s="49"/>
      <c r="H61" s="49"/>
      <c r="I61" s="50"/>
      <c r="J61" s="50"/>
      <c r="K61" s="51"/>
      <c r="L61" s="47"/>
      <c r="M61" s="48"/>
      <c r="N61" s="49"/>
      <c r="O61" s="49"/>
      <c r="P61" s="50"/>
      <c r="Q61" s="50"/>
      <c r="R61" s="51"/>
      <c r="S61" s="53"/>
      <c r="T61" s="54"/>
      <c r="U61" s="49"/>
      <c r="V61" s="49"/>
      <c r="W61" s="50"/>
      <c r="X61" s="50"/>
      <c r="Y61" s="51"/>
      <c r="Z61" s="53"/>
      <c r="AA61" s="54"/>
      <c r="AB61" s="49"/>
      <c r="AC61" s="49"/>
      <c r="AD61" s="50"/>
      <c r="AE61" s="50"/>
      <c r="AF61" s="51"/>
      <c r="AG61" s="53"/>
      <c r="AH61" s="54"/>
      <c r="AI61" s="49"/>
      <c r="AJ61" s="49"/>
      <c r="AK61" s="50"/>
      <c r="AL61" s="50"/>
      <c r="AM61" s="51"/>
      <c r="AN61" s="53"/>
      <c r="AO61" s="54"/>
      <c r="AP61" s="49"/>
      <c r="AQ61" s="49"/>
      <c r="AR61" s="50"/>
      <c r="AS61" s="50"/>
      <c r="AT61" s="51"/>
      <c r="AU61" s="53"/>
      <c r="AV61" s="54"/>
      <c r="AW61" s="49"/>
      <c r="AX61" s="49"/>
      <c r="AY61" s="50"/>
      <c r="AZ61" s="50"/>
      <c r="BA61" s="51"/>
    </row>
    <row r="62" spans="1:53" ht="16">
      <c r="A62" s="45"/>
      <c r="B62" s="52"/>
      <c r="C62" s="6"/>
      <c r="D62" s="46"/>
      <c r="E62" s="47"/>
      <c r="F62" s="48"/>
      <c r="G62" s="49"/>
      <c r="H62" s="49"/>
      <c r="I62" s="50"/>
      <c r="J62" s="50"/>
      <c r="K62" s="51"/>
      <c r="L62" s="47"/>
      <c r="M62" s="48"/>
      <c r="N62" s="49"/>
      <c r="O62" s="49"/>
      <c r="P62" s="50"/>
      <c r="Q62" s="50"/>
      <c r="R62" s="51"/>
      <c r="S62" s="53"/>
      <c r="T62" s="54"/>
      <c r="U62" s="49"/>
      <c r="V62" s="49"/>
      <c r="W62" s="50"/>
      <c r="X62" s="50"/>
      <c r="Y62" s="51"/>
      <c r="Z62" s="53"/>
      <c r="AA62" s="54"/>
      <c r="AB62" s="49"/>
      <c r="AC62" s="49"/>
      <c r="AD62" s="50"/>
      <c r="AE62" s="50"/>
      <c r="AF62" s="51"/>
      <c r="AG62" s="53"/>
      <c r="AH62" s="54"/>
      <c r="AI62" s="49"/>
      <c r="AJ62" s="49"/>
      <c r="AK62" s="50"/>
      <c r="AL62" s="50"/>
      <c r="AM62" s="51"/>
      <c r="AN62" s="53"/>
      <c r="AO62" s="54"/>
      <c r="AP62" s="49"/>
      <c r="AQ62" s="49"/>
      <c r="AR62" s="50"/>
      <c r="AS62" s="50"/>
      <c r="AT62" s="51"/>
      <c r="AU62" s="53"/>
      <c r="AV62" s="54"/>
      <c r="AW62" s="49"/>
      <c r="AX62" s="49"/>
      <c r="AY62" s="50"/>
      <c r="AZ62" s="50"/>
      <c r="BA62" s="51"/>
    </row>
    <row r="63" spans="1:53" ht="16">
      <c r="A63" s="45"/>
      <c r="B63" s="52"/>
      <c r="C63" s="6"/>
      <c r="D63" s="46"/>
      <c r="E63" s="47"/>
      <c r="F63" s="48"/>
      <c r="G63" s="49"/>
      <c r="H63" s="49"/>
      <c r="I63" s="50"/>
      <c r="J63" s="50"/>
      <c r="K63" s="51"/>
      <c r="L63" s="47"/>
      <c r="M63" s="48"/>
      <c r="N63" s="49"/>
      <c r="O63" s="49"/>
      <c r="P63" s="50"/>
      <c r="Q63" s="50"/>
      <c r="R63" s="51"/>
      <c r="S63" s="53"/>
      <c r="T63" s="54"/>
      <c r="U63" s="49"/>
      <c r="V63" s="49"/>
      <c r="W63" s="50"/>
      <c r="X63" s="50"/>
      <c r="Y63" s="51"/>
      <c r="Z63" s="53"/>
      <c r="AA63" s="54"/>
      <c r="AB63" s="49"/>
      <c r="AC63" s="49"/>
      <c r="AD63" s="50"/>
      <c r="AE63" s="50"/>
      <c r="AF63" s="51"/>
      <c r="AG63" s="53"/>
      <c r="AH63" s="54"/>
      <c r="AI63" s="49"/>
      <c r="AJ63" s="49"/>
      <c r="AK63" s="50"/>
      <c r="AL63" s="50"/>
      <c r="AM63" s="51"/>
      <c r="AN63" s="53"/>
      <c r="AO63" s="54"/>
      <c r="AP63" s="49"/>
      <c r="AQ63" s="49"/>
      <c r="AR63" s="50"/>
      <c r="AS63" s="50"/>
      <c r="AT63" s="51"/>
      <c r="AU63" s="53"/>
      <c r="AV63" s="54"/>
      <c r="AW63" s="49"/>
      <c r="AX63" s="49"/>
      <c r="AY63" s="50"/>
      <c r="AZ63" s="50"/>
      <c r="BA63" s="51"/>
    </row>
    <row r="64" spans="1:53" ht="16">
      <c r="A64" s="45"/>
      <c r="B64" s="52"/>
      <c r="C64" s="6"/>
      <c r="D64" s="46"/>
      <c r="E64" s="47"/>
      <c r="F64" s="48"/>
      <c r="G64" s="49"/>
      <c r="H64" s="49"/>
      <c r="I64" s="50"/>
      <c r="J64" s="50"/>
      <c r="K64" s="51"/>
      <c r="L64" s="47"/>
      <c r="M64" s="48"/>
      <c r="N64" s="49"/>
      <c r="O64" s="49"/>
      <c r="P64" s="50"/>
      <c r="Q64" s="50"/>
      <c r="R64" s="51"/>
      <c r="S64" s="53"/>
      <c r="T64" s="54"/>
      <c r="U64" s="49"/>
      <c r="V64" s="49"/>
      <c r="W64" s="50"/>
      <c r="X64" s="50"/>
      <c r="Y64" s="51"/>
      <c r="Z64" s="53"/>
      <c r="AA64" s="54"/>
      <c r="AB64" s="49"/>
      <c r="AC64" s="49"/>
      <c r="AD64" s="50"/>
      <c r="AE64" s="50"/>
      <c r="AF64" s="51"/>
      <c r="AG64" s="53"/>
      <c r="AH64" s="54"/>
      <c r="AI64" s="49"/>
      <c r="AJ64" s="49"/>
      <c r="AK64" s="50"/>
      <c r="AL64" s="50"/>
      <c r="AM64" s="51"/>
      <c r="AN64" s="53"/>
      <c r="AO64" s="54"/>
      <c r="AP64" s="49"/>
      <c r="AQ64" s="49"/>
      <c r="AR64" s="50"/>
      <c r="AS64" s="50"/>
      <c r="AT64" s="51"/>
      <c r="AU64" s="53"/>
      <c r="AV64" s="54"/>
      <c r="AW64" s="49"/>
      <c r="AX64" s="49"/>
      <c r="AY64" s="50"/>
      <c r="AZ64" s="50"/>
      <c r="BA64" s="51"/>
    </row>
    <row r="65" spans="1:53" ht="16">
      <c r="A65" s="45"/>
      <c r="B65" s="52"/>
      <c r="C65" s="6"/>
      <c r="D65" s="46"/>
      <c r="E65" s="47"/>
      <c r="F65" s="48"/>
      <c r="G65" s="49"/>
      <c r="H65" s="49"/>
      <c r="I65" s="50"/>
      <c r="J65" s="50"/>
      <c r="K65" s="51"/>
      <c r="L65" s="47"/>
      <c r="M65" s="48"/>
      <c r="N65" s="49"/>
      <c r="O65" s="49"/>
      <c r="P65" s="50"/>
      <c r="Q65" s="50"/>
      <c r="R65" s="51"/>
      <c r="S65" s="53"/>
      <c r="T65" s="54"/>
      <c r="U65" s="49"/>
      <c r="V65" s="49"/>
      <c r="W65" s="50"/>
      <c r="X65" s="50"/>
      <c r="Y65" s="51"/>
      <c r="Z65" s="53"/>
      <c r="AA65" s="54"/>
      <c r="AB65" s="49"/>
      <c r="AC65" s="49"/>
      <c r="AD65" s="50"/>
      <c r="AE65" s="50"/>
      <c r="AF65" s="51"/>
      <c r="AG65" s="53"/>
      <c r="AH65" s="54"/>
      <c r="AI65" s="49"/>
      <c r="AJ65" s="49"/>
      <c r="AK65" s="50"/>
      <c r="AL65" s="50"/>
      <c r="AM65" s="51"/>
      <c r="AN65" s="53"/>
      <c r="AO65" s="54"/>
      <c r="AP65" s="49"/>
      <c r="AQ65" s="49"/>
      <c r="AR65" s="50"/>
      <c r="AS65" s="50"/>
      <c r="AT65" s="51"/>
      <c r="AU65" s="53"/>
      <c r="AV65" s="54"/>
      <c r="AW65" s="49"/>
      <c r="AX65" s="49"/>
      <c r="AY65" s="50"/>
      <c r="AZ65" s="50"/>
      <c r="BA65" s="51"/>
    </row>
    <row r="66" spans="1:53" ht="16">
      <c r="A66" s="45"/>
      <c r="B66" s="52"/>
      <c r="C66" s="6"/>
      <c r="D66" s="46"/>
      <c r="E66" s="47"/>
      <c r="F66" s="48"/>
      <c r="G66" s="49"/>
      <c r="H66" s="49"/>
      <c r="I66" s="50"/>
      <c r="J66" s="50"/>
      <c r="K66" s="51"/>
      <c r="L66" s="47"/>
      <c r="M66" s="48"/>
      <c r="N66" s="49"/>
      <c r="O66" s="49"/>
      <c r="P66" s="50"/>
      <c r="Q66" s="50"/>
      <c r="R66" s="51"/>
      <c r="S66" s="53"/>
      <c r="T66" s="54"/>
      <c r="U66" s="49"/>
      <c r="V66" s="49"/>
      <c r="W66" s="50"/>
      <c r="X66" s="50"/>
      <c r="Y66" s="51"/>
      <c r="Z66" s="53"/>
      <c r="AA66" s="54"/>
      <c r="AB66" s="49"/>
      <c r="AC66" s="49"/>
      <c r="AD66" s="50"/>
      <c r="AE66" s="50"/>
      <c r="AF66" s="51"/>
      <c r="AG66" s="53"/>
      <c r="AH66" s="54"/>
      <c r="AI66" s="49"/>
      <c r="AJ66" s="49"/>
      <c r="AK66" s="50"/>
      <c r="AL66" s="50"/>
      <c r="AM66" s="51"/>
      <c r="AN66" s="53"/>
      <c r="AO66" s="54"/>
      <c r="AP66" s="49"/>
      <c r="AQ66" s="49"/>
      <c r="AR66" s="50"/>
      <c r="AS66" s="50"/>
      <c r="AT66" s="51"/>
      <c r="AU66" s="53"/>
      <c r="AV66" s="54"/>
      <c r="AW66" s="49"/>
      <c r="AX66" s="49"/>
      <c r="AY66" s="50"/>
      <c r="AZ66" s="50"/>
      <c r="BA66" s="51"/>
    </row>
    <row r="67" spans="1:53" ht="16">
      <c r="A67" s="45"/>
      <c r="B67" s="52"/>
      <c r="C67" s="6"/>
      <c r="D67" s="46"/>
      <c r="E67" s="47"/>
      <c r="F67" s="48"/>
      <c r="G67" s="49"/>
      <c r="H67" s="49"/>
      <c r="I67" s="50"/>
      <c r="J67" s="50"/>
      <c r="K67" s="51"/>
      <c r="L67" s="47"/>
      <c r="M67" s="48"/>
      <c r="N67" s="49"/>
      <c r="O67" s="49"/>
      <c r="P67" s="50"/>
      <c r="Q67" s="50"/>
      <c r="R67" s="51"/>
      <c r="S67" s="53"/>
      <c r="T67" s="54"/>
      <c r="U67" s="49"/>
      <c r="V67" s="49"/>
      <c r="W67" s="50"/>
      <c r="X67" s="50"/>
      <c r="Y67" s="51"/>
      <c r="Z67" s="53"/>
      <c r="AA67" s="54"/>
      <c r="AB67" s="49"/>
      <c r="AC67" s="49"/>
      <c r="AD67" s="50"/>
      <c r="AE67" s="50"/>
      <c r="AF67" s="51"/>
      <c r="AG67" s="53"/>
      <c r="AH67" s="54"/>
      <c r="AI67" s="49"/>
      <c r="AJ67" s="49"/>
      <c r="AK67" s="50"/>
      <c r="AL67" s="50"/>
      <c r="AM67" s="51"/>
      <c r="AN67" s="53"/>
      <c r="AO67" s="54"/>
      <c r="AP67" s="49"/>
      <c r="AQ67" s="49"/>
      <c r="AR67" s="50"/>
      <c r="AS67" s="50"/>
      <c r="AT67" s="51"/>
      <c r="AU67" s="53"/>
      <c r="AV67" s="54"/>
      <c r="AW67" s="49"/>
      <c r="AX67" s="49"/>
      <c r="AY67" s="50"/>
      <c r="AZ67" s="50"/>
      <c r="BA67" s="51"/>
    </row>
    <row r="68" spans="1:53" ht="16">
      <c r="A68" s="45"/>
      <c r="B68" s="52"/>
      <c r="C68" s="6"/>
      <c r="D68" s="46"/>
      <c r="E68" s="47"/>
      <c r="F68" s="48"/>
      <c r="G68" s="49"/>
      <c r="H68" s="49"/>
      <c r="I68" s="50"/>
      <c r="J68" s="50"/>
      <c r="K68" s="51"/>
      <c r="L68" s="47"/>
      <c r="M68" s="48"/>
      <c r="N68" s="49"/>
      <c r="O68" s="49"/>
      <c r="P68" s="50"/>
      <c r="Q68" s="50"/>
      <c r="R68" s="51"/>
      <c r="S68" s="53"/>
      <c r="T68" s="54"/>
      <c r="U68" s="49"/>
      <c r="V68" s="49"/>
      <c r="W68" s="50"/>
      <c r="X68" s="50"/>
      <c r="Y68" s="51"/>
      <c r="Z68" s="53"/>
      <c r="AA68" s="54"/>
      <c r="AB68" s="49"/>
      <c r="AC68" s="49"/>
      <c r="AD68" s="50"/>
      <c r="AE68" s="50"/>
      <c r="AF68" s="51"/>
      <c r="AG68" s="53"/>
      <c r="AH68" s="54"/>
      <c r="AI68" s="49"/>
      <c r="AJ68" s="49"/>
      <c r="AK68" s="50"/>
      <c r="AL68" s="50"/>
      <c r="AM68" s="51"/>
      <c r="AN68" s="53"/>
      <c r="AO68" s="54"/>
      <c r="AP68" s="49"/>
      <c r="AQ68" s="49"/>
      <c r="AR68" s="50"/>
      <c r="AS68" s="50"/>
      <c r="AT68" s="51"/>
      <c r="AU68" s="53"/>
      <c r="AV68" s="54"/>
      <c r="AW68" s="49"/>
      <c r="AX68" s="49"/>
      <c r="AY68" s="50"/>
      <c r="AZ68" s="50"/>
      <c r="BA68" s="51"/>
    </row>
    <row r="69" spans="1:53" ht="16">
      <c r="A69" s="45"/>
      <c r="B69" s="52"/>
      <c r="C69" s="6"/>
      <c r="D69" s="46"/>
      <c r="E69" s="47"/>
      <c r="F69" s="48"/>
      <c r="G69" s="49"/>
      <c r="H69" s="49"/>
      <c r="I69" s="50"/>
      <c r="J69" s="50"/>
      <c r="K69" s="51"/>
      <c r="L69" s="47"/>
      <c r="M69" s="48"/>
      <c r="N69" s="49"/>
      <c r="O69" s="49"/>
      <c r="P69" s="50"/>
      <c r="Q69" s="50"/>
      <c r="R69" s="51"/>
      <c r="S69" s="53"/>
      <c r="T69" s="54"/>
      <c r="U69" s="49"/>
      <c r="V69" s="49"/>
      <c r="W69" s="50"/>
      <c r="X69" s="50"/>
      <c r="Y69" s="51"/>
      <c r="Z69" s="53"/>
      <c r="AA69" s="54"/>
      <c r="AB69" s="49"/>
      <c r="AC69" s="49"/>
      <c r="AD69" s="50"/>
      <c r="AE69" s="50"/>
      <c r="AF69" s="51"/>
      <c r="AG69" s="53"/>
      <c r="AH69" s="54"/>
      <c r="AI69" s="49"/>
      <c r="AJ69" s="49"/>
      <c r="AK69" s="50"/>
      <c r="AL69" s="50"/>
      <c r="AM69" s="51"/>
      <c r="AN69" s="53"/>
      <c r="AO69" s="54"/>
      <c r="AP69" s="49"/>
      <c r="AQ69" s="49"/>
      <c r="AR69" s="50"/>
      <c r="AS69" s="50"/>
      <c r="AT69" s="51"/>
      <c r="AU69" s="53"/>
      <c r="AV69" s="54"/>
      <c r="AW69" s="49"/>
      <c r="AX69" s="49"/>
      <c r="AY69" s="50"/>
      <c r="AZ69" s="50"/>
      <c r="BA69" s="51"/>
    </row>
    <row r="70" spans="1:53" ht="16">
      <c r="A70" s="45"/>
      <c r="B70" s="52"/>
      <c r="C70" s="6"/>
      <c r="D70" s="46"/>
      <c r="E70" s="47"/>
      <c r="F70" s="48"/>
      <c r="G70" s="49"/>
      <c r="H70" s="49"/>
      <c r="I70" s="50"/>
      <c r="J70" s="50"/>
      <c r="K70" s="51"/>
      <c r="L70" s="47"/>
      <c r="M70" s="48"/>
      <c r="N70" s="49"/>
      <c r="O70" s="49"/>
      <c r="P70" s="50"/>
      <c r="Q70" s="50"/>
      <c r="R70" s="51"/>
      <c r="S70" s="53"/>
      <c r="T70" s="54"/>
      <c r="U70" s="49"/>
      <c r="V70" s="49"/>
      <c r="W70" s="50"/>
      <c r="X70" s="50"/>
      <c r="Y70" s="51"/>
      <c r="Z70" s="53"/>
      <c r="AA70" s="54"/>
      <c r="AB70" s="49"/>
      <c r="AC70" s="49"/>
      <c r="AD70" s="50"/>
      <c r="AE70" s="50"/>
      <c r="AF70" s="51"/>
      <c r="AG70" s="53"/>
      <c r="AH70" s="54"/>
      <c r="AI70" s="49"/>
      <c r="AJ70" s="49"/>
      <c r="AK70" s="50"/>
      <c r="AL70" s="50"/>
      <c r="AM70" s="51"/>
      <c r="AN70" s="53"/>
      <c r="AO70" s="54"/>
      <c r="AP70" s="49"/>
      <c r="AQ70" s="49"/>
      <c r="AR70" s="50"/>
      <c r="AS70" s="50"/>
      <c r="AT70" s="51"/>
      <c r="AU70" s="53"/>
      <c r="AV70" s="54"/>
      <c r="AW70" s="49"/>
      <c r="AX70" s="49"/>
      <c r="AY70" s="50"/>
      <c r="AZ70" s="50"/>
      <c r="BA70" s="51"/>
    </row>
    <row r="71" spans="1:53" ht="16">
      <c r="A71" s="45"/>
      <c r="B71" s="52"/>
      <c r="C71" s="6"/>
      <c r="D71" s="46"/>
      <c r="E71" s="47"/>
      <c r="F71" s="48"/>
      <c r="G71" s="49"/>
      <c r="H71" s="49"/>
      <c r="I71" s="50"/>
      <c r="J71" s="50"/>
      <c r="K71" s="51"/>
      <c r="L71" s="47"/>
      <c r="M71" s="48"/>
      <c r="N71" s="49"/>
      <c r="O71" s="49"/>
      <c r="P71" s="50"/>
      <c r="Q71" s="50"/>
      <c r="R71" s="51"/>
      <c r="S71" s="53"/>
      <c r="T71" s="54"/>
      <c r="U71" s="49"/>
      <c r="V71" s="49"/>
      <c r="W71" s="50"/>
      <c r="X71" s="50"/>
      <c r="Y71" s="51"/>
      <c r="Z71" s="53"/>
      <c r="AA71" s="54"/>
      <c r="AB71" s="49"/>
      <c r="AC71" s="49"/>
      <c r="AD71" s="50"/>
      <c r="AE71" s="50"/>
      <c r="AF71" s="51"/>
      <c r="AG71" s="53"/>
      <c r="AH71" s="54"/>
      <c r="AI71" s="49"/>
      <c r="AJ71" s="49"/>
      <c r="AK71" s="50"/>
      <c r="AL71" s="50"/>
      <c r="AM71" s="51"/>
      <c r="AN71" s="53"/>
      <c r="AO71" s="54"/>
      <c r="AP71" s="49"/>
      <c r="AQ71" s="49"/>
      <c r="AR71" s="50"/>
      <c r="AS71" s="50"/>
      <c r="AT71" s="51"/>
      <c r="AU71" s="53"/>
      <c r="AV71" s="54"/>
      <c r="AW71" s="49"/>
      <c r="AX71" s="49"/>
      <c r="AY71" s="50"/>
      <c r="AZ71" s="50"/>
      <c r="BA71" s="51"/>
    </row>
    <row r="72" spans="1:53" ht="16">
      <c r="A72" s="45"/>
      <c r="B72" s="52"/>
      <c r="C72" s="6"/>
      <c r="D72" s="46"/>
      <c r="E72" s="47"/>
      <c r="F72" s="48"/>
      <c r="G72" s="49"/>
      <c r="H72" s="49"/>
      <c r="I72" s="50"/>
      <c r="J72" s="50"/>
      <c r="K72" s="51"/>
      <c r="L72" s="47"/>
      <c r="M72" s="48"/>
      <c r="N72" s="49"/>
      <c r="O72" s="49"/>
      <c r="P72" s="50"/>
      <c r="Q72" s="50"/>
      <c r="R72" s="51"/>
      <c r="S72" s="53"/>
      <c r="T72" s="54"/>
      <c r="U72" s="49"/>
      <c r="V72" s="49"/>
      <c r="W72" s="50"/>
      <c r="X72" s="50"/>
      <c r="Y72" s="51"/>
      <c r="Z72" s="53"/>
      <c r="AA72" s="54"/>
      <c r="AB72" s="49"/>
      <c r="AC72" s="49"/>
      <c r="AD72" s="50"/>
      <c r="AE72" s="50"/>
      <c r="AF72" s="51"/>
      <c r="AG72" s="53"/>
      <c r="AH72" s="54"/>
      <c r="AI72" s="49"/>
      <c r="AJ72" s="49"/>
      <c r="AK72" s="50"/>
      <c r="AL72" s="50"/>
      <c r="AM72" s="51"/>
      <c r="AN72" s="53"/>
      <c r="AO72" s="54"/>
      <c r="AP72" s="49"/>
      <c r="AQ72" s="49"/>
      <c r="AR72" s="50"/>
      <c r="AS72" s="50"/>
      <c r="AT72" s="51"/>
      <c r="AU72" s="53"/>
      <c r="AV72" s="54"/>
      <c r="AW72" s="49"/>
      <c r="AX72" s="49"/>
      <c r="AY72" s="50"/>
      <c r="AZ72" s="50"/>
      <c r="BA72" s="51"/>
    </row>
    <row r="73" spans="1:53" ht="16">
      <c r="A73" s="45"/>
      <c r="B73" s="52"/>
      <c r="C73" s="6"/>
      <c r="D73" s="46"/>
      <c r="E73" s="47"/>
      <c r="F73" s="48"/>
      <c r="G73" s="49"/>
      <c r="H73" s="49"/>
      <c r="I73" s="50"/>
      <c r="J73" s="50"/>
      <c r="K73" s="51"/>
      <c r="L73" s="47"/>
      <c r="M73" s="48"/>
      <c r="N73" s="49"/>
      <c r="O73" s="49"/>
      <c r="P73" s="50"/>
      <c r="Q73" s="50"/>
      <c r="R73" s="51"/>
      <c r="S73" s="53"/>
      <c r="T73" s="54"/>
      <c r="U73" s="49"/>
      <c r="V73" s="49"/>
      <c r="W73" s="50"/>
      <c r="X73" s="50"/>
      <c r="Y73" s="51"/>
      <c r="Z73" s="53"/>
      <c r="AA73" s="54"/>
      <c r="AB73" s="49"/>
      <c r="AC73" s="49"/>
      <c r="AD73" s="50"/>
      <c r="AE73" s="50"/>
      <c r="AF73" s="51"/>
      <c r="AG73" s="53"/>
      <c r="AH73" s="54"/>
      <c r="AI73" s="49"/>
      <c r="AJ73" s="49"/>
      <c r="AK73" s="50"/>
      <c r="AL73" s="50"/>
      <c r="AM73" s="51"/>
      <c r="AN73" s="53"/>
      <c r="AO73" s="54"/>
      <c r="AP73" s="49"/>
      <c r="AQ73" s="49"/>
      <c r="AR73" s="50"/>
      <c r="AS73" s="50"/>
      <c r="AT73" s="51"/>
      <c r="AU73" s="53"/>
      <c r="AV73" s="54"/>
      <c r="AW73" s="49"/>
      <c r="AX73" s="49"/>
      <c r="AY73" s="50"/>
      <c r="AZ73" s="50"/>
      <c r="BA73" s="51"/>
    </row>
    <row r="74" spans="1:53" ht="16">
      <c r="A74" s="45"/>
      <c r="B74" s="52"/>
      <c r="C74" s="6"/>
      <c r="D74" s="46"/>
      <c r="E74" s="47"/>
      <c r="F74" s="48"/>
      <c r="G74" s="49"/>
      <c r="H74" s="49"/>
      <c r="I74" s="50"/>
      <c r="J74" s="50"/>
      <c r="K74" s="51"/>
      <c r="L74" s="47"/>
      <c r="M74" s="48"/>
      <c r="N74" s="49"/>
      <c r="O74" s="49"/>
      <c r="P74" s="50"/>
      <c r="Q74" s="50"/>
      <c r="R74" s="51"/>
      <c r="S74" s="53"/>
      <c r="T74" s="54"/>
      <c r="U74" s="49"/>
      <c r="V74" s="49"/>
      <c r="W74" s="50"/>
      <c r="X74" s="50"/>
      <c r="Y74" s="51"/>
      <c r="Z74" s="53"/>
      <c r="AA74" s="54"/>
      <c r="AB74" s="49"/>
      <c r="AC74" s="49"/>
      <c r="AD74" s="50"/>
      <c r="AE74" s="50"/>
      <c r="AF74" s="51"/>
      <c r="AG74" s="53"/>
      <c r="AH74" s="54"/>
      <c r="AI74" s="49"/>
      <c r="AJ74" s="49"/>
      <c r="AK74" s="50"/>
      <c r="AL74" s="50"/>
      <c r="AM74" s="51"/>
      <c r="AN74" s="53"/>
      <c r="AO74" s="54"/>
      <c r="AP74" s="49"/>
      <c r="AQ74" s="49"/>
      <c r="AR74" s="50"/>
      <c r="AS74" s="50"/>
      <c r="AT74" s="51"/>
      <c r="AU74" s="53"/>
      <c r="AV74" s="54"/>
      <c r="AW74" s="49"/>
      <c r="AX74" s="49"/>
      <c r="AY74" s="50"/>
      <c r="AZ74" s="50"/>
      <c r="BA74" s="51"/>
    </row>
    <row r="75" spans="1:53" ht="16">
      <c r="A75" s="45"/>
      <c r="B75" s="52"/>
      <c r="C75" s="6"/>
      <c r="D75" s="46"/>
      <c r="E75" s="47"/>
      <c r="F75" s="48"/>
      <c r="G75" s="49"/>
      <c r="H75" s="49"/>
      <c r="I75" s="50"/>
      <c r="J75" s="50"/>
      <c r="K75" s="51"/>
      <c r="L75" s="47"/>
      <c r="M75" s="48"/>
      <c r="N75" s="49"/>
      <c r="O75" s="49"/>
      <c r="P75" s="50"/>
      <c r="Q75" s="50"/>
      <c r="R75" s="51"/>
      <c r="S75" s="53"/>
      <c r="T75" s="54"/>
      <c r="U75" s="49"/>
      <c r="V75" s="49"/>
      <c r="W75" s="50"/>
      <c r="X75" s="50"/>
      <c r="Y75" s="51"/>
      <c r="Z75" s="53"/>
      <c r="AA75" s="54"/>
      <c r="AB75" s="49"/>
      <c r="AC75" s="49"/>
      <c r="AD75" s="50"/>
      <c r="AE75" s="50"/>
      <c r="AF75" s="51"/>
      <c r="AG75" s="53"/>
      <c r="AH75" s="54"/>
      <c r="AI75" s="49"/>
      <c r="AJ75" s="49"/>
      <c r="AK75" s="50"/>
      <c r="AL75" s="50"/>
      <c r="AM75" s="51"/>
      <c r="AN75" s="53"/>
      <c r="AO75" s="54"/>
      <c r="AP75" s="49"/>
      <c r="AQ75" s="49"/>
      <c r="AR75" s="50"/>
      <c r="AS75" s="50"/>
      <c r="AT75" s="51"/>
      <c r="AU75" s="53"/>
      <c r="AV75" s="54"/>
      <c r="AW75" s="49"/>
      <c r="AX75" s="49"/>
      <c r="AY75" s="50"/>
      <c r="AZ75" s="50"/>
      <c r="BA75" s="51"/>
    </row>
    <row r="76" spans="1:53" ht="16">
      <c r="A76" s="45"/>
      <c r="B76" s="52"/>
      <c r="C76" s="6"/>
      <c r="D76" s="46"/>
      <c r="E76" s="47"/>
      <c r="F76" s="48"/>
      <c r="G76" s="49"/>
      <c r="H76" s="49"/>
      <c r="I76" s="50"/>
      <c r="J76" s="50"/>
      <c r="K76" s="51"/>
      <c r="L76" s="47"/>
      <c r="M76" s="48"/>
      <c r="N76" s="49"/>
      <c r="O76" s="49"/>
      <c r="P76" s="50"/>
      <c r="Q76" s="50"/>
      <c r="R76" s="51"/>
      <c r="S76" s="53"/>
      <c r="T76" s="54"/>
      <c r="U76" s="49"/>
      <c r="V76" s="49"/>
      <c r="W76" s="50"/>
      <c r="X76" s="50"/>
      <c r="Y76" s="51"/>
      <c r="Z76" s="53"/>
      <c r="AA76" s="54"/>
      <c r="AB76" s="49"/>
      <c r="AC76" s="49"/>
      <c r="AD76" s="50"/>
      <c r="AE76" s="50"/>
      <c r="AF76" s="51"/>
      <c r="AG76" s="53"/>
      <c r="AH76" s="54"/>
      <c r="AI76" s="49"/>
      <c r="AJ76" s="49"/>
      <c r="AK76" s="50"/>
      <c r="AL76" s="50"/>
      <c r="AM76" s="51"/>
      <c r="AN76" s="53"/>
      <c r="AO76" s="54"/>
      <c r="AP76" s="49"/>
      <c r="AQ76" s="49"/>
      <c r="AR76" s="50"/>
      <c r="AS76" s="50"/>
      <c r="AT76" s="51"/>
      <c r="AU76" s="53"/>
      <c r="AV76" s="54"/>
      <c r="AW76" s="49"/>
      <c r="AX76" s="49"/>
      <c r="AY76" s="50"/>
      <c r="AZ76" s="50"/>
      <c r="BA76" s="51"/>
    </row>
    <row r="77" spans="1:53" ht="16">
      <c r="A77" s="45"/>
      <c r="B77" s="52"/>
      <c r="C77" s="6"/>
      <c r="D77" s="46"/>
      <c r="E77" s="47"/>
      <c r="F77" s="48"/>
      <c r="G77" s="49"/>
      <c r="H77" s="49"/>
      <c r="I77" s="50"/>
      <c r="J77" s="50"/>
      <c r="K77" s="51"/>
      <c r="L77" s="47"/>
      <c r="M77" s="48"/>
      <c r="N77" s="49"/>
      <c r="O77" s="49"/>
      <c r="P77" s="50"/>
      <c r="Q77" s="50"/>
      <c r="R77" s="51"/>
      <c r="S77" s="53"/>
      <c r="T77" s="54"/>
      <c r="U77" s="49"/>
      <c r="V77" s="49"/>
      <c r="W77" s="50"/>
      <c r="X77" s="50"/>
      <c r="Y77" s="51"/>
      <c r="Z77" s="53"/>
      <c r="AA77" s="54"/>
      <c r="AB77" s="49"/>
      <c r="AC77" s="49"/>
      <c r="AD77" s="50"/>
      <c r="AE77" s="50"/>
      <c r="AF77" s="51"/>
      <c r="AG77" s="53"/>
      <c r="AH77" s="54"/>
      <c r="AI77" s="49"/>
      <c r="AJ77" s="49"/>
      <c r="AK77" s="50"/>
      <c r="AL77" s="50"/>
      <c r="AM77" s="51"/>
      <c r="AN77" s="53"/>
      <c r="AO77" s="54"/>
      <c r="AP77" s="49"/>
      <c r="AQ77" s="49"/>
      <c r="AR77" s="50"/>
      <c r="AS77" s="50"/>
      <c r="AT77" s="51"/>
      <c r="AU77" s="53"/>
      <c r="AV77" s="54"/>
      <c r="AW77" s="49"/>
      <c r="AX77" s="49"/>
      <c r="AY77" s="50"/>
      <c r="AZ77" s="50"/>
      <c r="BA77" s="51"/>
    </row>
    <row r="78" spans="1:53" ht="16">
      <c r="A78" s="45"/>
      <c r="B78" s="52"/>
      <c r="C78" s="6"/>
      <c r="D78" s="46"/>
      <c r="E78" s="47"/>
      <c r="F78" s="48"/>
      <c r="G78" s="49"/>
      <c r="H78" s="49"/>
      <c r="I78" s="50"/>
      <c r="J78" s="50"/>
      <c r="K78" s="51"/>
      <c r="L78" s="47"/>
      <c r="M78" s="48"/>
      <c r="N78" s="49"/>
      <c r="O78" s="49"/>
      <c r="P78" s="50"/>
      <c r="Q78" s="50"/>
      <c r="R78" s="51"/>
      <c r="S78" s="53"/>
      <c r="T78" s="54"/>
      <c r="U78" s="49"/>
      <c r="V78" s="49"/>
      <c r="W78" s="50"/>
      <c r="X78" s="50"/>
      <c r="Y78" s="51"/>
      <c r="Z78" s="53"/>
      <c r="AA78" s="54"/>
      <c r="AB78" s="49"/>
      <c r="AC78" s="49"/>
      <c r="AD78" s="50"/>
      <c r="AE78" s="50"/>
      <c r="AF78" s="51"/>
      <c r="AG78" s="53"/>
      <c r="AH78" s="54"/>
      <c r="AI78" s="49"/>
      <c r="AJ78" s="49"/>
      <c r="AK78" s="50"/>
      <c r="AL78" s="50"/>
      <c r="AM78" s="51"/>
      <c r="AN78" s="53"/>
      <c r="AO78" s="54"/>
      <c r="AP78" s="49"/>
      <c r="AQ78" s="49"/>
      <c r="AR78" s="50"/>
      <c r="AS78" s="50"/>
      <c r="AT78" s="51"/>
      <c r="AU78" s="53"/>
      <c r="AV78" s="54"/>
      <c r="AW78" s="49"/>
      <c r="AX78" s="49"/>
      <c r="AY78" s="50"/>
      <c r="AZ78" s="50"/>
      <c r="BA78" s="51"/>
    </row>
    <row r="79" spans="1:53" ht="16">
      <c r="A79" s="45"/>
      <c r="B79" s="52"/>
      <c r="C79" s="6"/>
      <c r="D79" s="46"/>
      <c r="E79" s="47"/>
      <c r="F79" s="48"/>
      <c r="G79" s="49"/>
      <c r="H79" s="49"/>
      <c r="I79" s="50"/>
      <c r="J79" s="50"/>
      <c r="K79" s="51"/>
      <c r="L79" s="47"/>
      <c r="M79" s="48"/>
      <c r="N79" s="49"/>
      <c r="O79" s="49"/>
      <c r="P79" s="50"/>
      <c r="Q79" s="50"/>
      <c r="R79" s="51"/>
      <c r="S79" s="53"/>
      <c r="T79" s="54"/>
      <c r="U79" s="49"/>
      <c r="V79" s="49"/>
      <c r="W79" s="50"/>
      <c r="X79" s="50"/>
      <c r="Y79" s="51"/>
      <c r="Z79" s="53"/>
      <c r="AA79" s="54"/>
      <c r="AB79" s="49"/>
      <c r="AC79" s="49"/>
      <c r="AD79" s="50"/>
      <c r="AE79" s="50"/>
      <c r="AF79" s="51"/>
      <c r="AG79" s="53"/>
      <c r="AH79" s="54"/>
      <c r="AI79" s="49"/>
      <c r="AJ79" s="49"/>
      <c r="AK79" s="50"/>
      <c r="AL79" s="50"/>
      <c r="AM79" s="51"/>
      <c r="AN79" s="53"/>
      <c r="AO79" s="54"/>
      <c r="AP79" s="49"/>
      <c r="AQ79" s="49"/>
      <c r="AR79" s="50"/>
      <c r="AS79" s="50"/>
      <c r="AT79" s="51"/>
      <c r="AU79" s="53"/>
      <c r="AV79" s="54"/>
      <c r="AW79" s="49"/>
      <c r="AX79" s="49"/>
      <c r="AY79" s="50"/>
      <c r="AZ79" s="50"/>
      <c r="BA79" s="51"/>
    </row>
    <row r="80" spans="1:53" ht="16">
      <c r="A80" s="45"/>
      <c r="B80" s="52"/>
      <c r="C80" s="6"/>
      <c r="D80" s="46"/>
      <c r="E80" s="47"/>
      <c r="F80" s="48"/>
      <c r="G80" s="49"/>
      <c r="H80" s="49"/>
      <c r="I80" s="50"/>
      <c r="J80" s="50"/>
      <c r="K80" s="51"/>
      <c r="L80" s="47"/>
      <c r="M80" s="48"/>
      <c r="N80" s="49"/>
      <c r="O80" s="49"/>
      <c r="P80" s="50"/>
      <c r="Q80" s="50"/>
      <c r="R80" s="51"/>
      <c r="S80" s="53"/>
      <c r="T80" s="54"/>
      <c r="U80" s="49"/>
      <c r="V80" s="49"/>
      <c r="W80" s="50"/>
      <c r="X80" s="50"/>
      <c r="Y80" s="51"/>
      <c r="Z80" s="53"/>
      <c r="AA80" s="54"/>
      <c r="AB80" s="49"/>
      <c r="AC80" s="49"/>
      <c r="AD80" s="50"/>
      <c r="AE80" s="50"/>
      <c r="AF80" s="51"/>
      <c r="AG80" s="53"/>
      <c r="AH80" s="54"/>
      <c r="AI80" s="49"/>
      <c r="AJ80" s="49"/>
      <c r="AK80" s="50"/>
      <c r="AL80" s="50"/>
      <c r="AM80" s="51"/>
      <c r="AN80" s="53"/>
      <c r="AO80" s="54"/>
      <c r="AP80" s="49"/>
      <c r="AQ80" s="49"/>
      <c r="AR80" s="50"/>
      <c r="AS80" s="50"/>
      <c r="AT80" s="51"/>
      <c r="AU80" s="53"/>
      <c r="AV80" s="54"/>
      <c r="AW80" s="49"/>
      <c r="AX80" s="49"/>
      <c r="AY80" s="50"/>
      <c r="AZ80" s="50"/>
      <c r="BA80" s="51"/>
    </row>
    <row r="81" spans="1:53" ht="16">
      <c r="A81" s="45"/>
      <c r="B81" s="52"/>
      <c r="C81" s="6"/>
      <c r="D81" s="46"/>
      <c r="E81" s="47"/>
      <c r="F81" s="48"/>
      <c r="G81" s="49"/>
      <c r="H81" s="49"/>
      <c r="I81" s="50"/>
      <c r="J81" s="50"/>
      <c r="K81" s="51"/>
      <c r="L81" s="47"/>
      <c r="M81" s="48"/>
      <c r="N81" s="49"/>
      <c r="O81" s="49"/>
      <c r="P81" s="50"/>
      <c r="Q81" s="50"/>
      <c r="R81" s="51"/>
      <c r="S81" s="53"/>
      <c r="T81" s="54"/>
      <c r="U81" s="49"/>
      <c r="V81" s="49"/>
      <c r="W81" s="50"/>
      <c r="X81" s="50"/>
      <c r="Y81" s="51"/>
      <c r="Z81" s="53"/>
      <c r="AA81" s="54"/>
      <c r="AB81" s="49"/>
      <c r="AC81" s="49"/>
      <c r="AD81" s="50"/>
      <c r="AE81" s="50"/>
      <c r="AF81" s="51"/>
      <c r="AG81" s="53"/>
      <c r="AH81" s="54"/>
      <c r="AI81" s="49"/>
      <c r="AJ81" s="49"/>
      <c r="AK81" s="50"/>
      <c r="AL81" s="50"/>
      <c r="AM81" s="51"/>
      <c r="AN81" s="53"/>
      <c r="AO81" s="54"/>
      <c r="AP81" s="49"/>
      <c r="AQ81" s="49"/>
      <c r="AR81" s="50"/>
      <c r="AS81" s="50"/>
      <c r="AT81" s="51"/>
      <c r="AU81" s="53"/>
      <c r="AV81" s="54"/>
      <c r="AW81" s="49"/>
      <c r="AX81" s="49"/>
      <c r="AY81" s="50"/>
      <c r="AZ81" s="50"/>
      <c r="BA81" s="51"/>
    </row>
    <row r="82" spans="1:53" ht="16">
      <c r="A82" s="45"/>
      <c r="B82" s="52"/>
      <c r="C82" s="6"/>
      <c r="D82" s="46"/>
      <c r="E82" s="47"/>
      <c r="F82" s="48"/>
      <c r="G82" s="49"/>
      <c r="H82" s="49"/>
      <c r="I82" s="50"/>
      <c r="J82" s="50"/>
      <c r="K82" s="51"/>
      <c r="L82" s="47"/>
      <c r="M82" s="48"/>
      <c r="N82" s="49"/>
      <c r="O82" s="49"/>
      <c r="P82" s="50"/>
      <c r="Q82" s="50"/>
      <c r="R82" s="51"/>
      <c r="S82" s="53"/>
      <c r="T82" s="54"/>
      <c r="U82" s="49"/>
      <c r="V82" s="49"/>
      <c r="W82" s="50"/>
      <c r="X82" s="50"/>
      <c r="Y82" s="51"/>
      <c r="Z82" s="53"/>
      <c r="AA82" s="54"/>
      <c r="AB82" s="49"/>
      <c r="AC82" s="49"/>
      <c r="AD82" s="50"/>
      <c r="AE82" s="50"/>
      <c r="AF82" s="51"/>
      <c r="AG82" s="53"/>
      <c r="AH82" s="54"/>
      <c r="AI82" s="49"/>
      <c r="AJ82" s="49"/>
      <c r="AK82" s="50"/>
      <c r="AL82" s="50"/>
      <c r="AM82" s="51"/>
      <c r="AN82" s="53"/>
      <c r="AO82" s="54"/>
      <c r="AP82" s="49"/>
      <c r="AQ82" s="49"/>
      <c r="AR82" s="50"/>
      <c r="AS82" s="50"/>
      <c r="AT82" s="51"/>
      <c r="AU82" s="53"/>
      <c r="AV82" s="54"/>
      <c r="AW82" s="49"/>
      <c r="AX82" s="49"/>
      <c r="AY82" s="50"/>
      <c r="AZ82" s="50"/>
      <c r="BA82" s="51"/>
    </row>
    <row r="83" spans="1:53" ht="16">
      <c r="A83" s="45"/>
      <c r="B83" s="52"/>
      <c r="C83" s="6"/>
      <c r="D83" s="46"/>
      <c r="E83" s="47"/>
      <c r="F83" s="48"/>
      <c r="G83" s="49"/>
      <c r="H83" s="49"/>
      <c r="I83" s="50"/>
      <c r="J83" s="50"/>
      <c r="K83" s="51"/>
      <c r="L83" s="47"/>
      <c r="M83" s="48"/>
      <c r="N83" s="49"/>
      <c r="O83" s="49"/>
      <c r="P83" s="50"/>
      <c r="Q83" s="50"/>
      <c r="R83" s="51"/>
      <c r="S83" s="53"/>
      <c r="T83" s="54"/>
      <c r="U83" s="49"/>
      <c r="V83" s="49"/>
      <c r="W83" s="50"/>
      <c r="X83" s="50"/>
      <c r="Y83" s="51"/>
      <c r="Z83" s="53"/>
      <c r="AA83" s="54"/>
      <c r="AB83" s="49"/>
      <c r="AC83" s="49"/>
      <c r="AD83" s="50"/>
      <c r="AE83" s="50"/>
      <c r="AF83" s="51"/>
      <c r="AG83" s="53"/>
      <c r="AH83" s="54"/>
      <c r="AI83" s="49"/>
      <c r="AJ83" s="49"/>
      <c r="AK83" s="50"/>
      <c r="AL83" s="50"/>
      <c r="AM83" s="51"/>
      <c r="AN83" s="53"/>
      <c r="AO83" s="54"/>
      <c r="AP83" s="49"/>
      <c r="AQ83" s="49"/>
      <c r="AR83" s="50"/>
      <c r="AS83" s="50"/>
      <c r="AT83" s="51"/>
      <c r="AU83" s="53"/>
      <c r="AV83" s="54"/>
      <c r="AW83" s="49"/>
      <c r="AX83" s="49"/>
      <c r="AY83" s="50"/>
      <c r="AZ83" s="50"/>
      <c r="BA83" s="51"/>
    </row>
    <row r="84" spans="1:53" ht="16">
      <c r="A84" s="45"/>
      <c r="B84" s="52"/>
      <c r="C84" s="6"/>
      <c r="D84" s="46"/>
      <c r="E84" s="47"/>
      <c r="F84" s="48"/>
      <c r="G84" s="49"/>
      <c r="H84" s="49"/>
      <c r="I84" s="50"/>
      <c r="J84" s="50"/>
      <c r="K84" s="51"/>
      <c r="L84" s="47"/>
      <c r="M84" s="48"/>
      <c r="N84" s="49"/>
      <c r="O84" s="49"/>
      <c r="P84" s="50"/>
      <c r="Q84" s="50"/>
      <c r="R84" s="51"/>
      <c r="S84" s="53"/>
      <c r="T84" s="54"/>
      <c r="U84" s="49"/>
      <c r="V84" s="49"/>
      <c r="W84" s="50"/>
      <c r="X84" s="50"/>
      <c r="Y84" s="51"/>
      <c r="Z84" s="53"/>
      <c r="AA84" s="54"/>
      <c r="AB84" s="49"/>
      <c r="AC84" s="49"/>
      <c r="AD84" s="50"/>
      <c r="AE84" s="50"/>
      <c r="AF84" s="51"/>
      <c r="AG84" s="53"/>
      <c r="AH84" s="54"/>
      <c r="AI84" s="49"/>
      <c r="AJ84" s="49"/>
      <c r="AK84" s="50"/>
      <c r="AL84" s="50"/>
      <c r="AM84" s="51"/>
      <c r="AN84" s="53"/>
      <c r="AO84" s="54"/>
      <c r="AP84" s="49"/>
      <c r="AQ84" s="49"/>
      <c r="AR84" s="50"/>
      <c r="AS84" s="50"/>
      <c r="AT84" s="51"/>
      <c r="AU84" s="53"/>
      <c r="AV84" s="54"/>
      <c r="AW84" s="49"/>
      <c r="AX84" s="49"/>
      <c r="AY84" s="50"/>
      <c r="AZ84" s="50"/>
      <c r="BA84" s="51"/>
    </row>
    <row r="85" spans="1:53" ht="16">
      <c r="A85" s="45"/>
      <c r="B85" s="52"/>
      <c r="C85" s="6"/>
      <c r="D85" s="46"/>
      <c r="E85" s="47"/>
      <c r="F85" s="48"/>
      <c r="G85" s="49"/>
      <c r="H85" s="49"/>
      <c r="I85" s="50"/>
      <c r="J85" s="50"/>
      <c r="K85" s="51"/>
      <c r="L85" s="47"/>
      <c r="M85" s="48"/>
      <c r="N85" s="49"/>
      <c r="O85" s="49"/>
      <c r="P85" s="50"/>
      <c r="Q85" s="50"/>
      <c r="R85" s="51"/>
      <c r="S85" s="53"/>
      <c r="T85" s="54"/>
      <c r="U85" s="49"/>
      <c r="V85" s="49"/>
      <c r="W85" s="50"/>
      <c r="X85" s="50"/>
      <c r="Y85" s="51"/>
      <c r="Z85" s="53"/>
      <c r="AA85" s="54"/>
      <c r="AB85" s="49"/>
      <c r="AC85" s="49"/>
      <c r="AD85" s="50"/>
      <c r="AE85" s="50"/>
      <c r="AF85" s="51"/>
      <c r="AG85" s="53"/>
      <c r="AH85" s="54"/>
      <c r="AI85" s="49"/>
      <c r="AJ85" s="49"/>
      <c r="AK85" s="50"/>
      <c r="AL85" s="50"/>
      <c r="AM85" s="51"/>
      <c r="AN85" s="53"/>
      <c r="AO85" s="54"/>
      <c r="AP85" s="49"/>
      <c r="AQ85" s="49"/>
      <c r="AR85" s="50"/>
      <c r="AS85" s="50"/>
      <c r="AT85" s="51"/>
      <c r="AU85" s="53"/>
      <c r="AV85" s="54"/>
      <c r="AW85" s="49"/>
      <c r="AX85" s="49"/>
      <c r="AY85" s="50"/>
      <c r="AZ85" s="50"/>
      <c r="BA85" s="51"/>
    </row>
    <row r="86" spans="1:53" ht="16">
      <c r="A86" s="45"/>
      <c r="B86" s="52"/>
      <c r="C86" s="6"/>
      <c r="D86" s="46"/>
      <c r="E86" s="47"/>
      <c r="F86" s="48"/>
      <c r="G86" s="49"/>
      <c r="H86" s="49"/>
      <c r="I86" s="50"/>
      <c r="J86" s="50"/>
      <c r="K86" s="51"/>
      <c r="L86" s="47"/>
      <c r="M86" s="48"/>
      <c r="N86" s="49"/>
      <c r="O86" s="49"/>
      <c r="P86" s="50"/>
      <c r="Q86" s="50"/>
      <c r="R86" s="51"/>
      <c r="S86" s="53"/>
      <c r="T86" s="54"/>
      <c r="U86" s="49"/>
      <c r="V86" s="49"/>
      <c r="W86" s="50"/>
      <c r="X86" s="50"/>
      <c r="Y86" s="51"/>
      <c r="Z86" s="53"/>
      <c r="AA86" s="54"/>
      <c r="AB86" s="49"/>
      <c r="AC86" s="49"/>
      <c r="AD86" s="50"/>
      <c r="AE86" s="50"/>
      <c r="AF86" s="51"/>
      <c r="AG86" s="53"/>
      <c r="AH86" s="54"/>
      <c r="AI86" s="49"/>
      <c r="AJ86" s="49"/>
      <c r="AK86" s="50"/>
      <c r="AL86" s="50"/>
      <c r="AM86" s="51"/>
      <c r="AN86" s="53"/>
      <c r="AO86" s="54"/>
      <c r="AP86" s="49"/>
      <c r="AQ86" s="49"/>
      <c r="AR86" s="50"/>
      <c r="AS86" s="50"/>
      <c r="AT86" s="51"/>
      <c r="AU86" s="53"/>
      <c r="AV86" s="54"/>
      <c r="AW86" s="49"/>
      <c r="AX86" s="49"/>
      <c r="AY86" s="50"/>
      <c r="AZ86" s="50"/>
      <c r="BA86" s="51"/>
    </row>
    <row r="87" spans="1:53" ht="16">
      <c r="A87" s="45"/>
      <c r="B87" s="52"/>
      <c r="C87" s="6"/>
      <c r="D87" s="46"/>
      <c r="E87" s="47"/>
      <c r="F87" s="48"/>
      <c r="G87" s="49"/>
      <c r="H87" s="49"/>
      <c r="I87" s="50"/>
      <c r="J87" s="50"/>
      <c r="K87" s="51"/>
      <c r="L87" s="47"/>
      <c r="M87" s="48"/>
      <c r="N87" s="49"/>
      <c r="O87" s="49"/>
      <c r="P87" s="50"/>
      <c r="Q87" s="50"/>
      <c r="R87" s="51"/>
      <c r="S87" s="53"/>
      <c r="T87" s="54"/>
      <c r="U87" s="49"/>
      <c r="V87" s="49"/>
      <c r="W87" s="50"/>
      <c r="X87" s="50"/>
      <c r="Y87" s="51"/>
      <c r="Z87" s="53"/>
      <c r="AA87" s="54"/>
      <c r="AB87" s="49"/>
      <c r="AC87" s="49"/>
      <c r="AD87" s="50"/>
      <c r="AE87" s="50"/>
      <c r="AF87" s="51"/>
      <c r="AG87" s="53"/>
      <c r="AH87" s="54"/>
      <c r="AI87" s="49"/>
      <c r="AJ87" s="49"/>
      <c r="AK87" s="50"/>
      <c r="AL87" s="50"/>
      <c r="AM87" s="51"/>
      <c r="AN87" s="53"/>
      <c r="AO87" s="54"/>
      <c r="AP87" s="49"/>
      <c r="AQ87" s="49"/>
      <c r="AR87" s="50"/>
      <c r="AS87" s="50"/>
      <c r="AT87" s="51"/>
      <c r="AU87" s="53"/>
      <c r="AV87" s="54"/>
      <c r="AW87" s="49"/>
      <c r="AX87" s="49"/>
      <c r="AY87" s="50"/>
      <c r="AZ87" s="50"/>
      <c r="BA87" s="51"/>
    </row>
    <row r="88" spans="1:53" ht="16">
      <c r="A88" s="45"/>
      <c r="B88" s="52"/>
      <c r="C88" s="6"/>
      <c r="D88" s="46"/>
      <c r="E88" s="47"/>
      <c r="F88" s="48"/>
      <c r="G88" s="49"/>
      <c r="H88" s="49"/>
      <c r="I88" s="50"/>
      <c r="J88" s="50"/>
      <c r="K88" s="51"/>
      <c r="L88" s="47"/>
      <c r="M88" s="48"/>
      <c r="N88" s="49"/>
      <c r="O88" s="49"/>
      <c r="P88" s="50"/>
      <c r="Q88" s="50"/>
      <c r="R88" s="51"/>
      <c r="S88" s="53"/>
      <c r="T88" s="54"/>
      <c r="U88" s="49"/>
      <c r="V88" s="49"/>
      <c r="W88" s="50"/>
      <c r="X88" s="50"/>
      <c r="Y88" s="51"/>
      <c r="Z88" s="53"/>
      <c r="AA88" s="54"/>
      <c r="AB88" s="49"/>
      <c r="AC88" s="49"/>
      <c r="AD88" s="50"/>
      <c r="AE88" s="50"/>
      <c r="AF88" s="51"/>
      <c r="AG88" s="53"/>
      <c r="AH88" s="54"/>
      <c r="AI88" s="49"/>
      <c r="AJ88" s="49"/>
      <c r="AK88" s="50"/>
      <c r="AL88" s="50"/>
      <c r="AM88" s="51"/>
      <c r="AN88" s="53"/>
      <c r="AO88" s="54"/>
      <c r="AP88" s="49"/>
      <c r="AQ88" s="49"/>
      <c r="AR88" s="50"/>
      <c r="AS88" s="50"/>
      <c r="AT88" s="51"/>
      <c r="AU88" s="53"/>
      <c r="AV88" s="54"/>
      <c r="AW88" s="49"/>
      <c r="AX88" s="49"/>
      <c r="AY88" s="50"/>
      <c r="AZ88" s="50"/>
      <c r="BA88" s="51"/>
    </row>
    <row r="89" spans="1:53" ht="16">
      <c r="A89" s="45"/>
      <c r="B89" s="52"/>
      <c r="C89" s="6"/>
      <c r="D89" s="46"/>
      <c r="E89" s="47"/>
      <c r="F89" s="48"/>
      <c r="G89" s="49"/>
      <c r="H89" s="49"/>
      <c r="I89" s="50"/>
      <c r="J89" s="50"/>
      <c r="K89" s="51"/>
      <c r="L89" s="47"/>
      <c r="M89" s="48"/>
      <c r="N89" s="49"/>
      <c r="O89" s="49"/>
      <c r="P89" s="50"/>
      <c r="Q89" s="50"/>
      <c r="R89" s="51"/>
      <c r="S89" s="53"/>
      <c r="T89" s="54"/>
      <c r="U89" s="49"/>
      <c r="V89" s="49"/>
      <c r="W89" s="50"/>
      <c r="X89" s="50"/>
      <c r="Y89" s="51"/>
      <c r="Z89" s="53"/>
      <c r="AA89" s="54"/>
      <c r="AB89" s="49"/>
      <c r="AC89" s="49"/>
      <c r="AD89" s="50"/>
      <c r="AE89" s="50"/>
      <c r="AF89" s="51"/>
      <c r="AG89" s="53"/>
      <c r="AH89" s="54"/>
      <c r="AI89" s="49"/>
      <c r="AJ89" s="49"/>
      <c r="AK89" s="50"/>
      <c r="AL89" s="50"/>
      <c r="AM89" s="51"/>
      <c r="AN89" s="53"/>
      <c r="AO89" s="54"/>
      <c r="AP89" s="49"/>
      <c r="AQ89" s="49"/>
      <c r="AR89" s="50"/>
      <c r="AS89" s="50"/>
      <c r="AT89" s="51"/>
      <c r="AU89" s="53"/>
      <c r="AV89" s="54"/>
      <c r="AW89" s="49"/>
      <c r="AX89" s="49"/>
      <c r="AY89" s="50"/>
      <c r="AZ89" s="50"/>
      <c r="BA89" s="51"/>
    </row>
    <row r="90" spans="1:53" ht="16">
      <c r="A90" s="45"/>
      <c r="B90" s="52"/>
      <c r="C90" s="6"/>
      <c r="D90" s="46"/>
      <c r="E90" s="47"/>
      <c r="F90" s="48"/>
      <c r="G90" s="49"/>
      <c r="H90" s="49"/>
      <c r="I90" s="50"/>
      <c r="J90" s="50"/>
      <c r="K90" s="51"/>
      <c r="L90" s="47"/>
      <c r="M90" s="48"/>
      <c r="N90" s="49"/>
      <c r="O90" s="49"/>
      <c r="P90" s="50"/>
      <c r="Q90" s="50"/>
      <c r="R90" s="51"/>
      <c r="S90" s="53"/>
      <c r="T90" s="54"/>
      <c r="U90" s="49"/>
      <c r="V90" s="49"/>
      <c r="W90" s="50"/>
      <c r="X90" s="50"/>
      <c r="Y90" s="51"/>
      <c r="Z90" s="53"/>
      <c r="AA90" s="54"/>
      <c r="AB90" s="49"/>
      <c r="AC90" s="49"/>
      <c r="AD90" s="50"/>
      <c r="AE90" s="50"/>
      <c r="AF90" s="51"/>
      <c r="AG90" s="53"/>
      <c r="AH90" s="54"/>
      <c r="AI90" s="49"/>
      <c r="AJ90" s="49"/>
      <c r="AK90" s="50"/>
      <c r="AL90" s="50"/>
      <c r="AM90" s="51"/>
      <c r="AN90" s="53"/>
      <c r="AO90" s="54"/>
      <c r="AP90" s="49"/>
      <c r="AQ90" s="49"/>
      <c r="AR90" s="50"/>
      <c r="AS90" s="50"/>
      <c r="AT90" s="51"/>
      <c r="AU90" s="53"/>
      <c r="AV90" s="54"/>
      <c r="AW90" s="49"/>
      <c r="AX90" s="49"/>
      <c r="AY90" s="50"/>
      <c r="AZ90" s="50"/>
      <c r="BA90" s="51"/>
    </row>
    <row r="91" spans="1:53" ht="16">
      <c r="A91" s="45"/>
      <c r="B91" s="52"/>
      <c r="C91" s="6"/>
      <c r="D91" s="46"/>
      <c r="E91" s="47"/>
      <c r="F91" s="48"/>
      <c r="G91" s="49"/>
      <c r="H91" s="49"/>
      <c r="I91" s="50"/>
      <c r="J91" s="50"/>
      <c r="K91" s="51"/>
      <c r="L91" s="47"/>
      <c r="M91" s="48"/>
      <c r="N91" s="49"/>
      <c r="O91" s="49"/>
      <c r="P91" s="50"/>
      <c r="Q91" s="50"/>
      <c r="R91" s="51"/>
      <c r="S91" s="53"/>
      <c r="T91" s="54"/>
      <c r="U91" s="49"/>
      <c r="V91" s="49"/>
      <c r="W91" s="50"/>
      <c r="X91" s="50"/>
      <c r="Y91" s="51"/>
      <c r="Z91" s="53"/>
      <c r="AA91" s="54"/>
      <c r="AB91" s="49"/>
      <c r="AC91" s="49"/>
      <c r="AD91" s="50"/>
      <c r="AE91" s="50"/>
      <c r="AF91" s="51"/>
      <c r="AG91" s="53"/>
      <c r="AH91" s="54"/>
      <c r="AI91" s="49"/>
      <c r="AJ91" s="49"/>
      <c r="AK91" s="50"/>
      <c r="AL91" s="50"/>
      <c r="AM91" s="51"/>
      <c r="AN91" s="53"/>
      <c r="AO91" s="54"/>
      <c r="AP91" s="49"/>
      <c r="AQ91" s="49"/>
      <c r="AR91" s="50"/>
      <c r="AS91" s="50"/>
      <c r="AT91" s="51"/>
      <c r="AU91" s="53"/>
      <c r="AV91" s="54"/>
      <c r="AW91" s="49"/>
      <c r="AX91" s="49"/>
      <c r="AY91" s="50"/>
      <c r="AZ91" s="50"/>
      <c r="BA91" s="51"/>
    </row>
    <row r="92" spans="1:53" ht="16">
      <c r="A92" s="45"/>
      <c r="B92" s="52"/>
      <c r="C92" s="6"/>
      <c r="D92" s="46"/>
      <c r="E92" s="47"/>
      <c r="F92" s="48"/>
      <c r="G92" s="49"/>
      <c r="H92" s="49"/>
      <c r="I92" s="50"/>
      <c r="J92" s="50"/>
      <c r="K92" s="51"/>
      <c r="L92" s="47"/>
      <c r="M92" s="48"/>
      <c r="N92" s="49"/>
      <c r="O92" s="49"/>
      <c r="P92" s="50"/>
      <c r="Q92" s="50"/>
      <c r="R92" s="51"/>
      <c r="S92" s="53"/>
      <c r="T92" s="54"/>
      <c r="U92" s="49"/>
      <c r="V92" s="49"/>
      <c r="W92" s="50"/>
      <c r="X92" s="50"/>
      <c r="Y92" s="51"/>
      <c r="Z92" s="53"/>
      <c r="AA92" s="54"/>
      <c r="AB92" s="49"/>
      <c r="AC92" s="49"/>
      <c r="AD92" s="50"/>
      <c r="AE92" s="50"/>
      <c r="AF92" s="51"/>
      <c r="AG92" s="53"/>
      <c r="AH92" s="54"/>
      <c r="AI92" s="49"/>
      <c r="AJ92" s="49"/>
      <c r="AK92" s="50"/>
      <c r="AL92" s="50"/>
      <c r="AM92" s="51"/>
      <c r="AN92" s="53"/>
      <c r="AO92" s="54"/>
      <c r="AP92" s="49"/>
      <c r="AQ92" s="49"/>
      <c r="AR92" s="50"/>
      <c r="AS92" s="50"/>
      <c r="AT92" s="51"/>
      <c r="AU92" s="53"/>
      <c r="AV92" s="54"/>
      <c r="AW92" s="49"/>
      <c r="AX92" s="49"/>
      <c r="AY92" s="50"/>
      <c r="AZ92" s="50"/>
      <c r="BA92" s="51"/>
    </row>
    <row r="93" spans="1:53" ht="16">
      <c r="A93" s="45"/>
      <c r="B93" s="52"/>
      <c r="C93" s="6"/>
      <c r="D93" s="46"/>
      <c r="E93" s="47"/>
      <c r="F93" s="48"/>
      <c r="G93" s="49"/>
      <c r="H93" s="49"/>
      <c r="I93" s="50"/>
      <c r="J93" s="50"/>
      <c r="K93" s="51"/>
      <c r="L93" s="47"/>
      <c r="M93" s="48"/>
      <c r="N93" s="49"/>
      <c r="O93" s="49"/>
      <c r="P93" s="50"/>
      <c r="Q93" s="50"/>
      <c r="R93" s="51"/>
      <c r="S93" s="53"/>
      <c r="T93" s="54"/>
      <c r="U93" s="49"/>
      <c r="V93" s="49"/>
      <c r="W93" s="50"/>
      <c r="X93" s="50"/>
      <c r="Y93" s="51"/>
      <c r="Z93" s="53"/>
      <c r="AA93" s="54"/>
      <c r="AB93" s="49"/>
      <c r="AC93" s="49"/>
      <c r="AD93" s="50"/>
      <c r="AE93" s="50"/>
      <c r="AF93" s="51"/>
      <c r="AG93" s="53"/>
      <c r="AH93" s="54"/>
      <c r="AI93" s="49"/>
      <c r="AJ93" s="49"/>
      <c r="AK93" s="50"/>
      <c r="AL93" s="50"/>
      <c r="AM93" s="51"/>
      <c r="AN93" s="53"/>
      <c r="AO93" s="54"/>
      <c r="AP93" s="49"/>
      <c r="AQ93" s="49"/>
      <c r="AR93" s="50"/>
      <c r="AS93" s="50"/>
      <c r="AT93" s="51"/>
      <c r="AU93" s="53"/>
      <c r="AV93" s="54"/>
      <c r="AW93" s="49"/>
      <c r="AX93" s="49"/>
      <c r="AY93" s="50"/>
      <c r="AZ93" s="50"/>
      <c r="BA93" s="51"/>
    </row>
    <row r="94" spans="1:53" ht="16">
      <c r="A94" s="45"/>
      <c r="B94" s="52"/>
      <c r="C94" s="6"/>
      <c r="D94" s="46"/>
      <c r="E94" s="47"/>
      <c r="F94" s="48"/>
      <c r="G94" s="49"/>
      <c r="H94" s="49"/>
      <c r="I94" s="50"/>
      <c r="J94" s="50"/>
      <c r="K94" s="51"/>
      <c r="L94" s="47"/>
      <c r="M94" s="48"/>
      <c r="N94" s="49"/>
      <c r="O94" s="49"/>
      <c r="P94" s="50"/>
      <c r="Q94" s="50"/>
      <c r="R94" s="51"/>
      <c r="S94" s="53"/>
      <c r="T94" s="54"/>
      <c r="U94" s="49"/>
      <c r="V94" s="49"/>
      <c r="W94" s="50"/>
      <c r="X94" s="50"/>
      <c r="Y94" s="51"/>
      <c r="Z94" s="53"/>
      <c r="AA94" s="54"/>
      <c r="AB94" s="49"/>
      <c r="AC94" s="49"/>
      <c r="AD94" s="50"/>
      <c r="AE94" s="50"/>
      <c r="AF94" s="51"/>
      <c r="AG94" s="53"/>
      <c r="AH94" s="54"/>
      <c r="AI94" s="49"/>
      <c r="AJ94" s="49"/>
      <c r="AK94" s="50"/>
      <c r="AL94" s="50"/>
      <c r="AM94" s="51"/>
      <c r="AN94" s="53"/>
      <c r="AO94" s="54"/>
      <c r="AP94" s="49"/>
      <c r="AQ94" s="49"/>
      <c r="AR94" s="50"/>
      <c r="AS94" s="50"/>
      <c r="AT94" s="51"/>
      <c r="AU94" s="53"/>
      <c r="AV94" s="54"/>
      <c r="AW94" s="49"/>
      <c r="AX94" s="49"/>
      <c r="AY94" s="50"/>
      <c r="AZ94" s="50"/>
      <c r="BA94" s="51"/>
    </row>
    <row r="95" spans="1:53" ht="16">
      <c r="A95" s="45"/>
      <c r="B95" s="52"/>
      <c r="C95" s="6"/>
      <c r="D95" s="46"/>
      <c r="E95" s="47"/>
      <c r="F95" s="48"/>
      <c r="G95" s="49"/>
      <c r="H95" s="49"/>
      <c r="I95" s="50"/>
      <c r="J95" s="50"/>
      <c r="K95" s="51"/>
      <c r="L95" s="47"/>
      <c r="M95" s="48"/>
      <c r="N95" s="49"/>
      <c r="O95" s="49"/>
      <c r="P95" s="50"/>
      <c r="Q95" s="50"/>
      <c r="R95" s="51"/>
      <c r="S95" s="53"/>
      <c r="T95" s="54"/>
      <c r="U95" s="49"/>
      <c r="V95" s="49"/>
      <c r="W95" s="50"/>
      <c r="X95" s="50"/>
      <c r="Y95" s="51"/>
      <c r="Z95" s="53"/>
      <c r="AA95" s="54"/>
      <c r="AB95" s="49"/>
      <c r="AC95" s="49"/>
      <c r="AD95" s="50"/>
      <c r="AE95" s="50"/>
      <c r="AF95" s="51"/>
      <c r="AG95" s="53"/>
      <c r="AH95" s="54"/>
      <c r="AI95" s="49"/>
      <c r="AJ95" s="49"/>
      <c r="AK95" s="50"/>
      <c r="AL95" s="50"/>
      <c r="AM95" s="51"/>
      <c r="AN95" s="53"/>
      <c r="AO95" s="54"/>
      <c r="AP95" s="49"/>
      <c r="AQ95" s="49"/>
      <c r="AR95" s="50"/>
      <c r="AS95" s="50"/>
      <c r="AT95" s="51"/>
      <c r="AU95" s="53"/>
      <c r="AV95" s="54"/>
      <c r="AW95" s="49"/>
      <c r="AX95" s="49"/>
      <c r="AY95" s="50"/>
      <c r="AZ95" s="50"/>
      <c r="BA95" s="51"/>
    </row>
    <row r="96" spans="1:53" ht="16">
      <c r="A96" s="45"/>
      <c r="B96" s="52"/>
      <c r="C96" s="6"/>
      <c r="D96" s="46"/>
      <c r="E96" s="47"/>
      <c r="F96" s="48"/>
      <c r="G96" s="49"/>
      <c r="H96" s="49"/>
      <c r="I96" s="50"/>
      <c r="J96" s="50"/>
      <c r="K96" s="51"/>
      <c r="L96" s="47"/>
      <c r="M96" s="48"/>
      <c r="N96" s="49"/>
      <c r="O96" s="49"/>
      <c r="P96" s="50"/>
      <c r="Q96" s="50"/>
      <c r="R96" s="51"/>
      <c r="S96" s="53"/>
      <c r="T96" s="54"/>
      <c r="U96" s="49"/>
      <c r="V96" s="49"/>
      <c r="W96" s="50"/>
      <c r="X96" s="50"/>
      <c r="Y96" s="51"/>
      <c r="Z96" s="53"/>
      <c r="AA96" s="54"/>
      <c r="AB96" s="49"/>
      <c r="AC96" s="49"/>
      <c r="AD96" s="50"/>
      <c r="AE96" s="50"/>
      <c r="AF96" s="51"/>
      <c r="AG96" s="53"/>
      <c r="AH96" s="54"/>
      <c r="AI96" s="49"/>
      <c r="AJ96" s="49"/>
      <c r="AK96" s="50"/>
      <c r="AL96" s="50"/>
      <c r="AM96" s="51"/>
      <c r="AN96" s="53"/>
      <c r="AO96" s="54"/>
      <c r="AP96" s="49"/>
      <c r="AQ96" s="49"/>
      <c r="AR96" s="50"/>
      <c r="AS96" s="50"/>
      <c r="AT96" s="51"/>
      <c r="AU96" s="53"/>
      <c r="AV96" s="54"/>
      <c r="AW96" s="49"/>
      <c r="AX96" s="49"/>
      <c r="AY96" s="50"/>
      <c r="AZ96" s="50"/>
      <c r="BA96" s="51"/>
    </row>
    <row r="97" spans="1:53" ht="16">
      <c r="A97" s="45"/>
      <c r="B97" s="52"/>
      <c r="C97" s="6"/>
      <c r="D97" s="46"/>
      <c r="E97" s="47"/>
      <c r="F97" s="48"/>
      <c r="G97" s="49"/>
      <c r="H97" s="49"/>
      <c r="I97" s="50"/>
      <c r="J97" s="50"/>
      <c r="K97" s="51"/>
      <c r="L97" s="47"/>
      <c r="M97" s="48"/>
      <c r="N97" s="49"/>
      <c r="O97" s="49"/>
      <c r="P97" s="50"/>
      <c r="Q97" s="50"/>
      <c r="R97" s="51"/>
      <c r="S97" s="53"/>
      <c r="T97" s="54"/>
      <c r="U97" s="49"/>
      <c r="V97" s="49"/>
      <c r="W97" s="50"/>
      <c r="X97" s="50"/>
      <c r="Y97" s="51"/>
      <c r="Z97" s="53"/>
      <c r="AA97" s="54"/>
      <c r="AB97" s="49"/>
      <c r="AC97" s="49"/>
      <c r="AD97" s="50"/>
      <c r="AE97" s="50"/>
      <c r="AF97" s="51"/>
      <c r="AG97" s="53"/>
      <c r="AH97" s="54"/>
      <c r="AI97" s="49"/>
      <c r="AJ97" s="49"/>
      <c r="AK97" s="50"/>
      <c r="AL97" s="50"/>
      <c r="AM97" s="51"/>
      <c r="AN97" s="53"/>
      <c r="AO97" s="54"/>
      <c r="AP97" s="49"/>
      <c r="AQ97" s="49"/>
      <c r="AR97" s="50"/>
      <c r="AS97" s="50"/>
      <c r="AT97" s="51"/>
      <c r="AU97" s="53"/>
      <c r="AV97" s="54"/>
      <c r="AW97" s="49"/>
      <c r="AX97" s="49"/>
      <c r="AY97" s="50"/>
      <c r="AZ97" s="50"/>
      <c r="BA97" s="51"/>
    </row>
    <row r="98" spans="1:53" ht="16">
      <c r="A98" s="45"/>
      <c r="B98" s="52"/>
      <c r="C98" s="6"/>
      <c r="D98" s="46"/>
      <c r="E98" s="47"/>
      <c r="F98" s="48"/>
      <c r="G98" s="49"/>
      <c r="H98" s="49"/>
      <c r="I98" s="50"/>
      <c r="J98" s="50"/>
      <c r="K98" s="51"/>
      <c r="L98" s="47"/>
      <c r="M98" s="48"/>
      <c r="N98" s="49"/>
      <c r="O98" s="49"/>
      <c r="P98" s="50"/>
      <c r="Q98" s="50"/>
      <c r="R98" s="51"/>
      <c r="S98" s="53"/>
      <c r="T98" s="54"/>
      <c r="U98" s="49"/>
      <c r="V98" s="49"/>
      <c r="W98" s="50"/>
      <c r="X98" s="50"/>
      <c r="Y98" s="51"/>
      <c r="Z98" s="53"/>
      <c r="AA98" s="54"/>
      <c r="AB98" s="49"/>
      <c r="AC98" s="49"/>
      <c r="AD98" s="50"/>
      <c r="AE98" s="50"/>
      <c r="AF98" s="51"/>
      <c r="AG98" s="53"/>
      <c r="AH98" s="54"/>
      <c r="AI98" s="49"/>
      <c r="AJ98" s="49"/>
      <c r="AK98" s="50"/>
      <c r="AL98" s="50"/>
      <c r="AM98" s="51"/>
      <c r="AN98" s="53"/>
      <c r="AO98" s="54"/>
      <c r="AP98" s="49"/>
      <c r="AQ98" s="49"/>
      <c r="AR98" s="50"/>
      <c r="AS98" s="50"/>
      <c r="AT98" s="51"/>
      <c r="AU98" s="53"/>
      <c r="AV98" s="54"/>
      <c r="AW98" s="49"/>
      <c r="AX98" s="49"/>
      <c r="AY98" s="50"/>
      <c r="AZ98" s="50"/>
      <c r="BA98" s="51"/>
    </row>
    <row r="99" spans="1:53" ht="16">
      <c r="A99" s="45"/>
      <c r="B99" s="52"/>
      <c r="C99" s="6"/>
      <c r="D99" s="46"/>
      <c r="E99" s="47"/>
      <c r="F99" s="48"/>
      <c r="G99" s="49"/>
      <c r="H99" s="49"/>
      <c r="I99" s="50"/>
      <c r="J99" s="50"/>
      <c r="K99" s="51"/>
      <c r="L99" s="47"/>
      <c r="M99" s="48"/>
      <c r="N99" s="49"/>
      <c r="O99" s="49"/>
      <c r="P99" s="50"/>
      <c r="Q99" s="50"/>
      <c r="R99" s="51"/>
      <c r="S99" s="53"/>
      <c r="T99" s="54"/>
      <c r="U99" s="49"/>
      <c r="V99" s="49"/>
      <c r="W99" s="50"/>
      <c r="X99" s="50"/>
      <c r="Y99" s="51"/>
      <c r="Z99" s="53"/>
      <c r="AA99" s="54"/>
      <c r="AB99" s="49"/>
      <c r="AC99" s="49"/>
      <c r="AD99" s="50"/>
      <c r="AE99" s="50"/>
      <c r="AF99" s="51"/>
      <c r="AG99" s="53"/>
      <c r="AH99" s="54"/>
      <c r="AI99" s="49"/>
      <c r="AJ99" s="49"/>
      <c r="AK99" s="50"/>
      <c r="AL99" s="50"/>
      <c r="AM99" s="51"/>
      <c r="AN99" s="53"/>
      <c r="AO99" s="54"/>
      <c r="AP99" s="49"/>
      <c r="AQ99" s="49"/>
      <c r="AR99" s="50"/>
      <c r="AS99" s="50"/>
      <c r="AT99" s="51"/>
      <c r="AU99" s="53"/>
      <c r="AV99" s="54"/>
      <c r="AW99" s="49"/>
      <c r="AX99" s="49"/>
      <c r="AY99" s="50"/>
      <c r="AZ99" s="50"/>
      <c r="BA99" s="51"/>
    </row>
    <row r="100" spans="1:53" ht="16">
      <c r="A100" s="45"/>
      <c r="B100" s="52"/>
      <c r="C100" s="6"/>
      <c r="D100" s="46"/>
      <c r="E100" s="47"/>
      <c r="F100" s="48"/>
      <c r="G100" s="49"/>
      <c r="H100" s="49"/>
      <c r="I100" s="50"/>
      <c r="J100" s="50"/>
      <c r="K100" s="51"/>
      <c r="L100" s="47"/>
      <c r="M100" s="48"/>
      <c r="N100" s="49"/>
      <c r="O100" s="49"/>
      <c r="P100" s="50"/>
      <c r="Q100" s="50"/>
      <c r="R100" s="51"/>
      <c r="S100" s="53"/>
      <c r="T100" s="54"/>
      <c r="U100" s="49"/>
      <c r="V100" s="49"/>
      <c r="W100" s="50"/>
      <c r="X100" s="50"/>
      <c r="Y100" s="51"/>
      <c r="Z100" s="53"/>
      <c r="AA100" s="54"/>
      <c r="AB100" s="49"/>
      <c r="AC100" s="49"/>
      <c r="AD100" s="50"/>
      <c r="AE100" s="50"/>
      <c r="AF100" s="51"/>
      <c r="AG100" s="53"/>
      <c r="AH100" s="54"/>
      <c r="AI100" s="49"/>
      <c r="AJ100" s="49"/>
      <c r="AK100" s="50"/>
      <c r="AL100" s="50"/>
      <c r="AM100" s="51"/>
      <c r="AN100" s="53"/>
      <c r="AO100" s="54"/>
      <c r="AP100" s="49"/>
      <c r="AQ100" s="49"/>
      <c r="AR100" s="50"/>
      <c r="AS100" s="50"/>
      <c r="AT100" s="51"/>
      <c r="AU100" s="53"/>
      <c r="AV100" s="54"/>
      <c r="AW100" s="49"/>
      <c r="AX100" s="49"/>
      <c r="AY100" s="50"/>
      <c r="AZ100" s="50"/>
      <c r="BA100" s="51"/>
    </row>
    <row r="101" spans="1:53" ht="16">
      <c r="A101" s="45"/>
      <c r="B101" s="52"/>
      <c r="C101" s="6"/>
      <c r="D101" s="46"/>
      <c r="E101" s="47"/>
      <c r="F101" s="48"/>
      <c r="G101" s="49"/>
      <c r="H101" s="49"/>
      <c r="I101" s="50"/>
      <c r="J101" s="50"/>
      <c r="K101" s="51"/>
      <c r="L101" s="47"/>
      <c r="M101" s="48"/>
      <c r="N101" s="49"/>
      <c r="O101" s="49"/>
      <c r="P101" s="50"/>
      <c r="Q101" s="50"/>
      <c r="R101" s="51"/>
      <c r="S101" s="53"/>
      <c r="T101" s="54"/>
      <c r="U101" s="49"/>
      <c r="V101" s="49"/>
      <c r="W101" s="50"/>
      <c r="X101" s="50"/>
      <c r="Y101" s="51"/>
      <c r="Z101" s="53"/>
      <c r="AA101" s="54"/>
      <c r="AB101" s="49"/>
      <c r="AC101" s="49"/>
      <c r="AD101" s="50"/>
      <c r="AE101" s="50"/>
      <c r="AF101" s="51"/>
      <c r="AG101" s="53"/>
      <c r="AH101" s="54"/>
      <c r="AI101" s="49"/>
      <c r="AJ101" s="49"/>
      <c r="AK101" s="50"/>
      <c r="AL101" s="50"/>
      <c r="AM101" s="51"/>
      <c r="AN101" s="53"/>
      <c r="AO101" s="54"/>
      <c r="AP101" s="49"/>
      <c r="AQ101" s="49"/>
      <c r="AR101" s="50"/>
      <c r="AS101" s="50"/>
      <c r="AT101" s="51"/>
      <c r="AU101" s="53"/>
      <c r="AV101" s="54"/>
      <c r="AW101" s="49"/>
      <c r="AX101" s="49"/>
      <c r="AY101" s="50"/>
      <c r="AZ101" s="50"/>
      <c r="BA101" s="51"/>
    </row>
    <row r="102" spans="1:53" ht="16">
      <c r="A102" s="45"/>
      <c r="B102" s="52"/>
      <c r="C102" s="6"/>
      <c r="D102" s="46"/>
      <c r="E102" s="47"/>
      <c r="F102" s="48"/>
      <c r="G102" s="49"/>
      <c r="H102" s="49"/>
      <c r="I102" s="50"/>
      <c r="J102" s="50"/>
      <c r="K102" s="51"/>
      <c r="L102" s="47"/>
      <c r="M102" s="48"/>
      <c r="N102" s="49"/>
      <c r="O102" s="49"/>
      <c r="P102" s="50"/>
      <c r="Q102" s="50"/>
      <c r="R102" s="51"/>
      <c r="S102" s="53"/>
      <c r="T102" s="54"/>
      <c r="U102" s="49"/>
      <c r="V102" s="49"/>
      <c r="W102" s="50"/>
      <c r="X102" s="50"/>
      <c r="Y102" s="51"/>
      <c r="Z102" s="53"/>
      <c r="AA102" s="54"/>
      <c r="AB102" s="49"/>
      <c r="AC102" s="49"/>
      <c r="AD102" s="50"/>
      <c r="AE102" s="50"/>
      <c r="AF102" s="51"/>
      <c r="AG102" s="53"/>
      <c r="AH102" s="54"/>
      <c r="AI102" s="49"/>
      <c r="AJ102" s="49"/>
      <c r="AK102" s="50"/>
      <c r="AL102" s="50"/>
      <c r="AM102" s="51"/>
      <c r="AN102" s="53"/>
      <c r="AO102" s="54"/>
      <c r="AP102" s="49"/>
      <c r="AQ102" s="49"/>
      <c r="AR102" s="50"/>
      <c r="AS102" s="50"/>
      <c r="AT102" s="51"/>
      <c r="AU102" s="53"/>
      <c r="AV102" s="54"/>
      <c r="AW102" s="49"/>
      <c r="AX102" s="49"/>
      <c r="AY102" s="50"/>
      <c r="AZ102" s="50"/>
      <c r="BA102" s="51"/>
    </row>
    <row r="103" spans="1:53" ht="16">
      <c r="A103" s="45"/>
      <c r="B103" s="52"/>
      <c r="C103" s="6"/>
      <c r="D103" s="46"/>
      <c r="E103" s="47"/>
      <c r="F103" s="48"/>
      <c r="G103" s="49"/>
      <c r="H103" s="49"/>
      <c r="I103" s="50"/>
      <c r="J103" s="50"/>
      <c r="K103" s="51"/>
      <c r="L103" s="47"/>
      <c r="M103" s="48"/>
      <c r="N103" s="49"/>
      <c r="O103" s="49"/>
      <c r="P103" s="50"/>
      <c r="Q103" s="50"/>
      <c r="R103" s="51"/>
      <c r="S103" s="53"/>
      <c r="T103" s="54"/>
      <c r="U103" s="49"/>
      <c r="V103" s="49"/>
      <c r="W103" s="50"/>
      <c r="X103" s="50"/>
      <c r="Y103" s="51"/>
      <c r="Z103" s="53"/>
      <c r="AA103" s="54"/>
      <c r="AB103" s="49"/>
      <c r="AC103" s="49"/>
      <c r="AD103" s="50"/>
      <c r="AE103" s="50"/>
      <c r="AF103" s="51"/>
      <c r="AG103" s="53"/>
      <c r="AH103" s="54"/>
      <c r="AI103" s="49"/>
      <c r="AJ103" s="49"/>
      <c r="AK103" s="50"/>
      <c r="AL103" s="50"/>
      <c r="AM103" s="51"/>
      <c r="AN103" s="53"/>
      <c r="AO103" s="54"/>
      <c r="AP103" s="49"/>
      <c r="AQ103" s="49"/>
      <c r="AR103" s="50"/>
      <c r="AS103" s="50"/>
      <c r="AT103" s="51"/>
      <c r="AU103" s="53"/>
      <c r="AV103" s="54"/>
      <c r="AW103" s="49"/>
      <c r="AX103" s="49"/>
      <c r="AY103" s="50"/>
      <c r="AZ103" s="50"/>
      <c r="BA103" s="51"/>
    </row>
    <row r="104" spans="1:53" ht="16">
      <c r="A104" s="45"/>
      <c r="B104" s="52"/>
      <c r="C104" s="6"/>
      <c r="D104" s="46"/>
      <c r="E104" s="47"/>
      <c r="F104" s="48"/>
      <c r="G104" s="49"/>
      <c r="H104" s="49"/>
      <c r="I104" s="50"/>
      <c r="J104" s="50"/>
      <c r="K104" s="51"/>
      <c r="L104" s="47"/>
      <c r="M104" s="48"/>
      <c r="N104" s="49"/>
      <c r="O104" s="49"/>
      <c r="P104" s="50"/>
      <c r="Q104" s="50"/>
      <c r="R104" s="51"/>
      <c r="S104" s="53"/>
      <c r="T104" s="54"/>
      <c r="U104" s="49"/>
      <c r="V104" s="49"/>
      <c r="W104" s="50"/>
      <c r="X104" s="50"/>
      <c r="Y104" s="51"/>
      <c r="Z104" s="53"/>
      <c r="AA104" s="54"/>
      <c r="AB104" s="49"/>
      <c r="AC104" s="49"/>
      <c r="AD104" s="50"/>
      <c r="AE104" s="50"/>
      <c r="AF104" s="51"/>
      <c r="AG104" s="53"/>
      <c r="AH104" s="54"/>
      <c r="AI104" s="49"/>
      <c r="AJ104" s="49"/>
      <c r="AK104" s="50"/>
      <c r="AL104" s="50"/>
      <c r="AM104" s="51"/>
      <c r="AN104" s="53"/>
      <c r="AO104" s="54"/>
      <c r="AP104" s="49"/>
      <c r="AQ104" s="49"/>
      <c r="AR104" s="50"/>
      <c r="AS104" s="50"/>
      <c r="AT104" s="51"/>
      <c r="AU104" s="53"/>
      <c r="AV104" s="54"/>
      <c r="AW104" s="49"/>
      <c r="AX104" s="49"/>
      <c r="AY104" s="50"/>
      <c r="AZ104" s="50"/>
      <c r="BA104" s="51"/>
    </row>
    <row r="105" spans="1:53" ht="16">
      <c r="A105" s="45"/>
      <c r="B105" s="52"/>
      <c r="C105" s="6"/>
      <c r="D105" s="46"/>
      <c r="E105" s="47"/>
      <c r="F105" s="48"/>
      <c r="G105" s="49"/>
      <c r="H105" s="49"/>
      <c r="I105" s="50"/>
      <c r="J105" s="50"/>
      <c r="K105" s="51"/>
      <c r="L105" s="47"/>
      <c r="M105" s="48"/>
      <c r="N105" s="49"/>
      <c r="O105" s="49"/>
      <c r="P105" s="50"/>
      <c r="Q105" s="50"/>
      <c r="R105" s="51"/>
      <c r="S105" s="53"/>
      <c r="T105" s="54"/>
      <c r="U105" s="49"/>
      <c r="V105" s="49"/>
      <c r="W105" s="50"/>
      <c r="X105" s="50"/>
      <c r="Y105" s="51"/>
      <c r="Z105" s="53"/>
      <c r="AA105" s="54"/>
      <c r="AB105" s="49"/>
      <c r="AC105" s="49"/>
      <c r="AD105" s="50"/>
      <c r="AE105" s="50"/>
      <c r="AF105" s="51"/>
      <c r="AG105" s="53"/>
      <c r="AH105" s="54"/>
      <c r="AI105" s="49"/>
      <c r="AJ105" s="49"/>
      <c r="AK105" s="50"/>
      <c r="AL105" s="50"/>
      <c r="AM105" s="51"/>
      <c r="AN105" s="53"/>
      <c r="AO105" s="54"/>
      <c r="AP105" s="49"/>
      <c r="AQ105" s="49"/>
      <c r="AR105" s="50"/>
      <c r="AS105" s="50"/>
      <c r="AT105" s="51"/>
      <c r="AU105" s="53"/>
      <c r="AV105" s="54"/>
      <c r="AW105" s="49"/>
      <c r="AX105" s="49"/>
      <c r="AY105" s="50"/>
      <c r="AZ105" s="50"/>
      <c r="BA105" s="51"/>
    </row>
    <row r="106" spans="1:53" ht="16">
      <c r="A106" s="45"/>
      <c r="B106" s="52"/>
      <c r="C106" s="6"/>
      <c r="D106" s="46"/>
      <c r="E106" s="47"/>
      <c r="F106" s="48"/>
      <c r="G106" s="49"/>
      <c r="H106" s="49"/>
      <c r="I106" s="50"/>
      <c r="J106" s="50"/>
      <c r="K106" s="51"/>
      <c r="L106" s="47"/>
      <c r="M106" s="48"/>
      <c r="N106" s="49"/>
      <c r="O106" s="49"/>
      <c r="P106" s="50"/>
      <c r="Q106" s="50"/>
      <c r="R106" s="51"/>
      <c r="S106" s="53"/>
      <c r="T106" s="54"/>
      <c r="U106" s="49"/>
      <c r="V106" s="49"/>
      <c r="W106" s="50"/>
      <c r="X106" s="50"/>
      <c r="Y106" s="51"/>
      <c r="Z106" s="53"/>
      <c r="AA106" s="54"/>
      <c r="AB106" s="49"/>
      <c r="AC106" s="49"/>
      <c r="AD106" s="50"/>
      <c r="AE106" s="50"/>
      <c r="AF106" s="51"/>
      <c r="AG106" s="53"/>
      <c r="AH106" s="54"/>
      <c r="AI106" s="49"/>
      <c r="AJ106" s="49"/>
      <c r="AK106" s="50"/>
      <c r="AL106" s="50"/>
      <c r="AM106" s="51"/>
      <c r="AN106" s="53"/>
      <c r="AO106" s="54"/>
      <c r="AP106" s="49"/>
      <c r="AQ106" s="49"/>
      <c r="AR106" s="50"/>
      <c r="AS106" s="50"/>
      <c r="AT106" s="51"/>
      <c r="AU106" s="53"/>
      <c r="AV106" s="54"/>
      <c r="AW106" s="49"/>
      <c r="AX106" s="49"/>
      <c r="AY106" s="50"/>
      <c r="AZ106" s="50"/>
      <c r="BA106" s="51"/>
    </row>
    <row r="107" spans="1:53" ht="16">
      <c r="A107" s="45"/>
      <c r="B107" s="52"/>
      <c r="C107" s="6"/>
      <c r="D107" s="46"/>
      <c r="E107" s="47"/>
      <c r="F107" s="48"/>
      <c r="G107" s="49"/>
      <c r="H107" s="49"/>
      <c r="I107" s="50"/>
      <c r="J107" s="50"/>
      <c r="K107" s="51"/>
      <c r="L107" s="47"/>
      <c r="M107" s="48"/>
      <c r="N107" s="49"/>
      <c r="O107" s="49"/>
      <c r="P107" s="50"/>
      <c r="Q107" s="50"/>
      <c r="R107" s="51"/>
      <c r="S107" s="53"/>
      <c r="T107" s="54"/>
      <c r="U107" s="49"/>
      <c r="V107" s="49"/>
      <c r="W107" s="50"/>
      <c r="X107" s="50"/>
      <c r="Y107" s="51"/>
      <c r="Z107" s="53"/>
      <c r="AA107" s="54"/>
      <c r="AB107" s="49"/>
      <c r="AC107" s="49"/>
      <c r="AD107" s="50"/>
      <c r="AE107" s="50"/>
      <c r="AF107" s="51"/>
      <c r="AG107" s="53"/>
      <c r="AH107" s="54"/>
      <c r="AI107" s="49"/>
      <c r="AJ107" s="49"/>
      <c r="AK107" s="50"/>
      <c r="AL107" s="50"/>
      <c r="AM107" s="51"/>
      <c r="AN107" s="53"/>
      <c r="AO107" s="54"/>
      <c r="AP107" s="49"/>
      <c r="AQ107" s="49"/>
      <c r="AR107" s="50"/>
      <c r="AS107" s="50"/>
      <c r="AT107" s="51"/>
      <c r="AU107" s="53"/>
      <c r="AV107" s="54"/>
      <c r="AW107" s="49"/>
      <c r="AX107" s="49"/>
      <c r="AY107" s="50"/>
      <c r="AZ107" s="50"/>
      <c r="BA107" s="51"/>
    </row>
    <row r="108" spans="1:53" ht="16">
      <c r="A108" s="45"/>
      <c r="B108" s="52"/>
      <c r="C108" s="6"/>
      <c r="D108" s="46"/>
      <c r="E108" s="47"/>
      <c r="F108" s="48"/>
      <c r="G108" s="49"/>
      <c r="H108" s="49"/>
      <c r="I108" s="50"/>
      <c r="J108" s="50"/>
      <c r="K108" s="51"/>
      <c r="L108" s="47"/>
      <c r="M108" s="48"/>
      <c r="N108" s="49"/>
      <c r="O108" s="49"/>
      <c r="P108" s="50"/>
      <c r="Q108" s="50"/>
      <c r="R108" s="51"/>
      <c r="S108" s="53"/>
      <c r="T108" s="54"/>
      <c r="U108" s="49"/>
      <c r="V108" s="49"/>
      <c r="W108" s="50"/>
      <c r="X108" s="50"/>
      <c r="Y108" s="51"/>
      <c r="Z108" s="53"/>
      <c r="AA108" s="54"/>
      <c r="AB108" s="49"/>
      <c r="AC108" s="49"/>
      <c r="AD108" s="50"/>
      <c r="AE108" s="50"/>
      <c r="AF108" s="51"/>
      <c r="AG108" s="53"/>
      <c r="AH108" s="54"/>
      <c r="AI108" s="49"/>
      <c r="AJ108" s="49"/>
      <c r="AK108" s="50"/>
      <c r="AL108" s="50"/>
      <c r="AM108" s="51"/>
      <c r="AN108" s="53"/>
      <c r="AO108" s="54"/>
      <c r="AP108" s="49"/>
      <c r="AQ108" s="49"/>
      <c r="AR108" s="50"/>
      <c r="AS108" s="50"/>
      <c r="AT108" s="51"/>
      <c r="AU108" s="53"/>
      <c r="AV108" s="54"/>
      <c r="AW108" s="49"/>
      <c r="AX108" s="49"/>
      <c r="AY108" s="50"/>
      <c r="AZ108" s="50"/>
      <c r="BA108" s="51"/>
    </row>
    <row r="109" spans="1:53" ht="16">
      <c r="A109" s="45"/>
      <c r="B109" s="52"/>
      <c r="C109" s="6"/>
      <c r="D109" s="46"/>
      <c r="E109" s="47"/>
      <c r="F109" s="48"/>
      <c r="G109" s="49"/>
      <c r="H109" s="49"/>
      <c r="I109" s="50"/>
      <c r="J109" s="50"/>
      <c r="K109" s="51"/>
      <c r="L109" s="47"/>
      <c r="M109" s="48"/>
      <c r="N109" s="49"/>
      <c r="O109" s="49"/>
      <c r="P109" s="50"/>
      <c r="Q109" s="50"/>
      <c r="R109" s="51"/>
      <c r="S109" s="53"/>
      <c r="T109" s="54"/>
      <c r="U109" s="49"/>
      <c r="V109" s="49"/>
      <c r="W109" s="50"/>
      <c r="X109" s="50"/>
      <c r="Y109" s="51"/>
      <c r="Z109" s="53"/>
      <c r="AA109" s="54"/>
      <c r="AB109" s="49"/>
      <c r="AC109" s="49"/>
      <c r="AD109" s="50"/>
      <c r="AE109" s="50"/>
      <c r="AF109" s="51"/>
      <c r="AG109" s="53"/>
      <c r="AH109" s="54"/>
      <c r="AI109" s="49"/>
      <c r="AJ109" s="49"/>
      <c r="AK109" s="50"/>
      <c r="AL109" s="50"/>
      <c r="AM109" s="51"/>
      <c r="AN109" s="53"/>
      <c r="AO109" s="54"/>
      <c r="AP109" s="49"/>
      <c r="AQ109" s="49"/>
      <c r="AR109" s="50"/>
      <c r="AS109" s="50"/>
      <c r="AT109" s="51"/>
      <c r="AU109" s="53"/>
      <c r="AV109" s="54"/>
      <c r="AW109" s="49"/>
      <c r="AX109" s="49"/>
      <c r="AY109" s="50"/>
      <c r="AZ109" s="50"/>
      <c r="BA109" s="51"/>
    </row>
    <row r="110" spans="1:53" ht="16">
      <c r="A110" s="45"/>
      <c r="B110" s="52"/>
      <c r="C110" s="6"/>
      <c r="D110" s="46"/>
      <c r="E110" s="47"/>
      <c r="F110" s="48"/>
      <c r="G110" s="49"/>
      <c r="H110" s="49"/>
      <c r="I110" s="50"/>
      <c r="J110" s="50"/>
      <c r="K110" s="51"/>
      <c r="L110" s="47"/>
      <c r="M110" s="48"/>
      <c r="N110" s="49"/>
      <c r="O110" s="49"/>
      <c r="P110" s="50"/>
      <c r="Q110" s="50"/>
      <c r="R110" s="51"/>
      <c r="S110" s="53"/>
      <c r="T110" s="54"/>
      <c r="U110" s="49"/>
      <c r="V110" s="49"/>
      <c r="W110" s="50"/>
      <c r="X110" s="50"/>
      <c r="Y110" s="51"/>
      <c r="Z110" s="53"/>
      <c r="AA110" s="54"/>
      <c r="AB110" s="49"/>
      <c r="AC110" s="49"/>
      <c r="AD110" s="50"/>
      <c r="AE110" s="50"/>
      <c r="AF110" s="51"/>
      <c r="AG110" s="53"/>
      <c r="AH110" s="54"/>
      <c r="AI110" s="49"/>
      <c r="AJ110" s="49"/>
      <c r="AK110" s="50"/>
      <c r="AL110" s="50"/>
      <c r="AM110" s="51"/>
      <c r="AN110" s="53"/>
      <c r="AO110" s="54"/>
      <c r="AP110" s="49"/>
      <c r="AQ110" s="49"/>
      <c r="AR110" s="50"/>
      <c r="AS110" s="50"/>
      <c r="AT110" s="51"/>
      <c r="AU110" s="53"/>
      <c r="AV110" s="54"/>
      <c r="AW110" s="49"/>
      <c r="AX110" s="49"/>
      <c r="AY110" s="50"/>
      <c r="AZ110" s="50"/>
      <c r="BA110" s="51"/>
    </row>
    <row r="111" spans="1:53" ht="16">
      <c r="A111" s="45"/>
      <c r="B111" s="52"/>
      <c r="C111" s="6"/>
      <c r="D111" s="46"/>
      <c r="E111" s="47"/>
      <c r="F111" s="48"/>
      <c r="G111" s="49"/>
      <c r="H111" s="49"/>
      <c r="I111" s="50"/>
      <c r="J111" s="50"/>
      <c r="K111" s="51"/>
      <c r="L111" s="47"/>
      <c r="M111" s="48"/>
      <c r="N111" s="49"/>
      <c r="O111" s="49"/>
      <c r="P111" s="50"/>
      <c r="Q111" s="50"/>
      <c r="R111" s="51"/>
      <c r="S111" s="53"/>
      <c r="T111" s="54"/>
      <c r="U111" s="49"/>
      <c r="V111" s="49"/>
      <c r="W111" s="50"/>
      <c r="X111" s="50"/>
      <c r="Y111" s="51"/>
      <c r="Z111" s="53"/>
      <c r="AA111" s="54"/>
      <c r="AB111" s="49"/>
      <c r="AC111" s="49"/>
      <c r="AD111" s="50"/>
      <c r="AE111" s="50"/>
      <c r="AF111" s="51"/>
      <c r="AG111" s="53"/>
      <c r="AH111" s="54"/>
      <c r="AI111" s="49"/>
      <c r="AJ111" s="49"/>
      <c r="AK111" s="50"/>
      <c r="AL111" s="50"/>
      <c r="AM111" s="51"/>
      <c r="AN111" s="53"/>
      <c r="AO111" s="54"/>
      <c r="AP111" s="49"/>
      <c r="AQ111" s="49"/>
      <c r="AR111" s="50"/>
      <c r="AS111" s="50"/>
      <c r="AT111" s="51"/>
      <c r="AU111" s="53"/>
      <c r="AV111" s="54"/>
      <c r="AW111" s="49"/>
      <c r="AX111" s="49"/>
      <c r="AY111" s="50"/>
      <c r="AZ111" s="50"/>
      <c r="BA111" s="51"/>
    </row>
    <row r="112" spans="1:53" ht="16">
      <c r="A112" s="45"/>
      <c r="B112" s="52"/>
      <c r="C112" s="6"/>
      <c r="D112" s="46"/>
      <c r="E112" s="47"/>
      <c r="F112" s="48"/>
      <c r="G112" s="49"/>
      <c r="H112" s="49"/>
      <c r="I112" s="50"/>
      <c r="J112" s="50"/>
      <c r="K112" s="51"/>
      <c r="L112" s="47"/>
      <c r="M112" s="48"/>
      <c r="N112" s="49"/>
      <c r="O112" s="49"/>
      <c r="P112" s="50"/>
      <c r="Q112" s="50"/>
      <c r="R112" s="51"/>
      <c r="S112" s="53"/>
      <c r="T112" s="54"/>
      <c r="U112" s="49"/>
      <c r="V112" s="49"/>
      <c r="W112" s="50"/>
      <c r="X112" s="50"/>
      <c r="Y112" s="51"/>
      <c r="Z112" s="53"/>
      <c r="AA112" s="54"/>
      <c r="AB112" s="49"/>
      <c r="AC112" s="49"/>
      <c r="AD112" s="50"/>
      <c r="AE112" s="50"/>
      <c r="AF112" s="51"/>
      <c r="AG112" s="53"/>
      <c r="AH112" s="54"/>
      <c r="AI112" s="49"/>
      <c r="AJ112" s="49"/>
      <c r="AK112" s="50"/>
      <c r="AL112" s="50"/>
      <c r="AM112" s="51"/>
      <c r="AN112" s="53"/>
      <c r="AO112" s="54"/>
      <c r="AP112" s="49"/>
      <c r="AQ112" s="49"/>
      <c r="AR112" s="50"/>
      <c r="AS112" s="50"/>
      <c r="AT112" s="51"/>
      <c r="AU112" s="53"/>
      <c r="AV112" s="54"/>
      <c r="AW112" s="49"/>
      <c r="AX112" s="49"/>
      <c r="AY112" s="50"/>
      <c r="AZ112" s="50"/>
      <c r="BA112" s="51"/>
    </row>
    <row r="113" spans="1:53" ht="16">
      <c r="A113" s="45"/>
      <c r="B113" s="52"/>
      <c r="C113" s="6"/>
      <c r="D113" s="46"/>
      <c r="E113" s="47"/>
      <c r="F113" s="48"/>
      <c r="G113" s="49"/>
      <c r="H113" s="49"/>
      <c r="I113" s="50"/>
      <c r="J113" s="50"/>
      <c r="K113" s="51"/>
      <c r="L113" s="47"/>
      <c r="M113" s="48"/>
      <c r="N113" s="49"/>
      <c r="O113" s="49"/>
      <c r="P113" s="50"/>
      <c r="Q113" s="50"/>
      <c r="R113" s="51"/>
      <c r="S113" s="53"/>
      <c r="T113" s="54"/>
      <c r="U113" s="49"/>
      <c r="V113" s="49"/>
      <c r="W113" s="50"/>
      <c r="X113" s="50"/>
      <c r="Y113" s="51"/>
      <c r="Z113" s="53"/>
      <c r="AA113" s="54"/>
      <c r="AB113" s="49"/>
      <c r="AC113" s="49"/>
      <c r="AD113" s="50"/>
      <c r="AE113" s="50"/>
      <c r="AF113" s="51"/>
      <c r="AG113" s="53"/>
      <c r="AH113" s="54"/>
      <c r="AI113" s="49"/>
      <c r="AJ113" s="49"/>
      <c r="AK113" s="50"/>
      <c r="AL113" s="50"/>
      <c r="AM113" s="51"/>
      <c r="AN113" s="53"/>
      <c r="AO113" s="54"/>
      <c r="AP113" s="49"/>
      <c r="AQ113" s="49"/>
      <c r="AR113" s="50"/>
      <c r="AS113" s="50"/>
      <c r="AT113" s="51"/>
      <c r="AU113" s="53"/>
      <c r="AV113" s="54"/>
      <c r="AW113" s="49"/>
      <c r="AX113" s="49"/>
      <c r="AY113" s="50"/>
      <c r="AZ113" s="50"/>
      <c r="BA113" s="51"/>
    </row>
    <row r="114" spans="1:53" ht="16">
      <c r="A114" s="45"/>
      <c r="B114" s="52"/>
      <c r="C114" s="6"/>
      <c r="D114" s="46"/>
      <c r="E114" s="47"/>
      <c r="F114" s="48"/>
      <c r="G114" s="49"/>
      <c r="H114" s="49"/>
      <c r="I114" s="50"/>
      <c r="J114" s="50"/>
      <c r="K114" s="51"/>
      <c r="L114" s="47"/>
      <c r="M114" s="48"/>
      <c r="N114" s="49"/>
      <c r="O114" s="49"/>
      <c r="P114" s="50"/>
      <c r="Q114" s="50"/>
      <c r="R114" s="51"/>
      <c r="S114" s="53"/>
      <c r="T114" s="54"/>
      <c r="U114" s="49"/>
      <c r="V114" s="49"/>
      <c r="W114" s="50"/>
      <c r="X114" s="50"/>
      <c r="Y114" s="51"/>
      <c r="Z114" s="53"/>
      <c r="AA114" s="54"/>
      <c r="AB114" s="49"/>
      <c r="AC114" s="49"/>
      <c r="AD114" s="50"/>
      <c r="AE114" s="50"/>
      <c r="AF114" s="51"/>
      <c r="AG114" s="53"/>
      <c r="AH114" s="54"/>
      <c r="AI114" s="49"/>
      <c r="AJ114" s="49"/>
      <c r="AK114" s="50"/>
      <c r="AL114" s="50"/>
      <c r="AM114" s="51"/>
      <c r="AN114" s="53"/>
      <c r="AO114" s="54"/>
      <c r="AP114" s="49"/>
      <c r="AQ114" s="49"/>
      <c r="AR114" s="50"/>
      <c r="AS114" s="50"/>
      <c r="AT114" s="51"/>
      <c r="AU114" s="53"/>
      <c r="AV114" s="54"/>
      <c r="AW114" s="49"/>
      <c r="AX114" s="49"/>
      <c r="AY114" s="50"/>
      <c r="AZ114" s="50"/>
      <c r="BA114" s="51"/>
    </row>
    <row r="115" spans="1:53" ht="16">
      <c r="A115" s="45"/>
      <c r="B115" s="52"/>
      <c r="C115" s="6"/>
      <c r="D115" s="46"/>
      <c r="E115" s="47"/>
      <c r="F115" s="48"/>
      <c r="G115" s="49"/>
      <c r="H115" s="49"/>
      <c r="I115" s="50"/>
      <c r="J115" s="50"/>
      <c r="K115" s="51"/>
      <c r="L115" s="47"/>
      <c r="M115" s="48"/>
      <c r="N115" s="49"/>
      <c r="O115" s="49"/>
      <c r="P115" s="50"/>
      <c r="Q115" s="50"/>
      <c r="R115" s="51"/>
      <c r="S115" s="53"/>
      <c r="T115" s="54"/>
      <c r="U115" s="49"/>
      <c r="V115" s="49"/>
      <c r="W115" s="50"/>
      <c r="X115" s="50"/>
      <c r="Y115" s="51"/>
      <c r="Z115" s="53"/>
      <c r="AA115" s="54"/>
      <c r="AB115" s="49"/>
      <c r="AC115" s="49"/>
      <c r="AD115" s="50"/>
      <c r="AE115" s="50"/>
      <c r="AF115" s="51"/>
      <c r="AG115" s="53"/>
      <c r="AH115" s="54"/>
      <c r="AI115" s="49"/>
      <c r="AJ115" s="49"/>
      <c r="AK115" s="50"/>
      <c r="AL115" s="50"/>
      <c r="AM115" s="51"/>
      <c r="AN115" s="53"/>
      <c r="AO115" s="54"/>
      <c r="AP115" s="49"/>
      <c r="AQ115" s="49"/>
      <c r="AR115" s="50"/>
      <c r="AS115" s="50"/>
      <c r="AT115" s="51"/>
      <c r="AU115" s="53"/>
      <c r="AV115" s="54"/>
      <c r="AW115" s="49"/>
      <c r="AX115" s="49"/>
      <c r="AY115" s="50"/>
      <c r="AZ115" s="50"/>
      <c r="BA115" s="51"/>
    </row>
    <row r="116" spans="1:53" ht="16">
      <c r="A116" s="45"/>
      <c r="B116" s="52"/>
      <c r="C116" s="6"/>
      <c r="D116" s="46"/>
      <c r="E116" s="47"/>
      <c r="F116" s="48"/>
      <c r="G116" s="49"/>
      <c r="H116" s="49"/>
      <c r="I116" s="50"/>
      <c r="J116" s="50"/>
      <c r="K116" s="51"/>
      <c r="L116" s="47"/>
      <c r="M116" s="48"/>
      <c r="N116" s="49"/>
      <c r="O116" s="49"/>
      <c r="P116" s="50"/>
      <c r="Q116" s="50"/>
      <c r="R116" s="51"/>
      <c r="S116" s="53"/>
      <c r="T116" s="54"/>
      <c r="U116" s="49"/>
      <c r="V116" s="49"/>
      <c r="W116" s="50"/>
      <c r="X116" s="50"/>
      <c r="Y116" s="51"/>
      <c r="Z116" s="53"/>
      <c r="AA116" s="54"/>
      <c r="AB116" s="49"/>
      <c r="AC116" s="49"/>
      <c r="AD116" s="50"/>
      <c r="AE116" s="50"/>
      <c r="AF116" s="51"/>
      <c r="AG116" s="53"/>
      <c r="AH116" s="54"/>
      <c r="AI116" s="49"/>
      <c r="AJ116" s="49"/>
      <c r="AK116" s="50"/>
      <c r="AL116" s="50"/>
      <c r="AM116" s="51"/>
      <c r="AN116" s="53"/>
      <c r="AO116" s="54"/>
      <c r="AP116" s="49"/>
      <c r="AQ116" s="49"/>
      <c r="AR116" s="50"/>
      <c r="AS116" s="50"/>
      <c r="AT116" s="51"/>
      <c r="AU116" s="53"/>
      <c r="AV116" s="54"/>
      <c r="AW116" s="49"/>
      <c r="AX116" s="49"/>
      <c r="AY116" s="50"/>
      <c r="AZ116" s="50"/>
      <c r="BA116" s="51"/>
    </row>
    <row r="117" spans="1:53" ht="16">
      <c r="A117" s="45"/>
      <c r="B117" s="52"/>
      <c r="C117" s="6"/>
      <c r="D117" s="46"/>
      <c r="E117" s="47"/>
      <c r="F117" s="48"/>
      <c r="G117" s="49"/>
      <c r="H117" s="49"/>
      <c r="I117" s="50"/>
      <c r="J117" s="50"/>
      <c r="K117" s="51"/>
      <c r="L117" s="47"/>
      <c r="M117" s="48"/>
      <c r="N117" s="49"/>
      <c r="O117" s="49"/>
      <c r="P117" s="50"/>
      <c r="Q117" s="50"/>
      <c r="R117" s="51"/>
      <c r="S117" s="53"/>
      <c r="T117" s="54"/>
      <c r="U117" s="49"/>
      <c r="V117" s="49"/>
      <c r="W117" s="50"/>
      <c r="X117" s="50"/>
      <c r="Y117" s="51"/>
      <c r="Z117" s="53"/>
      <c r="AA117" s="54"/>
      <c r="AB117" s="49"/>
      <c r="AC117" s="49"/>
      <c r="AD117" s="50"/>
      <c r="AE117" s="50"/>
      <c r="AF117" s="51"/>
      <c r="AG117" s="53"/>
      <c r="AH117" s="54"/>
      <c r="AI117" s="49"/>
      <c r="AJ117" s="49"/>
      <c r="AK117" s="50"/>
      <c r="AL117" s="50"/>
      <c r="AM117" s="51"/>
      <c r="AN117" s="53"/>
      <c r="AO117" s="54"/>
      <c r="AP117" s="49"/>
      <c r="AQ117" s="49"/>
      <c r="AR117" s="50"/>
      <c r="AS117" s="50"/>
      <c r="AT117" s="51"/>
      <c r="AU117" s="53"/>
      <c r="AV117" s="54"/>
      <c r="AW117" s="49"/>
      <c r="AX117" s="49"/>
      <c r="AY117" s="50"/>
      <c r="AZ117" s="50"/>
      <c r="BA117" s="51"/>
    </row>
    <row r="118" spans="1:53" ht="16">
      <c r="A118" s="45"/>
      <c r="B118" s="52"/>
      <c r="C118" s="6"/>
      <c r="D118" s="46"/>
      <c r="E118" s="47"/>
      <c r="F118" s="48"/>
      <c r="G118" s="49"/>
      <c r="H118" s="49"/>
      <c r="I118" s="50"/>
      <c r="J118" s="50"/>
      <c r="K118" s="51"/>
      <c r="L118" s="47"/>
      <c r="M118" s="48"/>
      <c r="N118" s="49"/>
      <c r="O118" s="49"/>
      <c r="P118" s="50"/>
      <c r="Q118" s="50"/>
      <c r="R118" s="51"/>
      <c r="S118" s="53"/>
      <c r="T118" s="54"/>
      <c r="U118" s="49"/>
      <c r="V118" s="49"/>
      <c r="W118" s="50"/>
      <c r="X118" s="50"/>
      <c r="Y118" s="51"/>
      <c r="Z118" s="53"/>
      <c r="AA118" s="54"/>
      <c r="AB118" s="49"/>
      <c r="AC118" s="49"/>
      <c r="AD118" s="50"/>
      <c r="AE118" s="50"/>
      <c r="AF118" s="51"/>
      <c r="AG118" s="53"/>
      <c r="AH118" s="54"/>
      <c r="AI118" s="49"/>
      <c r="AJ118" s="49"/>
      <c r="AK118" s="50"/>
      <c r="AL118" s="50"/>
      <c r="AM118" s="51"/>
      <c r="AN118" s="53"/>
      <c r="AO118" s="54"/>
      <c r="AP118" s="49"/>
      <c r="AQ118" s="49"/>
      <c r="AR118" s="50"/>
      <c r="AS118" s="50"/>
      <c r="AT118" s="51"/>
      <c r="AU118" s="53"/>
      <c r="AV118" s="54"/>
      <c r="AW118" s="49"/>
      <c r="AX118" s="49"/>
      <c r="AY118" s="50"/>
      <c r="AZ118" s="50"/>
      <c r="BA118" s="51"/>
    </row>
    <row r="119" spans="1:53" ht="16">
      <c r="A119" s="45"/>
      <c r="B119" s="52"/>
      <c r="C119" s="6"/>
      <c r="D119" s="46"/>
      <c r="E119" s="47"/>
      <c r="F119" s="48"/>
      <c r="G119" s="49"/>
      <c r="H119" s="49"/>
      <c r="I119" s="50"/>
      <c r="J119" s="50"/>
      <c r="K119" s="51"/>
      <c r="L119" s="47"/>
      <c r="M119" s="48"/>
      <c r="N119" s="49"/>
      <c r="O119" s="49"/>
      <c r="P119" s="50"/>
      <c r="Q119" s="50"/>
      <c r="R119" s="51"/>
      <c r="S119" s="53"/>
      <c r="T119" s="54"/>
      <c r="U119" s="49"/>
      <c r="V119" s="49"/>
      <c r="W119" s="50"/>
      <c r="X119" s="50"/>
      <c r="Y119" s="51"/>
      <c r="Z119" s="53"/>
      <c r="AA119" s="54"/>
      <c r="AB119" s="49"/>
      <c r="AC119" s="49"/>
      <c r="AD119" s="50"/>
      <c r="AE119" s="50"/>
      <c r="AF119" s="51"/>
      <c r="AG119" s="53"/>
      <c r="AH119" s="54"/>
      <c r="AI119" s="49"/>
      <c r="AJ119" s="49"/>
      <c r="AK119" s="50"/>
      <c r="AL119" s="50"/>
      <c r="AM119" s="51"/>
      <c r="AN119" s="53"/>
      <c r="AO119" s="54"/>
      <c r="AP119" s="49"/>
      <c r="AQ119" s="49"/>
      <c r="AR119" s="50"/>
      <c r="AS119" s="50"/>
      <c r="AT119" s="51"/>
      <c r="AU119" s="53"/>
      <c r="AV119" s="54"/>
      <c r="AW119" s="49"/>
      <c r="AX119" s="49"/>
      <c r="AY119" s="50"/>
      <c r="AZ119" s="50"/>
      <c r="BA119" s="51"/>
    </row>
    <row r="120" spans="1:53" ht="16">
      <c r="A120" s="45"/>
      <c r="B120" s="52"/>
      <c r="C120" s="6"/>
      <c r="D120" s="46"/>
      <c r="E120" s="47"/>
      <c r="F120" s="48"/>
      <c r="G120" s="49"/>
      <c r="H120" s="49"/>
      <c r="I120" s="50"/>
      <c r="J120" s="50"/>
      <c r="K120" s="51"/>
      <c r="L120" s="47"/>
      <c r="M120" s="48"/>
      <c r="N120" s="49"/>
      <c r="O120" s="49"/>
      <c r="P120" s="50"/>
      <c r="Q120" s="50"/>
      <c r="R120" s="51"/>
      <c r="S120" s="53"/>
      <c r="T120" s="54"/>
      <c r="U120" s="49"/>
      <c r="V120" s="49"/>
      <c r="W120" s="50"/>
      <c r="X120" s="50"/>
      <c r="Y120" s="51"/>
      <c r="Z120" s="53"/>
      <c r="AA120" s="54"/>
      <c r="AB120" s="49"/>
      <c r="AC120" s="49"/>
      <c r="AD120" s="50"/>
      <c r="AE120" s="50"/>
      <c r="AF120" s="51"/>
      <c r="AG120" s="53"/>
      <c r="AH120" s="54"/>
      <c r="AI120" s="49"/>
      <c r="AJ120" s="49"/>
      <c r="AK120" s="50"/>
      <c r="AL120" s="50"/>
      <c r="AM120" s="51"/>
      <c r="AN120" s="53"/>
      <c r="AO120" s="54"/>
      <c r="AP120" s="49"/>
      <c r="AQ120" s="49"/>
      <c r="AR120" s="50"/>
      <c r="AS120" s="50"/>
      <c r="AT120" s="51"/>
      <c r="AU120" s="53"/>
      <c r="AV120" s="54"/>
      <c r="AW120" s="49"/>
      <c r="AX120" s="49"/>
      <c r="AY120" s="50"/>
      <c r="AZ120" s="50"/>
      <c r="BA120" s="51"/>
    </row>
    <row r="121" spans="1:53" ht="16">
      <c r="A121" s="45"/>
      <c r="B121" s="52"/>
      <c r="C121" s="6"/>
      <c r="D121" s="46"/>
      <c r="E121" s="47"/>
      <c r="F121" s="48"/>
      <c r="G121" s="49"/>
      <c r="H121" s="49"/>
      <c r="I121" s="50"/>
      <c r="J121" s="50"/>
      <c r="K121" s="51"/>
      <c r="L121" s="47"/>
      <c r="M121" s="48"/>
      <c r="N121" s="49"/>
      <c r="O121" s="49"/>
      <c r="P121" s="50"/>
      <c r="Q121" s="50"/>
      <c r="R121" s="51"/>
      <c r="S121" s="53"/>
      <c r="T121" s="54"/>
      <c r="U121" s="49"/>
      <c r="V121" s="49"/>
      <c r="W121" s="50"/>
      <c r="X121" s="50"/>
      <c r="Y121" s="51"/>
      <c r="Z121" s="53"/>
      <c r="AA121" s="54"/>
      <c r="AB121" s="49"/>
      <c r="AC121" s="49"/>
      <c r="AD121" s="50"/>
      <c r="AE121" s="50"/>
      <c r="AF121" s="51"/>
      <c r="AG121" s="53"/>
      <c r="AH121" s="54"/>
      <c r="AI121" s="49"/>
      <c r="AJ121" s="49"/>
      <c r="AK121" s="50"/>
      <c r="AL121" s="50"/>
      <c r="AM121" s="51"/>
      <c r="AN121" s="53"/>
      <c r="AO121" s="54"/>
      <c r="AP121" s="49"/>
      <c r="AQ121" s="49"/>
      <c r="AR121" s="50"/>
      <c r="AS121" s="50"/>
      <c r="AT121" s="51"/>
      <c r="AU121" s="53"/>
      <c r="AV121" s="54"/>
      <c r="AW121" s="49"/>
      <c r="AX121" s="49"/>
      <c r="AY121" s="50"/>
      <c r="AZ121" s="50"/>
      <c r="BA121" s="51"/>
    </row>
    <row r="122" spans="1:53" ht="16">
      <c r="A122" s="45"/>
      <c r="B122" s="52"/>
      <c r="C122" s="6"/>
      <c r="D122" s="46"/>
      <c r="E122" s="47"/>
      <c r="F122" s="48"/>
      <c r="G122" s="49"/>
      <c r="H122" s="49"/>
      <c r="I122" s="50"/>
      <c r="J122" s="50"/>
      <c r="K122" s="51"/>
      <c r="L122" s="47"/>
      <c r="M122" s="48"/>
      <c r="N122" s="49"/>
      <c r="O122" s="49"/>
      <c r="P122" s="50"/>
      <c r="Q122" s="50"/>
      <c r="R122" s="51"/>
      <c r="S122" s="53"/>
      <c r="T122" s="54"/>
      <c r="U122" s="49"/>
      <c r="V122" s="49"/>
      <c r="W122" s="50"/>
      <c r="X122" s="50"/>
      <c r="Y122" s="51"/>
      <c r="Z122" s="53"/>
      <c r="AA122" s="54"/>
      <c r="AB122" s="49"/>
      <c r="AC122" s="49"/>
      <c r="AD122" s="50"/>
      <c r="AE122" s="50"/>
      <c r="AF122" s="51"/>
      <c r="AG122" s="53"/>
      <c r="AH122" s="54"/>
      <c r="AI122" s="49"/>
      <c r="AJ122" s="49"/>
      <c r="AK122" s="50"/>
      <c r="AL122" s="50"/>
      <c r="AM122" s="51"/>
      <c r="AN122" s="53"/>
      <c r="AO122" s="54"/>
      <c r="AP122" s="49"/>
      <c r="AQ122" s="49"/>
      <c r="AR122" s="50"/>
      <c r="AS122" s="50"/>
      <c r="AT122" s="51"/>
      <c r="AU122" s="53"/>
      <c r="AV122" s="54"/>
      <c r="AW122" s="49"/>
      <c r="AX122" s="49"/>
      <c r="AY122" s="50"/>
      <c r="AZ122" s="50"/>
      <c r="BA122" s="51"/>
    </row>
    <row r="123" spans="1:53" ht="16">
      <c r="A123" s="45"/>
      <c r="B123" s="52"/>
      <c r="C123" s="6"/>
      <c r="D123" s="46"/>
      <c r="E123" s="47"/>
      <c r="F123" s="48"/>
      <c r="G123" s="49"/>
      <c r="H123" s="49"/>
      <c r="I123" s="50"/>
      <c r="J123" s="50"/>
      <c r="K123" s="51"/>
      <c r="L123" s="47"/>
      <c r="M123" s="48"/>
      <c r="N123" s="49"/>
      <c r="O123" s="49"/>
      <c r="P123" s="50"/>
      <c r="Q123" s="50"/>
      <c r="R123" s="51"/>
      <c r="S123" s="53"/>
      <c r="T123" s="54"/>
      <c r="U123" s="49"/>
      <c r="V123" s="49"/>
      <c r="W123" s="50"/>
      <c r="X123" s="50"/>
      <c r="Y123" s="51"/>
      <c r="Z123" s="53"/>
      <c r="AA123" s="54"/>
      <c r="AB123" s="49"/>
      <c r="AC123" s="49"/>
      <c r="AD123" s="50"/>
      <c r="AE123" s="50"/>
      <c r="AF123" s="51"/>
      <c r="AG123" s="53"/>
      <c r="AH123" s="54"/>
      <c r="AI123" s="49"/>
      <c r="AJ123" s="49"/>
      <c r="AK123" s="50"/>
      <c r="AL123" s="50"/>
      <c r="AM123" s="51"/>
      <c r="AN123" s="53"/>
      <c r="AO123" s="54"/>
      <c r="AP123" s="49"/>
      <c r="AQ123" s="49"/>
      <c r="AR123" s="50"/>
      <c r="AS123" s="50"/>
      <c r="AT123" s="51"/>
      <c r="AU123" s="53"/>
      <c r="AV123" s="54"/>
      <c r="AW123" s="49"/>
      <c r="AX123" s="49"/>
      <c r="AY123" s="50"/>
      <c r="AZ123" s="50"/>
      <c r="BA123" s="51"/>
    </row>
    <row r="124" spans="1:53" ht="16">
      <c r="A124" s="45"/>
      <c r="B124" s="52"/>
      <c r="C124" s="6"/>
      <c r="D124" s="46"/>
      <c r="E124" s="47"/>
      <c r="F124" s="48"/>
      <c r="G124" s="49"/>
      <c r="H124" s="49"/>
      <c r="I124" s="50"/>
      <c r="J124" s="50"/>
      <c r="K124" s="51"/>
      <c r="L124" s="47"/>
      <c r="M124" s="48"/>
      <c r="N124" s="49"/>
      <c r="O124" s="49"/>
      <c r="P124" s="50"/>
      <c r="Q124" s="50"/>
      <c r="R124" s="51"/>
      <c r="S124" s="53"/>
      <c r="T124" s="54"/>
      <c r="U124" s="49"/>
      <c r="V124" s="49"/>
      <c r="W124" s="50"/>
      <c r="X124" s="50"/>
      <c r="Y124" s="51"/>
      <c r="Z124" s="53"/>
      <c r="AA124" s="54"/>
      <c r="AB124" s="49"/>
      <c r="AC124" s="49"/>
      <c r="AD124" s="50"/>
      <c r="AE124" s="50"/>
      <c r="AF124" s="51"/>
      <c r="AG124" s="53"/>
      <c r="AH124" s="54"/>
      <c r="AI124" s="49"/>
      <c r="AJ124" s="49"/>
      <c r="AK124" s="50"/>
      <c r="AL124" s="50"/>
      <c r="AM124" s="51"/>
      <c r="AN124" s="53"/>
      <c r="AO124" s="54"/>
      <c r="AP124" s="49"/>
      <c r="AQ124" s="49"/>
      <c r="AR124" s="50"/>
      <c r="AS124" s="50"/>
      <c r="AT124" s="51"/>
      <c r="AU124" s="53"/>
      <c r="AV124" s="54"/>
      <c r="AW124" s="49"/>
      <c r="AX124" s="49"/>
      <c r="AY124" s="50"/>
      <c r="AZ124" s="50"/>
      <c r="BA124" s="51"/>
    </row>
    <row r="125" spans="1:53" ht="16">
      <c r="A125" s="45"/>
      <c r="B125" s="52"/>
      <c r="C125" s="6"/>
      <c r="D125" s="46"/>
      <c r="E125" s="47"/>
      <c r="F125" s="48"/>
      <c r="G125" s="49"/>
      <c r="H125" s="49"/>
      <c r="I125" s="50"/>
      <c r="J125" s="50"/>
      <c r="K125" s="51"/>
      <c r="L125" s="47"/>
      <c r="M125" s="48"/>
      <c r="N125" s="49"/>
      <c r="O125" s="49"/>
      <c r="P125" s="50"/>
      <c r="Q125" s="50"/>
      <c r="R125" s="51"/>
      <c r="S125" s="53"/>
      <c r="T125" s="54"/>
      <c r="U125" s="49"/>
      <c r="V125" s="49"/>
      <c r="W125" s="50"/>
      <c r="X125" s="50"/>
      <c r="Y125" s="51"/>
      <c r="Z125" s="53"/>
      <c r="AA125" s="54"/>
      <c r="AB125" s="49"/>
      <c r="AC125" s="49"/>
      <c r="AD125" s="50"/>
      <c r="AE125" s="50"/>
      <c r="AF125" s="51"/>
      <c r="AG125" s="53"/>
      <c r="AH125" s="54"/>
      <c r="AI125" s="49"/>
      <c r="AJ125" s="49"/>
      <c r="AK125" s="50"/>
      <c r="AL125" s="50"/>
      <c r="AM125" s="51"/>
      <c r="AN125" s="53"/>
      <c r="AO125" s="54"/>
      <c r="AP125" s="49"/>
      <c r="AQ125" s="49"/>
      <c r="AR125" s="50"/>
      <c r="AS125" s="50"/>
      <c r="AT125" s="51"/>
      <c r="AU125" s="53"/>
      <c r="AV125" s="54"/>
      <c r="AW125" s="49"/>
      <c r="AX125" s="49"/>
      <c r="AY125" s="50"/>
      <c r="AZ125" s="50"/>
      <c r="BA125" s="51"/>
    </row>
    <row r="126" spans="1:53" ht="16">
      <c r="A126" s="45"/>
      <c r="B126" s="52"/>
      <c r="C126" s="6"/>
      <c r="D126" s="46"/>
      <c r="E126" s="47"/>
      <c r="F126" s="48"/>
      <c r="G126" s="49"/>
      <c r="H126" s="49"/>
      <c r="I126" s="50"/>
      <c r="J126" s="50"/>
      <c r="K126" s="51"/>
      <c r="L126" s="47"/>
      <c r="M126" s="48"/>
      <c r="N126" s="49"/>
      <c r="O126" s="49"/>
      <c r="P126" s="50"/>
      <c r="Q126" s="50"/>
      <c r="R126" s="51"/>
      <c r="S126" s="53"/>
      <c r="T126" s="54"/>
      <c r="U126" s="49"/>
      <c r="V126" s="49"/>
      <c r="W126" s="50"/>
      <c r="X126" s="50"/>
      <c r="Y126" s="51"/>
      <c r="Z126" s="53"/>
      <c r="AA126" s="54"/>
      <c r="AB126" s="49"/>
      <c r="AC126" s="49"/>
      <c r="AD126" s="50"/>
      <c r="AE126" s="50"/>
      <c r="AF126" s="51"/>
      <c r="AG126" s="53"/>
      <c r="AH126" s="54"/>
      <c r="AI126" s="49"/>
      <c r="AJ126" s="49"/>
      <c r="AK126" s="50"/>
      <c r="AL126" s="50"/>
      <c r="AM126" s="51"/>
      <c r="AN126" s="53"/>
      <c r="AO126" s="54"/>
      <c r="AP126" s="49"/>
      <c r="AQ126" s="49"/>
      <c r="AR126" s="50"/>
      <c r="AS126" s="50"/>
      <c r="AT126" s="51"/>
      <c r="AU126" s="53"/>
      <c r="AV126" s="54"/>
      <c r="AW126" s="49"/>
      <c r="AX126" s="49"/>
      <c r="AY126" s="50"/>
      <c r="AZ126" s="50"/>
      <c r="BA126" s="51"/>
    </row>
    <row r="127" spans="1:53" ht="16">
      <c r="A127" s="45"/>
      <c r="B127" s="52"/>
      <c r="C127" s="6"/>
      <c r="D127" s="46"/>
      <c r="E127" s="47"/>
      <c r="F127" s="48"/>
      <c r="G127" s="49"/>
      <c r="H127" s="49"/>
      <c r="I127" s="50"/>
      <c r="J127" s="50"/>
      <c r="K127" s="51"/>
      <c r="L127" s="47"/>
      <c r="M127" s="48"/>
      <c r="N127" s="49"/>
      <c r="O127" s="49"/>
      <c r="P127" s="50"/>
      <c r="Q127" s="50"/>
      <c r="R127" s="51"/>
      <c r="S127" s="53"/>
      <c r="T127" s="54"/>
      <c r="U127" s="49"/>
      <c r="V127" s="49"/>
      <c r="W127" s="50"/>
      <c r="X127" s="50"/>
      <c r="Y127" s="51"/>
      <c r="Z127" s="53"/>
      <c r="AA127" s="54"/>
      <c r="AB127" s="49"/>
      <c r="AC127" s="49"/>
      <c r="AD127" s="50"/>
      <c r="AE127" s="50"/>
      <c r="AF127" s="51"/>
      <c r="AG127" s="53"/>
      <c r="AH127" s="54"/>
      <c r="AI127" s="49"/>
      <c r="AJ127" s="49"/>
      <c r="AK127" s="50"/>
      <c r="AL127" s="50"/>
      <c r="AM127" s="51"/>
      <c r="AN127" s="53"/>
      <c r="AO127" s="54"/>
      <c r="AP127" s="49"/>
      <c r="AQ127" s="49"/>
      <c r="AR127" s="50"/>
      <c r="AS127" s="50"/>
      <c r="AT127" s="51"/>
      <c r="AU127" s="53"/>
      <c r="AV127" s="54"/>
      <c r="AW127" s="49"/>
      <c r="AX127" s="49"/>
      <c r="AY127" s="50"/>
      <c r="AZ127" s="50"/>
      <c r="BA127" s="51"/>
    </row>
    <row r="128" spans="1:53" ht="16">
      <c r="A128" s="45"/>
      <c r="B128" s="52"/>
      <c r="C128" s="6"/>
      <c r="D128" s="46"/>
      <c r="E128" s="47"/>
      <c r="F128" s="48"/>
      <c r="G128" s="49"/>
      <c r="H128" s="49"/>
      <c r="I128" s="50"/>
      <c r="J128" s="50"/>
      <c r="K128" s="51"/>
      <c r="L128" s="47"/>
      <c r="M128" s="48"/>
      <c r="N128" s="49"/>
      <c r="O128" s="49"/>
      <c r="P128" s="50"/>
      <c r="Q128" s="50"/>
      <c r="R128" s="51"/>
      <c r="S128" s="53"/>
      <c r="T128" s="54"/>
      <c r="U128" s="49"/>
      <c r="V128" s="49"/>
      <c r="W128" s="50"/>
      <c r="X128" s="50"/>
      <c r="Y128" s="51"/>
      <c r="Z128" s="53"/>
      <c r="AA128" s="54"/>
      <c r="AB128" s="49"/>
      <c r="AC128" s="49"/>
      <c r="AD128" s="50"/>
      <c r="AE128" s="50"/>
      <c r="AF128" s="51"/>
      <c r="AG128" s="53"/>
      <c r="AH128" s="54"/>
      <c r="AI128" s="49"/>
      <c r="AJ128" s="49"/>
      <c r="AK128" s="50"/>
      <c r="AL128" s="50"/>
      <c r="AM128" s="51"/>
      <c r="AN128" s="53"/>
      <c r="AO128" s="54"/>
      <c r="AP128" s="49"/>
      <c r="AQ128" s="49"/>
      <c r="AR128" s="50"/>
      <c r="AS128" s="50"/>
      <c r="AT128" s="51"/>
      <c r="AU128" s="53"/>
      <c r="AV128" s="54"/>
      <c r="AW128" s="49"/>
      <c r="AX128" s="49"/>
      <c r="AY128" s="50"/>
      <c r="AZ128" s="50"/>
      <c r="BA128" s="51"/>
    </row>
    <row r="129" spans="1:53" ht="16">
      <c r="A129" s="45"/>
      <c r="B129" s="52"/>
      <c r="C129" s="6"/>
      <c r="D129" s="46"/>
      <c r="E129" s="47"/>
      <c r="F129" s="48"/>
      <c r="G129" s="49"/>
      <c r="H129" s="49"/>
      <c r="I129" s="50"/>
      <c r="J129" s="50"/>
      <c r="K129" s="51"/>
      <c r="L129" s="47"/>
      <c r="M129" s="48"/>
      <c r="N129" s="49"/>
      <c r="O129" s="49"/>
      <c r="P129" s="50"/>
      <c r="Q129" s="50"/>
      <c r="R129" s="51"/>
      <c r="S129" s="53"/>
      <c r="T129" s="54"/>
      <c r="U129" s="49"/>
      <c r="V129" s="49"/>
      <c r="W129" s="50"/>
      <c r="X129" s="50"/>
      <c r="Y129" s="51"/>
      <c r="Z129" s="53"/>
      <c r="AA129" s="54"/>
      <c r="AB129" s="49"/>
      <c r="AC129" s="49"/>
      <c r="AD129" s="50"/>
      <c r="AE129" s="50"/>
      <c r="AF129" s="51"/>
      <c r="AG129" s="53"/>
      <c r="AH129" s="54"/>
      <c r="AI129" s="49"/>
      <c r="AJ129" s="49"/>
      <c r="AK129" s="50"/>
      <c r="AL129" s="50"/>
      <c r="AM129" s="51"/>
      <c r="AN129" s="53"/>
      <c r="AO129" s="54"/>
      <c r="AP129" s="49"/>
      <c r="AQ129" s="49"/>
      <c r="AR129" s="50"/>
      <c r="AS129" s="50"/>
      <c r="AT129" s="51"/>
      <c r="AU129" s="53"/>
      <c r="AV129" s="54"/>
      <c r="AW129" s="49"/>
      <c r="AX129" s="49"/>
      <c r="AY129" s="50"/>
      <c r="AZ129" s="50"/>
      <c r="BA129" s="51"/>
    </row>
    <row r="130" spans="1:53" ht="16">
      <c r="A130" s="45"/>
      <c r="B130" s="52"/>
      <c r="C130" s="6"/>
      <c r="D130" s="46"/>
      <c r="E130" s="47"/>
      <c r="F130" s="48"/>
      <c r="G130" s="49"/>
      <c r="H130" s="49"/>
      <c r="I130" s="50"/>
      <c r="J130" s="50"/>
      <c r="K130" s="51"/>
      <c r="L130" s="47"/>
      <c r="M130" s="48"/>
      <c r="N130" s="49"/>
      <c r="O130" s="49"/>
      <c r="P130" s="50"/>
      <c r="Q130" s="50"/>
      <c r="R130" s="51"/>
      <c r="S130" s="53"/>
      <c r="T130" s="54"/>
      <c r="U130" s="49"/>
      <c r="V130" s="49"/>
      <c r="W130" s="50"/>
      <c r="X130" s="50"/>
      <c r="Y130" s="51"/>
      <c r="Z130" s="53"/>
      <c r="AA130" s="54"/>
      <c r="AB130" s="49"/>
      <c r="AC130" s="49"/>
      <c r="AD130" s="50"/>
      <c r="AE130" s="50"/>
      <c r="AF130" s="51"/>
      <c r="AG130" s="53"/>
      <c r="AH130" s="54"/>
      <c r="AI130" s="49"/>
      <c r="AJ130" s="49"/>
      <c r="AK130" s="50"/>
      <c r="AL130" s="50"/>
      <c r="AM130" s="51"/>
      <c r="AN130" s="53"/>
      <c r="AO130" s="54"/>
      <c r="AP130" s="49"/>
      <c r="AQ130" s="49"/>
      <c r="AR130" s="50"/>
      <c r="AS130" s="50"/>
      <c r="AT130" s="51"/>
      <c r="AU130" s="53"/>
      <c r="AV130" s="54"/>
      <c r="AW130" s="49"/>
      <c r="AX130" s="49"/>
      <c r="AY130" s="50"/>
      <c r="AZ130" s="50"/>
      <c r="BA130" s="51"/>
    </row>
    <row r="131" spans="1:53" ht="16">
      <c r="A131" s="45"/>
      <c r="B131" s="52"/>
      <c r="C131" s="6"/>
      <c r="D131" s="46"/>
      <c r="E131" s="47"/>
      <c r="F131" s="48"/>
      <c r="G131" s="49"/>
      <c r="H131" s="49"/>
      <c r="I131" s="50"/>
      <c r="J131" s="50"/>
      <c r="K131" s="51"/>
      <c r="L131" s="47"/>
      <c r="M131" s="48"/>
      <c r="N131" s="49"/>
      <c r="O131" s="49"/>
      <c r="P131" s="50"/>
      <c r="Q131" s="50"/>
      <c r="R131" s="51"/>
      <c r="S131" s="53"/>
      <c r="T131" s="54"/>
      <c r="U131" s="49"/>
      <c r="V131" s="49"/>
      <c r="W131" s="50"/>
      <c r="X131" s="50"/>
      <c r="Y131" s="51"/>
      <c r="Z131" s="53"/>
      <c r="AA131" s="54"/>
      <c r="AB131" s="49"/>
      <c r="AC131" s="49"/>
      <c r="AD131" s="50"/>
      <c r="AE131" s="50"/>
      <c r="AF131" s="51"/>
      <c r="AG131" s="53"/>
      <c r="AH131" s="54"/>
      <c r="AI131" s="49"/>
      <c r="AJ131" s="49"/>
      <c r="AK131" s="50"/>
      <c r="AL131" s="50"/>
      <c r="AM131" s="51"/>
      <c r="AN131" s="53"/>
      <c r="AO131" s="54"/>
      <c r="AP131" s="49"/>
      <c r="AQ131" s="49"/>
      <c r="AR131" s="50"/>
      <c r="AS131" s="50"/>
      <c r="AT131" s="51"/>
      <c r="AU131" s="53"/>
      <c r="AV131" s="54"/>
      <c r="AW131" s="49"/>
      <c r="AX131" s="49"/>
      <c r="AY131" s="50"/>
      <c r="AZ131" s="50"/>
      <c r="BA131" s="51"/>
    </row>
    <row r="132" spans="1:53" ht="16">
      <c r="A132" s="45"/>
      <c r="B132" s="52"/>
      <c r="C132" s="6"/>
      <c r="D132" s="46"/>
      <c r="E132" s="47"/>
      <c r="F132" s="48"/>
      <c r="G132" s="49"/>
      <c r="H132" s="49"/>
      <c r="I132" s="50"/>
      <c r="J132" s="50"/>
      <c r="K132" s="51"/>
      <c r="L132" s="47"/>
      <c r="M132" s="48"/>
      <c r="N132" s="49"/>
      <c r="O132" s="49"/>
      <c r="P132" s="50"/>
      <c r="Q132" s="50"/>
      <c r="R132" s="51"/>
      <c r="S132" s="53"/>
      <c r="T132" s="54"/>
      <c r="U132" s="49"/>
      <c r="V132" s="49"/>
      <c r="W132" s="50"/>
      <c r="X132" s="50"/>
      <c r="Y132" s="51"/>
      <c r="Z132" s="53"/>
      <c r="AA132" s="54"/>
      <c r="AB132" s="49"/>
      <c r="AC132" s="49"/>
      <c r="AD132" s="50"/>
      <c r="AE132" s="50"/>
      <c r="AF132" s="51"/>
      <c r="AG132" s="53"/>
      <c r="AH132" s="54"/>
      <c r="AI132" s="49"/>
      <c r="AJ132" s="49"/>
      <c r="AK132" s="50"/>
      <c r="AL132" s="50"/>
      <c r="AM132" s="51"/>
      <c r="AN132" s="53"/>
      <c r="AO132" s="54"/>
      <c r="AP132" s="49"/>
      <c r="AQ132" s="49"/>
      <c r="AR132" s="50"/>
      <c r="AS132" s="50"/>
      <c r="AT132" s="51"/>
      <c r="AU132" s="53"/>
      <c r="AV132" s="54"/>
      <c r="AW132" s="49"/>
      <c r="AX132" s="49"/>
      <c r="AY132" s="50"/>
      <c r="AZ132" s="50"/>
      <c r="BA132" s="51"/>
    </row>
    <row r="133" spans="1:53" ht="16">
      <c r="A133" s="45"/>
      <c r="B133" s="52"/>
      <c r="C133" s="6"/>
      <c r="D133" s="46"/>
      <c r="E133" s="47"/>
      <c r="F133" s="48"/>
      <c r="G133" s="49"/>
      <c r="H133" s="49"/>
      <c r="I133" s="50"/>
      <c r="J133" s="50"/>
      <c r="K133" s="51"/>
      <c r="L133" s="47"/>
      <c r="M133" s="48"/>
      <c r="N133" s="49"/>
      <c r="O133" s="49"/>
      <c r="P133" s="50"/>
      <c r="Q133" s="50"/>
      <c r="R133" s="51"/>
      <c r="S133" s="53"/>
      <c r="T133" s="54"/>
      <c r="U133" s="49"/>
      <c r="V133" s="49"/>
      <c r="W133" s="50"/>
      <c r="X133" s="50"/>
      <c r="Y133" s="51"/>
      <c r="Z133" s="53"/>
      <c r="AA133" s="54"/>
      <c r="AB133" s="49"/>
      <c r="AC133" s="49"/>
      <c r="AD133" s="50"/>
      <c r="AE133" s="50"/>
      <c r="AF133" s="51"/>
      <c r="AG133" s="53"/>
      <c r="AH133" s="54"/>
      <c r="AI133" s="49"/>
      <c r="AJ133" s="49"/>
      <c r="AK133" s="50"/>
      <c r="AL133" s="50"/>
      <c r="AM133" s="51"/>
      <c r="AN133" s="53"/>
      <c r="AO133" s="54"/>
      <c r="AP133" s="49"/>
      <c r="AQ133" s="49"/>
      <c r="AR133" s="50"/>
      <c r="AS133" s="50"/>
      <c r="AT133" s="51"/>
      <c r="AU133" s="53"/>
      <c r="AV133" s="54"/>
      <c r="AW133" s="49"/>
      <c r="AX133" s="49"/>
      <c r="AY133" s="50"/>
      <c r="AZ133" s="50"/>
      <c r="BA133" s="51"/>
    </row>
    <row r="134" spans="1:53" ht="16">
      <c r="A134" s="45"/>
      <c r="B134" s="52"/>
      <c r="C134" s="6"/>
      <c r="D134" s="46"/>
      <c r="E134" s="47"/>
      <c r="F134" s="48"/>
      <c r="G134" s="49"/>
      <c r="H134" s="49"/>
      <c r="I134" s="50"/>
      <c r="J134" s="50"/>
      <c r="K134" s="51"/>
      <c r="L134" s="47"/>
      <c r="M134" s="48"/>
      <c r="N134" s="49"/>
      <c r="O134" s="49"/>
      <c r="P134" s="50"/>
      <c r="Q134" s="50"/>
      <c r="R134" s="51"/>
      <c r="S134" s="53"/>
      <c r="T134" s="54"/>
      <c r="U134" s="49"/>
      <c r="V134" s="49"/>
      <c r="W134" s="50"/>
      <c r="X134" s="50"/>
      <c r="Y134" s="51"/>
      <c r="Z134" s="53"/>
      <c r="AA134" s="54"/>
      <c r="AB134" s="49"/>
      <c r="AC134" s="49"/>
      <c r="AD134" s="50"/>
      <c r="AE134" s="50"/>
      <c r="AF134" s="51"/>
      <c r="AG134" s="53"/>
      <c r="AH134" s="54"/>
      <c r="AI134" s="49"/>
      <c r="AJ134" s="49"/>
      <c r="AK134" s="50"/>
      <c r="AL134" s="50"/>
      <c r="AM134" s="51"/>
      <c r="AN134" s="53"/>
      <c r="AO134" s="54"/>
      <c r="AP134" s="49"/>
      <c r="AQ134" s="49"/>
      <c r="AR134" s="50"/>
      <c r="AS134" s="50"/>
      <c r="AT134" s="51"/>
      <c r="AU134" s="53"/>
      <c r="AV134" s="54"/>
      <c r="AW134" s="49"/>
      <c r="AX134" s="49"/>
      <c r="AY134" s="50"/>
      <c r="AZ134" s="50"/>
      <c r="BA134" s="51"/>
    </row>
    <row r="135" spans="1:53" ht="16">
      <c r="A135" s="45"/>
      <c r="B135" s="52"/>
      <c r="C135" s="6"/>
      <c r="D135" s="46"/>
      <c r="E135" s="47"/>
      <c r="F135" s="48"/>
      <c r="G135" s="49"/>
      <c r="H135" s="49"/>
      <c r="I135" s="50"/>
      <c r="J135" s="50"/>
      <c r="K135" s="51"/>
      <c r="L135" s="47"/>
      <c r="M135" s="48"/>
      <c r="N135" s="49"/>
      <c r="O135" s="49"/>
      <c r="P135" s="50"/>
      <c r="Q135" s="50"/>
      <c r="R135" s="51"/>
      <c r="S135" s="53"/>
      <c r="T135" s="54"/>
      <c r="U135" s="49"/>
      <c r="V135" s="49"/>
      <c r="W135" s="50"/>
      <c r="X135" s="50"/>
      <c r="Y135" s="51"/>
      <c r="Z135" s="53"/>
      <c r="AA135" s="54"/>
      <c r="AB135" s="49"/>
      <c r="AC135" s="49"/>
      <c r="AD135" s="50"/>
      <c r="AE135" s="50"/>
      <c r="AF135" s="51"/>
      <c r="AG135" s="53"/>
      <c r="AH135" s="54"/>
      <c r="AI135" s="49"/>
      <c r="AJ135" s="49"/>
      <c r="AK135" s="50"/>
      <c r="AL135" s="50"/>
      <c r="AM135" s="51"/>
      <c r="AN135" s="53"/>
      <c r="AO135" s="54"/>
      <c r="AP135" s="49"/>
      <c r="AQ135" s="49"/>
      <c r="AR135" s="50"/>
      <c r="AS135" s="50"/>
      <c r="AT135" s="51"/>
      <c r="AU135" s="53"/>
      <c r="AV135" s="54"/>
      <c r="AW135" s="49"/>
      <c r="AX135" s="49"/>
      <c r="AY135" s="50"/>
      <c r="AZ135" s="50"/>
      <c r="BA135" s="51"/>
    </row>
    <row r="136" spans="1:53" ht="16">
      <c r="A136" s="45"/>
      <c r="B136" s="52"/>
      <c r="C136" s="6"/>
      <c r="D136" s="46"/>
      <c r="E136" s="47"/>
      <c r="F136" s="48"/>
      <c r="G136" s="49"/>
      <c r="H136" s="49"/>
      <c r="I136" s="50"/>
      <c r="J136" s="50"/>
      <c r="K136" s="51"/>
      <c r="L136" s="47"/>
      <c r="M136" s="48"/>
      <c r="N136" s="49"/>
      <c r="O136" s="49"/>
      <c r="P136" s="50"/>
      <c r="Q136" s="50"/>
      <c r="R136" s="51"/>
      <c r="S136" s="53"/>
      <c r="T136" s="54"/>
      <c r="U136" s="49"/>
      <c r="V136" s="49"/>
      <c r="W136" s="50"/>
      <c r="X136" s="50"/>
      <c r="Y136" s="51"/>
      <c r="Z136" s="53"/>
      <c r="AA136" s="54"/>
      <c r="AB136" s="49"/>
      <c r="AC136" s="49"/>
      <c r="AD136" s="50"/>
      <c r="AE136" s="50"/>
      <c r="AF136" s="51"/>
      <c r="AG136" s="53"/>
      <c r="AH136" s="54"/>
      <c r="AI136" s="49"/>
      <c r="AJ136" s="49"/>
      <c r="AK136" s="50"/>
      <c r="AL136" s="50"/>
      <c r="AM136" s="51"/>
      <c r="AN136" s="53"/>
      <c r="AO136" s="54"/>
      <c r="AP136" s="49"/>
      <c r="AQ136" s="49"/>
      <c r="AR136" s="50"/>
      <c r="AS136" s="50"/>
      <c r="AT136" s="51"/>
      <c r="AU136" s="53"/>
      <c r="AV136" s="54"/>
      <c r="AW136" s="49"/>
      <c r="AX136" s="49"/>
      <c r="AY136" s="50"/>
      <c r="AZ136" s="50"/>
      <c r="BA136" s="51"/>
    </row>
    <row r="137" spans="1:53" ht="16">
      <c r="A137" s="45"/>
      <c r="B137" s="52"/>
      <c r="C137" s="6"/>
      <c r="D137" s="46"/>
      <c r="E137" s="47"/>
      <c r="F137" s="48"/>
      <c r="G137" s="49"/>
      <c r="H137" s="49"/>
      <c r="I137" s="50"/>
      <c r="J137" s="50"/>
      <c r="K137" s="51"/>
      <c r="L137" s="47"/>
      <c r="M137" s="48"/>
      <c r="N137" s="49"/>
      <c r="O137" s="49"/>
      <c r="P137" s="50"/>
      <c r="Q137" s="50"/>
      <c r="R137" s="51"/>
      <c r="S137" s="53"/>
      <c r="T137" s="54"/>
      <c r="U137" s="49"/>
      <c r="V137" s="49"/>
      <c r="W137" s="50"/>
      <c r="X137" s="50"/>
      <c r="Y137" s="51"/>
      <c r="Z137" s="53"/>
      <c r="AA137" s="54"/>
      <c r="AB137" s="49"/>
      <c r="AC137" s="49"/>
      <c r="AD137" s="50"/>
      <c r="AE137" s="50"/>
      <c r="AF137" s="51"/>
      <c r="AG137" s="53"/>
      <c r="AH137" s="54"/>
      <c r="AI137" s="49"/>
      <c r="AJ137" s="49"/>
      <c r="AK137" s="50"/>
      <c r="AL137" s="50"/>
      <c r="AM137" s="51"/>
      <c r="AN137" s="53"/>
      <c r="AO137" s="54"/>
      <c r="AP137" s="49"/>
      <c r="AQ137" s="49"/>
      <c r="AR137" s="50"/>
      <c r="AS137" s="50"/>
      <c r="AT137" s="51"/>
      <c r="AU137" s="53"/>
      <c r="AV137" s="54"/>
      <c r="AW137" s="49"/>
      <c r="AX137" s="49"/>
      <c r="AY137" s="50"/>
      <c r="AZ137" s="50"/>
      <c r="BA137" s="51"/>
    </row>
    <row r="138" spans="1:53" ht="16">
      <c r="A138" s="45"/>
      <c r="B138" s="52"/>
      <c r="C138" s="6"/>
      <c r="D138" s="46"/>
      <c r="E138" s="47"/>
      <c r="F138" s="48"/>
      <c r="G138" s="49"/>
      <c r="H138" s="49"/>
      <c r="I138" s="50"/>
      <c r="J138" s="50"/>
      <c r="K138" s="51"/>
      <c r="L138" s="47"/>
      <c r="M138" s="48"/>
      <c r="N138" s="49"/>
      <c r="O138" s="49"/>
      <c r="P138" s="50"/>
      <c r="Q138" s="50"/>
      <c r="R138" s="51"/>
      <c r="S138" s="53"/>
      <c r="T138" s="54"/>
      <c r="U138" s="49"/>
      <c r="V138" s="49"/>
      <c r="W138" s="50"/>
      <c r="X138" s="50"/>
      <c r="Y138" s="51"/>
      <c r="Z138" s="53"/>
      <c r="AA138" s="54"/>
      <c r="AB138" s="49"/>
      <c r="AC138" s="49"/>
      <c r="AD138" s="50"/>
      <c r="AE138" s="50"/>
      <c r="AF138" s="51"/>
      <c r="AG138" s="53"/>
      <c r="AH138" s="54"/>
      <c r="AI138" s="49"/>
      <c r="AJ138" s="49"/>
      <c r="AK138" s="50"/>
      <c r="AL138" s="50"/>
      <c r="AM138" s="51"/>
      <c r="AN138" s="53"/>
      <c r="AO138" s="54"/>
      <c r="AP138" s="49"/>
      <c r="AQ138" s="49"/>
      <c r="AR138" s="50"/>
      <c r="AS138" s="50"/>
      <c r="AT138" s="51"/>
      <c r="AU138" s="53"/>
      <c r="AV138" s="54"/>
      <c r="AW138" s="49"/>
      <c r="AX138" s="49"/>
      <c r="AY138" s="50"/>
      <c r="AZ138" s="50"/>
      <c r="BA138" s="51"/>
    </row>
    <row r="139" spans="1:53" ht="16">
      <c r="A139" s="45"/>
      <c r="B139" s="52"/>
      <c r="C139" s="6"/>
      <c r="D139" s="46"/>
      <c r="E139" s="47"/>
      <c r="F139" s="48"/>
      <c r="G139" s="49"/>
      <c r="H139" s="49"/>
      <c r="I139" s="50"/>
      <c r="J139" s="50"/>
      <c r="K139" s="51"/>
      <c r="L139" s="47"/>
      <c r="M139" s="48"/>
      <c r="N139" s="49"/>
      <c r="O139" s="49"/>
      <c r="P139" s="50"/>
      <c r="Q139" s="50"/>
      <c r="R139" s="51"/>
      <c r="S139" s="53"/>
      <c r="T139" s="54"/>
      <c r="U139" s="49"/>
      <c r="V139" s="49"/>
      <c r="W139" s="50"/>
      <c r="X139" s="50"/>
      <c r="Y139" s="51"/>
      <c r="Z139" s="53"/>
      <c r="AA139" s="54"/>
      <c r="AB139" s="49"/>
      <c r="AC139" s="49"/>
      <c r="AD139" s="50"/>
      <c r="AE139" s="50"/>
      <c r="AF139" s="51"/>
      <c r="AG139" s="53"/>
      <c r="AH139" s="54"/>
      <c r="AI139" s="49"/>
      <c r="AJ139" s="49"/>
      <c r="AK139" s="50"/>
      <c r="AL139" s="50"/>
      <c r="AM139" s="51"/>
      <c r="AN139" s="53"/>
      <c r="AO139" s="54"/>
      <c r="AP139" s="49"/>
      <c r="AQ139" s="49"/>
      <c r="AR139" s="50"/>
      <c r="AS139" s="50"/>
      <c r="AT139" s="51"/>
      <c r="AU139" s="53"/>
      <c r="AV139" s="54"/>
      <c r="AW139" s="49"/>
      <c r="AX139" s="49"/>
      <c r="AY139" s="50"/>
      <c r="AZ139" s="50"/>
      <c r="BA139" s="51"/>
    </row>
    <row r="140" spans="1:53" ht="16">
      <c r="A140" s="45"/>
      <c r="B140" s="52"/>
      <c r="C140" s="6"/>
      <c r="D140" s="46"/>
      <c r="E140" s="47"/>
      <c r="F140" s="48"/>
      <c r="G140" s="49"/>
      <c r="H140" s="49"/>
      <c r="I140" s="50"/>
      <c r="J140" s="50"/>
      <c r="K140" s="51"/>
      <c r="L140" s="47"/>
      <c r="M140" s="48"/>
      <c r="N140" s="49"/>
      <c r="O140" s="49"/>
      <c r="P140" s="50"/>
      <c r="Q140" s="50"/>
      <c r="R140" s="51"/>
      <c r="S140" s="53"/>
      <c r="T140" s="54"/>
      <c r="U140" s="49"/>
      <c r="V140" s="49"/>
      <c r="W140" s="50"/>
      <c r="X140" s="50"/>
      <c r="Y140" s="51"/>
      <c r="Z140" s="53"/>
      <c r="AA140" s="54"/>
      <c r="AB140" s="49"/>
      <c r="AC140" s="49"/>
      <c r="AD140" s="50"/>
      <c r="AE140" s="50"/>
      <c r="AF140" s="51"/>
      <c r="AG140" s="53"/>
      <c r="AH140" s="54"/>
      <c r="AI140" s="49"/>
      <c r="AJ140" s="49"/>
      <c r="AK140" s="50"/>
      <c r="AL140" s="50"/>
      <c r="AM140" s="51"/>
      <c r="AN140" s="53"/>
      <c r="AO140" s="54"/>
      <c r="AP140" s="49"/>
      <c r="AQ140" s="49"/>
      <c r="AR140" s="50"/>
      <c r="AS140" s="50"/>
      <c r="AT140" s="51"/>
      <c r="AU140" s="53"/>
      <c r="AV140" s="54"/>
      <c r="AW140" s="49"/>
      <c r="AX140" s="49"/>
      <c r="AY140" s="50"/>
      <c r="AZ140" s="50"/>
      <c r="BA140" s="51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1000-000000000000}">
          <x14:formula1>
            <xm:f>'processing factors'!$Q$26:$Q$51</xm:f>
          </x14:formula1>
          <x14:formula2>
            <xm:f>0</xm:f>
          </x14:formula2>
          <xm:sqref>C56:C140</xm:sqref>
        </x14:dataValidation>
        <x14:dataValidation type="list" allowBlank="1" showInputMessage="1" showErrorMessage="1" xr:uid="{00000000-0002-0000-1000-000001000000}">
          <x14:formula1>
            <xm:f>'Trade Details'!$C$20:$C$41</xm:f>
          </x14:formula1>
          <x14:formula2>
            <xm:f>0</xm:f>
          </x14:formula2>
          <xm:sqref>D56:D140</xm:sqref>
        </x14:dataValidation>
        <x14:dataValidation type="list" allowBlank="1" showInputMessage="1" showErrorMessage="1" xr:uid="{00000000-0002-0000-1000-000002000000}">
          <x14:formula1>
            <xm:f>'MRN or Juruti max cargo'!$E$3:$E$16</xm:f>
          </x14:formula1>
          <x14:formula2>
            <xm:f>0</xm:f>
          </x14:formula2>
          <xm:sqref>N56:N140 U56:U140 AB56:AB140 AI56:AI140 AP56:AP140 AW56:AW140 G56:G140</xm:sqref>
        </x14:dataValidation>
        <x14:dataValidation type="list" allowBlank="1" showInputMessage="1" showErrorMessage="1" xr:uid="{00000000-0002-0000-1000-000003000000}">
          <x14:formula1>
            <xm:f>'Ship Speeds'!$C$9:$C$19</xm:f>
          </x14:formula1>
          <x14:formula2>
            <xm:f>0</xm:f>
          </x14:formula2>
          <xm:sqref>O56:O140 V56:V140 AC56:AC140 AJ56:AJ140 AQ56:AQ140 AX56:AX140 H56:H140</xm:sqref>
        </x14:dataValidation>
        <x14:dataValidation type="list" allowBlank="1" showInputMessage="1" showErrorMessage="1" xr:uid="{00000000-0002-0000-1000-000004000000}">
          <x14:formula1>
            <xm:f>'Ship Speeds'!$E$9:$E$19</xm:f>
          </x14:formula1>
          <x14:formula2>
            <xm:f>0</xm:f>
          </x14:formula2>
          <xm:sqref>P56:P140 W56:W140 AD56:AD140 AK56:AK140 AR56:AR140 AY56:AY140 I56:I140</xm:sqref>
        </x14:dataValidation>
        <x14:dataValidation type="list" allowBlank="1" showInputMessage="1" showErrorMessage="1" xr:uid="{00000000-0002-0000-1000-000005000000}">
          <x14:formula1>
            <xm:f>'Ship Speeds'!$F$9:$F$19</xm:f>
          </x14:formula1>
          <x14:formula2>
            <xm:f>0</xm:f>
          </x14:formula2>
          <xm:sqref>Q56:Q140 X56:X140 AE56:AE140 AL56:AL140 AS56:AS140 AZ56:AZ140 J56:J140</xm:sqref>
        </x14:dataValidation>
        <x14:dataValidation type="list" allowBlank="1" showInputMessage="1" showErrorMessage="1" xr:uid="{00000000-0002-0000-1000-000006000000}">
          <x14:formula1>
            <xm:f>'Special 2 Leg Shipping Table'!$C$5:$C$14</xm:f>
          </x14:formula1>
          <x14:formula2>
            <xm:f>0</xm:f>
          </x14:formula2>
          <xm:sqref>R56:R140 Y56:Y140 AF56:AF140 AM56:AM140 AT56:AT140 BA56:BA140 K56:K140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G1001"/>
  <sheetViews>
    <sheetView zoomScaleNormal="100" workbookViewId="0">
      <selection activeCell="J8" sqref="J8"/>
    </sheetView>
  </sheetViews>
  <sheetFormatPr baseColWidth="10" defaultColWidth="9.1640625" defaultRowHeight="15"/>
  <cols>
    <col min="1" max="1" width="12.33203125" customWidth="1"/>
  </cols>
  <sheetData>
    <row r="1" spans="1:7" ht="51">
      <c r="A1" s="55" t="s">
        <v>1</v>
      </c>
      <c r="B1" s="55" t="s">
        <v>220</v>
      </c>
      <c r="C1" s="55" t="s">
        <v>221</v>
      </c>
      <c r="D1" s="55" t="s">
        <v>214</v>
      </c>
      <c r="E1" s="56" t="s">
        <v>222</v>
      </c>
      <c r="F1" s="56" t="s">
        <v>223</v>
      </c>
      <c r="G1" s="56" t="s">
        <v>224</v>
      </c>
    </row>
    <row r="2" spans="1:7">
      <c r="A2" s="148">
        <v>40724</v>
      </c>
      <c r="B2" s="149" t="s">
        <v>213</v>
      </c>
      <c r="C2" s="150">
        <v>637.15</v>
      </c>
      <c r="D2" s="150"/>
      <c r="E2" s="150"/>
      <c r="F2" s="150">
        <v>894</v>
      </c>
      <c r="G2" s="150"/>
    </row>
    <row r="3" spans="1:7">
      <c r="A3" s="148">
        <v>40731</v>
      </c>
      <c r="B3" s="149" t="s">
        <v>213</v>
      </c>
      <c r="C3" s="150">
        <v>650</v>
      </c>
      <c r="D3" s="150"/>
      <c r="E3" s="150"/>
      <c r="F3" s="150">
        <v>912.8</v>
      </c>
      <c r="G3" s="150"/>
    </row>
    <row r="4" spans="1:7">
      <c r="A4" s="148">
        <v>40738</v>
      </c>
      <c r="B4" s="149" t="s">
        <v>213</v>
      </c>
      <c r="C4" s="150">
        <v>666.2</v>
      </c>
      <c r="D4" s="150"/>
      <c r="E4" s="150"/>
      <c r="F4" s="150">
        <v>945.4</v>
      </c>
      <c r="G4" s="150"/>
    </row>
    <row r="5" spans="1:7">
      <c r="A5" s="148">
        <v>40745</v>
      </c>
      <c r="B5" s="149" t="s">
        <v>213</v>
      </c>
      <c r="C5" s="150">
        <v>670.6</v>
      </c>
      <c r="D5" s="150"/>
      <c r="E5" s="150"/>
      <c r="F5" s="150">
        <v>953.2</v>
      </c>
      <c r="G5" s="150"/>
    </row>
    <row r="6" spans="1:7">
      <c r="A6" s="148">
        <v>40752</v>
      </c>
      <c r="B6" s="149" t="s">
        <v>213</v>
      </c>
      <c r="C6" s="150">
        <v>681.2</v>
      </c>
      <c r="D6" s="150"/>
      <c r="E6" s="150"/>
      <c r="F6" s="150">
        <v>958</v>
      </c>
      <c r="G6" s="150"/>
    </row>
    <row r="7" spans="1:7">
      <c r="A7" s="148">
        <v>40759</v>
      </c>
      <c r="B7" s="149" t="s">
        <v>213</v>
      </c>
      <c r="C7" s="150">
        <v>674.7</v>
      </c>
      <c r="D7" s="150"/>
      <c r="E7" s="150"/>
      <c r="F7" s="150">
        <v>952.8</v>
      </c>
      <c r="G7" s="150"/>
    </row>
    <row r="8" spans="1:7">
      <c r="A8" s="148">
        <v>40766</v>
      </c>
      <c r="B8" s="149" t="s">
        <v>213</v>
      </c>
      <c r="C8" s="150">
        <v>639.9</v>
      </c>
      <c r="D8" s="150"/>
      <c r="E8" s="150"/>
      <c r="F8" s="150">
        <v>894</v>
      </c>
      <c r="G8" s="150"/>
    </row>
    <row r="9" spans="1:7">
      <c r="A9" s="148">
        <v>40773</v>
      </c>
      <c r="B9" s="149" t="s">
        <v>213</v>
      </c>
      <c r="C9" s="150">
        <v>648.79999999999995</v>
      </c>
      <c r="D9" s="150"/>
      <c r="E9" s="150"/>
      <c r="F9" s="150">
        <v>900.6</v>
      </c>
      <c r="G9" s="150"/>
    </row>
    <row r="10" spans="1:7">
      <c r="A10" s="148">
        <v>40780</v>
      </c>
      <c r="B10" s="149" t="s">
        <v>213</v>
      </c>
      <c r="C10" s="150">
        <v>649.20000000000005</v>
      </c>
      <c r="D10" s="150"/>
      <c r="E10" s="150"/>
      <c r="F10" s="150">
        <v>900</v>
      </c>
      <c r="G10" s="150"/>
    </row>
    <row r="11" spans="1:7">
      <c r="A11" s="148">
        <v>40787</v>
      </c>
      <c r="B11" s="149" t="s">
        <v>213</v>
      </c>
      <c r="C11" s="150">
        <v>663.40000000000009</v>
      </c>
      <c r="D11" s="150"/>
      <c r="E11" s="150"/>
      <c r="F11" s="150">
        <v>918.8</v>
      </c>
      <c r="G11" s="150"/>
    </row>
    <row r="12" spans="1:7">
      <c r="A12" s="148">
        <v>40794</v>
      </c>
      <c r="B12" s="149" t="s">
        <v>213</v>
      </c>
      <c r="C12" s="150">
        <v>659.7</v>
      </c>
      <c r="D12" s="150"/>
      <c r="E12" s="150"/>
      <c r="F12" s="150">
        <v>922.6</v>
      </c>
      <c r="G12" s="150"/>
    </row>
    <row r="13" spans="1:7">
      <c r="A13" s="148">
        <v>40801</v>
      </c>
      <c r="B13" s="149" t="s">
        <v>213</v>
      </c>
      <c r="C13" s="150">
        <v>653.20000000000005</v>
      </c>
      <c r="D13" s="150"/>
      <c r="E13" s="150"/>
      <c r="F13" s="150">
        <v>910.4</v>
      </c>
      <c r="G13" s="150"/>
    </row>
    <row r="14" spans="1:7">
      <c r="A14" s="148">
        <v>40808</v>
      </c>
      <c r="B14" s="149" t="s">
        <v>213</v>
      </c>
      <c r="C14" s="150">
        <v>655.09999999999991</v>
      </c>
      <c r="D14" s="150"/>
      <c r="E14" s="150"/>
      <c r="F14" s="150">
        <v>911.6</v>
      </c>
      <c r="G14" s="150"/>
    </row>
    <row r="15" spans="1:7">
      <c r="A15" s="148">
        <v>40815</v>
      </c>
      <c r="B15" s="149" t="s">
        <v>213</v>
      </c>
      <c r="C15" s="150">
        <v>638.79999999999995</v>
      </c>
      <c r="D15" s="150"/>
      <c r="E15" s="150"/>
      <c r="F15" s="150">
        <v>877</v>
      </c>
      <c r="G15" s="150"/>
    </row>
    <row r="16" spans="1:7">
      <c r="A16" s="148">
        <v>40822</v>
      </c>
      <c r="B16" s="149" t="s">
        <v>213</v>
      </c>
      <c r="C16" s="150">
        <v>638.79999999999995</v>
      </c>
      <c r="D16" s="150"/>
      <c r="E16" s="150"/>
      <c r="F16" s="150">
        <v>877</v>
      </c>
      <c r="G16" s="150"/>
    </row>
    <row r="17" spans="1:7">
      <c r="A17" s="148">
        <v>40829</v>
      </c>
      <c r="B17" s="149" t="s">
        <v>213</v>
      </c>
      <c r="C17" s="150">
        <v>657.3</v>
      </c>
      <c r="D17" s="150"/>
      <c r="E17" s="150"/>
      <c r="F17" s="150">
        <v>880.4</v>
      </c>
      <c r="G17" s="150"/>
    </row>
    <row r="18" spans="1:7">
      <c r="A18" s="148">
        <v>40836</v>
      </c>
      <c r="B18" s="149" t="s">
        <v>213</v>
      </c>
      <c r="C18" s="150">
        <v>678.3</v>
      </c>
      <c r="D18" s="150"/>
      <c r="E18" s="150"/>
      <c r="F18" s="150">
        <v>903.8</v>
      </c>
      <c r="G18" s="150"/>
    </row>
    <row r="19" spans="1:7">
      <c r="A19" s="148">
        <v>40843</v>
      </c>
      <c r="B19" s="149" t="s">
        <v>213</v>
      </c>
      <c r="C19" s="150">
        <v>681.2</v>
      </c>
      <c r="D19" s="150"/>
      <c r="E19" s="150"/>
      <c r="F19" s="150">
        <v>916</v>
      </c>
      <c r="G19" s="150"/>
    </row>
    <row r="20" spans="1:7">
      <c r="A20" s="148">
        <v>40850</v>
      </c>
      <c r="B20" s="149" t="s">
        <v>213</v>
      </c>
      <c r="C20" s="150">
        <v>683.9</v>
      </c>
      <c r="D20" s="150"/>
      <c r="E20" s="150"/>
      <c r="F20" s="150">
        <v>923</v>
      </c>
      <c r="G20" s="150"/>
    </row>
    <row r="21" spans="1:7">
      <c r="A21" s="148">
        <v>40857</v>
      </c>
      <c r="B21" s="149" t="s">
        <v>213</v>
      </c>
      <c r="C21" s="150">
        <v>703.2</v>
      </c>
      <c r="D21" s="150"/>
      <c r="E21" s="150"/>
      <c r="F21" s="150">
        <v>947</v>
      </c>
      <c r="G21" s="150"/>
    </row>
    <row r="22" spans="1:7">
      <c r="A22" s="148">
        <v>40864</v>
      </c>
      <c r="B22" s="149" t="s">
        <v>213</v>
      </c>
      <c r="C22" s="150">
        <v>705.4</v>
      </c>
      <c r="D22" s="150"/>
      <c r="E22" s="150"/>
      <c r="F22" s="150">
        <v>966.4</v>
      </c>
      <c r="G22" s="150"/>
    </row>
    <row r="23" spans="1:7">
      <c r="A23" s="148">
        <v>40871</v>
      </c>
      <c r="B23" s="149" t="s">
        <v>213</v>
      </c>
      <c r="C23" s="150">
        <v>669</v>
      </c>
      <c r="D23" s="150"/>
      <c r="E23" s="150"/>
      <c r="F23" s="150">
        <v>929</v>
      </c>
      <c r="G23" s="150"/>
    </row>
    <row r="24" spans="1:7">
      <c r="A24" s="148">
        <v>40878</v>
      </c>
      <c r="B24" s="149" t="s">
        <v>213</v>
      </c>
      <c r="C24" s="150">
        <v>676.6</v>
      </c>
      <c r="D24" s="150"/>
      <c r="E24" s="150"/>
      <c r="F24" s="150">
        <v>918.8</v>
      </c>
      <c r="G24" s="150"/>
    </row>
    <row r="25" spans="1:7">
      <c r="A25" s="148">
        <v>40885</v>
      </c>
      <c r="B25" s="149" t="s">
        <v>213</v>
      </c>
      <c r="C25" s="150">
        <v>674.3</v>
      </c>
      <c r="D25" s="150"/>
      <c r="E25" s="150"/>
      <c r="F25" s="150">
        <v>923</v>
      </c>
      <c r="G25" s="150"/>
    </row>
    <row r="26" spans="1:7">
      <c r="A26" s="148">
        <v>40892</v>
      </c>
      <c r="B26" s="149" t="s">
        <v>213</v>
      </c>
      <c r="C26" s="150">
        <v>655.5</v>
      </c>
      <c r="D26" s="150"/>
      <c r="E26" s="150"/>
      <c r="F26" s="150">
        <v>912.6</v>
      </c>
      <c r="G26" s="150"/>
    </row>
    <row r="27" spans="1:7">
      <c r="A27" s="148">
        <v>40899</v>
      </c>
      <c r="B27" s="149" t="s">
        <v>213</v>
      </c>
      <c r="C27" s="150">
        <v>655.7</v>
      </c>
      <c r="D27" s="150"/>
      <c r="E27" s="150"/>
      <c r="F27" s="150">
        <v>900.6</v>
      </c>
      <c r="G27" s="150"/>
    </row>
    <row r="28" spans="1:7">
      <c r="A28" s="148">
        <v>40906</v>
      </c>
      <c r="B28" s="149" t="s">
        <v>213</v>
      </c>
      <c r="C28" s="150">
        <v>680.125</v>
      </c>
      <c r="D28" s="150"/>
      <c r="E28" s="150"/>
      <c r="F28" s="150">
        <v>915.25</v>
      </c>
      <c r="G28" s="150"/>
    </row>
    <row r="29" spans="1:7">
      <c r="A29" s="148">
        <v>40913</v>
      </c>
      <c r="B29" s="149" t="s">
        <v>213</v>
      </c>
      <c r="C29" s="150">
        <v>703.3</v>
      </c>
      <c r="D29" s="150"/>
      <c r="E29" s="150"/>
      <c r="F29" s="150">
        <v>1534.4</v>
      </c>
      <c r="G29" s="150"/>
    </row>
    <row r="30" spans="1:7">
      <c r="A30" s="148">
        <v>40920</v>
      </c>
      <c r="B30" s="149" t="s">
        <v>213</v>
      </c>
      <c r="C30" s="150">
        <v>729</v>
      </c>
      <c r="D30" s="150"/>
      <c r="E30" s="150"/>
      <c r="F30" s="150">
        <v>957.8</v>
      </c>
      <c r="G30" s="150"/>
    </row>
    <row r="31" spans="1:7">
      <c r="A31" s="148">
        <v>40927</v>
      </c>
      <c r="B31" s="149" t="s">
        <v>213</v>
      </c>
      <c r="C31" s="150">
        <v>731.2</v>
      </c>
      <c r="D31" s="150"/>
      <c r="E31" s="150"/>
      <c r="F31" s="150">
        <v>953.2</v>
      </c>
      <c r="G31" s="150"/>
    </row>
    <row r="32" spans="1:7">
      <c r="A32" s="148">
        <v>40934</v>
      </c>
      <c r="B32" s="149" t="s">
        <v>213</v>
      </c>
      <c r="C32" s="150">
        <v>731.2</v>
      </c>
      <c r="D32" s="150"/>
      <c r="E32" s="150"/>
      <c r="F32" s="150">
        <v>953.2</v>
      </c>
      <c r="G32" s="150"/>
    </row>
    <row r="33" spans="1:7">
      <c r="A33" s="148">
        <v>40941</v>
      </c>
      <c r="B33" s="149" t="s">
        <v>213</v>
      </c>
      <c r="C33" s="150">
        <v>735.7</v>
      </c>
      <c r="D33" s="150"/>
      <c r="E33" s="150"/>
      <c r="F33" s="150">
        <v>946.4</v>
      </c>
      <c r="G33" s="150"/>
    </row>
    <row r="34" spans="1:7">
      <c r="A34" s="148">
        <v>40948</v>
      </c>
      <c r="B34" s="149" t="s">
        <v>213</v>
      </c>
      <c r="C34" s="150">
        <v>735.2</v>
      </c>
      <c r="D34" s="150"/>
      <c r="E34" s="150"/>
      <c r="F34" s="150">
        <v>966.6</v>
      </c>
      <c r="G34" s="150"/>
    </row>
    <row r="35" spans="1:7">
      <c r="A35" s="148">
        <v>40955</v>
      </c>
      <c r="B35" s="149" t="s">
        <v>213</v>
      </c>
      <c r="C35" s="150">
        <v>736.8</v>
      </c>
      <c r="D35" s="150"/>
      <c r="E35" s="150"/>
      <c r="F35" s="150">
        <v>974</v>
      </c>
      <c r="G35" s="150"/>
    </row>
    <row r="36" spans="1:7">
      <c r="A36" s="148">
        <v>40962</v>
      </c>
      <c r="B36" s="149" t="s">
        <v>213</v>
      </c>
      <c r="C36" s="150">
        <v>735.09999999999991</v>
      </c>
      <c r="D36" s="150"/>
      <c r="E36" s="150"/>
      <c r="F36" s="150">
        <v>988</v>
      </c>
      <c r="G36" s="150"/>
    </row>
    <row r="37" spans="1:7">
      <c r="A37" s="148">
        <v>40969</v>
      </c>
      <c r="B37" s="149" t="s">
        <v>213</v>
      </c>
      <c r="C37" s="150">
        <v>734.3</v>
      </c>
      <c r="D37" s="150"/>
      <c r="E37" s="150"/>
      <c r="F37" s="150">
        <v>992</v>
      </c>
      <c r="G37" s="150"/>
    </row>
    <row r="38" spans="1:7">
      <c r="A38" s="148">
        <v>40976</v>
      </c>
      <c r="B38" s="149" t="s">
        <v>213</v>
      </c>
      <c r="C38" s="150">
        <v>737.8</v>
      </c>
      <c r="D38" s="150"/>
      <c r="E38" s="150"/>
      <c r="F38" s="150">
        <v>987.6</v>
      </c>
      <c r="G38" s="150"/>
    </row>
    <row r="39" spans="1:7">
      <c r="A39" s="148">
        <v>40983</v>
      </c>
      <c r="B39" s="149" t="s">
        <v>213</v>
      </c>
      <c r="C39" s="150">
        <v>732.2</v>
      </c>
      <c r="D39" s="150"/>
      <c r="E39" s="150"/>
      <c r="F39" s="150">
        <v>1004</v>
      </c>
      <c r="G39" s="150"/>
    </row>
    <row r="40" spans="1:7">
      <c r="A40" s="148">
        <v>40990</v>
      </c>
      <c r="B40" s="149" t="s">
        <v>213</v>
      </c>
      <c r="C40" s="150">
        <v>733.2</v>
      </c>
      <c r="D40" s="150"/>
      <c r="E40" s="150"/>
      <c r="F40" s="150">
        <v>1006</v>
      </c>
      <c r="G40" s="150"/>
    </row>
    <row r="41" spans="1:7">
      <c r="A41" s="148">
        <v>40997</v>
      </c>
      <c r="B41" s="149" t="s">
        <v>213</v>
      </c>
      <c r="C41" s="150">
        <v>734.09999999999991</v>
      </c>
      <c r="D41" s="150"/>
      <c r="E41" s="150"/>
      <c r="F41" s="150">
        <v>1007.8</v>
      </c>
      <c r="G41" s="150"/>
    </row>
    <row r="42" spans="1:7">
      <c r="A42" s="148">
        <v>41004</v>
      </c>
      <c r="B42" s="149" t="s">
        <v>213</v>
      </c>
      <c r="C42" s="150">
        <v>733.3</v>
      </c>
      <c r="D42" s="150"/>
      <c r="E42" s="150"/>
      <c r="F42" s="150">
        <v>1003.4</v>
      </c>
      <c r="G42" s="150"/>
    </row>
    <row r="43" spans="1:7">
      <c r="A43" s="148">
        <v>41011</v>
      </c>
      <c r="B43" s="149" t="s">
        <v>213</v>
      </c>
      <c r="C43" s="150">
        <v>727.4</v>
      </c>
      <c r="D43" s="150"/>
      <c r="E43" s="150"/>
      <c r="F43" s="150">
        <v>993</v>
      </c>
      <c r="G43" s="150"/>
    </row>
    <row r="44" spans="1:7">
      <c r="A44" s="148">
        <v>41018</v>
      </c>
      <c r="B44" s="149" t="s">
        <v>213</v>
      </c>
      <c r="C44" s="150">
        <v>715.8</v>
      </c>
      <c r="D44" s="150"/>
      <c r="E44" s="150"/>
      <c r="F44" s="150">
        <v>977.8</v>
      </c>
      <c r="G44" s="150"/>
    </row>
    <row r="45" spans="1:7">
      <c r="A45" s="148">
        <v>41025</v>
      </c>
      <c r="B45" s="149" t="s">
        <v>213</v>
      </c>
      <c r="C45" s="150">
        <v>716.3</v>
      </c>
      <c r="D45" s="150"/>
      <c r="E45" s="150"/>
      <c r="F45" s="150">
        <v>974.2</v>
      </c>
      <c r="G45" s="150"/>
    </row>
    <row r="46" spans="1:7">
      <c r="A46" s="148">
        <v>41032</v>
      </c>
      <c r="B46" s="149" t="s">
        <v>213</v>
      </c>
      <c r="C46" s="150">
        <v>717.9</v>
      </c>
      <c r="D46" s="150"/>
      <c r="E46" s="150"/>
      <c r="F46" s="150">
        <v>979</v>
      </c>
      <c r="G46" s="150"/>
    </row>
    <row r="47" spans="1:7">
      <c r="A47" s="148">
        <v>41039</v>
      </c>
      <c r="B47" s="149" t="s">
        <v>213</v>
      </c>
      <c r="C47" s="150">
        <v>685.2</v>
      </c>
      <c r="D47" s="150"/>
      <c r="E47" s="150"/>
      <c r="F47" s="150">
        <v>943.6</v>
      </c>
      <c r="G47" s="150"/>
    </row>
    <row r="48" spans="1:7">
      <c r="A48" s="148">
        <v>41046</v>
      </c>
      <c r="B48" s="149" t="s">
        <v>213</v>
      </c>
      <c r="C48" s="150">
        <v>665</v>
      </c>
      <c r="D48" s="150"/>
      <c r="E48" s="150"/>
      <c r="F48" s="150">
        <v>925.6</v>
      </c>
      <c r="G48" s="150"/>
    </row>
    <row r="49" spans="1:7">
      <c r="A49" s="148">
        <v>41053</v>
      </c>
      <c r="B49" s="149" t="s">
        <v>213</v>
      </c>
      <c r="C49" s="150">
        <v>648.70000000000005</v>
      </c>
      <c r="D49" s="150"/>
      <c r="E49" s="150"/>
      <c r="F49" s="150">
        <v>895.6</v>
      </c>
      <c r="G49" s="150"/>
    </row>
    <row r="50" spans="1:7">
      <c r="A50" s="148">
        <v>41060</v>
      </c>
      <c r="B50" s="149" t="s">
        <v>213</v>
      </c>
      <c r="C50" s="150">
        <v>644.40000000000009</v>
      </c>
      <c r="D50" s="150"/>
      <c r="E50" s="150"/>
      <c r="F50" s="150">
        <v>879.6</v>
      </c>
      <c r="G50" s="150"/>
    </row>
    <row r="51" spans="1:7">
      <c r="A51" s="148">
        <v>41067</v>
      </c>
      <c r="B51" s="149" t="s">
        <v>213</v>
      </c>
      <c r="C51" s="150">
        <v>591.20000000000005</v>
      </c>
      <c r="D51" s="150"/>
      <c r="E51" s="150"/>
      <c r="F51" s="150">
        <v>835</v>
      </c>
      <c r="G51" s="150"/>
    </row>
    <row r="52" spans="1:7">
      <c r="A52" s="148">
        <v>41074</v>
      </c>
      <c r="B52" s="149" t="s">
        <v>213</v>
      </c>
      <c r="C52" s="150">
        <v>597.5</v>
      </c>
      <c r="D52" s="150"/>
      <c r="E52" s="150"/>
      <c r="F52" s="150">
        <v>827</v>
      </c>
      <c r="G52" s="150"/>
    </row>
    <row r="53" spans="1:7">
      <c r="A53" s="148">
        <v>41081</v>
      </c>
      <c r="B53" s="149" t="s">
        <v>213</v>
      </c>
      <c r="C53" s="150">
        <v>594.09999999999991</v>
      </c>
      <c r="D53" s="150"/>
      <c r="E53" s="150"/>
      <c r="F53" s="150">
        <v>820</v>
      </c>
      <c r="G53" s="150"/>
    </row>
    <row r="54" spans="1:7">
      <c r="A54" s="148">
        <v>41088</v>
      </c>
      <c r="B54" s="149" t="s">
        <v>213</v>
      </c>
      <c r="C54" s="150">
        <v>572.70000000000005</v>
      </c>
      <c r="D54" s="150"/>
      <c r="E54" s="150"/>
      <c r="F54" s="150">
        <v>792</v>
      </c>
      <c r="G54" s="150"/>
    </row>
    <row r="55" spans="1:7">
      <c r="A55" s="148">
        <v>41095</v>
      </c>
      <c r="B55" s="149" t="s">
        <v>213</v>
      </c>
      <c r="C55" s="150">
        <v>598.1</v>
      </c>
      <c r="D55" s="150"/>
      <c r="E55" s="150"/>
      <c r="F55" s="150">
        <v>835</v>
      </c>
      <c r="G55" s="150"/>
    </row>
    <row r="56" spans="1:7">
      <c r="A56" s="148">
        <v>41102</v>
      </c>
      <c r="B56" s="149" t="s">
        <v>213</v>
      </c>
      <c r="C56" s="150">
        <v>598</v>
      </c>
      <c r="D56" s="150"/>
      <c r="E56" s="150"/>
      <c r="F56" s="150">
        <v>843</v>
      </c>
      <c r="G56" s="150"/>
    </row>
    <row r="57" spans="1:7">
      <c r="A57" s="148">
        <v>41109</v>
      </c>
      <c r="B57" s="149" t="s">
        <v>213</v>
      </c>
      <c r="C57" s="150">
        <v>615.59999999999991</v>
      </c>
      <c r="D57" s="150"/>
      <c r="E57" s="150"/>
      <c r="F57" s="150">
        <v>872</v>
      </c>
      <c r="G57" s="150"/>
    </row>
    <row r="58" spans="1:7">
      <c r="A58" s="148">
        <v>41116</v>
      </c>
      <c r="B58" s="149" t="s">
        <v>213</v>
      </c>
      <c r="C58" s="150">
        <v>620.79999999999995</v>
      </c>
      <c r="D58" s="150"/>
      <c r="E58" s="150"/>
      <c r="F58" s="150">
        <v>885</v>
      </c>
      <c r="G58" s="150"/>
    </row>
    <row r="59" spans="1:7">
      <c r="A59" s="148">
        <v>41123</v>
      </c>
      <c r="B59" s="149" t="s">
        <v>213</v>
      </c>
      <c r="C59" s="150">
        <v>633.20000000000005</v>
      </c>
      <c r="D59" s="150"/>
      <c r="E59" s="150"/>
      <c r="F59" s="150">
        <v>892</v>
      </c>
      <c r="G59" s="150"/>
    </row>
    <row r="60" spans="1:7">
      <c r="A60" s="148">
        <v>41130</v>
      </c>
      <c r="B60" s="149" t="s">
        <v>213</v>
      </c>
      <c r="C60" s="150">
        <v>649.1</v>
      </c>
      <c r="D60" s="150"/>
      <c r="E60" s="150"/>
      <c r="F60" s="150">
        <v>921</v>
      </c>
      <c r="G60" s="150"/>
    </row>
    <row r="61" spans="1:7">
      <c r="A61" s="148">
        <v>41137</v>
      </c>
      <c r="B61" s="149" t="s">
        <v>213</v>
      </c>
      <c r="C61" s="150">
        <v>666.7</v>
      </c>
      <c r="D61" s="150"/>
      <c r="E61" s="150"/>
      <c r="F61" s="150">
        <v>956</v>
      </c>
      <c r="G61" s="150"/>
    </row>
    <row r="62" spans="1:7">
      <c r="A62" s="148">
        <v>41144</v>
      </c>
      <c r="B62" s="149" t="s">
        <v>213</v>
      </c>
      <c r="C62" s="150">
        <v>678.5</v>
      </c>
      <c r="D62" s="150"/>
      <c r="E62" s="150"/>
      <c r="F62" s="150">
        <v>978</v>
      </c>
      <c r="G62" s="150"/>
    </row>
    <row r="63" spans="1:7">
      <c r="A63" s="148">
        <v>41151</v>
      </c>
      <c r="B63" s="149" t="s">
        <v>213</v>
      </c>
      <c r="C63" s="150">
        <v>676.4</v>
      </c>
      <c r="D63" s="150"/>
      <c r="E63" s="150"/>
      <c r="F63" s="150">
        <v>979</v>
      </c>
      <c r="G63" s="150"/>
    </row>
    <row r="64" spans="1:7">
      <c r="A64" s="148">
        <v>41158</v>
      </c>
      <c r="B64" s="149" t="s">
        <v>213</v>
      </c>
      <c r="C64" s="150">
        <v>684.9</v>
      </c>
      <c r="D64" s="150"/>
      <c r="E64" s="150"/>
      <c r="F64" s="150">
        <v>984</v>
      </c>
      <c r="G64" s="150"/>
    </row>
    <row r="65" spans="1:7">
      <c r="A65" s="148">
        <v>41165</v>
      </c>
      <c r="B65" s="149" t="s">
        <v>213</v>
      </c>
      <c r="C65" s="150">
        <v>686.2</v>
      </c>
      <c r="D65" s="150"/>
      <c r="E65" s="150"/>
      <c r="F65" s="150">
        <v>981.4</v>
      </c>
      <c r="G65" s="150"/>
    </row>
    <row r="66" spans="1:7">
      <c r="A66" s="148">
        <v>41172</v>
      </c>
      <c r="B66" s="149" t="s">
        <v>213</v>
      </c>
      <c r="C66" s="150">
        <v>679</v>
      </c>
      <c r="D66" s="150"/>
      <c r="E66" s="150"/>
      <c r="F66" s="150">
        <v>975.2</v>
      </c>
      <c r="G66" s="150"/>
    </row>
    <row r="67" spans="1:7">
      <c r="A67" s="148">
        <v>41179</v>
      </c>
      <c r="B67" s="149" t="s">
        <v>213</v>
      </c>
      <c r="C67" s="150">
        <v>655</v>
      </c>
      <c r="D67" s="150"/>
      <c r="E67" s="150"/>
      <c r="F67" s="150">
        <v>950</v>
      </c>
      <c r="G67" s="150"/>
    </row>
    <row r="68" spans="1:7">
      <c r="A68" s="148">
        <v>41186</v>
      </c>
      <c r="B68" s="149" t="s">
        <v>213</v>
      </c>
      <c r="C68" s="150">
        <v>652.20000000000005</v>
      </c>
      <c r="D68" s="150"/>
      <c r="E68" s="150"/>
      <c r="F68" s="150">
        <v>948.6</v>
      </c>
      <c r="G68" s="150"/>
    </row>
    <row r="69" spans="1:7">
      <c r="A69" s="148">
        <v>41193</v>
      </c>
      <c r="B69" s="149" t="s">
        <v>213</v>
      </c>
      <c r="C69" s="150">
        <v>644.6</v>
      </c>
      <c r="D69" s="150"/>
      <c r="E69" s="150"/>
      <c r="F69" s="150">
        <v>954</v>
      </c>
      <c r="G69" s="150"/>
    </row>
    <row r="70" spans="1:7">
      <c r="A70" s="148">
        <v>41200</v>
      </c>
      <c r="B70" s="149" t="s">
        <v>213</v>
      </c>
      <c r="C70" s="150">
        <v>646.40000000000009</v>
      </c>
      <c r="D70" s="150"/>
      <c r="E70" s="150"/>
      <c r="F70" s="150">
        <v>956.8</v>
      </c>
      <c r="G70" s="150"/>
    </row>
    <row r="71" spans="1:7">
      <c r="A71" s="148">
        <v>41207</v>
      </c>
      <c r="B71" s="149" t="s">
        <v>213</v>
      </c>
      <c r="C71" s="150">
        <v>635.4</v>
      </c>
      <c r="D71" s="150"/>
      <c r="E71" s="150"/>
      <c r="F71" s="150">
        <v>935</v>
      </c>
      <c r="G71" s="150"/>
    </row>
    <row r="72" spans="1:7">
      <c r="A72" s="148">
        <v>41214</v>
      </c>
      <c r="B72" s="149" t="s">
        <v>213</v>
      </c>
      <c r="C72" s="150">
        <v>622.6</v>
      </c>
      <c r="D72" s="150"/>
      <c r="E72" s="150"/>
      <c r="F72" s="150">
        <v>923</v>
      </c>
      <c r="G72" s="150"/>
    </row>
    <row r="73" spans="1:7">
      <c r="A73" s="148">
        <v>41221</v>
      </c>
      <c r="B73" s="149" t="s">
        <v>213</v>
      </c>
      <c r="C73" s="150">
        <v>608.5</v>
      </c>
      <c r="D73" s="150"/>
      <c r="E73" s="150"/>
      <c r="F73" s="150">
        <v>913</v>
      </c>
      <c r="G73" s="150"/>
    </row>
    <row r="74" spans="1:7">
      <c r="A74" s="148">
        <v>41228</v>
      </c>
      <c r="B74" s="149" t="s">
        <v>213</v>
      </c>
      <c r="C74" s="150">
        <v>603</v>
      </c>
      <c r="D74" s="150"/>
      <c r="E74" s="150"/>
      <c r="F74" s="150">
        <v>909</v>
      </c>
      <c r="G74" s="150"/>
    </row>
    <row r="75" spans="1:7">
      <c r="A75" s="148">
        <v>41235</v>
      </c>
      <c r="B75" s="149" t="s">
        <v>213</v>
      </c>
      <c r="C75" s="150">
        <v>614.79999999999995</v>
      </c>
      <c r="D75" s="150"/>
      <c r="E75" s="150"/>
      <c r="F75" s="150">
        <v>921</v>
      </c>
      <c r="G75" s="150"/>
    </row>
    <row r="76" spans="1:7">
      <c r="A76" s="148">
        <v>41242</v>
      </c>
      <c r="B76" s="149" t="s">
        <v>213</v>
      </c>
      <c r="C76" s="150">
        <v>610.375</v>
      </c>
      <c r="D76" s="150"/>
      <c r="E76" s="150"/>
      <c r="F76" s="150">
        <v>925</v>
      </c>
      <c r="G76" s="150"/>
    </row>
    <row r="77" spans="1:7">
      <c r="A77" s="148">
        <v>41249</v>
      </c>
      <c r="B77" s="149" t="s">
        <v>213</v>
      </c>
      <c r="C77" s="150">
        <v>606</v>
      </c>
      <c r="D77" s="150"/>
      <c r="E77" s="150"/>
      <c r="F77" s="150">
        <v>927.4</v>
      </c>
      <c r="G77" s="150"/>
    </row>
    <row r="78" spans="1:7">
      <c r="A78" s="148">
        <v>41256</v>
      </c>
      <c r="B78" s="149" t="s">
        <v>213</v>
      </c>
      <c r="C78" s="150">
        <v>598.40000000000009</v>
      </c>
      <c r="D78" s="150"/>
      <c r="E78" s="150"/>
      <c r="F78" s="150">
        <v>907.2</v>
      </c>
      <c r="G78" s="150"/>
    </row>
    <row r="79" spans="1:7">
      <c r="A79" s="148">
        <v>41263</v>
      </c>
      <c r="B79" s="149" t="s">
        <v>213</v>
      </c>
      <c r="C79" s="150">
        <v>606.4</v>
      </c>
      <c r="D79" s="150"/>
      <c r="E79" s="150"/>
      <c r="F79" s="150">
        <v>906</v>
      </c>
      <c r="G79" s="150"/>
    </row>
    <row r="80" spans="1:7">
      <c r="A80" s="148">
        <v>41270</v>
      </c>
      <c r="B80" s="149" t="s">
        <v>213</v>
      </c>
      <c r="C80" s="150">
        <v>607.625</v>
      </c>
      <c r="D80" s="150"/>
      <c r="E80" s="150"/>
      <c r="F80" s="150">
        <v>916.25</v>
      </c>
      <c r="G80" s="150"/>
    </row>
    <row r="81" spans="1:7">
      <c r="A81" s="148">
        <v>41277</v>
      </c>
      <c r="B81" s="149" t="s">
        <v>213</v>
      </c>
      <c r="C81" s="150">
        <v>609.5</v>
      </c>
      <c r="D81" s="150"/>
      <c r="E81" s="150"/>
      <c r="F81" s="150">
        <v>921.66666666666663</v>
      </c>
      <c r="G81" s="150"/>
    </row>
    <row r="82" spans="1:7">
      <c r="A82" s="148">
        <v>41284</v>
      </c>
      <c r="B82" s="149" t="s">
        <v>213</v>
      </c>
      <c r="C82" s="150">
        <v>630</v>
      </c>
      <c r="D82" s="150"/>
      <c r="E82" s="150"/>
      <c r="F82" s="150">
        <v>927.8</v>
      </c>
      <c r="G82" s="150"/>
    </row>
    <row r="83" spans="1:7">
      <c r="A83" s="148">
        <v>41291</v>
      </c>
      <c r="B83" s="149" t="s">
        <v>213</v>
      </c>
      <c r="C83" s="150">
        <v>631</v>
      </c>
      <c r="D83" s="150"/>
      <c r="E83" s="150"/>
      <c r="F83" s="150">
        <v>930.6</v>
      </c>
      <c r="G83" s="150"/>
    </row>
    <row r="84" spans="1:7">
      <c r="A84" s="148">
        <v>41298</v>
      </c>
      <c r="B84" s="149" t="s">
        <v>213</v>
      </c>
      <c r="C84" s="150">
        <v>629.09999999999991</v>
      </c>
      <c r="D84" s="150"/>
      <c r="E84" s="150"/>
      <c r="F84" s="150">
        <v>931</v>
      </c>
      <c r="G84" s="150"/>
    </row>
    <row r="85" spans="1:7">
      <c r="A85" s="148">
        <v>41305</v>
      </c>
      <c r="B85" s="149" t="s">
        <v>213</v>
      </c>
      <c r="C85" s="150">
        <v>635.5</v>
      </c>
      <c r="D85" s="150"/>
      <c r="E85" s="150"/>
      <c r="F85" s="150">
        <v>933.5</v>
      </c>
      <c r="G85" s="150"/>
    </row>
    <row r="86" spans="1:7">
      <c r="A86" s="148">
        <v>41312</v>
      </c>
      <c r="B86" s="149" t="s">
        <v>213</v>
      </c>
      <c r="C86" s="150">
        <v>652.29999999999995</v>
      </c>
      <c r="D86" s="150"/>
      <c r="E86" s="150"/>
      <c r="F86" s="150">
        <v>957</v>
      </c>
      <c r="G86" s="150"/>
    </row>
    <row r="87" spans="1:7">
      <c r="A87" s="148">
        <v>41319</v>
      </c>
      <c r="B87" s="149" t="s">
        <v>213</v>
      </c>
      <c r="C87" s="150">
        <v>652.29999999999995</v>
      </c>
      <c r="D87" s="150"/>
      <c r="E87" s="150"/>
      <c r="F87" s="150">
        <v>957</v>
      </c>
      <c r="G87" s="150"/>
    </row>
    <row r="88" spans="1:7">
      <c r="A88" s="148">
        <v>41326</v>
      </c>
      <c r="B88" s="149" t="s">
        <v>213</v>
      </c>
      <c r="C88" s="150">
        <v>654.20000000000005</v>
      </c>
      <c r="D88" s="150"/>
      <c r="E88" s="150"/>
      <c r="F88" s="150">
        <v>972.4</v>
      </c>
      <c r="G88" s="150"/>
    </row>
    <row r="89" spans="1:7">
      <c r="A89" s="148">
        <v>41333</v>
      </c>
      <c r="B89" s="149" t="s">
        <v>213</v>
      </c>
      <c r="C89" s="150">
        <v>635.79999999999995</v>
      </c>
      <c r="D89" s="150"/>
      <c r="E89" s="150"/>
      <c r="F89" s="150">
        <v>953.6</v>
      </c>
      <c r="G89" s="150"/>
    </row>
    <row r="90" spans="1:7">
      <c r="A90" s="148">
        <v>41340</v>
      </c>
      <c r="B90" s="149" t="s">
        <v>213</v>
      </c>
      <c r="C90" s="150">
        <v>631.59999999999991</v>
      </c>
      <c r="D90" s="150"/>
      <c r="E90" s="150"/>
      <c r="F90" s="150">
        <v>923</v>
      </c>
      <c r="G90" s="150"/>
    </row>
    <row r="91" spans="1:7">
      <c r="A91" s="148">
        <v>41347</v>
      </c>
      <c r="B91" s="149" t="s">
        <v>213</v>
      </c>
      <c r="C91" s="150">
        <v>634.6</v>
      </c>
      <c r="D91" s="150"/>
      <c r="E91" s="150"/>
      <c r="F91" s="150">
        <v>918.6</v>
      </c>
      <c r="G91" s="150"/>
    </row>
    <row r="92" spans="1:7">
      <c r="A92" s="148">
        <v>41354</v>
      </c>
      <c r="B92" s="149" t="s">
        <v>213</v>
      </c>
      <c r="C92" s="150">
        <v>631</v>
      </c>
      <c r="D92" s="150"/>
      <c r="E92" s="150"/>
      <c r="F92" s="150">
        <v>900.2</v>
      </c>
      <c r="G92" s="150"/>
    </row>
    <row r="93" spans="1:7">
      <c r="A93" s="148">
        <v>41361</v>
      </c>
      <c r="B93" s="149" t="s">
        <v>213</v>
      </c>
      <c r="C93" s="150">
        <v>629.59999999999991</v>
      </c>
      <c r="D93" s="150"/>
      <c r="E93" s="150"/>
      <c r="F93" s="150">
        <v>885</v>
      </c>
      <c r="G93" s="150"/>
    </row>
    <row r="94" spans="1:7">
      <c r="A94" s="148">
        <v>41368</v>
      </c>
      <c r="B94" s="149" t="s">
        <v>213</v>
      </c>
      <c r="C94" s="150">
        <v>639.5</v>
      </c>
      <c r="D94" s="150"/>
      <c r="E94" s="150"/>
      <c r="F94" s="150">
        <v>897.5</v>
      </c>
      <c r="G94" s="150"/>
    </row>
    <row r="95" spans="1:7">
      <c r="A95" s="148">
        <v>41375</v>
      </c>
      <c r="B95" s="149" t="s">
        <v>213</v>
      </c>
      <c r="C95" s="150">
        <v>624.6</v>
      </c>
      <c r="D95" s="150"/>
      <c r="E95" s="150"/>
      <c r="F95" s="150">
        <v>876.2</v>
      </c>
      <c r="G95" s="150"/>
    </row>
    <row r="96" spans="1:7">
      <c r="A96" s="148">
        <v>41382</v>
      </c>
      <c r="B96" s="149" t="s">
        <v>213</v>
      </c>
      <c r="C96" s="150">
        <v>612.40000000000009</v>
      </c>
      <c r="D96" s="150"/>
      <c r="E96" s="150"/>
      <c r="F96" s="150">
        <v>844.4</v>
      </c>
      <c r="G96" s="150"/>
    </row>
    <row r="97" spans="1:7">
      <c r="A97" s="148">
        <v>41389</v>
      </c>
      <c r="B97" s="149" t="s">
        <v>213</v>
      </c>
      <c r="C97" s="150">
        <v>627.5</v>
      </c>
      <c r="D97" s="150"/>
      <c r="E97" s="150"/>
      <c r="F97" s="150">
        <v>830.3</v>
      </c>
      <c r="G97" s="150"/>
    </row>
    <row r="98" spans="1:7">
      <c r="A98" s="148">
        <v>41396</v>
      </c>
      <c r="B98" s="149" t="s">
        <v>213</v>
      </c>
      <c r="C98" s="150">
        <v>616.45000000000005</v>
      </c>
      <c r="D98" s="150"/>
      <c r="E98" s="150"/>
      <c r="F98" s="150">
        <v>848.2</v>
      </c>
      <c r="G98" s="150"/>
    </row>
    <row r="99" spans="1:7">
      <c r="A99" s="148">
        <v>41403</v>
      </c>
      <c r="B99" s="149" t="s">
        <v>213</v>
      </c>
      <c r="C99" s="150">
        <v>623.4</v>
      </c>
      <c r="D99" s="150"/>
      <c r="E99" s="150"/>
      <c r="F99" s="150">
        <v>851.1</v>
      </c>
      <c r="G99" s="150"/>
    </row>
    <row r="100" spans="1:7">
      <c r="A100" s="148">
        <v>41410</v>
      </c>
      <c r="B100" s="149" t="s">
        <v>213</v>
      </c>
      <c r="C100" s="150">
        <v>610.83333333333326</v>
      </c>
      <c r="D100" s="150"/>
      <c r="E100" s="150"/>
      <c r="F100" s="150">
        <v>851</v>
      </c>
      <c r="G100" s="150"/>
    </row>
    <row r="101" spans="1:7">
      <c r="A101" s="148">
        <v>41417</v>
      </c>
      <c r="B101" s="149" t="s">
        <v>213</v>
      </c>
      <c r="C101" s="150">
        <v>607.25</v>
      </c>
      <c r="D101" s="150"/>
      <c r="E101" s="150"/>
      <c r="F101" s="150">
        <v>851</v>
      </c>
      <c r="G101" s="150"/>
    </row>
    <row r="102" spans="1:7">
      <c r="A102" s="148">
        <v>41424</v>
      </c>
      <c r="B102" s="149" t="s">
        <v>213</v>
      </c>
      <c r="C102" s="150">
        <v>606.79999999999995</v>
      </c>
      <c r="D102" s="150"/>
      <c r="E102" s="150"/>
      <c r="F102" s="150">
        <v>858.6</v>
      </c>
      <c r="G102" s="150"/>
    </row>
    <row r="103" spans="1:7">
      <c r="A103" s="148">
        <v>41431</v>
      </c>
      <c r="B103" s="149" t="s">
        <v>213</v>
      </c>
      <c r="C103" s="150">
        <v>605.04999999999995</v>
      </c>
      <c r="D103" s="150"/>
      <c r="E103" s="150"/>
      <c r="F103" s="150">
        <v>851.1</v>
      </c>
      <c r="G103" s="150"/>
    </row>
    <row r="104" spans="1:7">
      <c r="A104" s="148">
        <v>41438</v>
      </c>
      <c r="B104" s="149" t="s">
        <v>213</v>
      </c>
      <c r="C104" s="150">
        <v>610.20000000000005</v>
      </c>
      <c r="D104" s="150"/>
      <c r="E104" s="150"/>
      <c r="F104" s="150">
        <v>865.7</v>
      </c>
      <c r="G104" s="150"/>
    </row>
    <row r="105" spans="1:7">
      <c r="A105" s="148">
        <v>41445</v>
      </c>
      <c r="B105" s="149" t="s">
        <v>213</v>
      </c>
      <c r="C105" s="150">
        <v>620.9</v>
      </c>
      <c r="D105" s="150"/>
      <c r="E105" s="150"/>
      <c r="F105" s="150">
        <v>890.7</v>
      </c>
      <c r="G105" s="150"/>
    </row>
    <row r="106" spans="1:7">
      <c r="A106" s="148">
        <v>41452</v>
      </c>
      <c r="B106" s="149" t="s">
        <v>213</v>
      </c>
      <c r="C106" s="150">
        <v>604.1</v>
      </c>
      <c r="D106" s="150"/>
      <c r="E106" s="150"/>
      <c r="F106" s="150">
        <v>874.3</v>
      </c>
      <c r="G106" s="150"/>
    </row>
    <row r="107" spans="1:7">
      <c r="A107" s="148">
        <v>41459</v>
      </c>
      <c r="B107" s="149" t="s">
        <v>213</v>
      </c>
      <c r="C107" s="150">
        <v>594.8125</v>
      </c>
      <c r="D107" s="150"/>
      <c r="E107" s="150"/>
      <c r="F107" s="150">
        <v>885.875</v>
      </c>
      <c r="G107" s="150"/>
    </row>
    <row r="108" spans="1:7">
      <c r="A108" s="148">
        <v>41466</v>
      </c>
      <c r="B108" s="149" t="s">
        <v>213</v>
      </c>
      <c r="C108" s="150">
        <v>602.20000000000005</v>
      </c>
      <c r="D108" s="150"/>
      <c r="E108" s="150"/>
      <c r="F108" s="150">
        <v>904.9</v>
      </c>
      <c r="G108" s="150"/>
    </row>
    <row r="109" spans="1:7">
      <c r="A109" s="148">
        <v>41473</v>
      </c>
      <c r="B109" s="149" t="s">
        <v>213</v>
      </c>
      <c r="C109" s="150">
        <v>604.45000000000005</v>
      </c>
      <c r="D109" s="150"/>
      <c r="E109" s="150"/>
      <c r="F109" s="150">
        <v>914.5</v>
      </c>
      <c r="G109" s="150"/>
    </row>
    <row r="110" spans="1:7">
      <c r="A110" s="148">
        <v>41480</v>
      </c>
      <c r="B110" s="149" t="s">
        <v>213</v>
      </c>
      <c r="C110" s="150">
        <v>606.5</v>
      </c>
      <c r="D110" s="150"/>
      <c r="E110" s="150"/>
      <c r="F110" s="150">
        <v>917</v>
      </c>
      <c r="G110" s="150"/>
    </row>
    <row r="111" spans="1:7">
      <c r="A111" s="148">
        <v>41487</v>
      </c>
      <c r="B111" s="149" t="s">
        <v>213</v>
      </c>
      <c r="C111" s="150">
        <v>602.70000000000005</v>
      </c>
      <c r="D111" s="150"/>
      <c r="E111" s="150"/>
      <c r="F111" s="150">
        <v>910.5</v>
      </c>
      <c r="G111" s="150"/>
    </row>
    <row r="112" spans="1:7">
      <c r="A112" s="148">
        <v>41494</v>
      </c>
      <c r="B112" s="149" t="s">
        <v>213</v>
      </c>
      <c r="C112" s="150">
        <v>603.70000000000005</v>
      </c>
      <c r="D112" s="150"/>
      <c r="E112" s="150"/>
      <c r="F112" s="150">
        <v>916.8</v>
      </c>
      <c r="G112" s="150"/>
    </row>
    <row r="113" spans="1:7">
      <c r="A113" s="148">
        <v>41501</v>
      </c>
      <c r="B113" s="149" t="s">
        <v>213</v>
      </c>
      <c r="C113" s="150">
        <v>605.79999999999995</v>
      </c>
      <c r="D113" s="150"/>
      <c r="E113" s="150"/>
      <c r="F113" s="150">
        <v>914.6</v>
      </c>
      <c r="G113" s="150"/>
    </row>
    <row r="114" spans="1:7">
      <c r="A114" s="148">
        <v>41508</v>
      </c>
      <c r="B114" s="149" t="s">
        <v>213</v>
      </c>
      <c r="C114" s="150">
        <v>607.6</v>
      </c>
      <c r="D114" s="150"/>
      <c r="E114" s="150"/>
      <c r="F114" s="150">
        <v>918.5</v>
      </c>
      <c r="G114" s="150"/>
    </row>
    <row r="115" spans="1:7">
      <c r="A115" s="148">
        <v>41515</v>
      </c>
      <c r="B115" s="149" t="s">
        <v>213</v>
      </c>
      <c r="C115" s="150">
        <v>610.40000000000009</v>
      </c>
      <c r="D115" s="150"/>
      <c r="E115" s="150"/>
      <c r="F115" s="150">
        <v>929.8</v>
      </c>
      <c r="G115" s="150"/>
    </row>
    <row r="116" spans="1:7">
      <c r="A116" s="148">
        <v>41522</v>
      </c>
      <c r="B116" s="149" t="s">
        <v>213</v>
      </c>
      <c r="C116" s="150">
        <v>609.5</v>
      </c>
      <c r="D116" s="150"/>
      <c r="E116" s="150"/>
      <c r="F116" s="150">
        <v>932.4</v>
      </c>
      <c r="G116" s="150"/>
    </row>
    <row r="117" spans="1:7">
      <c r="A117" s="148">
        <v>41529</v>
      </c>
      <c r="B117" s="149" t="s">
        <v>213</v>
      </c>
      <c r="C117" s="150">
        <v>603.75</v>
      </c>
      <c r="D117" s="150"/>
      <c r="E117" s="150"/>
      <c r="F117" s="150">
        <v>925</v>
      </c>
      <c r="G117" s="150"/>
    </row>
    <row r="118" spans="1:7">
      <c r="A118" s="148">
        <v>41536</v>
      </c>
      <c r="B118" s="149" t="s">
        <v>213</v>
      </c>
      <c r="C118" s="150">
        <v>603.58333333333326</v>
      </c>
      <c r="D118" s="150"/>
      <c r="E118" s="150"/>
      <c r="F118" s="150">
        <v>914.83333333333337</v>
      </c>
      <c r="G118" s="150"/>
    </row>
    <row r="119" spans="1:7">
      <c r="A119" s="148">
        <v>41552</v>
      </c>
      <c r="B119" s="149" t="s">
        <v>213</v>
      </c>
      <c r="C119" s="150">
        <v>614.953125</v>
      </c>
      <c r="D119" s="150"/>
      <c r="E119" s="150"/>
      <c r="F119" s="150">
        <v>909.0625</v>
      </c>
      <c r="G119" s="150"/>
    </row>
    <row r="120" spans="1:7">
      <c r="A120" s="148">
        <v>41565</v>
      </c>
      <c r="B120" s="149" t="s">
        <v>213</v>
      </c>
      <c r="C120" s="150">
        <v>618.86111111111109</v>
      </c>
      <c r="D120" s="150"/>
      <c r="E120" s="150"/>
      <c r="F120" s="150">
        <v>924.66666666666663</v>
      </c>
      <c r="G120" s="150"/>
    </row>
    <row r="121" spans="1:7">
      <c r="A121" s="148">
        <v>41572</v>
      </c>
      <c r="B121" s="149" t="s">
        <v>213</v>
      </c>
      <c r="C121" s="150">
        <v>620.0625</v>
      </c>
      <c r="D121" s="150"/>
      <c r="E121" s="150"/>
      <c r="F121" s="150">
        <v>922.375</v>
      </c>
      <c r="G121" s="150"/>
    </row>
    <row r="122" spans="1:7">
      <c r="A122" s="148">
        <v>41579</v>
      </c>
      <c r="B122" s="149" t="s">
        <v>213</v>
      </c>
      <c r="C122" s="150">
        <v>619.59999999999991</v>
      </c>
      <c r="D122" s="150"/>
      <c r="E122" s="150"/>
      <c r="F122" s="150">
        <v>916.8</v>
      </c>
      <c r="G122" s="150"/>
    </row>
    <row r="123" spans="1:7">
      <c r="A123" s="148">
        <v>41586</v>
      </c>
      <c r="B123" s="149" t="s">
        <v>213</v>
      </c>
      <c r="C123" s="150">
        <v>610.375</v>
      </c>
      <c r="D123" s="150"/>
      <c r="E123" s="150"/>
      <c r="F123" s="150">
        <v>905.25</v>
      </c>
      <c r="G123" s="150"/>
    </row>
    <row r="124" spans="1:7">
      <c r="A124" s="148">
        <v>41593</v>
      </c>
      <c r="B124" s="149" t="s">
        <v>213</v>
      </c>
      <c r="C124" s="150">
        <v>604.375</v>
      </c>
      <c r="D124" s="150"/>
      <c r="E124" s="150"/>
      <c r="F124" s="150">
        <v>893.75</v>
      </c>
      <c r="G124" s="150"/>
    </row>
    <row r="125" spans="1:7">
      <c r="A125" s="148">
        <v>41600</v>
      </c>
      <c r="B125" s="149" t="s">
        <v>213</v>
      </c>
      <c r="C125" s="150">
        <v>608.5</v>
      </c>
      <c r="D125" s="150"/>
      <c r="E125" s="150"/>
      <c r="F125" s="150">
        <v>907.3</v>
      </c>
      <c r="G125" s="150"/>
    </row>
    <row r="126" spans="1:7">
      <c r="A126" s="148">
        <v>41607</v>
      </c>
      <c r="B126" s="149" t="s">
        <v>213</v>
      </c>
      <c r="C126" s="150">
        <v>610.4375</v>
      </c>
      <c r="D126" s="150"/>
      <c r="E126" s="150"/>
      <c r="F126" s="150">
        <v>936.625</v>
      </c>
      <c r="G126" s="150"/>
    </row>
    <row r="127" spans="1:7">
      <c r="A127" s="148">
        <v>41614</v>
      </c>
      <c r="B127" s="149" t="s">
        <v>213</v>
      </c>
      <c r="C127" s="150">
        <v>610.70000000000005</v>
      </c>
      <c r="D127" s="150"/>
      <c r="E127" s="150"/>
      <c r="F127" s="150">
        <v>946.4</v>
      </c>
      <c r="G127" s="150"/>
    </row>
    <row r="128" spans="1:7">
      <c r="A128" s="148">
        <v>41621</v>
      </c>
      <c r="B128" s="149" t="s">
        <v>213</v>
      </c>
      <c r="C128" s="150">
        <v>610</v>
      </c>
      <c r="D128" s="150"/>
      <c r="E128" s="150"/>
      <c r="F128" s="150">
        <v>936.5</v>
      </c>
      <c r="G128" s="150"/>
    </row>
    <row r="129" spans="1:7">
      <c r="A129" s="148">
        <v>41628</v>
      </c>
      <c r="B129" s="149" t="s">
        <v>213</v>
      </c>
      <c r="C129" s="150">
        <v>611</v>
      </c>
      <c r="D129" s="150"/>
      <c r="E129" s="150"/>
      <c r="F129" s="150">
        <v>925.875</v>
      </c>
      <c r="G129" s="150"/>
    </row>
    <row r="130" spans="1:7">
      <c r="A130" s="148">
        <v>41635</v>
      </c>
      <c r="B130" s="149" t="s">
        <v>213</v>
      </c>
      <c r="C130" s="150">
        <v>619.125</v>
      </c>
      <c r="D130" s="150"/>
      <c r="E130" s="150"/>
      <c r="F130" s="150">
        <v>937.75</v>
      </c>
      <c r="G130" s="150"/>
    </row>
    <row r="131" spans="1:7">
      <c r="A131" s="148">
        <v>41642</v>
      </c>
      <c r="B131" s="149" t="s">
        <v>213</v>
      </c>
      <c r="C131" s="150">
        <v>622</v>
      </c>
      <c r="D131" s="150"/>
      <c r="E131" s="150"/>
      <c r="F131" s="150">
        <v>938.33333333333337</v>
      </c>
      <c r="G131" s="150"/>
    </row>
    <row r="132" spans="1:7">
      <c r="A132" s="148">
        <v>41649</v>
      </c>
      <c r="B132" s="149" t="s">
        <v>213</v>
      </c>
      <c r="C132" s="150">
        <v>607.6875</v>
      </c>
      <c r="D132" s="150"/>
      <c r="E132" s="150"/>
      <c r="F132" s="150">
        <v>901.625</v>
      </c>
      <c r="G132" s="150"/>
    </row>
    <row r="133" spans="1:7">
      <c r="A133" s="148">
        <v>41656</v>
      </c>
      <c r="B133" s="149" t="s">
        <v>213</v>
      </c>
      <c r="C133" s="150">
        <v>609.5</v>
      </c>
      <c r="D133" s="150"/>
      <c r="E133" s="150"/>
      <c r="F133" s="150">
        <v>901.25</v>
      </c>
      <c r="G133" s="150"/>
    </row>
    <row r="134" spans="1:7">
      <c r="A134" s="148">
        <v>41663</v>
      </c>
      <c r="B134" s="149" t="s">
        <v>213</v>
      </c>
      <c r="C134" s="150">
        <v>615.35</v>
      </c>
      <c r="D134" s="150"/>
      <c r="E134" s="150"/>
      <c r="F134" s="150">
        <v>900</v>
      </c>
      <c r="G134" s="150"/>
    </row>
    <row r="135" spans="1:7">
      <c r="A135" s="148">
        <v>41670</v>
      </c>
      <c r="B135" s="149" t="s">
        <v>213</v>
      </c>
      <c r="C135" s="150">
        <v>624.20000000000005</v>
      </c>
      <c r="D135" s="150"/>
      <c r="E135" s="150"/>
      <c r="F135" s="150">
        <v>910.3</v>
      </c>
      <c r="G135" s="150"/>
    </row>
    <row r="136" spans="1:7">
      <c r="A136" s="148">
        <v>41677</v>
      </c>
      <c r="B136" s="149" t="s">
        <v>213</v>
      </c>
      <c r="C136" s="150">
        <v>620.9</v>
      </c>
      <c r="D136" s="150"/>
      <c r="E136" s="150"/>
      <c r="F136" s="150">
        <v>900.4</v>
      </c>
      <c r="G136" s="150"/>
    </row>
    <row r="137" spans="1:7">
      <c r="A137" s="148">
        <v>41684</v>
      </c>
      <c r="B137" s="149" t="s">
        <v>213</v>
      </c>
      <c r="C137" s="150">
        <v>618.0625</v>
      </c>
      <c r="D137" s="150"/>
      <c r="E137" s="150"/>
      <c r="F137" s="150">
        <v>914.375</v>
      </c>
      <c r="G137" s="150"/>
    </row>
    <row r="138" spans="1:7">
      <c r="A138" s="148">
        <v>41691</v>
      </c>
      <c r="B138" s="149" t="s">
        <v>213</v>
      </c>
      <c r="C138" s="150">
        <v>621.25</v>
      </c>
      <c r="D138" s="150"/>
      <c r="E138" s="150"/>
      <c r="F138" s="150">
        <v>922.25</v>
      </c>
      <c r="G138" s="150"/>
    </row>
    <row r="139" spans="1:7">
      <c r="A139" s="148">
        <v>41698</v>
      </c>
      <c r="B139" s="149" t="s">
        <v>213</v>
      </c>
      <c r="C139" s="150">
        <v>617.75</v>
      </c>
      <c r="D139" s="150"/>
      <c r="E139" s="150"/>
      <c r="F139" s="150">
        <v>923.625</v>
      </c>
      <c r="G139" s="150"/>
    </row>
    <row r="140" spans="1:7">
      <c r="A140" s="148">
        <v>41705</v>
      </c>
      <c r="B140" s="149" t="s">
        <v>213</v>
      </c>
      <c r="C140" s="150">
        <v>610</v>
      </c>
      <c r="D140" s="150"/>
      <c r="E140" s="150"/>
      <c r="F140" s="150">
        <v>917.125</v>
      </c>
      <c r="G140" s="150"/>
    </row>
    <row r="141" spans="1:7">
      <c r="A141" s="148">
        <v>41712</v>
      </c>
      <c r="B141" s="149" t="s">
        <v>213</v>
      </c>
      <c r="C141" s="150">
        <v>603.6875</v>
      </c>
      <c r="D141" s="150"/>
      <c r="E141" s="150"/>
      <c r="F141" s="150">
        <v>901.625</v>
      </c>
      <c r="G141" s="150"/>
    </row>
    <row r="142" spans="1:7">
      <c r="A142" s="148">
        <v>41719</v>
      </c>
      <c r="B142" s="149" t="s">
        <v>213</v>
      </c>
      <c r="C142" s="150">
        <v>603.6875</v>
      </c>
      <c r="D142" s="150"/>
      <c r="E142" s="150"/>
      <c r="F142" s="150">
        <v>892.25</v>
      </c>
      <c r="G142" s="150"/>
    </row>
    <row r="143" spans="1:7">
      <c r="A143" s="148">
        <v>41726</v>
      </c>
      <c r="B143" s="149" t="s">
        <v>213</v>
      </c>
      <c r="C143" s="150">
        <v>602.875</v>
      </c>
      <c r="D143" s="150"/>
      <c r="E143" s="150"/>
      <c r="F143" s="150">
        <v>897.25</v>
      </c>
      <c r="G143" s="150"/>
    </row>
    <row r="144" spans="1:7">
      <c r="A144" s="148">
        <v>41733</v>
      </c>
      <c r="B144" s="149" t="s">
        <v>213</v>
      </c>
      <c r="C144" s="150">
        <v>596.875</v>
      </c>
      <c r="D144" s="150"/>
      <c r="E144" s="150"/>
      <c r="F144" s="150">
        <v>898.375</v>
      </c>
      <c r="G144" s="150"/>
    </row>
    <row r="145" spans="1:7">
      <c r="A145" s="148">
        <v>41740</v>
      </c>
      <c r="B145" s="149" t="s">
        <v>213</v>
      </c>
      <c r="C145" s="150">
        <v>592.875</v>
      </c>
      <c r="D145" s="150"/>
      <c r="E145" s="150"/>
      <c r="F145" s="150">
        <v>898.875</v>
      </c>
      <c r="G145" s="150"/>
    </row>
    <row r="146" spans="1:7">
      <c r="A146" s="148">
        <v>41747</v>
      </c>
      <c r="B146" s="149" t="s">
        <v>213</v>
      </c>
      <c r="C146" s="150">
        <v>597.875</v>
      </c>
      <c r="D146" s="150"/>
      <c r="E146" s="150"/>
      <c r="F146" s="150">
        <v>911.375</v>
      </c>
      <c r="G146" s="150"/>
    </row>
    <row r="147" spans="1:7">
      <c r="A147" s="148">
        <v>41754</v>
      </c>
      <c r="B147" s="149" t="s">
        <v>213</v>
      </c>
      <c r="C147" s="150">
        <v>597.625</v>
      </c>
      <c r="D147" s="150"/>
      <c r="E147" s="150"/>
      <c r="F147" s="150">
        <v>919.375</v>
      </c>
      <c r="G147" s="150"/>
    </row>
    <row r="148" spans="1:7">
      <c r="A148" s="148">
        <v>41761</v>
      </c>
      <c r="B148" s="149" t="s">
        <v>213</v>
      </c>
      <c r="C148" s="150">
        <v>596.75</v>
      </c>
      <c r="D148" s="150"/>
      <c r="E148" s="150"/>
      <c r="F148" s="150">
        <v>916.75</v>
      </c>
      <c r="G148" s="150"/>
    </row>
    <row r="149" spans="1:7">
      <c r="A149" s="148">
        <v>41768</v>
      </c>
      <c r="B149" s="149" t="s">
        <v>213</v>
      </c>
      <c r="C149" s="150">
        <v>594.75</v>
      </c>
      <c r="D149" s="150"/>
      <c r="E149" s="150"/>
      <c r="F149" s="150">
        <v>905.1</v>
      </c>
      <c r="G149" s="150"/>
    </row>
    <row r="150" spans="1:7">
      <c r="A150" s="148">
        <v>41775</v>
      </c>
      <c r="B150" s="149" t="s">
        <v>213</v>
      </c>
      <c r="C150" s="150">
        <v>596.16666666666674</v>
      </c>
      <c r="D150" s="150"/>
      <c r="E150" s="150"/>
      <c r="F150" s="150">
        <v>900.66666666666663</v>
      </c>
      <c r="G150" s="150"/>
    </row>
    <row r="151" spans="1:7">
      <c r="A151" s="148">
        <v>41782</v>
      </c>
      <c r="B151" s="149" t="s">
        <v>213</v>
      </c>
      <c r="C151" s="150">
        <v>603.125</v>
      </c>
      <c r="D151" s="150"/>
      <c r="E151" s="150"/>
      <c r="F151" s="150">
        <v>903.125</v>
      </c>
      <c r="G151" s="150"/>
    </row>
    <row r="152" spans="1:7">
      <c r="A152" s="148">
        <v>41789</v>
      </c>
      <c r="B152" s="149" t="s">
        <v>213</v>
      </c>
      <c r="C152" s="150">
        <v>610.1875</v>
      </c>
      <c r="D152" s="150"/>
      <c r="E152" s="150"/>
      <c r="F152" s="150">
        <v>902.875</v>
      </c>
      <c r="G152" s="150"/>
    </row>
    <row r="153" spans="1:7">
      <c r="A153" s="148">
        <v>41796</v>
      </c>
      <c r="B153" s="149" t="s">
        <v>213</v>
      </c>
      <c r="C153" s="150">
        <v>608.1875</v>
      </c>
      <c r="D153" s="150"/>
      <c r="E153" s="150"/>
      <c r="F153" s="150">
        <v>884.125</v>
      </c>
      <c r="G153" s="150"/>
    </row>
    <row r="154" spans="1:7">
      <c r="A154" s="148">
        <v>41803</v>
      </c>
      <c r="B154" s="149" t="s">
        <v>213</v>
      </c>
      <c r="C154" s="150">
        <v>607.875</v>
      </c>
      <c r="D154" s="150"/>
      <c r="E154" s="150"/>
      <c r="F154" s="150">
        <v>882.625</v>
      </c>
      <c r="G154" s="150"/>
    </row>
    <row r="155" spans="1:7">
      <c r="A155" s="148">
        <v>41810</v>
      </c>
      <c r="B155" s="149" t="s">
        <v>213</v>
      </c>
      <c r="C155" s="150">
        <v>621.6</v>
      </c>
      <c r="D155" s="150"/>
      <c r="E155" s="150"/>
      <c r="F155" s="150">
        <v>911.4</v>
      </c>
      <c r="G155" s="150"/>
    </row>
    <row r="156" spans="1:7">
      <c r="A156" s="148">
        <v>41817</v>
      </c>
      <c r="B156" s="149" t="s">
        <v>213</v>
      </c>
      <c r="C156" s="150">
        <v>625.83333333333337</v>
      </c>
      <c r="D156" s="150"/>
      <c r="E156" s="150"/>
      <c r="F156" s="150">
        <v>917.16666666666663</v>
      </c>
      <c r="G156" s="150"/>
    </row>
    <row r="157" spans="1:7">
      <c r="A157" s="148">
        <v>41824</v>
      </c>
      <c r="B157" s="149" t="s">
        <v>213</v>
      </c>
      <c r="C157" s="150">
        <v>617.79999999999995</v>
      </c>
      <c r="D157" s="150"/>
      <c r="E157" s="150"/>
      <c r="F157" s="150">
        <v>903.8</v>
      </c>
      <c r="G157" s="150"/>
    </row>
    <row r="158" spans="1:7">
      <c r="A158" s="148">
        <v>41831</v>
      </c>
      <c r="B158" s="149" t="s">
        <v>213</v>
      </c>
      <c r="C158" s="150">
        <v>603.75</v>
      </c>
      <c r="D158" s="150"/>
      <c r="E158" s="150"/>
      <c r="F158" s="150">
        <v>884.33333333333337</v>
      </c>
      <c r="G158" s="150"/>
    </row>
    <row r="159" spans="1:7">
      <c r="A159" s="148">
        <v>41838</v>
      </c>
      <c r="B159" s="149" t="s">
        <v>213</v>
      </c>
      <c r="C159" s="150">
        <v>601.1875</v>
      </c>
      <c r="D159" s="150"/>
      <c r="E159" s="150"/>
      <c r="F159" s="150">
        <v>876.5</v>
      </c>
      <c r="G159" s="150"/>
    </row>
    <row r="160" spans="1:7">
      <c r="A160" s="148">
        <v>41845</v>
      </c>
      <c r="B160" s="149" t="s">
        <v>213</v>
      </c>
      <c r="C160" s="150">
        <v>602.5625</v>
      </c>
      <c r="D160" s="150"/>
      <c r="E160" s="150"/>
      <c r="F160" s="150">
        <v>874.875</v>
      </c>
      <c r="G160" s="150"/>
    </row>
    <row r="161" spans="1:7">
      <c r="A161" s="148">
        <v>41852</v>
      </c>
      <c r="B161" s="149" t="s">
        <v>213</v>
      </c>
      <c r="C161" s="150">
        <v>607.1875</v>
      </c>
      <c r="D161" s="150"/>
      <c r="E161" s="150"/>
      <c r="F161" s="150">
        <v>880.875</v>
      </c>
      <c r="G161" s="150"/>
    </row>
    <row r="162" spans="1:7">
      <c r="A162" s="148">
        <v>41859</v>
      </c>
      <c r="B162" s="149" t="s">
        <v>213</v>
      </c>
      <c r="C162" s="150">
        <v>603.5</v>
      </c>
      <c r="D162" s="150"/>
      <c r="E162" s="150"/>
      <c r="F162" s="150">
        <v>872.375</v>
      </c>
      <c r="G162" s="150"/>
    </row>
    <row r="163" spans="1:7">
      <c r="A163" s="148">
        <v>41866</v>
      </c>
      <c r="B163" s="149" t="s">
        <v>213</v>
      </c>
      <c r="C163" s="150">
        <v>597.3125</v>
      </c>
      <c r="D163" s="150"/>
      <c r="E163" s="150"/>
      <c r="F163" s="150">
        <v>866.875</v>
      </c>
      <c r="G163" s="150"/>
    </row>
    <row r="164" spans="1:7">
      <c r="A164" s="148">
        <v>41873</v>
      </c>
      <c r="B164" s="149" t="s">
        <v>213</v>
      </c>
      <c r="C164" s="150">
        <v>594.25</v>
      </c>
      <c r="D164" s="150"/>
      <c r="E164" s="150"/>
      <c r="F164" s="150">
        <v>866.875</v>
      </c>
      <c r="G164" s="150"/>
    </row>
    <row r="165" spans="1:7">
      <c r="A165" s="148">
        <v>41880</v>
      </c>
      <c r="B165" s="149" t="s">
        <v>213</v>
      </c>
      <c r="C165" s="150">
        <v>595.1875</v>
      </c>
      <c r="D165" s="150"/>
      <c r="E165" s="150"/>
      <c r="F165" s="150">
        <v>860.125</v>
      </c>
      <c r="G165" s="150"/>
    </row>
    <row r="166" spans="1:7">
      <c r="A166" s="148">
        <v>41887</v>
      </c>
      <c r="B166" s="149" t="s">
        <v>213</v>
      </c>
      <c r="C166" s="150">
        <v>593.5</v>
      </c>
      <c r="D166" s="150"/>
      <c r="E166" s="150"/>
      <c r="F166" s="150">
        <v>857.75</v>
      </c>
      <c r="G166" s="150"/>
    </row>
    <row r="167" spans="1:7">
      <c r="A167" s="148">
        <v>41894</v>
      </c>
      <c r="B167" s="149" t="s">
        <v>213</v>
      </c>
      <c r="C167" s="150">
        <v>587.4375</v>
      </c>
      <c r="D167" s="150"/>
      <c r="E167" s="150"/>
      <c r="F167" s="150">
        <v>839.5</v>
      </c>
      <c r="G167" s="150"/>
    </row>
    <row r="168" spans="1:7">
      <c r="A168" s="148">
        <v>41901</v>
      </c>
      <c r="B168" s="149" t="s">
        <v>213</v>
      </c>
      <c r="C168" s="150">
        <v>579.3125</v>
      </c>
      <c r="D168" s="150"/>
      <c r="E168" s="150"/>
      <c r="F168" s="150">
        <v>825.75</v>
      </c>
      <c r="G168" s="150"/>
    </row>
    <row r="169" spans="1:7">
      <c r="A169" s="148">
        <v>41908</v>
      </c>
      <c r="B169" s="149" t="s">
        <v>213</v>
      </c>
      <c r="C169" s="150">
        <v>574.3125</v>
      </c>
      <c r="D169" s="150"/>
      <c r="E169" s="150"/>
      <c r="F169" s="150">
        <v>813.875</v>
      </c>
      <c r="G169" s="150"/>
    </row>
    <row r="170" spans="1:7">
      <c r="A170" s="148">
        <v>41915</v>
      </c>
      <c r="B170" s="149" t="s">
        <v>213</v>
      </c>
      <c r="C170" s="150">
        <v>565.25</v>
      </c>
      <c r="D170" s="150"/>
      <c r="E170" s="150"/>
      <c r="F170" s="150">
        <v>796.4</v>
      </c>
      <c r="G170" s="150"/>
    </row>
    <row r="171" spans="1:7">
      <c r="A171" s="148">
        <v>41922</v>
      </c>
      <c r="B171" s="149" t="s">
        <v>213</v>
      </c>
      <c r="C171" s="150">
        <v>539.9</v>
      </c>
      <c r="D171" s="150"/>
      <c r="E171" s="150"/>
      <c r="F171" s="150">
        <v>771.8</v>
      </c>
      <c r="G171" s="150"/>
    </row>
    <row r="172" spans="1:7">
      <c r="A172" s="148">
        <v>41929</v>
      </c>
      <c r="B172" s="149" t="s">
        <v>213</v>
      </c>
      <c r="C172" s="150">
        <v>494.25</v>
      </c>
      <c r="D172" s="150"/>
      <c r="E172" s="150"/>
      <c r="F172" s="150">
        <v>732.5</v>
      </c>
      <c r="G172" s="150"/>
    </row>
    <row r="173" spans="1:7">
      <c r="A173" s="148">
        <v>41936</v>
      </c>
      <c r="B173" s="149" t="s">
        <v>213</v>
      </c>
      <c r="C173" s="150">
        <v>482.125</v>
      </c>
      <c r="D173" s="150"/>
      <c r="E173" s="150"/>
      <c r="F173" s="150">
        <v>718.125</v>
      </c>
      <c r="G173" s="150"/>
    </row>
    <row r="174" spans="1:7">
      <c r="A174" s="148">
        <v>41943</v>
      </c>
      <c r="B174" s="149" t="s">
        <v>213</v>
      </c>
      <c r="C174" s="150">
        <v>482.6875</v>
      </c>
      <c r="D174" s="150"/>
      <c r="E174" s="150"/>
      <c r="F174" s="150">
        <v>720.75</v>
      </c>
      <c r="G174" s="150"/>
    </row>
    <row r="175" spans="1:7">
      <c r="A175" s="148">
        <v>41950</v>
      </c>
      <c r="B175" s="149" t="s">
        <v>213</v>
      </c>
      <c r="C175" s="150">
        <v>473.375</v>
      </c>
      <c r="D175" s="150"/>
      <c r="E175" s="150"/>
      <c r="F175" s="150">
        <v>720.125</v>
      </c>
      <c r="G175" s="150"/>
    </row>
    <row r="176" spans="1:7">
      <c r="A176" s="148">
        <v>41957</v>
      </c>
      <c r="B176" s="149" t="s">
        <v>213</v>
      </c>
      <c r="C176" s="150">
        <v>488.25</v>
      </c>
      <c r="D176" s="150"/>
      <c r="E176" s="150"/>
      <c r="F176" s="150">
        <v>724.875</v>
      </c>
      <c r="G176" s="150"/>
    </row>
    <row r="177" spans="1:7">
      <c r="A177" s="148">
        <v>41964</v>
      </c>
      <c r="B177" s="149" t="s">
        <v>213</v>
      </c>
      <c r="C177" s="150">
        <v>472.9375</v>
      </c>
      <c r="D177" s="150"/>
      <c r="E177" s="150"/>
      <c r="F177" s="150">
        <v>701.75</v>
      </c>
      <c r="G177" s="150"/>
    </row>
    <row r="178" spans="1:7">
      <c r="A178" s="148">
        <v>41971</v>
      </c>
      <c r="B178" s="149" t="s">
        <v>213</v>
      </c>
      <c r="C178" s="150">
        <v>472.25</v>
      </c>
      <c r="D178" s="150"/>
      <c r="E178" s="150"/>
      <c r="F178" s="150">
        <v>698.625</v>
      </c>
      <c r="G178" s="150"/>
    </row>
    <row r="179" spans="1:7">
      <c r="A179" s="148">
        <v>41978</v>
      </c>
      <c r="B179" s="149" t="s">
        <v>213</v>
      </c>
      <c r="C179" s="150">
        <v>436.9375</v>
      </c>
      <c r="D179" s="150"/>
      <c r="E179" s="150"/>
      <c r="F179" s="150">
        <v>649.25</v>
      </c>
      <c r="G179" s="150"/>
    </row>
    <row r="180" spans="1:7">
      <c r="A180" s="148">
        <v>41985</v>
      </c>
      <c r="B180" s="149" t="s">
        <v>213</v>
      </c>
      <c r="C180" s="150">
        <v>390.75</v>
      </c>
      <c r="D180" s="150"/>
      <c r="E180" s="150"/>
      <c r="F180" s="150">
        <v>604.625</v>
      </c>
      <c r="G180" s="150"/>
    </row>
    <row r="181" spans="1:7">
      <c r="A181" s="148">
        <v>41992</v>
      </c>
      <c r="B181" s="149" t="s">
        <v>213</v>
      </c>
      <c r="C181" s="150">
        <v>346.75</v>
      </c>
      <c r="D181" s="150"/>
      <c r="E181" s="150"/>
      <c r="F181" s="150">
        <v>571.875</v>
      </c>
      <c r="G181" s="150"/>
    </row>
    <row r="182" spans="1:7">
      <c r="A182" s="148">
        <v>41999</v>
      </c>
      <c r="B182" s="149" t="s">
        <v>213</v>
      </c>
      <c r="C182" s="150">
        <v>346.08333333333337</v>
      </c>
      <c r="D182" s="150"/>
      <c r="E182" s="150"/>
      <c r="F182" s="150">
        <v>569.5</v>
      </c>
      <c r="G182" s="150"/>
    </row>
    <row r="183" spans="1:7">
      <c r="A183" s="148">
        <v>42006</v>
      </c>
      <c r="B183" s="149" t="s">
        <v>213</v>
      </c>
      <c r="C183" s="150">
        <v>335.375</v>
      </c>
      <c r="D183" s="150"/>
      <c r="E183" s="150"/>
      <c r="F183" s="150">
        <v>557.75</v>
      </c>
      <c r="G183" s="150"/>
    </row>
    <row r="184" spans="1:7">
      <c r="A184" s="148">
        <v>42013</v>
      </c>
      <c r="B184" s="149" t="s">
        <v>213</v>
      </c>
      <c r="C184" s="150">
        <v>297.5625</v>
      </c>
      <c r="D184" s="150"/>
      <c r="E184" s="150"/>
      <c r="F184" s="150">
        <v>514</v>
      </c>
      <c r="G184" s="150"/>
    </row>
    <row r="185" spans="1:7">
      <c r="A185" s="148">
        <v>42020</v>
      </c>
      <c r="B185" s="149" t="s">
        <v>213</v>
      </c>
      <c r="C185" s="150">
        <v>283.35000000000002</v>
      </c>
      <c r="D185" s="150"/>
      <c r="E185" s="150"/>
      <c r="F185" s="150">
        <v>480.2</v>
      </c>
      <c r="G185" s="150"/>
    </row>
    <row r="186" spans="1:7">
      <c r="A186" s="148">
        <v>42027</v>
      </c>
      <c r="B186" s="149" t="s">
        <v>213</v>
      </c>
      <c r="C186" s="150">
        <v>286.04999999999995</v>
      </c>
      <c r="D186" s="150"/>
      <c r="E186" s="150"/>
      <c r="F186" s="150">
        <v>477.5</v>
      </c>
      <c r="G186" s="150"/>
    </row>
    <row r="187" spans="1:7">
      <c r="A187" s="148">
        <v>42034</v>
      </c>
      <c r="B187" s="149" t="s">
        <v>213</v>
      </c>
      <c r="C187" s="150">
        <v>288.25</v>
      </c>
      <c r="D187" s="150"/>
      <c r="E187" s="150"/>
      <c r="F187" s="150">
        <v>476.75</v>
      </c>
      <c r="G187" s="150"/>
    </row>
    <row r="188" spans="1:7">
      <c r="A188" s="148">
        <v>42041</v>
      </c>
      <c r="B188" s="149" t="s">
        <v>213</v>
      </c>
      <c r="C188" s="150">
        <v>326.5</v>
      </c>
      <c r="D188" s="150"/>
      <c r="E188" s="150"/>
      <c r="F188" s="150">
        <v>509.75</v>
      </c>
      <c r="G188" s="150"/>
    </row>
    <row r="189" spans="1:7">
      <c r="A189" s="148">
        <v>42048</v>
      </c>
      <c r="B189" s="149" t="s">
        <v>213</v>
      </c>
      <c r="C189" s="150">
        <v>354.5625</v>
      </c>
      <c r="D189" s="150"/>
      <c r="E189" s="150"/>
      <c r="F189" s="150">
        <v>544.25</v>
      </c>
      <c r="G189" s="150"/>
    </row>
    <row r="190" spans="1:7">
      <c r="A190" s="148">
        <v>42055</v>
      </c>
      <c r="B190" s="149" t="s">
        <v>213</v>
      </c>
      <c r="C190" s="150">
        <v>383.85</v>
      </c>
      <c r="D190" s="150"/>
      <c r="E190" s="150"/>
      <c r="F190" s="150">
        <v>577.9</v>
      </c>
      <c r="G190" s="150"/>
    </row>
    <row r="191" spans="1:7">
      <c r="A191" s="148">
        <v>42062</v>
      </c>
      <c r="B191" s="149" t="s">
        <v>213</v>
      </c>
      <c r="C191" s="150">
        <v>359.35</v>
      </c>
      <c r="D191" s="150"/>
      <c r="E191" s="150"/>
      <c r="F191" s="150">
        <v>557.9</v>
      </c>
      <c r="G191" s="150"/>
    </row>
    <row r="192" spans="1:7">
      <c r="A192" s="148">
        <v>42069</v>
      </c>
      <c r="B192" s="149" t="s">
        <v>213</v>
      </c>
      <c r="C192" s="150">
        <v>354.0625</v>
      </c>
      <c r="D192" s="150"/>
      <c r="E192" s="150"/>
      <c r="F192" s="150">
        <v>574</v>
      </c>
      <c r="G192" s="150"/>
    </row>
    <row r="193" spans="1:7">
      <c r="A193" s="148">
        <v>42076</v>
      </c>
      <c r="B193" s="149" t="s">
        <v>213</v>
      </c>
      <c r="C193" s="150">
        <v>338.9375</v>
      </c>
      <c r="D193" s="150"/>
      <c r="E193" s="150"/>
      <c r="F193" s="150">
        <v>547.75</v>
      </c>
      <c r="G193" s="150"/>
    </row>
    <row r="194" spans="1:7">
      <c r="A194" s="148">
        <v>42083</v>
      </c>
      <c r="B194" s="149" t="s">
        <v>213</v>
      </c>
      <c r="C194" s="150">
        <v>316.95</v>
      </c>
      <c r="D194" s="150"/>
      <c r="E194" s="150"/>
      <c r="F194" s="150">
        <v>517.5</v>
      </c>
      <c r="G194" s="150"/>
    </row>
    <row r="195" spans="1:7">
      <c r="A195" s="148">
        <v>42090</v>
      </c>
      <c r="B195" s="149" t="s">
        <v>213</v>
      </c>
      <c r="C195" s="150">
        <v>324.625</v>
      </c>
      <c r="D195" s="150"/>
      <c r="E195" s="150"/>
      <c r="F195" s="150">
        <v>521.375</v>
      </c>
      <c r="G195" s="150"/>
    </row>
    <row r="196" spans="1:7">
      <c r="A196" s="148">
        <v>42097</v>
      </c>
      <c r="B196" s="149" t="s">
        <v>213</v>
      </c>
      <c r="C196" s="150">
        <v>323.25</v>
      </c>
      <c r="D196" s="150"/>
      <c r="E196" s="150"/>
      <c r="F196" s="150">
        <v>519.875</v>
      </c>
      <c r="G196" s="150"/>
    </row>
    <row r="197" spans="1:7">
      <c r="A197" s="148">
        <v>42104</v>
      </c>
      <c r="B197" s="149" t="s">
        <v>213</v>
      </c>
      <c r="C197" s="150">
        <v>330.75</v>
      </c>
      <c r="D197" s="150"/>
      <c r="E197" s="150"/>
      <c r="F197" s="150">
        <v>523.875</v>
      </c>
      <c r="G197" s="150"/>
    </row>
    <row r="198" spans="1:7">
      <c r="A198" s="148">
        <v>42111</v>
      </c>
      <c r="B198" s="149" t="s">
        <v>213</v>
      </c>
      <c r="C198" s="150">
        <v>345.0625</v>
      </c>
      <c r="D198" s="150"/>
      <c r="E198" s="150"/>
      <c r="F198" s="150">
        <v>536.75</v>
      </c>
      <c r="G198" s="150"/>
    </row>
    <row r="199" spans="1:7">
      <c r="A199" s="148">
        <v>42118</v>
      </c>
      <c r="B199" s="149" t="s">
        <v>213</v>
      </c>
      <c r="C199" s="150">
        <v>355.3125</v>
      </c>
      <c r="D199" s="150"/>
      <c r="E199" s="150"/>
      <c r="F199" s="150">
        <v>551.5</v>
      </c>
      <c r="G199" s="150"/>
    </row>
    <row r="200" spans="1:7">
      <c r="A200" s="148">
        <v>42125</v>
      </c>
      <c r="B200" s="149" t="s">
        <v>213</v>
      </c>
      <c r="C200" s="150">
        <v>363</v>
      </c>
      <c r="D200" s="150"/>
      <c r="E200" s="150"/>
      <c r="F200" s="150">
        <v>566.16666666666663</v>
      </c>
      <c r="G200" s="150"/>
    </row>
    <row r="201" spans="1:7">
      <c r="A201" s="148">
        <v>42132</v>
      </c>
      <c r="B201" s="149" t="s">
        <v>213</v>
      </c>
      <c r="C201" s="150">
        <v>391.25</v>
      </c>
      <c r="D201" s="150"/>
      <c r="E201" s="150"/>
      <c r="F201" s="150">
        <v>586.375</v>
      </c>
      <c r="G201" s="150"/>
    </row>
    <row r="202" spans="1:7">
      <c r="A202" s="148">
        <v>42139</v>
      </c>
      <c r="B202" s="149" t="s">
        <v>213</v>
      </c>
      <c r="C202" s="150">
        <v>389.625</v>
      </c>
      <c r="D202" s="150"/>
      <c r="E202" s="150"/>
      <c r="F202" s="150">
        <v>586.25</v>
      </c>
      <c r="G202" s="150"/>
    </row>
    <row r="203" spans="1:7">
      <c r="A203" s="148">
        <v>42146</v>
      </c>
      <c r="B203" s="149" t="s">
        <v>213</v>
      </c>
      <c r="C203" s="150">
        <v>374.875</v>
      </c>
      <c r="D203" s="150"/>
      <c r="E203" s="150"/>
      <c r="F203" s="150">
        <v>579.875</v>
      </c>
      <c r="G203" s="150"/>
    </row>
    <row r="204" spans="1:7">
      <c r="A204" s="148">
        <v>42153</v>
      </c>
      <c r="B204" s="149" t="s">
        <v>213</v>
      </c>
      <c r="C204" s="150">
        <v>380.6875</v>
      </c>
      <c r="D204" s="150"/>
      <c r="E204" s="150"/>
      <c r="F204" s="150">
        <v>569.75</v>
      </c>
      <c r="G204" s="150"/>
    </row>
    <row r="205" spans="1:7">
      <c r="A205" s="148">
        <v>42160</v>
      </c>
      <c r="B205" s="149" t="s">
        <v>213</v>
      </c>
      <c r="C205" s="150">
        <v>374.8</v>
      </c>
      <c r="D205" s="150"/>
      <c r="E205" s="150"/>
      <c r="F205" s="150">
        <v>565.20000000000005</v>
      </c>
      <c r="G205" s="150"/>
    </row>
    <row r="206" spans="1:7">
      <c r="A206" s="148">
        <v>42167</v>
      </c>
      <c r="B206" s="149" t="s">
        <v>213</v>
      </c>
      <c r="C206" s="150">
        <v>369.875</v>
      </c>
      <c r="D206" s="150"/>
      <c r="E206" s="150"/>
      <c r="F206" s="150">
        <v>560.875</v>
      </c>
      <c r="G206" s="150"/>
    </row>
    <row r="207" spans="1:7">
      <c r="A207" s="148">
        <v>42174</v>
      </c>
      <c r="B207" s="149" t="s">
        <v>213</v>
      </c>
      <c r="C207" s="150">
        <v>366.4375</v>
      </c>
      <c r="D207" s="150"/>
      <c r="E207" s="150"/>
      <c r="F207" s="150">
        <v>556.75</v>
      </c>
      <c r="G207" s="150"/>
    </row>
    <row r="208" spans="1:7">
      <c r="A208" s="148">
        <v>42181</v>
      </c>
      <c r="B208" s="149" t="s">
        <v>213</v>
      </c>
      <c r="C208" s="150">
        <v>356.4375</v>
      </c>
      <c r="D208" s="150"/>
      <c r="E208" s="150"/>
      <c r="F208" s="150">
        <v>553.5</v>
      </c>
      <c r="G208" s="150"/>
    </row>
    <row r="209" spans="1:7">
      <c r="A209" s="148">
        <v>42188</v>
      </c>
      <c r="B209" s="149" t="s">
        <v>213</v>
      </c>
      <c r="C209" s="150">
        <v>343.875</v>
      </c>
      <c r="D209" s="150"/>
      <c r="E209" s="150"/>
      <c r="F209" s="150">
        <v>536.125</v>
      </c>
      <c r="G209" s="150"/>
    </row>
    <row r="210" spans="1:7">
      <c r="A210" s="148">
        <v>42195</v>
      </c>
      <c r="B210" s="149" t="s">
        <v>213</v>
      </c>
      <c r="C210" s="150">
        <v>318</v>
      </c>
      <c r="D210" s="150"/>
      <c r="E210" s="150"/>
      <c r="F210" s="150">
        <v>507.625</v>
      </c>
      <c r="G210" s="150"/>
    </row>
    <row r="211" spans="1:7">
      <c r="A211" s="148">
        <v>42202</v>
      </c>
      <c r="B211" s="149" t="s">
        <v>213</v>
      </c>
      <c r="C211" s="150">
        <v>317.0625</v>
      </c>
      <c r="D211" s="150"/>
      <c r="E211" s="150"/>
      <c r="F211" s="150">
        <v>488.875</v>
      </c>
      <c r="G211" s="150"/>
    </row>
    <row r="212" spans="1:7">
      <c r="A212" s="148">
        <v>42209</v>
      </c>
      <c r="B212" s="149" t="s">
        <v>213</v>
      </c>
      <c r="C212" s="150">
        <v>309.875</v>
      </c>
      <c r="D212" s="150"/>
      <c r="E212" s="150"/>
      <c r="F212" s="150">
        <v>475</v>
      </c>
      <c r="G212" s="150"/>
    </row>
    <row r="213" spans="1:7">
      <c r="A213" s="148">
        <v>42216</v>
      </c>
      <c r="B213" s="149" t="s">
        <v>213</v>
      </c>
      <c r="C213" s="150">
        <v>292.79999999999995</v>
      </c>
      <c r="D213" s="150"/>
      <c r="E213" s="150"/>
      <c r="F213" s="150">
        <v>450.3</v>
      </c>
      <c r="G213" s="150"/>
    </row>
    <row r="214" spans="1:7">
      <c r="A214" s="148">
        <v>42223</v>
      </c>
      <c r="B214" s="149" t="s">
        <v>213</v>
      </c>
      <c r="C214" s="150">
        <v>275.8125</v>
      </c>
      <c r="D214" s="150"/>
      <c r="E214" s="150"/>
      <c r="F214" s="150">
        <v>436.875</v>
      </c>
      <c r="G214" s="150"/>
    </row>
    <row r="215" spans="1:7">
      <c r="A215" s="148">
        <v>42230</v>
      </c>
      <c r="B215" s="149" t="s">
        <v>213</v>
      </c>
      <c r="C215" s="150">
        <v>268.875</v>
      </c>
      <c r="D215" s="150"/>
      <c r="E215" s="150"/>
      <c r="F215" s="150">
        <v>437.5</v>
      </c>
      <c r="G215" s="150"/>
    </row>
    <row r="216" spans="1:7">
      <c r="A216" s="148">
        <v>42237</v>
      </c>
      <c r="B216" s="149" t="s">
        <v>213</v>
      </c>
      <c r="C216" s="150">
        <v>248.065</v>
      </c>
      <c r="D216" s="150"/>
      <c r="E216" s="150"/>
      <c r="F216" s="150">
        <v>422</v>
      </c>
      <c r="G216" s="150"/>
    </row>
    <row r="217" spans="1:7">
      <c r="A217" s="148">
        <v>42244</v>
      </c>
      <c r="B217" s="149" t="s">
        <v>213</v>
      </c>
      <c r="C217" s="150">
        <v>214.375</v>
      </c>
      <c r="D217" s="150"/>
      <c r="E217" s="150"/>
      <c r="F217" s="150">
        <v>398.875</v>
      </c>
      <c r="G217" s="150"/>
    </row>
    <row r="218" spans="1:7">
      <c r="A218" s="148">
        <v>42251</v>
      </c>
      <c r="B218" s="149" t="s">
        <v>213</v>
      </c>
      <c r="C218" s="150">
        <v>258.7</v>
      </c>
      <c r="D218" s="150"/>
      <c r="E218" s="150"/>
      <c r="F218" s="150">
        <v>443.8</v>
      </c>
      <c r="G218" s="150"/>
    </row>
    <row r="219" spans="1:7">
      <c r="A219" s="148">
        <v>42258</v>
      </c>
      <c r="B219" s="149" t="s">
        <v>213</v>
      </c>
      <c r="C219" s="150">
        <v>246.4375</v>
      </c>
      <c r="D219" s="150"/>
      <c r="E219" s="150"/>
      <c r="F219" s="150">
        <v>444</v>
      </c>
      <c r="G219" s="150"/>
    </row>
    <row r="220" spans="1:7">
      <c r="A220" s="148">
        <v>42265</v>
      </c>
      <c r="B220" s="149" t="s">
        <v>213</v>
      </c>
      <c r="C220" s="150">
        <v>233.25</v>
      </c>
      <c r="D220" s="150"/>
      <c r="E220" s="150"/>
      <c r="F220" s="150">
        <v>434.5</v>
      </c>
      <c r="G220" s="150"/>
    </row>
    <row r="221" spans="1:7">
      <c r="A221" s="148">
        <v>42272</v>
      </c>
      <c r="B221" s="149" t="s">
        <v>213</v>
      </c>
      <c r="C221" s="150">
        <v>238.25</v>
      </c>
      <c r="D221" s="150"/>
      <c r="E221" s="150"/>
      <c r="F221" s="150">
        <v>436.625</v>
      </c>
      <c r="G221" s="150"/>
    </row>
    <row r="222" spans="1:7">
      <c r="A222" s="148">
        <v>42279</v>
      </c>
      <c r="B222" s="149" t="s">
        <v>213</v>
      </c>
      <c r="C222" s="150">
        <v>235.7</v>
      </c>
      <c r="D222" s="150"/>
      <c r="E222" s="150"/>
      <c r="F222" s="150">
        <v>429.3</v>
      </c>
      <c r="G222" s="150"/>
    </row>
    <row r="223" spans="1:7">
      <c r="A223" s="148">
        <v>42286</v>
      </c>
      <c r="B223" s="149" t="s">
        <v>213</v>
      </c>
      <c r="C223" s="150">
        <v>253.45</v>
      </c>
      <c r="D223" s="150"/>
      <c r="E223" s="150"/>
      <c r="F223" s="150">
        <v>448</v>
      </c>
      <c r="G223" s="150"/>
    </row>
    <row r="224" spans="1:7">
      <c r="A224" s="148">
        <v>42293</v>
      </c>
      <c r="B224" s="149" t="s">
        <v>213</v>
      </c>
      <c r="C224" s="150">
        <v>248.9375</v>
      </c>
      <c r="D224" s="150"/>
      <c r="E224" s="150"/>
      <c r="F224" s="150">
        <v>439.125</v>
      </c>
      <c r="G224" s="150"/>
    </row>
    <row r="225" spans="1:7">
      <c r="A225" s="148">
        <v>42300</v>
      </c>
      <c r="B225" s="149" t="s">
        <v>213</v>
      </c>
      <c r="C225" s="150">
        <v>239.2</v>
      </c>
      <c r="D225" s="150"/>
      <c r="E225" s="150"/>
      <c r="F225" s="150">
        <v>427.1</v>
      </c>
      <c r="G225" s="150"/>
    </row>
    <row r="226" spans="1:7">
      <c r="A226" s="148">
        <v>42307</v>
      </c>
      <c r="B226" s="149" t="s">
        <v>213</v>
      </c>
      <c r="C226" s="150">
        <v>240.125</v>
      </c>
      <c r="D226" s="150"/>
      <c r="E226" s="150"/>
      <c r="F226" s="150">
        <v>424.75</v>
      </c>
      <c r="G226" s="150"/>
    </row>
    <row r="227" spans="1:7">
      <c r="A227" s="148">
        <v>42314</v>
      </c>
      <c r="B227" s="149" t="s">
        <v>213</v>
      </c>
      <c r="C227" s="150">
        <v>247.125</v>
      </c>
      <c r="D227" s="150"/>
      <c r="E227" s="150"/>
      <c r="F227" s="150">
        <v>440.5</v>
      </c>
      <c r="G227" s="150"/>
    </row>
    <row r="228" spans="1:7">
      <c r="A228" s="148">
        <v>42321</v>
      </c>
      <c r="B228" s="149" t="s">
        <v>213</v>
      </c>
      <c r="C228" s="150">
        <v>243.41666666666666</v>
      </c>
      <c r="D228" s="150"/>
      <c r="E228" s="150"/>
      <c r="F228" s="150">
        <v>435.83333333333331</v>
      </c>
      <c r="G228" s="150"/>
    </row>
    <row r="229" spans="1:7">
      <c r="A229" s="148">
        <v>42328</v>
      </c>
      <c r="B229" s="149" t="s">
        <v>213</v>
      </c>
      <c r="C229" s="150">
        <v>225.75</v>
      </c>
      <c r="D229" s="150"/>
      <c r="E229" s="150"/>
      <c r="F229" s="150">
        <v>412.375</v>
      </c>
      <c r="G229" s="150"/>
    </row>
    <row r="230" spans="1:7">
      <c r="A230" s="148">
        <v>42335</v>
      </c>
      <c r="B230" s="149" t="s">
        <v>213</v>
      </c>
      <c r="C230" s="150">
        <v>227.4375</v>
      </c>
      <c r="D230" s="150"/>
      <c r="E230" s="150"/>
      <c r="F230" s="150">
        <v>417.375</v>
      </c>
      <c r="G230" s="150"/>
    </row>
    <row r="231" spans="1:7">
      <c r="A231" s="148">
        <v>42342</v>
      </c>
      <c r="B231" s="149" t="s">
        <v>213</v>
      </c>
      <c r="C231" s="150">
        <v>218</v>
      </c>
      <c r="D231" s="150"/>
      <c r="E231" s="150"/>
      <c r="F231" s="150">
        <v>402.5</v>
      </c>
      <c r="G231" s="150"/>
    </row>
    <row r="232" spans="1:7">
      <c r="A232" s="148">
        <v>42349</v>
      </c>
      <c r="B232" s="149" t="s">
        <v>213</v>
      </c>
      <c r="C232" s="150">
        <v>195.6875</v>
      </c>
      <c r="D232" s="150"/>
      <c r="E232" s="150"/>
      <c r="F232" s="150">
        <v>376.125</v>
      </c>
      <c r="G232" s="150"/>
    </row>
    <row r="233" spans="1:7">
      <c r="A233" s="148">
        <v>42356</v>
      </c>
      <c r="B233" s="149" t="s">
        <v>213</v>
      </c>
      <c r="C233" s="150">
        <v>184.4375</v>
      </c>
      <c r="D233" s="150"/>
      <c r="E233" s="150"/>
      <c r="F233" s="150">
        <v>348.375</v>
      </c>
      <c r="G233" s="150"/>
    </row>
    <row r="234" spans="1:7">
      <c r="A234" s="148">
        <v>42363</v>
      </c>
      <c r="B234" s="149" t="s">
        <v>213</v>
      </c>
      <c r="C234" s="150">
        <v>169.25</v>
      </c>
      <c r="D234" s="150"/>
      <c r="E234" s="150"/>
      <c r="F234" s="150">
        <v>324.125</v>
      </c>
      <c r="G234" s="150"/>
    </row>
    <row r="235" spans="1:7">
      <c r="A235" s="148">
        <v>42370</v>
      </c>
      <c r="B235" s="149" t="s">
        <v>213</v>
      </c>
      <c r="C235" s="150">
        <v>169.25</v>
      </c>
      <c r="D235" s="150"/>
      <c r="E235" s="150"/>
      <c r="F235" s="150">
        <v>324.125</v>
      </c>
      <c r="G235" s="150"/>
    </row>
    <row r="236" spans="1:7">
      <c r="A236" s="148">
        <v>42377</v>
      </c>
      <c r="B236" s="149" t="s">
        <v>213</v>
      </c>
      <c r="C236" s="150">
        <v>175.0625</v>
      </c>
      <c r="D236" s="150"/>
      <c r="E236" s="150"/>
      <c r="F236" s="150">
        <v>314.375</v>
      </c>
      <c r="G236" s="150"/>
    </row>
    <row r="237" spans="1:7">
      <c r="A237" s="148">
        <v>42384</v>
      </c>
      <c r="B237" s="149" t="s">
        <v>213</v>
      </c>
      <c r="C237" s="150">
        <v>156.25</v>
      </c>
      <c r="D237" s="150"/>
      <c r="E237" s="150"/>
      <c r="F237" s="150">
        <v>278.875</v>
      </c>
      <c r="G237" s="150"/>
    </row>
    <row r="238" spans="1:7">
      <c r="A238" s="148">
        <v>42391</v>
      </c>
      <c r="B238" s="149" t="s">
        <v>213</v>
      </c>
      <c r="C238" s="150">
        <v>151.875</v>
      </c>
      <c r="D238" s="150"/>
      <c r="E238" s="150"/>
      <c r="F238" s="150">
        <v>260.625</v>
      </c>
      <c r="G238" s="150"/>
    </row>
    <row r="239" spans="1:7">
      <c r="A239" s="148">
        <v>42398</v>
      </c>
      <c r="B239" s="149" t="s">
        <v>213</v>
      </c>
      <c r="C239" s="150">
        <v>168.125</v>
      </c>
      <c r="D239" s="150"/>
      <c r="E239" s="150"/>
      <c r="F239" s="150">
        <v>259.5</v>
      </c>
      <c r="G239" s="150"/>
    </row>
    <row r="240" spans="1:7">
      <c r="A240" s="148">
        <v>42405</v>
      </c>
      <c r="B240" s="149" t="s">
        <v>213</v>
      </c>
      <c r="C240" s="150">
        <v>170.16666666666669</v>
      </c>
      <c r="D240" s="150"/>
      <c r="E240" s="150"/>
      <c r="F240" s="150">
        <v>272.08333333333337</v>
      </c>
      <c r="G240" s="150"/>
    </row>
    <row r="241" spans="1:7">
      <c r="A241" s="148">
        <v>42412</v>
      </c>
      <c r="B241" s="149" t="s">
        <v>213</v>
      </c>
      <c r="C241" s="150">
        <v>172.20833333333334</v>
      </c>
      <c r="D241" s="150"/>
      <c r="E241" s="150"/>
      <c r="F241" s="150">
        <v>284.66666666666669</v>
      </c>
      <c r="G241" s="150"/>
    </row>
    <row r="242" spans="1:7">
      <c r="A242" s="148">
        <v>42419</v>
      </c>
      <c r="B242" s="149" t="s">
        <v>213</v>
      </c>
      <c r="C242" s="150">
        <v>165.9375</v>
      </c>
      <c r="D242" s="150"/>
      <c r="E242" s="150"/>
      <c r="F242" s="150">
        <v>295.75</v>
      </c>
      <c r="G242" s="150"/>
    </row>
    <row r="243" spans="1:7">
      <c r="A243" s="148">
        <v>42426</v>
      </c>
      <c r="B243" s="149" t="s">
        <v>213</v>
      </c>
      <c r="C243" s="150">
        <v>155.375</v>
      </c>
      <c r="D243" s="150"/>
      <c r="E243" s="150"/>
      <c r="F243" s="150">
        <v>294</v>
      </c>
      <c r="G243" s="150"/>
    </row>
    <row r="244" spans="1:7">
      <c r="A244" s="148">
        <v>42433</v>
      </c>
      <c r="B244" s="149" t="s">
        <v>213</v>
      </c>
      <c r="C244" s="150">
        <v>162.35000000000002</v>
      </c>
      <c r="D244" s="150"/>
      <c r="E244" s="150"/>
      <c r="F244" s="150">
        <v>301.8</v>
      </c>
      <c r="G244" s="150"/>
    </row>
    <row r="245" spans="1:7">
      <c r="A245" s="148">
        <v>42440</v>
      </c>
      <c r="B245" s="149" t="s">
        <v>213</v>
      </c>
      <c r="C245" s="150">
        <v>183.25</v>
      </c>
      <c r="D245" s="150"/>
      <c r="E245" s="150"/>
      <c r="F245" s="150">
        <v>337.25</v>
      </c>
      <c r="G245" s="150"/>
    </row>
    <row r="246" spans="1:7">
      <c r="A246" s="148">
        <v>42447</v>
      </c>
      <c r="B246" s="149" t="s">
        <v>213</v>
      </c>
      <c r="C246" s="150">
        <v>184.75</v>
      </c>
      <c r="D246" s="150"/>
      <c r="E246" s="150"/>
      <c r="F246" s="150">
        <v>340.5</v>
      </c>
      <c r="G246" s="150"/>
    </row>
    <row r="247" spans="1:7">
      <c r="A247" s="148">
        <v>42454</v>
      </c>
      <c r="B247" s="149" t="s">
        <v>213</v>
      </c>
      <c r="C247" s="150">
        <v>186.75</v>
      </c>
      <c r="D247" s="150"/>
      <c r="E247" s="150"/>
      <c r="F247" s="150">
        <v>344.5</v>
      </c>
      <c r="G247" s="150"/>
    </row>
    <row r="248" spans="1:7">
      <c r="A248" s="148">
        <v>42461</v>
      </c>
      <c r="B248" s="149" t="s">
        <v>213</v>
      </c>
      <c r="C248" s="150">
        <v>186.75</v>
      </c>
      <c r="D248" s="150"/>
      <c r="E248" s="150"/>
      <c r="F248" s="150">
        <v>344.5</v>
      </c>
      <c r="G248" s="150"/>
    </row>
    <row r="249" spans="1:7">
      <c r="A249" s="148">
        <v>42468</v>
      </c>
      <c r="B249" s="149" t="s">
        <v>213</v>
      </c>
      <c r="C249" s="150">
        <v>180.15</v>
      </c>
      <c r="D249" s="150"/>
      <c r="E249" s="150"/>
      <c r="F249" s="150">
        <v>324.2</v>
      </c>
      <c r="G249" s="150"/>
    </row>
    <row r="250" spans="1:7">
      <c r="A250" s="148">
        <v>42475</v>
      </c>
      <c r="B250" s="149" t="s">
        <v>213</v>
      </c>
      <c r="C250" s="150">
        <v>197.0625</v>
      </c>
      <c r="D250" s="150"/>
      <c r="E250" s="150"/>
      <c r="F250" s="150">
        <v>349.5</v>
      </c>
      <c r="G250" s="150"/>
    </row>
    <row r="251" spans="1:7">
      <c r="A251" s="148">
        <v>42482</v>
      </c>
      <c r="B251" s="149" t="s">
        <v>213</v>
      </c>
      <c r="C251" s="150">
        <v>197.25</v>
      </c>
      <c r="D251" s="150"/>
      <c r="E251" s="150"/>
      <c r="F251" s="150">
        <v>354.2</v>
      </c>
      <c r="G251" s="150"/>
    </row>
    <row r="252" spans="1:7">
      <c r="A252" s="148">
        <v>42489</v>
      </c>
      <c r="B252" s="149" t="s">
        <v>213</v>
      </c>
      <c r="C252" s="150">
        <v>210.25</v>
      </c>
      <c r="D252" s="150"/>
      <c r="E252" s="150"/>
      <c r="F252" s="150">
        <v>378</v>
      </c>
      <c r="G252" s="150"/>
    </row>
    <row r="253" spans="1:7">
      <c r="A253" s="148">
        <v>42496</v>
      </c>
      <c r="B253" s="149" t="s">
        <v>213</v>
      </c>
      <c r="C253" s="150">
        <v>219</v>
      </c>
      <c r="D253" s="150"/>
      <c r="E253" s="150"/>
      <c r="F253" s="150">
        <v>386.66666666666669</v>
      </c>
      <c r="G253" s="150"/>
    </row>
    <row r="254" spans="1:7">
      <c r="A254" s="148">
        <v>42503</v>
      </c>
      <c r="B254" s="149" t="s">
        <v>213</v>
      </c>
      <c r="C254" s="150">
        <v>222.95</v>
      </c>
      <c r="D254" s="150"/>
      <c r="E254" s="150"/>
      <c r="F254" s="150">
        <v>392</v>
      </c>
      <c r="G254" s="150"/>
    </row>
    <row r="255" spans="1:7">
      <c r="A255" s="148">
        <v>42510</v>
      </c>
      <c r="B255" s="149" t="s">
        <v>213</v>
      </c>
      <c r="C255" s="150">
        <v>232.0625</v>
      </c>
      <c r="D255" s="150"/>
      <c r="E255" s="150"/>
      <c r="F255" s="150">
        <v>410</v>
      </c>
      <c r="G255" s="150"/>
    </row>
    <row r="256" spans="1:7">
      <c r="A256" s="148">
        <v>42517</v>
      </c>
      <c r="B256" s="149" t="s">
        <v>213</v>
      </c>
      <c r="C256" s="150">
        <v>232.3125</v>
      </c>
      <c r="D256" s="150"/>
      <c r="E256" s="150"/>
      <c r="F256" s="150">
        <v>421.25</v>
      </c>
      <c r="G256" s="150"/>
    </row>
    <row r="257" spans="1:7">
      <c r="A257" s="148">
        <v>42524</v>
      </c>
      <c r="B257" s="149" t="s">
        <v>213</v>
      </c>
      <c r="C257" s="150">
        <v>232.9375</v>
      </c>
      <c r="D257" s="150"/>
      <c r="E257" s="150"/>
      <c r="F257" s="150">
        <v>429</v>
      </c>
      <c r="G257" s="150"/>
    </row>
    <row r="258" spans="1:7">
      <c r="A258" s="148">
        <v>42531</v>
      </c>
      <c r="B258" s="149" t="s">
        <v>213</v>
      </c>
      <c r="C258" s="150">
        <v>232.9375</v>
      </c>
      <c r="D258" s="150"/>
      <c r="E258" s="150"/>
      <c r="F258" s="150">
        <v>429</v>
      </c>
      <c r="G258" s="150"/>
    </row>
    <row r="259" spans="1:7">
      <c r="A259" s="148">
        <v>42538</v>
      </c>
      <c r="B259" s="149" t="s">
        <v>213</v>
      </c>
      <c r="C259" s="150">
        <v>238.2</v>
      </c>
      <c r="D259" s="150"/>
      <c r="E259" s="150"/>
      <c r="F259" s="150">
        <v>427</v>
      </c>
      <c r="G259" s="150"/>
    </row>
    <row r="260" spans="1:7">
      <c r="A260" s="148">
        <v>42545</v>
      </c>
      <c r="B260" s="149" t="s">
        <v>213</v>
      </c>
      <c r="C260" s="150">
        <v>248.5</v>
      </c>
      <c r="D260" s="150"/>
      <c r="E260" s="150"/>
      <c r="F260" s="150">
        <v>433</v>
      </c>
      <c r="G260" s="150"/>
    </row>
    <row r="261" spans="1:7">
      <c r="A261" s="148">
        <v>42552</v>
      </c>
      <c r="B261" s="149" t="s">
        <v>213</v>
      </c>
      <c r="C261" s="150">
        <v>251.9375</v>
      </c>
      <c r="D261" s="150"/>
      <c r="E261" s="150"/>
      <c r="F261" s="150">
        <v>429</v>
      </c>
      <c r="G261" s="150"/>
    </row>
    <row r="262" spans="1:7">
      <c r="A262" s="148">
        <v>42559</v>
      </c>
      <c r="B262" s="149" t="s">
        <v>213</v>
      </c>
      <c r="C262" s="150">
        <v>254.75</v>
      </c>
      <c r="D262" s="150"/>
      <c r="E262" s="150"/>
      <c r="F262" s="150">
        <v>430.75</v>
      </c>
      <c r="G262" s="150"/>
    </row>
    <row r="263" spans="1:7">
      <c r="A263" s="148">
        <v>42566</v>
      </c>
      <c r="B263" s="149" t="s">
        <v>213</v>
      </c>
      <c r="C263" s="150">
        <v>249.75</v>
      </c>
      <c r="D263" s="150"/>
      <c r="E263" s="150"/>
      <c r="F263" s="150">
        <v>416.5</v>
      </c>
      <c r="G263" s="150"/>
    </row>
    <row r="264" spans="1:7">
      <c r="A264" s="148">
        <v>42573</v>
      </c>
      <c r="B264" s="149" t="s">
        <v>213</v>
      </c>
      <c r="C264" s="150">
        <v>247.0625</v>
      </c>
      <c r="D264" s="150"/>
      <c r="E264" s="150"/>
      <c r="F264" s="150">
        <v>400.25</v>
      </c>
      <c r="G264" s="150"/>
    </row>
    <row r="265" spans="1:7">
      <c r="A265" s="148">
        <v>42580</v>
      </c>
      <c r="B265" s="149" t="s">
        <v>213</v>
      </c>
      <c r="C265" s="150">
        <v>231.8125</v>
      </c>
      <c r="D265" s="150"/>
      <c r="E265" s="150"/>
      <c r="F265" s="150">
        <v>385.75</v>
      </c>
      <c r="G265" s="150"/>
    </row>
    <row r="266" spans="1:7">
      <c r="A266" s="148">
        <v>42587</v>
      </c>
      <c r="B266" s="149" t="s">
        <v>213</v>
      </c>
      <c r="C266" s="150">
        <v>221</v>
      </c>
      <c r="D266" s="150"/>
      <c r="E266" s="150"/>
      <c r="F266" s="150">
        <v>360</v>
      </c>
      <c r="G266" s="150"/>
    </row>
    <row r="267" spans="1:7">
      <c r="A267" s="148">
        <v>42594</v>
      </c>
      <c r="B267" s="149" t="s">
        <v>213</v>
      </c>
      <c r="C267" s="150">
        <v>228.375</v>
      </c>
      <c r="D267" s="150"/>
      <c r="E267" s="150"/>
      <c r="F267" s="150">
        <v>373.5</v>
      </c>
      <c r="G267" s="150"/>
    </row>
    <row r="268" spans="1:7">
      <c r="A268" s="148">
        <v>42601</v>
      </c>
      <c r="B268" s="149" t="s">
        <v>213</v>
      </c>
      <c r="C268" s="150">
        <v>255.75</v>
      </c>
      <c r="D268" s="150"/>
      <c r="E268" s="150"/>
      <c r="F268" s="150">
        <v>410</v>
      </c>
      <c r="G268" s="150"/>
    </row>
    <row r="269" spans="1:7">
      <c r="A269" s="148">
        <v>42608</v>
      </c>
      <c r="B269" s="149" t="s">
        <v>213</v>
      </c>
      <c r="C269" s="150">
        <v>260.8125</v>
      </c>
      <c r="D269" s="150"/>
      <c r="E269" s="150"/>
      <c r="F269" s="150">
        <v>417.5</v>
      </c>
      <c r="G269" s="150"/>
    </row>
    <row r="270" spans="1:7">
      <c r="A270" s="148">
        <v>42615</v>
      </c>
      <c r="B270" s="149" t="s">
        <v>213</v>
      </c>
      <c r="C270" s="150">
        <v>261.91666666666669</v>
      </c>
      <c r="D270" s="150"/>
      <c r="E270" s="150"/>
      <c r="F270" s="150">
        <v>410.33333333333331</v>
      </c>
      <c r="G270" s="150"/>
    </row>
    <row r="271" spans="1:7">
      <c r="A271" s="148">
        <v>42622</v>
      </c>
      <c r="B271" s="149" t="s">
        <v>213</v>
      </c>
      <c r="C271" s="150">
        <v>264.125</v>
      </c>
      <c r="D271" s="150"/>
      <c r="E271" s="150"/>
      <c r="F271" s="150">
        <v>407.75</v>
      </c>
      <c r="G271" s="150"/>
    </row>
    <row r="272" spans="1:7">
      <c r="A272" s="148">
        <v>42629</v>
      </c>
      <c r="B272" s="149" t="s">
        <v>213</v>
      </c>
      <c r="C272" s="150">
        <v>258.5</v>
      </c>
      <c r="D272" s="150"/>
      <c r="E272" s="150"/>
      <c r="F272" s="150">
        <v>403.4</v>
      </c>
      <c r="G272" s="150"/>
    </row>
    <row r="273" spans="1:7">
      <c r="A273" s="148">
        <v>42636</v>
      </c>
      <c r="B273" s="149" t="s">
        <v>213</v>
      </c>
      <c r="C273" s="150">
        <v>259.375</v>
      </c>
      <c r="D273" s="150"/>
      <c r="E273" s="150"/>
      <c r="F273" s="150">
        <v>400.5</v>
      </c>
      <c r="G273" s="150"/>
    </row>
    <row r="274" spans="1:7">
      <c r="A274" s="148">
        <v>42643</v>
      </c>
      <c r="B274" s="149" t="s">
        <v>213</v>
      </c>
      <c r="C274" s="150">
        <v>259.83333333333331</v>
      </c>
      <c r="D274" s="150"/>
      <c r="E274" s="150"/>
      <c r="F274" s="150">
        <v>404.66666666666669</v>
      </c>
      <c r="G274" s="150"/>
    </row>
    <row r="275" spans="1:7">
      <c r="A275" s="148">
        <v>42650</v>
      </c>
      <c r="B275" s="149" t="s">
        <v>213</v>
      </c>
      <c r="C275" s="150">
        <v>277.85000000000002</v>
      </c>
      <c r="D275" s="150"/>
      <c r="E275" s="150"/>
      <c r="F275" s="150">
        <v>437.8</v>
      </c>
      <c r="G275" s="150"/>
    </row>
    <row r="276" spans="1:7">
      <c r="A276" s="148">
        <v>42657</v>
      </c>
      <c r="B276" s="149" t="s">
        <v>213</v>
      </c>
      <c r="C276" s="150">
        <v>287</v>
      </c>
      <c r="D276" s="150"/>
      <c r="E276" s="150"/>
      <c r="F276" s="150">
        <v>452</v>
      </c>
      <c r="G276" s="150"/>
    </row>
    <row r="277" spans="1:7">
      <c r="A277" s="148">
        <v>42664</v>
      </c>
      <c r="B277" s="149" t="s">
        <v>213</v>
      </c>
      <c r="C277" s="150">
        <v>289.5</v>
      </c>
      <c r="D277" s="150"/>
      <c r="E277" s="150"/>
      <c r="F277" s="150">
        <v>454.25</v>
      </c>
      <c r="G277" s="150"/>
    </row>
    <row r="278" spans="1:7">
      <c r="A278" s="148">
        <v>42671</v>
      </c>
      <c r="B278" s="149" t="s">
        <v>213</v>
      </c>
      <c r="C278" s="150">
        <v>292.1875</v>
      </c>
      <c r="D278" s="150"/>
      <c r="E278" s="150"/>
      <c r="F278" s="150">
        <v>454.25</v>
      </c>
      <c r="G278" s="150"/>
    </row>
    <row r="279" spans="1:7">
      <c r="A279" s="148">
        <v>42678</v>
      </c>
      <c r="B279" s="149" t="s">
        <v>213</v>
      </c>
      <c r="C279" s="150">
        <v>277.125</v>
      </c>
      <c r="D279" s="150"/>
      <c r="E279" s="150"/>
      <c r="F279" s="150">
        <v>440.5</v>
      </c>
      <c r="G279" s="150"/>
    </row>
    <row r="280" spans="1:7">
      <c r="A280" s="148">
        <v>42685</v>
      </c>
      <c r="B280" s="149" t="s">
        <v>213</v>
      </c>
      <c r="C280" s="150">
        <v>274.33333333333331</v>
      </c>
      <c r="D280" s="150"/>
      <c r="E280" s="150"/>
      <c r="F280" s="150">
        <v>419.66666666666669</v>
      </c>
      <c r="G280" s="150"/>
    </row>
    <row r="281" spans="1:7">
      <c r="A281" s="148">
        <v>42692</v>
      </c>
      <c r="B281" s="149" t="s">
        <v>213</v>
      </c>
      <c r="C281" s="150">
        <v>271.1875</v>
      </c>
      <c r="D281" s="150"/>
      <c r="E281" s="150"/>
      <c r="F281" s="150">
        <v>411.5</v>
      </c>
      <c r="G281" s="150"/>
    </row>
    <row r="282" spans="1:7">
      <c r="A282" s="148">
        <v>42699</v>
      </c>
      <c r="B282" s="149" t="s">
        <v>213</v>
      </c>
      <c r="C282" s="150">
        <v>293.3125</v>
      </c>
      <c r="D282" s="150"/>
      <c r="E282" s="150"/>
      <c r="F282" s="150">
        <v>431.5</v>
      </c>
      <c r="G282" s="150"/>
    </row>
    <row r="283" spans="1:7">
      <c r="A283" s="148">
        <v>42706</v>
      </c>
      <c r="B283" s="149" t="s">
        <v>213</v>
      </c>
      <c r="C283" s="150">
        <v>296.75</v>
      </c>
      <c r="D283" s="150"/>
      <c r="E283" s="150"/>
      <c r="F283" s="150">
        <v>420.5</v>
      </c>
      <c r="G283" s="150"/>
    </row>
    <row r="284" spans="1:7">
      <c r="A284" s="148">
        <v>42713</v>
      </c>
      <c r="B284" s="149" t="s">
        <v>213</v>
      </c>
      <c r="C284" s="150">
        <v>325.64999999999998</v>
      </c>
      <c r="D284" s="150"/>
      <c r="E284" s="150"/>
      <c r="F284" s="150">
        <v>458</v>
      </c>
      <c r="G284" s="150"/>
    </row>
    <row r="285" spans="1:7">
      <c r="A285" s="148">
        <v>42720</v>
      </c>
      <c r="B285" s="149" t="s">
        <v>213</v>
      </c>
      <c r="C285" s="150">
        <v>334.875</v>
      </c>
      <c r="D285" s="150"/>
      <c r="E285" s="150"/>
      <c r="F285" s="150">
        <v>468</v>
      </c>
      <c r="G285" s="150"/>
    </row>
    <row r="286" spans="1:7">
      <c r="A286" s="148">
        <v>42727</v>
      </c>
      <c r="B286" s="149" t="s">
        <v>213</v>
      </c>
      <c r="C286" s="150">
        <v>357.21666666666704</v>
      </c>
      <c r="D286" s="150"/>
      <c r="E286" s="150"/>
      <c r="F286" s="150">
        <v>496.33333333333297</v>
      </c>
      <c r="G286" s="150"/>
    </row>
    <row r="287" spans="1:7">
      <c r="A287" s="148">
        <v>42734</v>
      </c>
      <c r="B287" s="149" t="s">
        <v>213</v>
      </c>
      <c r="C287" s="150">
        <v>348.1875</v>
      </c>
      <c r="D287" s="150"/>
      <c r="E287" s="150"/>
      <c r="F287" s="150">
        <v>481</v>
      </c>
      <c r="G287" s="150"/>
    </row>
    <row r="288" spans="1:7">
      <c r="A288" s="148">
        <v>42741</v>
      </c>
      <c r="B288" s="149" t="s">
        <v>213</v>
      </c>
      <c r="C288" s="150">
        <v>355.16666666666663</v>
      </c>
      <c r="D288" s="150"/>
      <c r="E288" s="150"/>
      <c r="F288" s="150">
        <v>492.66666666666669</v>
      </c>
      <c r="G288" s="150"/>
    </row>
    <row r="289" spans="1:7">
      <c r="A289" s="148">
        <v>42748</v>
      </c>
      <c r="B289" s="149" t="s">
        <v>213</v>
      </c>
      <c r="C289" s="150">
        <v>347.9375</v>
      </c>
      <c r="D289" s="150"/>
      <c r="E289" s="150"/>
      <c r="F289" s="150">
        <v>482.5</v>
      </c>
      <c r="G289" s="150"/>
    </row>
    <row r="290" spans="1:7">
      <c r="A290" s="148">
        <v>42755</v>
      </c>
      <c r="B290" s="149" t="s">
        <v>213</v>
      </c>
      <c r="C290" s="150">
        <v>346.95</v>
      </c>
      <c r="D290" s="150"/>
      <c r="E290" s="150"/>
      <c r="F290" s="150">
        <v>480.4</v>
      </c>
      <c r="G290" s="150"/>
    </row>
    <row r="291" spans="1:7">
      <c r="A291" s="148">
        <v>42762</v>
      </c>
      <c r="B291" s="149" t="s">
        <v>213</v>
      </c>
      <c r="C291" s="150">
        <v>346.95</v>
      </c>
      <c r="D291" s="150"/>
      <c r="E291" s="150"/>
      <c r="F291" s="150">
        <v>480.4</v>
      </c>
      <c r="G291" s="150"/>
    </row>
    <row r="292" spans="1:7">
      <c r="A292" s="148">
        <v>42769</v>
      </c>
      <c r="B292" s="149" t="s">
        <v>213</v>
      </c>
      <c r="C292" s="150">
        <v>333.70000000000005</v>
      </c>
      <c r="D292" s="150"/>
      <c r="E292" s="150"/>
      <c r="F292" s="150">
        <v>485.4</v>
      </c>
      <c r="G292" s="150"/>
    </row>
    <row r="293" spans="1:7">
      <c r="A293" s="148">
        <v>42776</v>
      </c>
      <c r="B293" s="149" t="s">
        <v>213</v>
      </c>
      <c r="C293" s="150">
        <v>339.4375</v>
      </c>
      <c r="D293" s="150"/>
      <c r="E293" s="150"/>
      <c r="F293" s="150">
        <v>493</v>
      </c>
      <c r="G293" s="150"/>
    </row>
    <row r="294" spans="1:7">
      <c r="A294" s="148">
        <v>42783</v>
      </c>
      <c r="B294" s="149" t="s">
        <v>213</v>
      </c>
      <c r="C294" s="150">
        <v>341.15</v>
      </c>
      <c r="D294" s="150"/>
      <c r="E294" s="150"/>
      <c r="F294" s="150">
        <v>493.4</v>
      </c>
      <c r="G294" s="150"/>
    </row>
    <row r="295" spans="1:7">
      <c r="A295" s="148">
        <v>42790</v>
      </c>
      <c r="B295" s="149" t="s">
        <v>213</v>
      </c>
      <c r="C295" s="150">
        <v>342.4375</v>
      </c>
      <c r="D295" s="150"/>
      <c r="E295" s="150"/>
      <c r="F295" s="150">
        <v>496.25</v>
      </c>
      <c r="G295" s="150"/>
    </row>
    <row r="296" spans="1:7">
      <c r="A296" s="148">
        <v>42797</v>
      </c>
      <c r="B296" s="149" t="s">
        <v>213</v>
      </c>
      <c r="C296" s="150">
        <v>347.1875</v>
      </c>
      <c r="D296" s="150"/>
      <c r="E296" s="150"/>
      <c r="F296" s="150">
        <v>495.5</v>
      </c>
      <c r="G296" s="150"/>
    </row>
    <row r="297" spans="1:7">
      <c r="A297" s="148">
        <v>42804</v>
      </c>
      <c r="B297" s="149" t="s">
        <v>213</v>
      </c>
      <c r="C297" s="150">
        <v>333.625</v>
      </c>
      <c r="D297" s="150"/>
      <c r="E297" s="150"/>
      <c r="F297" s="150">
        <v>486.25</v>
      </c>
      <c r="G297" s="150"/>
    </row>
    <row r="298" spans="1:7">
      <c r="A298" s="148">
        <v>42811</v>
      </c>
      <c r="B298" s="149" t="s">
        <v>213</v>
      </c>
      <c r="C298" s="150">
        <v>311.125</v>
      </c>
      <c r="D298" s="150"/>
      <c r="E298" s="150"/>
      <c r="F298" s="150">
        <v>460.125</v>
      </c>
      <c r="G298" s="150"/>
    </row>
    <row r="299" spans="1:7">
      <c r="A299" s="148">
        <v>42818</v>
      </c>
      <c r="B299" s="149" t="s">
        <v>213</v>
      </c>
      <c r="C299" s="150">
        <v>307.6875</v>
      </c>
      <c r="D299" s="150"/>
      <c r="E299" s="150"/>
      <c r="F299" s="150">
        <v>454.875</v>
      </c>
      <c r="G299" s="150"/>
    </row>
    <row r="300" spans="1:7">
      <c r="A300" s="148">
        <v>42825</v>
      </c>
      <c r="B300" s="149" t="s">
        <v>213</v>
      </c>
      <c r="C300" s="150">
        <v>308.6875</v>
      </c>
      <c r="D300" s="150"/>
      <c r="E300" s="150"/>
      <c r="F300" s="150">
        <v>452.375</v>
      </c>
      <c r="G300" s="150"/>
    </row>
    <row r="301" spans="1:7">
      <c r="A301" s="148">
        <v>42832</v>
      </c>
      <c r="B301" s="149" t="s">
        <v>213</v>
      </c>
      <c r="C301" s="150">
        <v>324.875</v>
      </c>
      <c r="D301" s="150"/>
      <c r="E301" s="150"/>
      <c r="F301" s="150">
        <v>467.375</v>
      </c>
      <c r="G301" s="150"/>
    </row>
    <row r="302" spans="1:7">
      <c r="A302" s="148">
        <v>42839</v>
      </c>
      <c r="B302" s="149" t="s">
        <v>213</v>
      </c>
      <c r="C302" s="150">
        <v>339.5</v>
      </c>
      <c r="D302" s="150"/>
      <c r="E302" s="150"/>
      <c r="F302" s="150">
        <v>487.375</v>
      </c>
      <c r="G302" s="150"/>
    </row>
    <row r="303" spans="1:7">
      <c r="A303" s="148">
        <v>42846</v>
      </c>
      <c r="B303" s="149" t="s">
        <v>213</v>
      </c>
      <c r="C303" s="150">
        <v>333.5</v>
      </c>
      <c r="D303" s="150"/>
      <c r="E303" s="150"/>
      <c r="F303" s="150">
        <v>485.75</v>
      </c>
      <c r="G303" s="150"/>
    </row>
    <row r="304" spans="1:7">
      <c r="A304" s="148">
        <v>42853</v>
      </c>
      <c r="B304" s="149" t="s">
        <v>213</v>
      </c>
      <c r="C304" s="150">
        <v>319.5625</v>
      </c>
      <c r="D304" s="150"/>
      <c r="E304" s="150"/>
      <c r="F304" s="150">
        <v>471.375</v>
      </c>
      <c r="G304" s="150"/>
    </row>
    <row r="305" spans="1:7">
      <c r="A305" s="148">
        <v>42860</v>
      </c>
      <c r="B305" s="149" t="s">
        <v>213</v>
      </c>
      <c r="C305" s="150">
        <v>320.83333333333337</v>
      </c>
      <c r="D305" s="150"/>
      <c r="E305" s="150"/>
      <c r="F305" s="150">
        <v>453.66666666666669</v>
      </c>
      <c r="G305" s="150"/>
    </row>
    <row r="306" spans="1:7">
      <c r="A306" s="148">
        <v>42867</v>
      </c>
      <c r="B306" s="149" t="s">
        <v>213</v>
      </c>
      <c r="C306" s="150">
        <v>315.83333333333337</v>
      </c>
      <c r="D306" s="150"/>
      <c r="E306" s="150"/>
      <c r="F306" s="150">
        <v>437.33333333333331</v>
      </c>
      <c r="G306" s="150"/>
    </row>
    <row r="307" spans="1:7">
      <c r="A307" s="148">
        <v>42874</v>
      </c>
      <c r="B307" s="149" t="s">
        <v>213</v>
      </c>
      <c r="C307" s="150">
        <v>290.75</v>
      </c>
      <c r="D307" s="150"/>
      <c r="E307" s="150"/>
      <c r="F307" s="150">
        <v>448</v>
      </c>
      <c r="G307" s="150"/>
    </row>
    <row r="308" spans="1:7">
      <c r="A308" s="148">
        <v>42881</v>
      </c>
      <c r="B308" s="149" t="s">
        <v>213</v>
      </c>
      <c r="C308" s="150">
        <v>336.5625</v>
      </c>
      <c r="D308" s="150"/>
      <c r="E308" s="150"/>
      <c r="F308" s="150">
        <v>465.75</v>
      </c>
      <c r="G308" s="150"/>
    </row>
    <row r="309" spans="1:7">
      <c r="A309" s="148">
        <v>42888</v>
      </c>
      <c r="B309" s="149" t="s">
        <v>213</v>
      </c>
      <c r="C309" s="150">
        <v>322.5625</v>
      </c>
      <c r="D309" s="150"/>
      <c r="E309" s="150"/>
      <c r="F309" s="150">
        <v>448.25</v>
      </c>
      <c r="G309" s="150"/>
    </row>
    <row r="310" spans="1:7">
      <c r="A310" s="148">
        <v>42895</v>
      </c>
      <c r="B310" s="149" t="s">
        <v>213</v>
      </c>
      <c r="C310" s="150">
        <v>319.9375</v>
      </c>
      <c r="D310" s="150"/>
      <c r="E310" s="150"/>
      <c r="F310" s="150">
        <v>430.125</v>
      </c>
      <c r="G310" s="150"/>
    </row>
    <row r="311" spans="1:7">
      <c r="A311" s="148">
        <v>42902</v>
      </c>
      <c r="B311" s="149" t="s">
        <v>213</v>
      </c>
      <c r="C311" s="150">
        <v>317.25</v>
      </c>
      <c r="D311" s="150"/>
      <c r="E311" s="150"/>
      <c r="F311" s="150">
        <v>424.5</v>
      </c>
      <c r="G311" s="150"/>
    </row>
    <row r="312" spans="1:7">
      <c r="A312" s="148">
        <v>42909</v>
      </c>
      <c r="B312" s="149" t="s">
        <v>213</v>
      </c>
      <c r="C312" s="150">
        <v>311.0625</v>
      </c>
      <c r="D312" s="150"/>
      <c r="E312" s="150"/>
      <c r="F312" s="150">
        <v>416.375</v>
      </c>
      <c r="G312" s="150"/>
    </row>
    <row r="313" spans="1:7">
      <c r="A313" s="148">
        <v>42916</v>
      </c>
      <c r="B313" s="149" t="s">
        <v>213</v>
      </c>
      <c r="C313" s="150">
        <v>315.3125</v>
      </c>
      <c r="D313" s="150"/>
      <c r="E313" s="150"/>
      <c r="F313" s="150">
        <v>416.625</v>
      </c>
      <c r="G313" s="150"/>
    </row>
    <row r="314" spans="1:7">
      <c r="A314" s="148">
        <v>42923</v>
      </c>
      <c r="B314" s="149" t="s">
        <v>213</v>
      </c>
      <c r="C314" s="150">
        <v>325</v>
      </c>
      <c r="D314" s="150"/>
      <c r="E314" s="150"/>
      <c r="F314" s="150">
        <v>444.875</v>
      </c>
      <c r="G314" s="150"/>
    </row>
    <row r="315" spans="1:7">
      <c r="A315" s="148">
        <v>42930</v>
      </c>
      <c r="B315" s="149" t="s">
        <v>213</v>
      </c>
      <c r="C315" s="150">
        <v>312.0625</v>
      </c>
      <c r="D315" s="150"/>
      <c r="E315" s="150"/>
      <c r="F315" s="150">
        <v>432.5</v>
      </c>
      <c r="G315" s="150"/>
    </row>
    <row r="316" spans="1:7">
      <c r="A316" s="148">
        <v>42937</v>
      </c>
      <c r="B316" s="149" t="s">
        <v>213</v>
      </c>
      <c r="C316" s="150">
        <v>319.625</v>
      </c>
      <c r="D316" s="150"/>
      <c r="E316" s="150"/>
      <c r="F316" s="150">
        <v>446.625</v>
      </c>
      <c r="G316" s="150"/>
    </row>
    <row r="317" spans="1:7">
      <c r="A317" s="148">
        <v>42944</v>
      </c>
      <c r="B317" s="149" t="s">
        <v>213</v>
      </c>
      <c r="C317" s="150">
        <v>320.25</v>
      </c>
      <c r="D317" s="150"/>
      <c r="E317" s="150"/>
      <c r="F317" s="150">
        <v>453</v>
      </c>
      <c r="G317" s="150"/>
    </row>
    <row r="318" spans="1:7">
      <c r="A318" s="148">
        <v>42951</v>
      </c>
      <c r="B318" s="149" t="s">
        <v>213</v>
      </c>
      <c r="C318" s="150">
        <v>328.75</v>
      </c>
      <c r="D318" s="150"/>
      <c r="E318" s="150"/>
      <c r="F318" s="150">
        <v>474.5</v>
      </c>
      <c r="G318" s="150"/>
    </row>
    <row r="319" spans="1:7">
      <c r="A319" s="148">
        <v>42958</v>
      </c>
      <c r="B319" s="149" t="s">
        <v>213</v>
      </c>
      <c r="C319" s="150">
        <v>331.875</v>
      </c>
      <c r="D319" s="150"/>
      <c r="E319" s="150"/>
      <c r="F319" s="150">
        <v>469</v>
      </c>
      <c r="G319" s="150"/>
    </row>
    <row r="320" spans="1:7">
      <c r="A320" s="148">
        <v>42965</v>
      </c>
      <c r="B320" s="149" t="s">
        <v>213</v>
      </c>
      <c r="C320" s="150">
        <v>325.75</v>
      </c>
      <c r="D320" s="150"/>
      <c r="E320" s="150"/>
      <c r="F320" s="150">
        <v>460.75</v>
      </c>
      <c r="G320" s="150"/>
    </row>
    <row r="321" spans="1:7">
      <c r="A321" s="148">
        <v>42972</v>
      </c>
      <c r="B321" s="149" t="s">
        <v>213</v>
      </c>
      <c r="C321" s="150">
        <v>331.5</v>
      </c>
      <c r="D321" s="150"/>
      <c r="E321" s="150"/>
      <c r="F321" s="150">
        <v>465</v>
      </c>
      <c r="G321" s="150"/>
    </row>
    <row r="322" spans="1:7">
      <c r="A322" s="148">
        <v>42979</v>
      </c>
      <c r="B322" s="149" t="s">
        <v>213</v>
      </c>
      <c r="C322" s="150">
        <v>330.5</v>
      </c>
      <c r="D322" s="150"/>
      <c r="E322" s="150"/>
      <c r="F322" s="150">
        <v>471.875</v>
      </c>
      <c r="G322" s="150"/>
    </row>
    <row r="323" spans="1:7">
      <c r="A323" s="148">
        <v>42986</v>
      </c>
      <c r="B323" s="149" t="s">
        <v>213</v>
      </c>
      <c r="C323" s="150">
        <v>343.75</v>
      </c>
      <c r="D323" s="150"/>
      <c r="E323" s="150"/>
      <c r="F323" s="150">
        <v>492</v>
      </c>
      <c r="G323" s="150"/>
    </row>
    <row r="324" spans="1:7">
      <c r="A324" s="148">
        <v>42993</v>
      </c>
      <c r="B324" s="149" t="s">
        <v>213</v>
      </c>
      <c r="C324" s="150">
        <v>348.4375</v>
      </c>
      <c r="D324" s="150"/>
      <c r="E324" s="150"/>
      <c r="F324" s="150">
        <v>497.375</v>
      </c>
      <c r="G324" s="150"/>
    </row>
    <row r="325" spans="1:7">
      <c r="A325" s="148">
        <v>43000</v>
      </c>
      <c r="B325" s="149" t="s">
        <v>213</v>
      </c>
      <c r="C325" s="150">
        <v>354.375</v>
      </c>
      <c r="D325" s="150"/>
      <c r="E325" s="150"/>
      <c r="F325" s="150">
        <v>505.375</v>
      </c>
      <c r="G325" s="150"/>
    </row>
    <row r="326" spans="1:7">
      <c r="A326" s="148">
        <v>43007</v>
      </c>
      <c r="B326" s="149" t="s">
        <v>213</v>
      </c>
      <c r="C326" s="150">
        <v>357.20000000000005</v>
      </c>
      <c r="D326" s="150"/>
      <c r="E326" s="150"/>
      <c r="F326" s="150">
        <v>511.7</v>
      </c>
      <c r="G326" s="150"/>
    </row>
    <row r="327" spans="1:7">
      <c r="A327" s="148">
        <v>43014</v>
      </c>
      <c r="B327" s="149" t="s">
        <v>213</v>
      </c>
      <c r="C327" s="150">
        <v>350.25</v>
      </c>
      <c r="D327" s="150"/>
      <c r="E327" s="150"/>
      <c r="F327" s="150">
        <v>502.1</v>
      </c>
      <c r="G327" s="150"/>
    </row>
    <row r="328" spans="1:7">
      <c r="A328" s="148">
        <v>43021</v>
      </c>
      <c r="B328" s="149" t="s">
        <v>213</v>
      </c>
      <c r="C328" s="150">
        <v>349.6875</v>
      </c>
      <c r="D328" s="150"/>
      <c r="E328" s="150"/>
      <c r="F328" s="150">
        <v>497.75</v>
      </c>
      <c r="G328" s="150"/>
    </row>
    <row r="329" spans="1:7">
      <c r="A329" s="148">
        <v>43028</v>
      </c>
      <c r="B329" s="149" t="s">
        <v>213</v>
      </c>
      <c r="C329" s="150">
        <v>359</v>
      </c>
      <c r="D329" s="150"/>
      <c r="E329" s="150"/>
      <c r="F329" s="150">
        <v>508.5</v>
      </c>
      <c r="G329" s="150"/>
    </row>
    <row r="330" spans="1:7">
      <c r="A330" s="148">
        <v>43035</v>
      </c>
      <c r="B330" s="149" t="s">
        <v>213</v>
      </c>
      <c r="C330" s="150">
        <v>358</v>
      </c>
      <c r="D330" s="150"/>
      <c r="E330" s="150"/>
      <c r="F330" s="150">
        <v>505</v>
      </c>
      <c r="G330" s="150"/>
    </row>
    <row r="331" spans="1:7">
      <c r="A331" s="148">
        <v>43042</v>
      </c>
      <c r="B331" s="149" t="s">
        <v>213</v>
      </c>
      <c r="C331" s="150">
        <v>375.6</v>
      </c>
      <c r="D331" s="150"/>
      <c r="E331" s="150"/>
      <c r="F331" s="150">
        <v>524.79999999999995</v>
      </c>
      <c r="G331" s="150"/>
    </row>
    <row r="332" spans="1:7">
      <c r="A332" s="148">
        <v>43049</v>
      </c>
      <c r="B332" s="149" t="s">
        <v>213</v>
      </c>
      <c r="C332" s="150">
        <v>391.15</v>
      </c>
      <c r="D332" s="150"/>
      <c r="E332" s="150"/>
      <c r="F332" s="150">
        <v>534.5</v>
      </c>
      <c r="G332" s="150"/>
    </row>
    <row r="333" spans="1:7">
      <c r="A333" s="148">
        <v>43056</v>
      </c>
      <c r="B333" s="149" t="s">
        <v>213</v>
      </c>
      <c r="C333" s="150">
        <v>388.6875</v>
      </c>
      <c r="D333" s="150"/>
      <c r="E333" s="150"/>
      <c r="F333" s="150">
        <v>534.25</v>
      </c>
      <c r="G333" s="150"/>
    </row>
    <row r="334" spans="1:7">
      <c r="A334" s="148">
        <v>43063</v>
      </c>
      <c r="B334" s="149" t="s">
        <v>213</v>
      </c>
      <c r="C334" s="150">
        <v>389.8125</v>
      </c>
      <c r="D334" s="150"/>
      <c r="E334" s="150"/>
      <c r="F334" s="150">
        <v>543.25</v>
      </c>
      <c r="G334" s="150"/>
    </row>
    <row r="335" spans="1:7">
      <c r="A335" s="148">
        <v>43070</v>
      </c>
      <c r="B335" s="149" t="s">
        <v>213</v>
      </c>
      <c r="C335" s="150">
        <v>387.375</v>
      </c>
      <c r="D335" s="150"/>
      <c r="E335" s="150"/>
      <c r="F335" s="150">
        <v>547.5</v>
      </c>
      <c r="G335" s="150"/>
    </row>
    <row r="336" spans="1:7">
      <c r="A336" s="148">
        <v>43077</v>
      </c>
      <c r="B336" s="149" t="s">
        <v>213</v>
      </c>
      <c r="C336" s="150">
        <v>382.8125</v>
      </c>
      <c r="D336" s="150"/>
      <c r="E336" s="150"/>
      <c r="F336" s="150">
        <v>543.75</v>
      </c>
      <c r="G336" s="150"/>
    </row>
    <row r="337" spans="1:7">
      <c r="A337" s="148">
        <v>43084</v>
      </c>
      <c r="B337" s="149" t="s">
        <v>213</v>
      </c>
      <c r="C337" s="150">
        <v>384.5</v>
      </c>
      <c r="D337" s="150"/>
      <c r="E337" s="150"/>
      <c r="F337" s="150">
        <v>555.75</v>
      </c>
      <c r="G337" s="150"/>
    </row>
    <row r="338" spans="1:7">
      <c r="A338" s="148">
        <v>43091</v>
      </c>
      <c r="B338" s="149" t="s">
        <v>213</v>
      </c>
      <c r="C338" s="150">
        <v>389.875</v>
      </c>
      <c r="D338" s="150"/>
      <c r="E338" s="150"/>
      <c r="F338" s="150">
        <v>553.5</v>
      </c>
      <c r="G338" s="150"/>
    </row>
    <row r="339" spans="1:7">
      <c r="A339" s="148">
        <v>43098</v>
      </c>
      <c r="B339" s="149" t="s">
        <v>213</v>
      </c>
      <c r="C339" s="150">
        <v>401.16666666666669</v>
      </c>
      <c r="D339" s="150"/>
      <c r="E339" s="150"/>
      <c r="F339" s="150">
        <v>572.33333333333337</v>
      </c>
      <c r="G339" s="150"/>
    </row>
    <row r="340" spans="1:7">
      <c r="A340" s="148">
        <v>43105</v>
      </c>
      <c r="B340" s="149" t="s">
        <v>213</v>
      </c>
      <c r="C340" s="150">
        <v>403.5</v>
      </c>
      <c r="D340" s="150"/>
      <c r="E340" s="150"/>
      <c r="F340" s="150">
        <v>586.66666666666663</v>
      </c>
      <c r="G340" s="150"/>
    </row>
    <row r="341" spans="1:7">
      <c r="A341" s="148">
        <v>43112</v>
      </c>
      <c r="B341" s="149" t="s">
        <v>213</v>
      </c>
      <c r="C341" s="150">
        <v>402.125</v>
      </c>
      <c r="D341" s="150"/>
      <c r="E341" s="150"/>
      <c r="F341" s="150">
        <v>589.5</v>
      </c>
      <c r="G341" s="150"/>
    </row>
    <row r="342" spans="1:7">
      <c r="A342" s="148">
        <v>43119</v>
      </c>
      <c r="B342" s="149" t="s">
        <v>213</v>
      </c>
      <c r="C342" s="150">
        <v>403.75</v>
      </c>
      <c r="D342" s="150"/>
      <c r="E342" s="150"/>
      <c r="F342" s="150">
        <v>594</v>
      </c>
      <c r="G342" s="150"/>
    </row>
    <row r="343" spans="1:7">
      <c r="A343" s="148">
        <v>43126</v>
      </c>
      <c r="B343" s="149" t="s">
        <v>213</v>
      </c>
      <c r="C343" s="150">
        <v>407</v>
      </c>
      <c r="D343" s="150"/>
      <c r="E343" s="150"/>
      <c r="F343" s="150">
        <v>600.75</v>
      </c>
      <c r="G343" s="150"/>
    </row>
    <row r="344" spans="1:7">
      <c r="A344" s="148">
        <v>43133</v>
      </c>
      <c r="B344" s="149" t="s">
        <v>213</v>
      </c>
      <c r="C344" s="150">
        <v>409.16666666666663</v>
      </c>
      <c r="D344" s="150"/>
      <c r="E344" s="150"/>
      <c r="F344" s="150">
        <v>603.33333333333337</v>
      </c>
      <c r="G344" s="150"/>
    </row>
    <row r="345" spans="1:7">
      <c r="A345" s="148">
        <v>43140</v>
      </c>
      <c r="B345" s="149" t="s">
        <v>213</v>
      </c>
      <c r="C345" s="150">
        <v>390.75</v>
      </c>
      <c r="D345" s="150"/>
      <c r="E345" s="150"/>
      <c r="F345" s="150">
        <v>585.25</v>
      </c>
      <c r="G345" s="150"/>
    </row>
    <row r="346" spans="1:7">
      <c r="A346" s="148">
        <v>43147</v>
      </c>
      <c r="B346" s="149" t="s">
        <v>213</v>
      </c>
      <c r="C346" s="150">
        <v>390.75</v>
      </c>
      <c r="D346" s="150"/>
      <c r="E346" s="150"/>
      <c r="F346" s="150">
        <v>585.25</v>
      </c>
      <c r="G346" s="150"/>
    </row>
    <row r="347" spans="1:7">
      <c r="A347" s="148">
        <v>43154</v>
      </c>
      <c r="B347" s="149" t="s">
        <v>213</v>
      </c>
      <c r="C347" s="150">
        <v>390.75</v>
      </c>
      <c r="D347" s="150"/>
      <c r="E347" s="150"/>
      <c r="F347" s="150">
        <v>585.25</v>
      </c>
      <c r="G347" s="150"/>
    </row>
    <row r="348" spans="1:7">
      <c r="A348" s="148">
        <v>43161</v>
      </c>
      <c r="B348" s="149" t="s">
        <v>213</v>
      </c>
      <c r="C348" s="150">
        <v>378.75</v>
      </c>
      <c r="D348" s="150"/>
      <c r="E348" s="150"/>
      <c r="F348" s="150">
        <v>569.5</v>
      </c>
      <c r="G348" s="150"/>
    </row>
    <row r="349" spans="1:7">
      <c r="A349" s="148">
        <v>43168</v>
      </c>
      <c r="B349" s="149" t="s">
        <v>213</v>
      </c>
      <c r="C349" s="150">
        <v>375.75</v>
      </c>
      <c r="D349" s="150"/>
      <c r="E349" s="150"/>
      <c r="F349" s="150">
        <v>575.5</v>
      </c>
      <c r="G349" s="150"/>
    </row>
    <row r="350" spans="1:7">
      <c r="A350" s="148">
        <v>43175</v>
      </c>
      <c r="B350" s="149" t="s">
        <v>213</v>
      </c>
      <c r="C350" s="150">
        <v>381.75</v>
      </c>
      <c r="D350" s="150"/>
      <c r="E350" s="150"/>
      <c r="F350" s="150">
        <v>580.5</v>
      </c>
      <c r="G350" s="150"/>
    </row>
    <row r="351" spans="1:7">
      <c r="A351" s="148">
        <v>43182</v>
      </c>
      <c r="B351" s="149" t="s">
        <v>213</v>
      </c>
      <c r="C351" s="150">
        <v>393</v>
      </c>
      <c r="D351" s="150"/>
      <c r="E351" s="150"/>
      <c r="F351" s="150">
        <v>595.5</v>
      </c>
      <c r="G351" s="150"/>
    </row>
    <row r="352" spans="1:7">
      <c r="A352" s="148">
        <v>43189</v>
      </c>
      <c r="B352" s="149" t="s">
        <v>213</v>
      </c>
      <c r="C352" s="150">
        <v>392.5</v>
      </c>
      <c r="D352" s="150"/>
      <c r="E352" s="150"/>
      <c r="F352" s="150">
        <v>600</v>
      </c>
      <c r="G352" s="150"/>
    </row>
    <row r="353" spans="1:7">
      <c r="A353" s="148">
        <v>43196</v>
      </c>
      <c r="B353" s="149" t="s">
        <v>213</v>
      </c>
      <c r="C353" s="150">
        <v>397.5</v>
      </c>
      <c r="D353" s="150"/>
      <c r="E353" s="150"/>
      <c r="F353" s="150">
        <v>598</v>
      </c>
      <c r="G353" s="150"/>
    </row>
    <row r="354" spans="1:7">
      <c r="A354" s="148">
        <v>43203</v>
      </c>
      <c r="B354" s="149" t="s">
        <v>213</v>
      </c>
      <c r="C354" s="150">
        <v>410</v>
      </c>
      <c r="D354" s="150"/>
      <c r="E354" s="150"/>
      <c r="F354" s="150">
        <v>620</v>
      </c>
      <c r="G354" s="150"/>
    </row>
    <row r="355" spans="1:7">
      <c r="A355" s="148">
        <v>43210</v>
      </c>
      <c r="B355" s="149" t="s">
        <v>213</v>
      </c>
      <c r="C355" s="150">
        <v>422</v>
      </c>
      <c r="D355" s="150"/>
      <c r="E355" s="150"/>
      <c r="F355" s="150">
        <v>625</v>
      </c>
      <c r="G355" s="150"/>
    </row>
    <row r="356" spans="1:7">
      <c r="A356" s="148">
        <v>43217</v>
      </c>
      <c r="B356" s="149" t="s">
        <v>213</v>
      </c>
      <c r="C356" s="150">
        <v>432.5</v>
      </c>
      <c r="D356" s="150"/>
      <c r="E356" s="150"/>
      <c r="F356" s="150">
        <v>640</v>
      </c>
      <c r="G356" s="150"/>
    </row>
    <row r="357" spans="1:7">
      <c r="A357" s="148">
        <v>43224</v>
      </c>
      <c r="B357" s="149" t="s">
        <v>213</v>
      </c>
      <c r="C357" s="150">
        <v>432.5</v>
      </c>
      <c r="D357" s="150"/>
      <c r="E357" s="150"/>
      <c r="F357" s="150">
        <v>640</v>
      </c>
      <c r="G357" s="150"/>
    </row>
    <row r="358" spans="1:7">
      <c r="A358" s="148">
        <v>43231</v>
      </c>
      <c r="B358" s="149" t="s">
        <v>213</v>
      </c>
      <c r="C358" s="150">
        <v>443.5</v>
      </c>
      <c r="D358" s="150"/>
      <c r="E358" s="150"/>
      <c r="F358" s="150">
        <v>655</v>
      </c>
      <c r="G358" s="150"/>
    </row>
    <row r="359" spans="1:7">
      <c r="A359" s="148">
        <v>43238</v>
      </c>
      <c r="B359" s="149" t="s">
        <v>213</v>
      </c>
      <c r="C359" s="150">
        <v>475.5</v>
      </c>
      <c r="D359" s="150"/>
      <c r="E359" s="150"/>
      <c r="F359" s="150">
        <v>690</v>
      </c>
      <c r="G359" s="150"/>
    </row>
    <row r="360" spans="1:7">
      <c r="A360" s="148">
        <v>43245</v>
      </c>
      <c r="B360" s="149" t="s">
        <v>213</v>
      </c>
      <c r="C360" s="150">
        <v>476.5</v>
      </c>
      <c r="D360" s="150"/>
      <c r="E360" s="150"/>
      <c r="F360" s="150">
        <v>688</v>
      </c>
      <c r="G360" s="150"/>
    </row>
    <row r="361" spans="1:7">
      <c r="A361" s="148">
        <v>43252</v>
      </c>
      <c r="B361" s="149" t="s">
        <v>213</v>
      </c>
      <c r="C361" s="150">
        <v>469.5</v>
      </c>
      <c r="D361" s="150"/>
      <c r="E361" s="150"/>
      <c r="F361" s="150">
        <v>675</v>
      </c>
      <c r="G361" s="150"/>
    </row>
    <row r="362" spans="1:7">
      <c r="A362" s="148">
        <v>43259</v>
      </c>
      <c r="B362" s="149" t="s">
        <v>213</v>
      </c>
      <c r="C362" s="150">
        <v>463.5</v>
      </c>
      <c r="D362" s="150"/>
      <c r="E362" s="150"/>
      <c r="F362" s="150">
        <v>650</v>
      </c>
      <c r="G362" s="150"/>
    </row>
    <row r="363" spans="1:7">
      <c r="A363" s="148">
        <v>43266</v>
      </c>
      <c r="B363" s="149" t="s">
        <v>213</v>
      </c>
      <c r="C363" s="150">
        <v>464</v>
      </c>
      <c r="D363" s="150"/>
      <c r="E363" s="150"/>
      <c r="F363" s="150">
        <v>650</v>
      </c>
      <c r="G363" s="150"/>
    </row>
    <row r="364" spans="1:7">
      <c r="A364" s="148">
        <v>43273</v>
      </c>
      <c r="B364" s="149" t="s">
        <v>213</v>
      </c>
      <c r="C364" s="150">
        <v>452.5</v>
      </c>
      <c r="D364" s="150"/>
      <c r="E364" s="150"/>
      <c r="F364" s="150">
        <v>625</v>
      </c>
      <c r="G364" s="150"/>
    </row>
    <row r="365" spans="1:7">
      <c r="A365" s="148">
        <v>43280</v>
      </c>
      <c r="B365" s="149" t="s">
        <v>213</v>
      </c>
      <c r="C365" s="150">
        <v>489.5</v>
      </c>
      <c r="D365" s="150"/>
      <c r="E365" s="150"/>
      <c r="F365" s="150">
        <v>645</v>
      </c>
      <c r="G365" s="150"/>
    </row>
    <row r="366" spans="1:7">
      <c r="A366" s="148">
        <v>43287</v>
      </c>
      <c r="B366" s="149" t="s">
        <v>213</v>
      </c>
      <c r="C366" s="150">
        <v>484</v>
      </c>
      <c r="D366" s="150"/>
      <c r="E366" s="150"/>
      <c r="F366" s="150">
        <v>638</v>
      </c>
      <c r="G366" s="150"/>
    </row>
    <row r="367" spans="1:7">
      <c r="A367" s="148">
        <v>43294</v>
      </c>
      <c r="B367" s="149" t="s">
        <v>213</v>
      </c>
      <c r="C367" s="150">
        <v>477.5</v>
      </c>
      <c r="D367" s="150"/>
      <c r="E367" s="150"/>
      <c r="F367" s="150">
        <v>635</v>
      </c>
      <c r="G367" s="150"/>
    </row>
    <row r="368" spans="1:7">
      <c r="A368" s="148">
        <v>43301</v>
      </c>
      <c r="B368" s="149" t="s">
        <v>213</v>
      </c>
      <c r="C368" s="150">
        <v>468</v>
      </c>
      <c r="D368" s="150"/>
      <c r="E368" s="150"/>
      <c r="F368" s="150">
        <v>618</v>
      </c>
      <c r="G368" s="150"/>
    </row>
    <row r="369" spans="1:7">
      <c r="A369" s="148">
        <v>43308</v>
      </c>
      <c r="B369" s="149" t="s">
        <v>213</v>
      </c>
      <c r="C369" s="150">
        <v>486.5</v>
      </c>
      <c r="D369" s="150"/>
      <c r="E369" s="150"/>
      <c r="F369" s="150">
        <v>635</v>
      </c>
      <c r="G369" s="150"/>
    </row>
    <row r="370" spans="1:7">
      <c r="A370" s="148">
        <v>43315</v>
      </c>
      <c r="B370" s="149" t="s">
        <v>213</v>
      </c>
      <c r="C370" s="150">
        <v>482.5</v>
      </c>
      <c r="D370" s="150"/>
      <c r="E370" s="150"/>
      <c r="F370" s="150">
        <v>625</v>
      </c>
      <c r="G370" s="150"/>
    </row>
    <row r="371" spans="1:7">
      <c r="A371" s="148">
        <v>43322</v>
      </c>
      <c r="B371" s="149" t="s">
        <v>213</v>
      </c>
      <c r="C371" s="150">
        <v>488.5</v>
      </c>
      <c r="D371" s="150"/>
      <c r="E371" s="150"/>
      <c r="F371" s="150">
        <v>640</v>
      </c>
      <c r="G371" s="150"/>
    </row>
    <row r="372" spans="1:7">
      <c r="A372" s="148">
        <v>43329</v>
      </c>
      <c r="B372" s="149" t="s">
        <v>213</v>
      </c>
      <c r="C372" s="150">
        <v>464.5</v>
      </c>
      <c r="D372" s="150"/>
      <c r="E372" s="150"/>
      <c r="F372" s="150">
        <v>627</v>
      </c>
      <c r="G372" s="150"/>
    </row>
    <row r="373" spans="1:7">
      <c r="A373" s="148">
        <v>43336</v>
      </c>
      <c r="B373" s="149" t="s">
        <v>213</v>
      </c>
      <c r="C373" s="150">
        <v>475.5</v>
      </c>
      <c r="D373" s="150"/>
      <c r="E373" s="150"/>
      <c r="F373" s="150">
        <v>637</v>
      </c>
      <c r="G373" s="150"/>
    </row>
    <row r="374" spans="1:7">
      <c r="A374" s="148">
        <v>43343</v>
      </c>
      <c r="B374" s="149" t="s">
        <v>213</v>
      </c>
      <c r="C374" s="150">
        <v>484.5</v>
      </c>
      <c r="D374" s="150"/>
      <c r="E374" s="150"/>
      <c r="F374" s="150">
        <v>670</v>
      </c>
      <c r="G374" s="150"/>
    </row>
    <row r="375" spans="1:7">
      <c r="A375" s="148">
        <v>43350</v>
      </c>
      <c r="B375" s="149" t="s">
        <v>213</v>
      </c>
      <c r="C375" s="150">
        <v>472</v>
      </c>
      <c r="D375" s="150"/>
      <c r="E375" s="150"/>
      <c r="F375" s="150">
        <v>605</v>
      </c>
      <c r="G375" s="150"/>
    </row>
    <row r="376" spans="1:7">
      <c r="A376" s="148">
        <v>43357</v>
      </c>
      <c r="B376" s="149" t="s">
        <v>213</v>
      </c>
      <c r="C376" s="150">
        <v>484.5</v>
      </c>
      <c r="D376" s="150"/>
      <c r="E376" s="150"/>
      <c r="F376" s="150">
        <v>595</v>
      </c>
      <c r="G376" s="150"/>
    </row>
    <row r="377" spans="1:7">
      <c r="A377" s="148">
        <v>43364</v>
      </c>
      <c r="B377" s="149" t="s">
        <v>213</v>
      </c>
      <c r="C377" s="150">
        <v>492.5</v>
      </c>
      <c r="D377" s="150"/>
      <c r="E377" s="150"/>
      <c r="F377" s="150">
        <v>650</v>
      </c>
      <c r="G377" s="150"/>
    </row>
    <row r="378" spans="1:7">
      <c r="A378" s="148">
        <v>43371</v>
      </c>
      <c r="B378" s="149" t="s">
        <v>213</v>
      </c>
      <c r="C378" s="150">
        <v>508.5</v>
      </c>
      <c r="D378" s="150"/>
      <c r="E378" s="150"/>
      <c r="F378" s="150">
        <v>715</v>
      </c>
      <c r="G378" s="150"/>
    </row>
    <row r="379" spans="1:7">
      <c r="A379" s="148">
        <v>43378</v>
      </c>
      <c r="B379" s="149" t="s">
        <v>213</v>
      </c>
      <c r="C379" s="150">
        <v>508.5</v>
      </c>
      <c r="D379" s="150"/>
      <c r="E379" s="150"/>
      <c r="F379" s="150">
        <v>715</v>
      </c>
      <c r="G379" s="150"/>
    </row>
    <row r="380" spans="1:7">
      <c r="A380" s="148">
        <v>43385</v>
      </c>
      <c r="B380" s="149" t="s">
        <v>213</v>
      </c>
      <c r="C380" s="150">
        <v>521</v>
      </c>
      <c r="D380" s="150"/>
      <c r="E380" s="150"/>
      <c r="F380" s="150">
        <v>725</v>
      </c>
      <c r="G380" s="150"/>
    </row>
    <row r="381" spans="1:7">
      <c r="A381" s="148">
        <v>43392</v>
      </c>
      <c r="B381" s="149" t="s">
        <v>213</v>
      </c>
      <c r="C381" s="150">
        <v>522.5</v>
      </c>
      <c r="D381" s="150"/>
      <c r="E381" s="150"/>
      <c r="F381" s="150">
        <v>715</v>
      </c>
      <c r="G381" s="150"/>
    </row>
    <row r="382" spans="1:7">
      <c r="A382" s="148">
        <v>43399</v>
      </c>
      <c r="B382" s="149" t="s">
        <v>213</v>
      </c>
      <c r="C382" s="150">
        <v>521.5</v>
      </c>
      <c r="D382" s="150"/>
      <c r="E382" s="150"/>
      <c r="F382" s="150">
        <v>700</v>
      </c>
      <c r="G382" s="150"/>
    </row>
    <row r="383" spans="1:7">
      <c r="A383" s="148">
        <v>43406</v>
      </c>
      <c r="B383" s="149" t="s">
        <v>213</v>
      </c>
      <c r="C383" s="150">
        <v>523</v>
      </c>
      <c r="D383" s="150"/>
      <c r="E383" s="150"/>
      <c r="F383" s="150">
        <v>685</v>
      </c>
      <c r="G383" s="150"/>
    </row>
    <row r="384" spans="1:7">
      <c r="A384" s="148">
        <v>43413</v>
      </c>
      <c r="B384" s="149" t="s">
        <v>213</v>
      </c>
      <c r="C384" s="150">
        <v>531</v>
      </c>
      <c r="D384" s="150"/>
      <c r="E384" s="150"/>
      <c r="F384" s="150">
        <v>665</v>
      </c>
      <c r="G384" s="150"/>
    </row>
    <row r="385" spans="1:7">
      <c r="A385" s="148">
        <v>43420</v>
      </c>
      <c r="B385" s="149" t="s">
        <v>213</v>
      </c>
      <c r="C385" s="150">
        <v>478.5</v>
      </c>
      <c r="D385" s="150"/>
      <c r="E385" s="150"/>
      <c r="F385" s="150">
        <v>625</v>
      </c>
      <c r="G385" s="150"/>
    </row>
    <row r="386" spans="1:7">
      <c r="A386" s="148">
        <v>43427</v>
      </c>
      <c r="B386" s="149" t="s">
        <v>213</v>
      </c>
      <c r="C386" s="150">
        <v>465.5</v>
      </c>
      <c r="D386" s="150"/>
      <c r="E386" s="150"/>
      <c r="F386" s="150">
        <v>583</v>
      </c>
      <c r="G386" s="150"/>
    </row>
    <row r="387" spans="1:7">
      <c r="A387" s="148">
        <v>43434</v>
      </c>
      <c r="B387" s="149" t="s">
        <v>213</v>
      </c>
      <c r="C387" s="150">
        <v>415</v>
      </c>
      <c r="D387" s="150"/>
      <c r="E387" s="150"/>
      <c r="F387" s="150">
        <v>530</v>
      </c>
      <c r="G387" s="150"/>
    </row>
    <row r="388" spans="1:7">
      <c r="A388" s="148">
        <v>43441</v>
      </c>
      <c r="B388" s="149" t="s">
        <v>213</v>
      </c>
      <c r="C388" s="150">
        <v>423</v>
      </c>
      <c r="D388" s="150"/>
      <c r="E388" s="150"/>
      <c r="F388" s="150">
        <v>554.5</v>
      </c>
      <c r="G388" s="150"/>
    </row>
    <row r="389" spans="1:7">
      <c r="A389" s="148">
        <v>43448</v>
      </c>
      <c r="B389" s="149" t="s">
        <v>213</v>
      </c>
      <c r="C389" s="150">
        <v>406.5</v>
      </c>
      <c r="D389" s="150"/>
      <c r="E389" s="150"/>
      <c r="F389" s="150">
        <v>535</v>
      </c>
      <c r="G389" s="150"/>
    </row>
    <row r="390" spans="1:7">
      <c r="A390" s="148">
        <v>43455</v>
      </c>
      <c r="B390" s="149" t="s">
        <v>213</v>
      </c>
      <c r="C390" s="150">
        <v>367.5</v>
      </c>
      <c r="D390" s="150"/>
      <c r="E390" s="150"/>
      <c r="F390" s="150">
        <v>510</v>
      </c>
      <c r="G390" s="150"/>
    </row>
    <row r="391" spans="1:7">
      <c r="A391" s="148">
        <v>43462</v>
      </c>
      <c r="B391" s="149" t="s">
        <v>213</v>
      </c>
      <c r="C391" s="150">
        <v>369</v>
      </c>
      <c r="D391" s="150"/>
      <c r="E391" s="150"/>
      <c r="F391" s="150">
        <v>550</v>
      </c>
      <c r="G391" s="150"/>
    </row>
    <row r="392" spans="1:7">
      <c r="A392" s="148">
        <v>43469</v>
      </c>
      <c r="B392" s="149" t="s">
        <v>213</v>
      </c>
      <c r="C392" s="150">
        <v>385.5</v>
      </c>
      <c r="D392" s="150"/>
      <c r="E392" s="150"/>
      <c r="F392" s="150">
        <v>565</v>
      </c>
      <c r="G392" s="150"/>
    </row>
    <row r="393" spans="1:7">
      <c r="A393" s="148">
        <v>43476</v>
      </c>
      <c r="B393" s="149" t="s">
        <v>213</v>
      </c>
      <c r="C393" s="150">
        <v>412</v>
      </c>
      <c r="D393" s="150"/>
      <c r="E393" s="150"/>
      <c r="F393" s="150">
        <v>550</v>
      </c>
      <c r="G393" s="150"/>
    </row>
    <row r="394" spans="1:7">
      <c r="A394" s="148">
        <v>43483</v>
      </c>
      <c r="B394" s="149" t="s">
        <v>213</v>
      </c>
      <c r="C394" s="150">
        <v>410.5</v>
      </c>
      <c r="D394" s="150"/>
      <c r="E394" s="150"/>
      <c r="F394" s="150">
        <v>545</v>
      </c>
      <c r="G394" s="150"/>
    </row>
    <row r="395" spans="1:7">
      <c r="A395" s="148">
        <v>43490</v>
      </c>
      <c r="B395" s="149" t="s">
        <v>213</v>
      </c>
      <c r="C395" s="150">
        <v>422</v>
      </c>
      <c r="D395" s="150"/>
      <c r="E395" s="150"/>
      <c r="F395" s="150">
        <v>550</v>
      </c>
      <c r="G395" s="150"/>
    </row>
    <row r="396" spans="1:7">
      <c r="A396" s="148">
        <v>43511</v>
      </c>
      <c r="B396" s="149" t="s">
        <v>213</v>
      </c>
      <c r="C396" s="150">
        <v>449.5</v>
      </c>
      <c r="D396" s="150"/>
      <c r="E396" s="150"/>
      <c r="F396" s="150">
        <v>582.5</v>
      </c>
      <c r="G396" s="150"/>
    </row>
    <row r="397" spans="1:7">
      <c r="A397" s="148">
        <v>43518</v>
      </c>
      <c r="B397" s="149" t="s">
        <v>213</v>
      </c>
      <c r="C397" s="150">
        <v>448.5</v>
      </c>
      <c r="D397" s="150"/>
      <c r="E397" s="150"/>
      <c r="F397" s="150">
        <v>612.5</v>
      </c>
      <c r="G397" s="150"/>
    </row>
    <row r="398" spans="1:7">
      <c r="A398" s="148">
        <v>43525</v>
      </c>
      <c r="B398" s="149" t="s">
        <v>213</v>
      </c>
      <c r="C398" s="150">
        <v>446.5</v>
      </c>
      <c r="D398" s="150"/>
      <c r="E398" s="150"/>
      <c r="F398" s="150">
        <v>608.5</v>
      </c>
      <c r="G398" s="150"/>
    </row>
    <row r="399" spans="1:7">
      <c r="A399" s="148">
        <v>43532</v>
      </c>
      <c r="B399" s="149" t="s">
        <v>213</v>
      </c>
      <c r="C399" s="150">
        <v>458</v>
      </c>
      <c r="D399" s="150"/>
      <c r="E399" s="150"/>
      <c r="F399" s="150">
        <v>596</v>
      </c>
      <c r="G399" s="150"/>
    </row>
    <row r="400" spans="1:7">
      <c r="A400" s="148">
        <v>43539</v>
      </c>
      <c r="B400" s="149" t="s">
        <v>213</v>
      </c>
      <c r="C400" s="150">
        <v>456</v>
      </c>
      <c r="D400" s="150"/>
      <c r="E400" s="150"/>
      <c r="F400" s="150">
        <v>596</v>
      </c>
      <c r="G400" s="150"/>
    </row>
    <row r="401" spans="1:7">
      <c r="A401" s="148">
        <v>43546</v>
      </c>
      <c r="B401" s="149" t="s">
        <v>213</v>
      </c>
      <c r="C401" s="150">
        <v>440</v>
      </c>
      <c r="D401" s="150"/>
      <c r="E401" s="150"/>
      <c r="F401" s="150">
        <v>592</v>
      </c>
      <c r="G401" s="150"/>
    </row>
    <row r="402" spans="1:7">
      <c r="A402" s="148">
        <v>43553</v>
      </c>
      <c r="B402" s="149" t="s">
        <v>213</v>
      </c>
      <c r="C402" s="150">
        <v>444.5</v>
      </c>
      <c r="D402" s="150"/>
      <c r="E402" s="150"/>
      <c r="F402" s="150">
        <v>587.5</v>
      </c>
      <c r="G402" s="150"/>
    </row>
    <row r="403" spans="1:7">
      <c r="A403" s="148">
        <v>43560</v>
      </c>
      <c r="B403" s="149" t="s">
        <v>213</v>
      </c>
      <c r="C403" s="150">
        <v>447.5</v>
      </c>
      <c r="D403" s="150"/>
      <c r="E403" s="150"/>
      <c r="F403" s="150">
        <v>591.5</v>
      </c>
      <c r="G403" s="150"/>
    </row>
    <row r="404" spans="1:7">
      <c r="A404" s="148">
        <v>43567</v>
      </c>
      <c r="B404" s="149" t="s">
        <v>213</v>
      </c>
      <c r="C404" s="150">
        <v>447</v>
      </c>
      <c r="D404" s="150"/>
      <c r="E404" s="150"/>
      <c r="F404" s="150">
        <v>610</v>
      </c>
      <c r="G404" s="150"/>
    </row>
    <row r="405" spans="1:7">
      <c r="A405" s="148">
        <v>43574</v>
      </c>
      <c r="B405" s="149" t="s">
        <v>213</v>
      </c>
      <c r="C405" s="150">
        <v>442.5</v>
      </c>
      <c r="D405" s="150"/>
      <c r="E405" s="150"/>
      <c r="F405" s="150">
        <v>607.5</v>
      </c>
      <c r="G405" s="150"/>
    </row>
    <row r="406" spans="1:7">
      <c r="A406" s="148">
        <v>43581</v>
      </c>
      <c r="B406" s="149" t="s">
        <v>213</v>
      </c>
      <c r="C406" s="150">
        <v>460</v>
      </c>
      <c r="D406" s="150"/>
      <c r="E406" s="150"/>
      <c r="F406" s="150">
        <v>613</v>
      </c>
      <c r="G406" s="150"/>
    </row>
    <row r="407" spans="1:7">
      <c r="A407" s="148">
        <v>43588</v>
      </c>
      <c r="B407" s="149" t="s">
        <v>213</v>
      </c>
      <c r="C407" s="150">
        <v>438.5</v>
      </c>
      <c r="D407" s="150"/>
      <c r="E407" s="150"/>
      <c r="F407" s="150">
        <v>603.5</v>
      </c>
      <c r="G407" s="150"/>
    </row>
    <row r="408" spans="1:7">
      <c r="A408" s="148">
        <v>43595</v>
      </c>
      <c r="B408" s="149" t="s">
        <v>213</v>
      </c>
      <c r="C408" s="150">
        <v>437.5</v>
      </c>
      <c r="D408" s="150"/>
      <c r="E408" s="150"/>
      <c r="F408" s="150">
        <v>601.5</v>
      </c>
      <c r="G408" s="150"/>
    </row>
    <row r="409" spans="1:7">
      <c r="A409" s="148">
        <v>43602</v>
      </c>
      <c r="B409" s="149" t="s">
        <v>213</v>
      </c>
      <c r="C409" s="150">
        <v>439.5</v>
      </c>
      <c r="D409" s="150"/>
      <c r="E409" s="150"/>
      <c r="F409" s="150">
        <v>620</v>
      </c>
      <c r="G409" s="150"/>
    </row>
    <row r="410" spans="1:7">
      <c r="A410" s="148">
        <v>43609</v>
      </c>
      <c r="B410" s="149" t="s">
        <v>213</v>
      </c>
      <c r="C410" s="150">
        <v>425.5</v>
      </c>
      <c r="D410" s="150"/>
      <c r="E410" s="150"/>
      <c r="F410" s="150">
        <v>607.5</v>
      </c>
      <c r="G410" s="150"/>
    </row>
    <row r="411" spans="1:7">
      <c r="A411" s="148">
        <v>43616</v>
      </c>
      <c r="B411" s="149" t="s">
        <v>213</v>
      </c>
      <c r="C411" s="150">
        <v>422.5</v>
      </c>
      <c r="D411" s="150"/>
      <c r="E411" s="150"/>
      <c r="F411" s="150">
        <v>596.5</v>
      </c>
      <c r="G411" s="150"/>
    </row>
    <row r="412" spans="1:7">
      <c r="A412" s="148">
        <v>43623</v>
      </c>
      <c r="B412" s="149" t="s">
        <v>213</v>
      </c>
      <c r="C412" s="150">
        <v>392</v>
      </c>
      <c r="D412" s="150"/>
      <c r="E412" s="150"/>
      <c r="F412" s="150">
        <v>549.5</v>
      </c>
      <c r="G412" s="150"/>
    </row>
    <row r="413" spans="1:7">
      <c r="A413" s="148">
        <v>43630</v>
      </c>
      <c r="B413" s="149" t="s">
        <v>213</v>
      </c>
      <c r="C413" s="150">
        <v>386.5</v>
      </c>
      <c r="D413" s="150"/>
      <c r="E413" s="150"/>
      <c r="F413" s="150">
        <v>536.5</v>
      </c>
      <c r="G413" s="150"/>
    </row>
    <row r="414" spans="1:7">
      <c r="A414" s="148">
        <v>43637</v>
      </c>
      <c r="B414" s="149" t="s">
        <v>213</v>
      </c>
      <c r="C414" s="150">
        <v>402.5</v>
      </c>
      <c r="D414" s="150"/>
      <c r="E414" s="150"/>
      <c r="F414" s="150">
        <v>551.5</v>
      </c>
      <c r="G414" s="150"/>
    </row>
    <row r="415" spans="1:7">
      <c r="A415" s="148">
        <v>43644</v>
      </c>
      <c r="B415" s="149" t="s">
        <v>213</v>
      </c>
      <c r="C415" s="150">
        <v>429</v>
      </c>
      <c r="D415" s="150"/>
      <c r="E415" s="150"/>
      <c r="F415" s="150">
        <v>589.5</v>
      </c>
      <c r="G415" s="150"/>
    </row>
    <row r="416" spans="1:7">
      <c r="A416" s="148">
        <v>43651</v>
      </c>
      <c r="B416" s="149" t="s">
        <v>213</v>
      </c>
      <c r="C416" s="150">
        <v>451.5</v>
      </c>
      <c r="D416" s="150"/>
      <c r="E416" s="150"/>
      <c r="F416" s="150">
        <v>571.5</v>
      </c>
      <c r="G416" s="150"/>
    </row>
    <row r="417" spans="1:7">
      <c r="A417" s="148">
        <v>43658</v>
      </c>
      <c r="B417" s="149" t="s">
        <v>213</v>
      </c>
      <c r="C417" s="150">
        <v>523.5</v>
      </c>
      <c r="D417" s="150"/>
      <c r="E417" s="150"/>
      <c r="F417" s="150">
        <v>611.5</v>
      </c>
      <c r="G417" s="150"/>
    </row>
    <row r="418" spans="1:7">
      <c r="A418" s="148">
        <v>43665</v>
      </c>
      <c r="B418" s="149" t="s">
        <v>213</v>
      </c>
      <c r="C418" s="150">
        <v>468.5</v>
      </c>
      <c r="D418" s="150"/>
      <c r="E418" s="150"/>
      <c r="F418" s="150">
        <v>576.5</v>
      </c>
      <c r="G418" s="150"/>
    </row>
    <row r="419" spans="1:7">
      <c r="A419" s="148">
        <v>43672</v>
      </c>
      <c r="B419" s="149" t="s">
        <v>213</v>
      </c>
      <c r="C419" s="150">
        <v>457.5</v>
      </c>
      <c r="D419" s="150"/>
      <c r="E419" s="150"/>
      <c r="F419" s="150">
        <v>586.5</v>
      </c>
      <c r="G419" s="150"/>
    </row>
    <row r="420" spans="1:7">
      <c r="A420" s="148">
        <v>43679</v>
      </c>
      <c r="B420" s="149" t="s">
        <v>213</v>
      </c>
      <c r="C420" s="150">
        <v>483.5</v>
      </c>
      <c r="D420" s="150"/>
      <c r="E420" s="150"/>
      <c r="F420" s="150">
        <v>600.5</v>
      </c>
      <c r="G420" s="150"/>
    </row>
    <row r="421" spans="1:7">
      <c r="A421" s="148">
        <v>43686</v>
      </c>
      <c r="B421" s="149" t="s">
        <v>213</v>
      </c>
      <c r="C421" s="150">
        <v>365</v>
      </c>
      <c r="D421" s="150"/>
      <c r="E421" s="150"/>
      <c r="F421" s="150">
        <v>537.5</v>
      </c>
      <c r="G421" s="150"/>
    </row>
    <row r="422" spans="1:7">
      <c r="A422" s="148">
        <v>43693</v>
      </c>
      <c r="B422" s="149" t="s">
        <v>213</v>
      </c>
      <c r="C422" s="150">
        <v>350.5</v>
      </c>
      <c r="D422" s="150"/>
      <c r="E422" s="150"/>
      <c r="F422" s="150">
        <v>552.5</v>
      </c>
      <c r="G422" s="150"/>
    </row>
    <row r="423" spans="1:7">
      <c r="A423" s="148">
        <v>43700</v>
      </c>
      <c r="B423" s="149" t="s">
        <v>213</v>
      </c>
      <c r="C423" s="150">
        <v>391.5</v>
      </c>
      <c r="D423" s="150"/>
      <c r="E423" s="150"/>
      <c r="F423" s="150">
        <v>561.5</v>
      </c>
      <c r="G423" s="150"/>
    </row>
    <row r="424" spans="1:7">
      <c r="A424" s="148">
        <v>43707</v>
      </c>
      <c r="B424" s="149" t="s">
        <v>213</v>
      </c>
      <c r="C424" s="150">
        <v>439.25</v>
      </c>
      <c r="D424" s="150"/>
      <c r="E424" s="150"/>
      <c r="F424" s="150">
        <v>556.5</v>
      </c>
      <c r="G424" s="150"/>
    </row>
    <row r="425" spans="1:7">
      <c r="A425" s="148">
        <v>43714</v>
      </c>
      <c r="B425" s="149" t="s">
        <v>213</v>
      </c>
      <c r="C425" s="150">
        <v>441.5</v>
      </c>
      <c r="D425" s="150"/>
      <c r="E425" s="150"/>
      <c r="F425" s="150">
        <v>570</v>
      </c>
      <c r="G425" s="150"/>
    </row>
    <row r="426" spans="1:7">
      <c r="A426" s="148">
        <v>43721</v>
      </c>
      <c r="B426" s="149" t="s">
        <v>213</v>
      </c>
      <c r="C426" s="150">
        <v>492.5</v>
      </c>
      <c r="D426" s="150"/>
      <c r="E426" s="150"/>
      <c r="F426" s="150">
        <v>575</v>
      </c>
      <c r="G426" s="150"/>
    </row>
    <row r="427" spans="1:7">
      <c r="A427" s="148">
        <v>43728</v>
      </c>
      <c r="B427" s="149" t="s">
        <v>213</v>
      </c>
      <c r="C427" s="150">
        <v>527.5</v>
      </c>
      <c r="D427" s="150"/>
      <c r="E427" s="150"/>
      <c r="F427" s="150">
        <v>605</v>
      </c>
      <c r="G427" s="150"/>
    </row>
    <row r="428" spans="1:7">
      <c r="A428" s="148">
        <v>43735</v>
      </c>
      <c r="B428" s="149" t="s">
        <v>213</v>
      </c>
      <c r="C428" s="150">
        <v>526</v>
      </c>
      <c r="D428" s="150"/>
      <c r="E428" s="150"/>
      <c r="F428" s="150">
        <v>683.5</v>
      </c>
      <c r="G428" s="150"/>
    </row>
    <row r="429" spans="1:7">
      <c r="A429" s="148">
        <v>43742</v>
      </c>
      <c r="B429" s="149" t="s">
        <v>213</v>
      </c>
      <c r="C429" s="150">
        <v>444.5</v>
      </c>
      <c r="D429" s="150"/>
      <c r="E429" s="150"/>
      <c r="F429" s="150">
        <v>631</v>
      </c>
      <c r="G429" s="150"/>
    </row>
    <row r="430" spans="1:7">
      <c r="A430" s="148">
        <v>43749</v>
      </c>
      <c r="B430" s="149" t="s">
        <v>213</v>
      </c>
      <c r="C430" s="150">
        <v>362.5</v>
      </c>
      <c r="D430" s="150"/>
      <c r="E430" s="150"/>
      <c r="F430" s="150">
        <v>579</v>
      </c>
      <c r="G430" s="150"/>
    </row>
    <row r="431" spans="1:7">
      <c r="A431" s="148">
        <v>43756</v>
      </c>
      <c r="B431" s="149" t="s">
        <v>213</v>
      </c>
      <c r="C431" s="150">
        <v>386.5</v>
      </c>
      <c r="D431" s="150"/>
      <c r="E431" s="150"/>
      <c r="F431" s="150">
        <v>584</v>
      </c>
      <c r="G431" s="150"/>
    </row>
    <row r="432" spans="1:7">
      <c r="A432" s="148">
        <v>43763</v>
      </c>
      <c r="B432" s="149" t="s">
        <v>213</v>
      </c>
      <c r="C432" s="150">
        <v>402.97500000000002</v>
      </c>
      <c r="D432" s="150"/>
      <c r="E432" s="150"/>
      <c r="F432" s="150">
        <v>589.66999999999996</v>
      </c>
      <c r="G432" s="150"/>
    </row>
    <row r="433" spans="1:7">
      <c r="A433" s="148">
        <v>43770</v>
      </c>
      <c r="B433" s="149" t="s">
        <v>213</v>
      </c>
      <c r="C433" s="150">
        <v>431</v>
      </c>
      <c r="D433" s="150"/>
      <c r="E433" s="150"/>
      <c r="F433" s="150">
        <v>570</v>
      </c>
      <c r="G433" s="150"/>
    </row>
    <row r="434" spans="1:7">
      <c r="A434" s="148">
        <v>43777</v>
      </c>
      <c r="B434" s="149" t="s">
        <v>213</v>
      </c>
      <c r="C434" s="150">
        <v>393.5</v>
      </c>
      <c r="D434" s="150"/>
      <c r="E434" s="150"/>
      <c r="F434" s="150">
        <v>579</v>
      </c>
      <c r="G434" s="150"/>
    </row>
    <row r="435" spans="1:7">
      <c r="A435" s="148">
        <v>43784</v>
      </c>
      <c r="B435" s="149" t="s">
        <v>213</v>
      </c>
      <c r="C435" s="150">
        <v>354.7</v>
      </c>
      <c r="D435" s="150"/>
      <c r="E435" s="150"/>
      <c r="F435" s="150">
        <v>564</v>
      </c>
      <c r="G435" s="150"/>
    </row>
    <row r="436" spans="1:7">
      <c r="A436" s="148">
        <v>43791</v>
      </c>
      <c r="B436" s="149" t="s">
        <v>213</v>
      </c>
      <c r="C436" s="150">
        <v>422.85</v>
      </c>
      <c r="D436" s="150"/>
      <c r="E436" s="150"/>
      <c r="F436" s="150">
        <v>566</v>
      </c>
      <c r="G436" s="150"/>
    </row>
    <row r="437" spans="1:7">
      <c r="A437" s="148">
        <v>43798</v>
      </c>
      <c r="B437" s="149" t="s">
        <v>213</v>
      </c>
      <c r="C437" s="150">
        <v>366</v>
      </c>
      <c r="D437" s="150"/>
      <c r="E437" s="150"/>
      <c r="F437" s="150">
        <v>572</v>
      </c>
      <c r="G437" s="150"/>
    </row>
    <row r="438" spans="1:7">
      <c r="A438" s="148">
        <v>43805</v>
      </c>
      <c r="B438" s="149" t="s">
        <v>213</v>
      </c>
      <c r="C438" s="150">
        <v>361.03</v>
      </c>
      <c r="D438" s="150"/>
      <c r="E438" s="150"/>
      <c r="F438" s="150">
        <v>585.96</v>
      </c>
      <c r="G438" s="150"/>
    </row>
    <row r="439" spans="1:7">
      <c r="A439" s="148">
        <v>43812</v>
      </c>
      <c r="B439" s="149" t="s">
        <v>213</v>
      </c>
      <c r="C439" s="150">
        <v>378</v>
      </c>
      <c r="D439" s="150"/>
      <c r="E439" s="150"/>
      <c r="F439" s="150">
        <v>584</v>
      </c>
      <c r="G439" s="150"/>
    </row>
    <row r="440" spans="1:7">
      <c r="A440" s="148">
        <v>43819</v>
      </c>
      <c r="B440" s="149" t="s">
        <v>213</v>
      </c>
      <c r="C440" s="150">
        <v>361.815</v>
      </c>
      <c r="D440" s="150"/>
      <c r="E440" s="150"/>
      <c r="F440" s="150">
        <v>633.25</v>
      </c>
      <c r="G440" s="150"/>
    </row>
    <row r="441" spans="1:7">
      <c r="A441" s="148">
        <v>43826</v>
      </c>
      <c r="B441" s="149" t="s">
        <v>213</v>
      </c>
      <c r="C441" s="150">
        <v>371.55</v>
      </c>
      <c r="D441" s="150"/>
      <c r="E441" s="150"/>
      <c r="F441" s="150">
        <v>673.9</v>
      </c>
      <c r="G441" s="150"/>
    </row>
    <row r="442" spans="1:7">
      <c r="A442" s="148">
        <v>43833</v>
      </c>
      <c r="B442" s="149" t="s">
        <v>213</v>
      </c>
      <c r="C442" s="150">
        <v>363.3</v>
      </c>
      <c r="D442" s="150">
        <v>723.7</v>
      </c>
      <c r="E442" s="150"/>
      <c r="F442" s="150">
        <v>708.2</v>
      </c>
      <c r="G442" s="150">
        <v>712.6</v>
      </c>
    </row>
    <row r="443" spans="1:7">
      <c r="A443" s="148">
        <v>43840</v>
      </c>
      <c r="B443" s="149" t="s">
        <v>213</v>
      </c>
      <c r="C443" s="150">
        <v>393.3</v>
      </c>
      <c r="D443" s="150">
        <v>726.8</v>
      </c>
      <c r="E443" s="150"/>
      <c r="F443" s="150">
        <v>734.9</v>
      </c>
      <c r="G443" s="150">
        <v>731</v>
      </c>
    </row>
    <row r="444" spans="1:7">
      <c r="A444" s="148">
        <v>43847</v>
      </c>
      <c r="B444" s="149" t="s">
        <v>213</v>
      </c>
      <c r="C444" s="150">
        <v>371</v>
      </c>
      <c r="D444" s="150">
        <v>670.8</v>
      </c>
      <c r="E444" s="150"/>
      <c r="F444" s="150">
        <v>686.6</v>
      </c>
      <c r="G444" s="150">
        <v>677.4</v>
      </c>
    </row>
    <row r="445" spans="1:7">
      <c r="A445" s="148">
        <v>43854</v>
      </c>
      <c r="B445" s="149" t="s">
        <v>213</v>
      </c>
      <c r="C445" s="150">
        <v>367.1</v>
      </c>
      <c r="D445" s="150">
        <v>644.1</v>
      </c>
      <c r="E445" s="150"/>
      <c r="F445" s="150">
        <v>651.1</v>
      </c>
      <c r="G445" s="150">
        <v>643</v>
      </c>
    </row>
    <row r="446" spans="1:7">
      <c r="A446" s="148">
        <v>43861</v>
      </c>
      <c r="B446" s="149" t="s">
        <v>213</v>
      </c>
      <c r="C446" s="150">
        <v>351.1</v>
      </c>
      <c r="D446" s="150">
        <v>594.1</v>
      </c>
      <c r="E446" s="150"/>
      <c r="F446" s="150">
        <v>607.1</v>
      </c>
      <c r="G446" s="150">
        <v>592.6</v>
      </c>
    </row>
    <row r="447" spans="1:7">
      <c r="A447" s="148">
        <v>43868</v>
      </c>
      <c r="B447" s="149" t="s">
        <v>213</v>
      </c>
      <c r="C447" s="150">
        <v>324.60000000000002</v>
      </c>
      <c r="D447" s="150">
        <v>542.29999999999995</v>
      </c>
      <c r="E447" s="150"/>
      <c r="F447" s="150">
        <v>554.9</v>
      </c>
      <c r="G447" s="150">
        <v>543.1</v>
      </c>
    </row>
    <row r="448" spans="1:7">
      <c r="A448" s="148">
        <v>43875</v>
      </c>
      <c r="B448" s="149" t="s">
        <v>213</v>
      </c>
      <c r="C448" s="150">
        <v>319.39999999999998</v>
      </c>
      <c r="D448" s="150">
        <v>520.70000000000005</v>
      </c>
      <c r="E448" s="150"/>
      <c r="F448" s="150">
        <v>530</v>
      </c>
      <c r="G448" s="150">
        <v>522.9</v>
      </c>
    </row>
    <row r="449" spans="1:7">
      <c r="A449" s="148">
        <v>43882</v>
      </c>
      <c r="B449" s="149" t="s">
        <v>213</v>
      </c>
      <c r="C449" s="150">
        <v>323.5</v>
      </c>
      <c r="D449" s="150">
        <v>511</v>
      </c>
      <c r="E449" s="151"/>
      <c r="F449" s="150">
        <v>524.9</v>
      </c>
      <c r="G449" s="151">
        <v>516.5</v>
      </c>
    </row>
    <row r="450" spans="1:7">
      <c r="A450" s="148">
        <v>43889</v>
      </c>
      <c r="B450" s="149" t="s">
        <v>213</v>
      </c>
      <c r="C450" s="150">
        <v>304.60000000000002</v>
      </c>
      <c r="D450" s="150">
        <v>458.8</v>
      </c>
      <c r="E450" s="151"/>
      <c r="F450" s="150">
        <v>482.2</v>
      </c>
      <c r="G450" s="151">
        <v>470.4</v>
      </c>
    </row>
    <row r="451" spans="1:7">
      <c r="A451" s="148">
        <v>43896</v>
      </c>
      <c r="B451" s="149" t="s">
        <v>213</v>
      </c>
      <c r="C451" s="150">
        <v>296.60000000000002</v>
      </c>
      <c r="D451" s="150">
        <v>436.3</v>
      </c>
      <c r="E451" s="151"/>
      <c r="F451" s="150">
        <v>453.9</v>
      </c>
      <c r="G451" s="151">
        <v>453.6</v>
      </c>
    </row>
    <row r="452" spans="1:7">
      <c r="A452" s="148">
        <v>43903</v>
      </c>
      <c r="B452" s="149" t="s">
        <v>213</v>
      </c>
      <c r="C452" s="150">
        <v>221.6</v>
      </c>
      <c r="D452" s="150">
        <v>340.9</v>
      </c>
      <c r="E452" s="151"/>
      <c r="F452" s="150">
        <v>364.4</v>
      </c>
      <c r="G452" s="151">
        <v>359.9</v>
      </c>
    </row>
    <row r="453" spans="1:7">
      <c r="A453" s="148">
        <v>43910</v>
      </c>
      <c r="B453" s="149" t="s">
        <v>213</v>
      </c>
      <c r="C453" s="150">
        <v>202.4</v>
      </c>
      <c r="D453" s="150">
        <v>291.10000000000002</v>
      </c>
      <c r="E453" s="151"/>
      <c r="F453" s="150">
        <v>306.10000000000002</v>
      </c>
      <c r="G453" s="151">
        <v>313.8</v>
      </c>
    </row>
    <row r="454" spans="1:7">
      <c r="A454" s="148">
        <v>43917</v>
      </c>
      <c r="B454" s="149" t="s">
        <v>213</v>
      </c>
      <c r="C454" s="150">
        <v>194.4</v>
      </c>
      <c r="D454" s="150">
        <v>273.8</v>
      </c>
      <c r="E454" s="151"/>
      <c r="F454" s="150">
        <v>301.2</v>
      </c>
      <c r="G454" s="151">
        <v>293.89999999999998</v>
      </c>
    </row>
    <row r="455" spans="1:7">
      <c r="A455" s="148">
        <v>43924</v>
      </c>
      <c r="B455" s="149" t="s">
        <v>213</v>
      </c>
      <c r="C455" s="150">
        <v>185.2</v>
      </c>
      <c r="D455" s="150">
        <v>259.7</v>
      </c>
      <c r="E455" s="151"/>
      <c r="F455" s="150">
        <v>285.60000000000002</v>
      </c>
      <c r="G455" s="151">
        <v>280.10000000000002</v>
      </c>
    </row>
    <row r="456" spans="1:7">
      <c r="A456" s="148">
        <v>43931</v>
      </c>
      <c r="B456" s="149" t="s">
        <v>213</v>
      </c>
      <c r="C456" s="150">
        <v>204.75</v>
      </c>
      <c r="D456" s="150">
        <v>270.125</v>
      </c>
      <c r="E456" s="151"/>
      <c r="F456" s="150">
        <v>290.125</v>
      </c>
      <c r="G456" s="151">
        <v>286.625</v>
      </c>
    </row>
    <row r="457" spans="1:7">
      <c r="A457" s="148">
        <v>43938</v>
      </c>
      <c r="B457" s="149" t="s">
        <v>213</v>
      </c>
      <c r="C457" s="150">
        <v>195.2</v>
      </c>
      <c r="D457" s="150">
        <v>256.89999999999998</v>
      </c>
      <c r="E457" s="151"/>
      <c r="F457" s="150">
        <v>271.5</v>
      </c>
      <c r="G457" s="151">
        <v>268.3</v>
      </c>
    </row>
    <row r="458" spans="1:7">
      <c r="A458" s="148">
        <v>43945</v>
      </c>
      <c r="B458" s="149" t="s">
        <v>213</v>
      </c>
      <c r="C458" s="150">
        <v>171.3</v>
      </c>
      <c r="D458" s="150">
        <v>230.2</v>
      </c>
      <c r="E458" s="151"/>
      <c r="F458" s="150">
        <v>243.3</v>
      </c>
      <c r="G458" s="151">
        <v>239.6</v>
      </c>
    </row>
    <row r="459" spans="1:7">
      <c r="A459" s="148">
        <v>43952</v>
      </c>
      <c r="B459" s="149" t="s">
        <v>213</v>
      </c>
      <c r="C459" s="150">
        <v>160.4</v>
      </c>
      <c r="D459" s="150">
        <v>225.1</v>
      </c>
      <c r="E459" s="151"/>
      <c r="F459" s="150">
        <v>223.8</v>
      </c>
      <c r="G459" s="151">
        <v>226.6</v>
      </c>
    </row>
    <row r="460" spans="1:7">
      <c r="A460" s="148">
        <v>43959</v>
      </c>
      <c r="B460" s="149" t="s">
        <v>213</v>
      </c>
      <c r="C460" s="150">
        <v>174.8</v>
      </c>
      <c r="D460" s="150">
        <v>251.7</v>
      </c>
      <c r="E460" s="150"/>
      <c r="F460" s="150">
        <v>260</v>
      </c>
      <c r="G460" s="150">
        <v>251.2</v>
      </c>
    </row>
    <row r="461" spans="1:7">
      <c r="A461" s="148">
        <v>43966</v>
      </c>
      <c r="B461" s="149" t="s">
        <v>213</v>
      </c>
      <c r="C461" s="150">
        <v>171.75</v>
      </c>
      <c r="D461" s="150">
        <v>247.88</v>
      </c>
      <c r="E461" s="150"/>
      <c r="F461" s="150">
        <v>256.75</v>
      </c>
      <c r="G461" s="150">
        <v>250.88</v>
      </c>
    </row>
    <row r="462" spans="1:7">
      <c r="A462" s="148">
        <v>43973</v>
      </c>
      <c r="B462" s="149" t="s">
        <v>213</v>
      </c>
      <c r="C462" s="150">
        <v>210.75</v>
      </c>
      <c r="D462" s="150">
        <v>279.5</v>
      </c>
      <c r="E462" s="150"/>
      <c r="F462" s="150">
        <v>295.5</v>
      </c>
      <c r="G462" s="150">
        <v>292.75</v>
      </c>
    </row>
    <row r="463" spans="1:7">
      <c r="A463" s="148">
        <v>43980</v>
      </c>
      <c r="B463" s="149" t="s">
        <v>213</v>
      </c>
      <c r="C463" s="150">
        <v>213.75</v>
      </c>
      <c r="D463" s="150">
        <v>282.375</v>
      </c>
      <c r="E463" s="150"/>
      <c r="F463" s="150">
        <v>304.375</v>
      </c>
      <c r="G463" s="150">
        <v>302.5</v>
      </c>
    </row>
    <row r="464" spans="1:7">
      <c r="A464" s="148">
        <v>43987</v>
      </c>
      <c r="B464" s="149" t="s">
        <v>213</v>
      </c>
      <c r="C464" s="150">
        <v>232.375</v>
      </c>
      <c r="D464" s="150">
        <v>299.75</v>
      </c>
      <c r="E464" s="150"/>
      <c r="F464" s="150">
        <v>321.5</v>
      </c>
      <c r="G464" s="150">
        <v>323.5</v>
      </c>
    </row>
    <row r="465" spans="1:7">
      <c r="A465" s="148">
        <v>43994</v>
      </c>
      <c r="B465" s="149" t="s">
        <v>213</v>
      </c>
      <c r="C465" s="150">
        <v>257.125</v>
      </c>
      <c r="D465" s="150">
        <v>322.125</v>
      </c>
      <c r="E465" s="150"/>
      <c r="F465" s="150">
        <v>350.75</v>
      </c>
      <c r="G465" s="150">
        <v>351.125</v>
      </c>
    </row>
    <row r="466" spans="1:7">
      <c r="A466" s="148">
        <v>44001</v>
      </c>
      <c r="B466" s="149" t="s">
        <v>213</v>
      </c>
      <c r="C466" s="150">
        <v>246</v>
      </c>
      <c r="D466" s="150">
        <v>323</v>
      </c>
      <c r="E466" s="150"/>
      <c r="F466" s="150">
        <v>361.125</v>
      </c>
      <c r="G466" s="150">
        <v>358.125</v>
      </c>
    </row>
    <row r="467" spans="1:7">
      <c r="A467" s="148">
        <v>44008</v>
      </c>
      <c r="B467" s="149" t="s">
        <v>213</v>
      </c>
      <c r="C467" s="150">
        <v>253.1</v>
      </c>
      <c r="D467" s="150">
        <v>329.1</v>
      </c>
      <c r="E467" s="150"/>
      <c r="F467" s="150">
        <v>376.3</v>
      </c>
      <c r="G467" s="150">
        <v>371.1</v>
      </c>
    </row>
    <row r="468" spans="1:7">
      <c r="A468" s="15"/>
      <c r="B468" s="15"/>
      <c r="C468" s="15"/>
      <c r="D468" s="15"/>
      <c r="E468" s="15"/>
      <c r="F468" s="15"/>
      <c r="G468" s="15"/>
    </row>
    <row r="469" spans="1:7">
      <c r="A469" s="15"/>
      <c r="B469" s="15"/>
      <c r="C469" s="15"/>
      <c r="D469" s="15"/>
      <c r="E469" s="15"/>
      <c r="F469" s="15"/>
      <c r="G469" s="15"/>
    </row>
    <row r="470" spans="1:7">
      <c r="A470" s="15"/>
      <c r="B470" s="15"/>
      <c r="C470" s="15"/>
      <c r="D470" s="15"/>
      <c r="E470" s="15"/>
      <c r="F470" s="15"/>
      <c r="G470" s="15"/>
    </row>
    <row r="471" spans="1:7">
      <c r="A471" s="15"/>
      <c r="B471" s="15"/>
      <c r="C471" s="15"/>
      <c r="D471" s="15"/>
      <c r="E471" s="15"/>
      <c r="F471" s="15"/>
      <c r="G471" s="15"/>
    </row>
    <row r="472" spans="1:7">
      <c r="A472" s="15"/>
      <c r="B472" s="15"/>
      <c r="C472" s="15"/>
      <c r="D472" s="15"/>
      <c r="E472" s="15"/>
      <c r="F472" s="15"/>
      <c r="G472" s="15"/>
    </row>
    <row r="473" spans="1:7">
      <c r="A473" s="15"/>
      <c r="B473" s="15"/>
      <c r="C473" s="15"/>
      <c r="D473" s="15"/>
      <c r="E473" s="15"/>
      <c r="F473" s="15"/>
      <c r="G473" s="15"/>
    </row>
    <row r="474" spans="1:7">
      <c r="A474" s="15"/>
      <c r="B474" s="15"/>
      <c r="C474" s="15"/>
      <c r="D474" s="15"/>
      <c r="E474" s="15"/>
      <c r="F474" s="15"/>
      <c r="G474" s="15"/>
    </row>
    <row r="475" spans="1:7">
      <c r="A475" s="15"/>
      <c r="B475" s="15"/>
      <c r="C475" s="15"/>
      <c r="D475" s="15"/>
      <c r="E475" s="15"/>
      <c r="F475" s="15"/>
      <c r="G475" s="15"/>
    </row>
    <row r="476" spans="1:7">
      <c r="A476" s="15"/>
      <c r="B476" s="15"/>
      <c r="C476" s="15"/>
      <c r="D476" s="15"/>
      <c r="E476" s="15"/>
      <c r="F476" s="15"/>
      <c r="G476" s="15"/>
    </row>
    <row r="477" spans="1:7">
      <c r="A477" s="15"/>
      <c r="B477" s="15"/>
      <c r="C477" s="15"/>
      <c r="D477" s="15"/>
      <c r="E477" s="15"/>
      <c r="F477" s="15"/>
      <c r="G477" s="15"/>
    </row>
    <row r="478" spans="1:7">
      <c r="A478" s="15"/>
      <c r="B478" s="15"/>
      <c r="C478" s="15"/>
      <c r="D478" s="15"/>
      <c r="E478" s="15"/>
      <c r="F478" s="15"/>
      <c r="G478" s="15"/>
    </row>
    <row r="479" spans="1:7">
      <c r="A479" s="15"/>
      <c r="B479" s="15"/>
      <c r="C479" s="15"/>
      <c r="D479" s="15"/>
      <c r="E479" s="15"/>
      <c r="F479" s="15"/>
      <c r="G479" s="15"/>
    </row>
    <row r="480" spans="1:7">
      <c r="A480" s="15"/>
      <c r="B480" s="15"/>
      <c r="C480" s="15"/>
      <c r="D480" s="15"/>
      <c r="E480" s="15"/>
      <c r="F480" s="15"/>
      <c r="G480" s="15"/>
    </row>
    <row r="481" spans="1:7">
      <c r="A481" s="15"/>
      <c r="B481" s="15"/>
      <c r="C481" s="15"/>
      <c r="D481" s="15"/>
      <c r="E481" s="15"/>
      <c r="F481" s="15"/>
      <c r="G481" s="15"/>
    </row>
    <row r="482" spans="1:7">
      <c r="A482" s="15"/>
      <c r="B482" s="15"/>
      <c r="C482" s="15"/>
      <c r="D482" s="15"/>
      <c r="E482" s="15"/>
      <c r="F482" s="15"/>
      <c r="G482" s="15"/>
    </row>
    <row r="483" spans="1:7">
      <c r="A483" s="15"/>
      <c r="B483" s="15"/>
      <c r="C483" s="15"/>
      <c r="D483" s="15"/>
      <c r="E483" s="15"/>
      <c r="F483" s="15"/>
      <c r="G483" s="15"/>
    </row>
    <row r="484" spans="1:7">
      <c r="A484" s="15"/>
      <c r="B484" s="15"/>
      <c r="C484" s="15"/>
      <c r="D484" s="15"/>
      <c r="E484" s="15"/>
      <c r="F484" s="15"/>
      <c r="G484" s="15"/>
    </row>
    <row r="485" spans="1:7">
      <c r="A485" s="15"/>
      <c r="B485" s="15"/>
      <c r="C485" s="15"/>
      <c r="D485" s="15"/>
      <c r="E485" s="15"/>
      <c r="F485" s="15"/>
      <c r="G485" s="15"/>
    </row>
    <row r="486" spans="1:7">
      <c r="A486" s="15"/>
      <c r="B486" s="15"/>
      <c r="C486" s="15"/>
      <c r="D486" s="15"/>
      <c r="E486" s="15"/>
      <c r="F486" s="15"/>
      <c r="G486" s="15"/>
    </row>
    <row r="487" spans="1:7">
      <c r="A487" s="15"/>
      <c r="B487" s="15"/>
      <c r="C487" s="15"/>
      <c r="D487" s="15"/>
      <c r="E487" s="15"/>
      <c r="F487" s="15"/>
      <c r="G487" s="15"/>
    </row>
    <row r="488" spans="1:7">
      <c r="A488" s="15"/>
      <c r="B488" s="15"/>
      <c r="C488" s="15"/>
      <c r="D488" s="15"/>
      <c r="E488" s="15"/>
      <c r="F488" s="15"/>
      <c r="G488" s="15"/>
    </row>
    <row r="489" spans="1:7">
      <c r="A489" s="15"/>
      <c r="B489" s="15"/>
      <c r="C489" s="15"/>
      <c r="D489" s="15"/>
      <c r="E489" s="15"/>
      <c r="F489" s="15"/>
      <c r="G489" s="15"/>
    </row>
    <row r="490" spans="1:7">
      <c r="A490" s="15"/>
      <c r="B490" s="15"/>
      <c r="C490" s="15"/>
      <c r="D490" s="15"/>
      <c r="E490" s="15"/>
      <c r="F490" s="15"/>
      <c r="G490" s="15"/>
    </row>
    <row r="491" spans="1:7">
      <c r="A491" s="15"/>
      <c r="B491" s="15"/>
      <c r="C491" s="15"/>
      <c r="D491" s="15"/>
      <c r="E491" s="15"/>
      <c r="F491" s="15"/>
      <c r="G491" s="15"/>
    </row>
    <row r="492" spans="1:7">
      <c r="A492" s="15"/>
      <c r="B492" s="15"/>
      <c r="C492" s="15"/>
      <c r="D492" s="15"/>
      <c r="E492" s="15"/>
      <c r="F492" s="15"/>
      <c r="G492" s="15"/>
    </row>
    <row r="493" spans="1:7">
      <c r="A493" s="15"/>
      <c r="B493" s="15"/>
      <c r="C493" s="15"/>
      <c r="D493" s="15"/>
      <c r="E493" s="15"/>
      <c r="F493" s="15"/>
      <c r="G493" s="15"/>
    </row>
    <row r="494" spans="1:7">
      <c r="A494" s="15"/>
      <c r="B494" s="15"/>
      <c r="C494" s="15"/>
      <c r="D494" s="15"/>
      <c r="E494" s="15"/>
      <c r="F494" s="15"/>
      <c r="G494" s="15"/>
    </row>
    <row r="495" spans="1:7">
      <c r="A495" s="15"/>
      <c r="B495" s="15"/>
      <c r="C495" s="15"/>
      <c r="D495" s="15"/>
      <c r="E495" s="15"/>
      <c r="F495" s="15"/>
      <c r="G495" s="15"/>
    </row>
    <row r="496" spans="1:7">
      <c r="A496" s="15"/>
      <c r="B496" s="15"/>
      <c r="C496" s="15"/>
      <c r="D496" s="15"/>
      <c r="E496" s="15"/>
      <c r="F496" s="15"/>
      <c r="G496" s="15"/>
    </row>
    <row r="497" spans="1:7">
      <c r="A497" s="15"/>
      <c r="B497" s="15"/>
      <c r="C497" s="15"/>
      <c r="D497" s="15"/>
      <c r="E497" s="15"/>
      <c r="F497" s="15"/>
      <c r="G497" s="15"/>
    </row>
    <row r="498" spans="1:7">
      <c r="A498" s="15"/>
      <c r="B498" s="15"/>
      <c r="C498" s="15"/>
      <c r="D498" s="15"/>
      <c r="E498" s="15"/>
      <c r="F498" s="15"/>
      <c r="G498" s="15"/>
    </row>
    <row r="499" spans="1:7">
      <c r="A499" s="15"/>
      <c r="B499" s="15"/>
      <c r="C499" s="15"/>
      <c r="D499" s="15"/>
      <c r="E499" s="15"/>
      <c r="F499" s="15"/>
      <c r="G499" s="15"/>
    </row>
    <row r="500" spans="1:7">
      <c r="A500" s="15"/>
      <c r="B500" s="15"/>
      <c r="C500" s="15"/>
      <c r="D500" s="15"/>
      <c r="E500" s="15"/>
      <c r="F500" s="15"/>
      <c r="G500" s="15"/>
    </row>
    <row r="501" spans="1:7">
      <c r="A501" s="15"/>
      <c r="B501" s="15"/>
      <c r="C501" s="15"/>
      <c r="D501" s="15"/>
      <c r="E501" s="15"/>
      <c r="F501" s="15"/>
      <c r="G501" s="15"/>
    </row>
    <row r="502" spans="1:7">
      <c r="A502" s="15"/>
      <c r="B502" s="15"/>
      <c r="C502" s="15"/>
      <c r="D502" s="15"/>
      <c r="E502" s="15"/>
      <c r="F502" s="15"/>
      <c r="G502" s="15"/>
    </row>
    <row r="503" spans="1:7">
      <c r="A503" s="15"/>
      <c r="B503" s="15"/>
      <c r="C503" s="15"/>
      <c r="D503" s="15"/>
      <c r="E503" s="15"/>
      <c r="F503" s="15"/>
      <c r="G503" s="15"/>
    </row>
    <row r="504" spans="1:7">
      <c r="A504" s="15"/>
      <c r="B504" s="15"/>
      <c r="C504" s="15"/>
      <c r="D504" s="15"/>
      <c r="E504" s="15"/>
      <c r="F504" s="15"/>
      <c r="G504" s="15"/>
    </row>
    <row r="505" spans="1:7">
      <c r="A505" s="15"/>
      <c r="B505" s="15"/>
      <c r="C505" s="15"/>
      <c r="D505" s="15"/>
      <c r="E505" s="15"/>
      <c r="F505" s="15"/>
      <c r="G505" s="15"/>
    </row>
    <row r="506" spans="1:7">
      <c r="A506" s="15"/>
      <c r="B506" s="15"/>
      <c r="C506" s="15"/>
      <c r="D506" s="15"/>
      <c r="E506" s="15"/>
      <c r="F506" s="15"/>
      <c r="G506" s="15"/>
    </row>
    <row r="507" spans="1:7">
      <c r="A507" s="15"/>
      <c r="B507" s="15"/>
      <c r="C507" s="15"/>
      <c r="D507" s="15"/>
      <c r="E507" s="15"/>
      <c r="F507" s="15"/>
      <c r="G507" s="15"/>
    </row>
    <row r="508" spans="1:7">
      <c r="A508" s="15"/>
      <c r="B508" s="15"/>
      <c r="C508" s="15"/>
      <c r="D508" s="15"/>
      <c r="E508" s="15"/>
      <c r="F508" s="15"/>
      <c r="G508" s="15"/>
    </row>
    <row r="509" spans="1:7">
      <c r="A509" s="15"/>
      <c r="B509" s="15"/>
      <c r="C509" s="15"/>
      <c r="D509" s="15"/>
      <c r="E509" s="15"/>
      <c r="F509" s="15"/>
      <c r="G509" s="15"/>
    </row>
    <row r="510" spans="1:7">
      <c r="A510" s="15"/>
      <c r="B510" s="15"/>
      <c r="C510" s="15"/>
      <c r="D510" s="15"/>
      <c r="E510" s="15"/>
      <c r="F510" s="15"/>
      <c r="G510" s="15"/>
    </row>
    <row r="511" spans="1:7">
      <c r="A511" s="15"/>
      <c r="B511" s="15"/>
      <c r="C511" s="15"/>
      <c r="D511" s="15"/>
      <c r="E511" s="15"/>
      <c r="F511" s="15"/>
      <c r="G511" s="15"/>
    </row>
    <row r="512" spans="1:7">
      <c r="A512" s="15"/>
      <c r="B512" s="15"/>
      <c r="C512" s="15"/>
      <c r="D512" s="15"/>
      <c r="E512" s="15"/>
      <c r="F512" s="15"/>
      <c r="G512" s="15"/>
    </row>
    <row r="513" spans="1:7">
      <c r="A513" s="15"/>
      <c r="B513" s="15"/>
      <c r="C513" s="15"/>
      <c r="D513" s="15"/>
      <c r="E513" s="15"/>
      <c r="F513" s="15"/>
      <c r="G513" s="15"/>
    </row>
    <row r="514" spans="1:7">
      <c r="A514" s="15"/>
      <c r="B514" s="15"/>
      <c r="C514" s="15"/>
      <c r="D514" s="15"/>
      <c r="E514" s="15"/>
      <c r="F514" s="15"/>
      <c r="G514" s="15"/>
    </row>
    <row r="515" spans="1:7">
      <c r="A515" s="15"/>
      <c r="B515" s="15"/>
      <c r="C515" s="15"/>
      <c r="D515" s="15"/>
      <c r="E515" s="15"/>
      <c r="F515" s="15"/>
      <c r="G515" s="15"/>
    </row>
    <row r="516" spans="1:7">
      <c r="A516" s="15"/>
      <c r="B516" s="15"/>
      <c r="C516" s="15"/>
      <c r="D516" s="15"/>
      <c r="E516" s="15"/>
      <c r="F516" s="15"/>
      <c r="G516" s="15"/>
    </row>
    <row r="517" spans="1:7">
      <c r="A517" s="15"/>
      <c r="B517" s="15"/>
      <c r="C517" s="15"/>
      <c r="D517" s="15"/>
      <c r="E517" s="15"/>
      <c r="F517" s="15"/>
      <c r="G517" s="15"/>
    </row>
    <row r="518" spans="1:7">
      <c r="A518" s="15"/>
      <c r="B518" s="15"/>
      <c r="C518" s="15"/>
      <c r="D518" s="15"/>
      <c r="E518" s="15"/>
      <c r="F518" s="15"/>
      <c r="G518" s="15"/>
    </row>
    <row r="519" spans="1:7">
      <c r="A519" s="15"/>
      <c r="B519" s="15"/>
      <c r="C519" s="15"/>
      <c r="D519" s="15"/>
      <c r="E519" s="15"/>
      <c r="F519" s="15"/>
      <c r="G519" s="15"/>
    </row>
    <row r="520" spans="1:7">
      <c r="A520" s="15"/>
      <c r="B520" s="15"/>
      <c r="C520" s="15"/>
      <c r="D520" s="15"/>
      <c r="E520" s="15"/>
      <c r="F520" s="15"/>
      <c r="G520" s="15"/>
    </row>
    <row r="521" spans="1:7">
      <c r="A521" s="15"/>
      <c r="B521" s="15"/>
      <c r="C521" s="15"/>
      <c r="D521" s="15"/>
      <c r="E521" s="15"/>
      <c r="F521" s="15"/>
      <c r="G521" s="15"/>
    </row>
    <row r="522" spans="1:7">
      <c r="A522" s="15"/>
      <c r="B522" s="15"/>
      <c r="C522" s="15"/>
      <c r="D522" s="15"/>
      <c r="E522" s="15"/>
      <c r="F522" s="15"/>
      <c r="G522" s="15"/>
    </row>
    <row r="523" spans="1:7">
      <c r="A523" s="15"/>
      <c r="B523" s="15"/>
      <c r="C523" s="15"/>
      <c r="D523" s="15"/>
      <c r="E523" s="15"/>
      <c r="F523" s="15"/>
      <c r="G523" s="15"/>
    </row>
    <row r="524" spans="1:7">
      <c r="A524" s="15"/>
      <c r="B524" s="15"/>
      <c r="C524" s="15"/>
      <c r="D524" s="15"/>
      <c r="E524" s="15"/>
      <c r="F524" s="15"/>
      <c r="G524" s="15"/>
    </row>
    <row r="525" spans="1:7">
      <c r="A525" s="15"/>
      <c r="B525" s="15"/>
      <c r="C525" s="15"/>
      <c r="D525" s="15"/>
      <c r="E525" s="15"/>
      <c r="F525" s="15"/>
      <c r="G525" s="15"/>
    </row>
    <row r="526" spans="1:7">
      <c r="A526" s="15"/>
      <c r="B526" s="15"/>
      <c r="C526" s="15"/>
      <c r="D526" s="15"/>
      <c r="E526" s="15"/>
      <c r="F526" s="15"/>
      <c r="G526" s="15"/>
    </row>
    <row r="527" spans="1:7">
      <c r="A527" s="15"/>
      <c r="B527" s="15"/>
      <c r="C527" s="15"/>
      <c r="D527" s="15"/>
      <c r="E527" s="15"/>
      <c r="F527" s="15"/>
      <c r="G527" s="15"/>
    </row>
    <row r="528" spans="1:7">
      <c r="A528" s="15"/>
      <c r="B528" s="15"/>
      <c r="C528" s="15"/>
      <c r="D528" s="15"/>
      <c r="E528" s="15"/>
      <c r="F528" s="15"/>
      <c r="G528" s="15"/>
    </row>
    <row r="529" spans="1:7">
      <c r="A529" s="15"/>
      <c r="B529" s="15"/>
      <c r="C529" s="15"/>
      <c r="D529" s="15"/>
      <c r="E529" s="15"/>
      <c r="F529" s="15"/>
      <c r="G529" s="15"/>
    </row>
    <row r="530" spans="1:7">
      <c r="A530" s="15"/>
      <c r="B530" s="15"/>
      <c r="C530" s="15"/>
      <c r="D530" s="15"/>
      <c r="E530" s="15"/>
      <c r="F530" s="15"/>
      <c r="G530" s="15"/>
    </row>
    <row r="531" spans="1:7">
      <c r="A531" s="15"/>
      <c r="B531" s="15"/>
      <c r="C531" s="15"/>
      <c r="D531" s="15"/>
      <c r="E531" s="15"/>
      <c r="F531" s="15"/>
      <c r="G531" s="15"/>
    </row>
    <row r="532" spans="1:7">
      <c r="A532" s="15"/>
      <c r="B532" s="15"/>
      <c r="C532" s="15"/>
      <c r="D532" s="15"/>
      <c r="E532" s="15"/>
      <c r="F532" s="15"/>
      <c r="G532" s="15"/>
    </row>
    <row r="533" spans="1:7">
      <c r="A533" s="15"/>
      <c r="B533" s="15"/>
      <c r="C533" s="15"/>
      <c r="D533" s="15"/>
      <c r="E533" s="15"/>
      <c r="F533" s="15"/>
      <c r="G533" s="15"/>
    </row>
    <row r="534" spans="1:7">
      <c r="A534" s="15"/>
      <c r="B534" s="15"/>
      <c r="C534" s="15"/>
      <c r="D534" s="15"/>
      <c r="E534" s="15"/>
      <c r="F534" s="15"/>
      <c r="G534" s="15"/>
    </row>
    <row r="535" spans="1:7">
      <c r="A535" s="15"/>
      <c r="B535" s="15"/>
      <c r="C535" s="15"/>
      <c r="D535" s="15"/>
      <c r="E535" s="15"/>
      <c r="F535" s="15"/>
      <c r="G535" s="15"/>
    </row>
    <row r="536" spans="1:7">
      <c r="A536" s="15"/>
      <c r="B536" s="15"/>
      <c r="C536" s="15"/>
      <c r="D536" s="15"/>
      <c r="E536" s="15"/>
      <c r="F536" s="15"/>
      <c r="G536" s="15"/>
    </row>
    <row r="537" spans="1:7">
      <c r="A537" s="15"/>
      <c r="B537" s="15"/>
      <c r="C537" s="15"/>
      <c r="D537" s="15"/>
      <c r="E537" s="15"/>
      <c r="F537" s="15"/>
      <c r="G537" s="15"/>
    </row>
    <row r="538" spans="1:7">
      <c r="A538" s="15"/>
      <c r="B538" s="15"/>
      <c r="C538" s="15"/>
      <c r="D538" s="15"/>
      <c r="E538" s="15"/>
      <c r="F538" s="15"/>
      <c r="G538" s="15"/>
    </row>
    <row r="539" spans="1:7">
      <c r="A539" s="15"/>
      <c r="B539" s="15"/>
      <c r="C539" s="15"/>
      <c r="D539" s="15"/>
      <c r="E539" s="15"/>
      <c r="F539" s="15"/>
      <c r="G539" s="15"/>
    </row>
    <row r="540" spans="1:7">
      <c r="A540" s="15"/>
      <c r="B540" s="15"/>
      <c r="C540" s="15"/>
      <c r="D540" s="15"/>
      <c r="E540" s="15"/>
      <c r="F540" s="15"/>
      <c r="G540" s="15"/>
    </row>
    <row r="541" spans="1:7">
      <c r="A541" s="15"/>
      <c r="B541" s="15"/>
      <c r="C541" s="15"/>
      <c r="D541" s="15"/>
      <c r="E541" s="15"/>
      <c r="F541" s="15"/>
      <c r="G541" s="15"/>
    </row>
    <row r="542" spans="1:7">
      <c r="A542" s="15"/>
      <c r="B542" s="15"/>
      <c r="C542" s="15"/>
      <c r="D542" s="15"/>
      <c r="E542" s="15"/>
      <c r="F542" s="15"/>
      <c r="G542" s="15"/>
    </row>
    <row r="543" spans="1:7">
      <c r="A543" s="15"/>
      <c r="B543" s="15"/>
      <c r="C543" s="15"/>
      <c r="D543" s="15"/>
      <c r="E543" s="15"/>
      <c r="F543" s="15"/>
      <c r="G543" s="15"/>
    </row>
    <row r="544" spans="1:7">
      <c r="A544" s="15"/>
      <c r="B544" s="15"/>
      <c r="C544" s="15"/>
      <c r="D544" s="15"/>
      <c r="E544" s="15"/>
      <c r="F544" s="15"/>
      <c r="G544" s="15"/>
    </row>
    <row r="545" spans="1:7">
      <c r="A545" s="15"/>
      <c r="B545" s="15"/>
      <c r="C545" s="15"/>
      <c r="D545" s="15"/>
      <c r="E545" s="15"/>
      <c r="F545" s="15"/>
      <c r="G545" s="15"/>
    </row>
    <row r="546" spans="1:7">
      <c r="A546" s="15"/>
      <c r="B546" s="15"/>
      <c r="C546" s="15"/>
      <c r="D546" s="15"/>
      <c r="E546" s="15"/>
      <c r="F546" s="15"/>
      <c r="G546" s="15"/>
    </row>
    <row r="547" spans="1:7">
      <c r="A547" s="15"/>
      <c r="B547" s="15"/>
      <c r="C547" s="15"/>
      <c r="D547" s="15"/>
      <c r="E547" s="15"/>
      <c r="F547" s="15"/>
      <c r="G547" s="15"/>
    </row>
    <row r="548" spans="1:7">
      <c r="A548" s="15"/>
      <c r="B548" s="15"/>
      <c r="C548" s="15"/>
      <c r="D548" s="15"/>
      <c r="E548" s="15"/>
      <c r="F548" s="15"/>
      <c r="G548" s="15"/>
    </row>
    <row r="549" spans="1:7">
      <c r="A549" s="15"/>
      <c r="B549" s="15"/>
      <c r="C549" s="15"/>
      <c r="D549" s="15"/>
      <c r="E549" s="15"/>
      <c r="F549" s="15"/>
      <c r="G549" s="15"/>
    </row>
    <row r="550" spans="1:7">
      <c r="A550" s="15"/>
      <c r="B550" s="15"/>
      <c r="C550" s="15"/>
      <c r="D550" s="15"/>
      <c r="E550" s="15"/>
      <c r="F550" s="15"/>
      <c r="G550" s="15"/>
    </row>
    <row r="551" spans="1:7">
      <c r="A551" s="15"/>
      <c r="B551" s="15"/>
      <c r="C551" s="15"/>
      <c r="D551" s="15"/>
      <c r="E551" s="15"/>
      <c r="F551" s="15"/>
      <c r="G551" s="15"/>
    </row>
    <row r="552" spans="1:7">
      <c r="A552" s="15"/>
      <c r="B552" s="15"/>
      <c r="C552" s="15"/>
      <c r="D552" s="15"/>
      <c r="E552" s="15"/>
      <c r="F552" s="15"/>
      <c r="G552" s="15"/>
    </row>
    <row r="553" spans="1:7">
      <c r="A553" s="15"/>
      <c r="B553" s="15"/>
      <c r="C553" s="15"/>
      <c r="D553" s="15"/>
      <c r="E553" s="15"/>
      <c r="F553" s="15"/>
      <c r="G553" s="15"/>
    </row>
    <row r="554" spans="1:7">
      <c r="A554" s="15"/>
      <c r="B554" s="15"/>
      <c r="C554" s="15"/>
      <c r="D554" s="15"/>
      <c r="E554" s="15"/>
      <c r="F554" s="15"/>
      <c r="G554" s="15"/>
    </row>
    <row r="555" spans="1:7">
      <c r="A555" s="15"/>
      <c r="B555" s="15"/>
      <c r="C555" s="15"/>
      <c r="D555" s="15"/>
      <c r="E555" s="15"/>
      <c r="F555" s="15"/>
      <c r="G555" s="15"/>
    </row>
    <row r="556" spans="1:7">
      <c r="A556" s="15"/>
      <c r="B556" s="15"/>
      <c r="C556" s="15"/>
      <c r="D556" s="15"/>
      <c r="E556" s="15"/>
      <c r="F556" s="15"/>
      <c r="G556" s="15"/>
    </row>
    <row r="557" spans="1:7">
      <c r="A557" s="15"/>
      <c r="B557" s="15"/>
      <c r="C557" s="15"/>
      <c r="D557" s="15"/>
      <c r="E557" s="15"/>
      <c r="F557" s="15"/>
      <c r="G557" s="15"/>
    </row>
    <row r="558" spans="1:7">
      <c r="A558" s="15"/>
      <c r="B558" s="15"/>
      <c r="C558" s="15"/>
      <c r="D558" s="15"/>
      <c r="E558" s="15"/>
      <c r="F558" s="15"/>
      <c r="G558" s="15"/>
    </row>
    <row r="559" spans="1:7">
      <c r="A559" s="15"/>
      <c r="B559" s="15"/>
      <c r="C559" s="15"/>
      <c r="D559" s="15"/>
      <c r="E559" s="15"/>
      <c r="F559" s="15"/>
      <c r="G559" s="15"/>
    </row>
    <row r="560" spans="1:7">
      <c r="A560" s="15"/>
      <c r="B560" s="15"/>
      <c r="C560" s="15"/>
      <c r="D560" s="15"/>
      <c r="E560" s="15"/>
      <c r="F560" s="15"/>
      <c r="G560" s="15"/>
    </row>
    <row r="561" spans="1:7">
      <c r="A561" s="15"/>
      <c r="B561" s="15"/>
      <c r="C561" s="15"/>
      <c r="D561" s="15"/>
      <c r="E561" s="15"/>
      <c r="F561" s="15"/>
      <c r="G561" s="15"/>
    </row>
    <row r="562" spans="1:7">
      <c r="A562" s="15"/>
      <c r="B562" s="15"/>
      <c r="C562" s="15"/>
      <c r="D562" s="15"/>
      <c r="E562" s="15"/>
      <c r="F562" s="15"/>
      <c r="G562" s="15"/>
    </row>
    <row r="563" spans="1:7">
      <c r="A563" s="15"/>
      <c r="B563" s="15"/>
      <c r="C563" s="15"/>
      <c r="D563" s="15"/>
      <c r="E563" s="15"/>
      <c r="F563" s="15"/>
      <c r="G563" s="15"/>
    </row>
    <row r="564" spans="1:7">
      <c r="A564" s="15"/>
      <c r="B564" s="15"/>
      <c r="C564" s="15"/>
      <c r="D564" s="15"/>
      <c r="E564" s="15"/>
      <c r="F564" s="15"/>
      <c r="G564" s="15"/>
    </row>
    <row r="565" spans="1:7">
      <c r="A565" s="15"/>
      <c r="B565" s="15"/>
      <c r="C565" s="15"/>
      <c r="D565" s="15"/>
      <c r="E565" s="15"/>
      <c r="F565" s="15"/>
      <c r="G565" s="15"/>
    </row>
    <row r="566" spans="1:7">
      <c r="A566" s="15"/>
      <c r="B566" s="15"/>
      <c r="C566" s="15"/>
      <c r="D566" s="15"/>
      <c r="E566" s="15"/>
      <c r="F566" s="15"/>
      <c r="G566" s="15"/>
    </row>
    <row r="567" spans="1:7">
      <c r="A567" s="15"/>
      <c r="B567" s="15"/>
      <c r="C567" s="15"/>
      <c r="D567" s="15"/>
      <c r="E567" s="15"/>
      <c r="F567" s="15"/>
      <c r="G567" s="15"/>
    </row>
    <row r="568" spans="1:7">
      <c r="A568" s="15"/>
      <c r="B568" s="15"/>
      <c r="C568" s="15"/>
      <c r="D568" s="15"/>
      <c r="E568" s="15"/>
      <c r="F568" s="15"/>
      <c r="G568" s="15"/>
    </row>
    <row r="569" spans="1:7">
      <c r="A569" s="15"/>
      <c r="B569" s="15"/>
      <c r="C569" s="15"/>
      <c r="D569" s="15"/>
      <c r="E569" s="15"/>
      <c r="F569" s="15"/>
      <c r="G569" s="15"/>
    </row>
    <row r="570" spans="1:7">
      <c r="A570" s="15"/>
      <c r="B570" s="15"/>
      <c r="C570" s="15"/>
      <c r="D570" s="15"/>
      <c r="E570" s="15"/>
      <c r="F570" s="15"/>
      <c r="G570" s="15"/>
    </row>
    <row r="571" spans="1:7">
      <c r="A571" s="15"/>
      <c r="B571" s="15"/>
      <c r="C571" s="15"/>
      <c r="D571" s="15"/>
      <c r="E571" s="15"/>
      <c r="F571" s="15"/>
      <c r="G571" s="15"/>
    </row>
    <row r="572" spans="1:7">
      <c r="A572" s="15"/>
      <c r="B572" s="15"/>
      <c r="C572" s="15"/>
      <c r="D572" s="15"/>
      <c r="E572" s="15"/>
      <c r="F572" s="15"/>
      <c r="G572" s="15"/>
    </row>
    <row r="573" spans="1:7">
      <c r="A573" s="15"/>
      <c r="B573" s="15"/>
      <c r="C573" s="15"/>
      <c r="D573" s="15"/>
      <c r="E573" s="15"/>
      <c r="F573" s="15"/>
      <c r="G573" s="15"/>
    </row>
    <row r="574" spans="1:7">
      <c r="A574" s="15"/>
      <c r="B574" s="15"/>
      <c r="C574" s="15"/>
      <c r="D574" s="15"/>
      <c r="E574" s="15"/>
      <c r="F574" s="15"/>
      <c r="G574" s="15"/>
    </row>
    <row r="575" spans="1:7">
      <c r="A575" s="15"/>
      <c r="B575" s="15"/>
      <c r="C575" s="15"/>
      <c r="D575" s="15"/>
      <c r="E575" s="15"/>
      <c r="F575" s="15"/>
      <c r="G575" s="15"/>
    </row>
    <row r="576" spans="1:7">
      <c r="A576" s="15"/>
      <c r="B576" s="15"/>
      <c r="C576" s="15"/>
      <c r="D576" s="15"/>
      <c r="E576" s="15"/>
      <c r="F576" s="15"/>
      <c r="G576" s="15"/>
    </row>
    <row r="577" spans="1:7">
      <c r="A577" s="15"/>
      <c r="B577" s="15"/>
      <c r="C577" s="15"/>
      <c r="D577" s="15"/>
      <c r="E577" s="15"/>
      <c r="F577" s="15"/>
      <c r="G577" s="15"/>
    </row>
    <row r="578" spans="1:7">
      <c r="A578" s="15"/>
      <c r="B578" s="15"/>
      <c r="C578" s="15"/>
      <c r="D578" s="15"/>
      <c r="E578" s="15"/>
      <c r="F578" s="15"/>
      <c r="G578" s="15"/>
    </row>
    <row r="579" spans="1:7">
      <c r="A579" s="15"/>
      <c r="B579" s="15"/>
      <c r="C579" s="15"/>
      <c r="D579" s="15"/>
      <c r="E579" s="15"/>
      <c r="F579" s="15"/>
      <c r="G579" s="15"/>
    </row>
    <row r="580" spans="1:7">
      <c r="A580" s="15"/>
      <c r="B580" s="15"/>
      <c r="C580" s="15"/>
      <c r="D580" s="15"/>
      <c r="E580" s="15"/>
      <c r="F580" s="15"/>
      <c r="G580" s="15"/>
    </row>
    <row r="581" spans="1:7">
      <c r="A581" s="15"/>
      <c r="B581" s="15"/>
      <c r="C581" s="15"/>
      <c r="D581" s="15"/>
      <c r="E581" s="15"/>
      <c r="F581" s="15"/>
      <c r="G581" s="15"/>
    </row>
    <row r="582" spans="1:7">
      <c r="A582" s="15"/>
      <c r="B582" s="15"/>
      <c r="C582" s="15"/>
      <c r="D582" s="15"/>
      <c r="E582" s="15"/>
      <c r="F582" s="15"/>
      <c r="G582" s="15"/>
    </row>
    <row r="583" spans="1:7">
      <c r="A583" s="15"/>
      <c r="B583" s="15"/>
      <c r="C583" s="15"/>
      <c r="D583" s="15"/>
      <c r="E583" s="15"/>
      <c r="F583" s="15"/>
      <c r="G583" s="15"/>
    </row>
    <row r="584" spans="1:7">
      <c r="A584" s="15"/>
      <c r="B584" s="15"/>
      <c r="C584" s="15"/>
      <c r="D584" s="15"/>
      <c r="E584" s="15"/>
      <c r="F584" s="15"/>
      <c r="G584" s="15"/>
    </row>
    <row r="585" spans="1:7">
      <c r="A585" s="15"/>
      <c r="B585" s="15"/>
      <c r="C585" s="15"/>
      <c r="D585" s="15"/>
      <c r="E585" s="15"/>
      <c r="F585" s="15"/>
      <c r="G585" s="15"/>
    </row>
    <row r="586" spans="1:7">
      <c r="A586" s="15"/>
      <c r="B586" s="15"/>
      <c r="C586" s="15"/>
      <c r="D586" s="15"/>
      <c r="E586" s="15"/>
      <c r="F586" s="15"/>
      <c r="G586" s="15"/>
    </row>
    <row r="587" spans="1:7">
      <c r="A587" s="15"/>
      <c r="B587" s="15"/>
      <c r="C587" s="15"/>
      <c r="D587" s="15"/>
      <c r="E587" s="15"/>
      <c r="F587" s="15"/>
      <c r="G587" s="15"/>
    </row>
    <row r="588" spans="1:7">
      <c r="A588" s="15"/>
      <c r="B588" s="15"/>
      <c r="C588" s="15"/>
      <c r="D588" s="15"/>
      <c r="E588" s="15"/>
      <c r="F588" s="15"/>
      <c r="G588" s="15"/>
    </row>
    <row r="589" spans="1:7">
      <c r="A589" s="15"/>
      <c r="B589" s="15"/>
      <c r="C589" s="15"/>
      <c r="D589" s="15"/>
      <c r="E589" s="15"/>
      <c r="F589" s="15"/>
      <c r="G589" s="15"/>
    </row>
    <row r="590" spans="1:7">
      <c r="A590" s="15"/>
      <c r="B590" s="15"/>
      <c r="C590" s="15"/>
      <c r="D590" s="15"/>
      <c r="E590" s="15"/>
      <c r="F590" s="15"/>
      <c r="G590" s="15"/>
    </row>
    <row r="591" spans="1:7">
      <c r="A591" s="15"/>
      <c r="B591" s="15"/>
      <c r="C591" s="15"/>
      <c r="D591" s="15"/>
      <c r="E591" s="15"/>
      <c r="F591" s="15"/>
      <c r="G591" s="15"/>
    </row>
    <row r="592" spans="1:7">
      <c r="A592" s="15"/>
      <c r="B592" s="15"/>
      <c r="C592" s="15"/>
      <c r="D592" s="15"/>
      <c r="E592" s="15"/>
      <c r="F592" s="15"/>
      <c r="G592" s="15"/>
    </row>
    <row r="593" spans="1:7">
      <c r="A593" s="15"/>
      <c r="B593" s="15"/>
      <c r="C593" s="15"/>
      <c r="D593" s="15"/>
      <c r="E593" s="15"/>
      <c r="F593" s="15"/>
      <c r="G593" s="15"/>
    </row>
    <row r="594" spans="1:7">
      <c r="A594" s="15"/>
      <c r="B594" s="15"/>
      <c r="C594" s="15"/>
      <c r="D594" s="15"/>
      <c r="E594" s="15"/>
      <c r="F594" s="15"/>
      <c r="G594" s="15"/>
    </row>
    <row r="595" spans="1:7">
      <c r="A595" s="15"/>
      <c r="B595" s="15"/>
      <c r="C595" s="15"/>
      <c r="D595" s="15"/>
      <c r="E595" s="15"/>
      <c r="F595" s="15"/>
      <c r="G595" s="15"/>
    </row>
    <row r="596" spans="1:7">
      <c r="A596" s="15"/>
      <c r="B596" s="15"/>
      <c r="C596" s="15"/>
      <c r="D596" s="15"/>
      <c r="E596" s="15"/>
      <c r="F596" s="15"/>
      <c r="G596" s="15"/>
    </row>
    <row r="597" spans="1:7">
      <c r="A597" s="15"/>
      <c r="B597" s="15"/>
      <c r="C597" s="15"/>
      <c r="D597" s="15"/>
      <c r="E597" s="15"/>
      <c r="F597" s="15"/>
      <c r="G597" s="15"/>
    </row>
    <row r="598" spans="1:7">
      <c r="A598" s="15"/>
      <c r="B598" s="15"/>
      <c r="C598" s="15"/>
      <c r="D598" s="15"/>
      <c r="E598" s="15"/>
      <c r="F598" s="15"/>
      <c r="G598" s="15"/>
    </row>
    <row r="599" spans="1:7">
      <c r="A599" s="15"/>
      <c r="B599" s="15"/>
      <c r="C599" s="15"/>
      <c r="D599" s="15"/>
      <c r="E599" s="15"/>
      <c r="F599" s="15"/>
      <c r="G599" s="15"/>
    </row>
    <row r="600" spans="1:7">
      <c r="A600" s="15"/>
      <c r="B600" s="15"/>
      <c r="C600" s="15"/>
      <c r="D600" s="15"/>
      <c r="E600" s="15"/>
      <c r="F600" s="15"/>
      <c r="G600" s="15"/>
    </row>
    <row r="601" spans="1:7">
      <c r="A601" s="15"/>
      <c r="B601" s="15"/>
      <c r="C601" s="15"/>
      <c r="D601" s="15"/>
      <c r="E601" s="15"/>
      <c r="F601" s="15"/>
      <c r="G601" s="15"/>
    </row>
    <row r="602" spans="1:7">
      <c r="A602" s="15"/>
      <c r="B602" s="15"/>
      <c r="C602" s="15"/>
      <c r="D602" s="15"/>
      <c r="E602" s="15"/>
      <c r="F602" s="15"/>
      <c r="G602" s="15"/>
    </row>
    <row r="603" spans="1:7">
      <c r="A603" s="15"/>
      <c r="B603" s="15"/>
      <c r="C603" s="15"/>
      <c r="D603" s="15"/>
      <c r="E603" s="15"/>
      <c r="F603" s="15"/>
      <c r="G603" s="15"/>
    </row>
    <row r="604" spans="1:7">
      <c r="A604" s="15"/>
      <c r="B604" s="15"/>
      <c r="C604" s="15"/>
      <c r="D604" s="15"/>
      <c r="E604" s="15"/>
      <c r="F604" s="15"/>
      <c r="G604" s="15"/>
    </row>
    <row r="605" spans="1:7">
      <c r="A605" s="15"/>
      <c r="B605" s="15"/>
      <c r="C605" s="15"/>
      <c r="D605" s="15"/>
      <c r="E605" s="15"/>
      <c r="F605" s="15"/>
      <c r="G605" s="15"/>
    </row>
    <row r="606" spans="1:7">
      <c r="A606" s="15"/>
      <c r="B606" s="15"/>
      <c r="C606" s="15"/>
      <c r="D606" s="15"/>
      <c r="E606" s="15"/>
      <c r="F606" s="15"/>
      <c r="G606" s="15"/>
    </row>
    <row r="607" spans="1:7">
      <c r="A607" s="15"/>
      <c r="B607" s="15"/>
      <c r="C607" s="15"/>
      <c r="D607" s="15"/>
      <c r="E607" s="15"/>
      <c r="F607" s="15"/>
      <c r="G607" s="15"/>
    </row>
    <row r="608" spans="1:7">
      <c r="A608" s="15"/>
      <c r="B608" s="15"/>
      <c r="C608" s="15"/>
      <c r="D608" s="15"/>
      <c r="E608" s="15"/>
      <c r="F608" s="15"/>
      <c r="G608" s="15"/>
    </row>
    <row r="609" spans="1:7">
      <c r="A609" s="15"/>
      <c r="B609" s="15"/>
      <c r="C609" s="15"/>
      <c r="D609" s="15"/>
      <c r="E609" s="15"/>
      <c r="F609" s="15"/>
      <c r="G609" s="15"/>
    </row>
    <row r="610" spans="1:7">
      <c r="A610" s="15"/>
      <c r="B610" s="15"/>
      <c r="C610" s="15"/>
      <c r="D610" s="15"/>
      <c r="E610" s="15"/>
      <c r="F610" s="15"/>
      <c r="G610" s="15"/>
    </row>
    <row r="611" spans="1:7">
      <c r="A611" s="15"/>
      <c r="B611" s="15"/>
      <c r="C611" s="15"/>
      <c r="D611" s="15"/>
      <c r="E611" s="15"/>
      <c r="F611" s="15"/>
      <c r="G611" s="15"/>
    </row>
    <row r="612" spans="1:7">
      <c r="A612" s="15"/>
      <c r="B612" s="15"/>
      <c r="C612" s="15"/>
      <c r="D612" s="15"/>
      <c r="E612" s="15"/>
      <c r="F612" s="15"/>
      <c r="G612" s="15"/>
    </row>
    <row r="613" spans="1:7">
      <c r="A613" s="15"/>
      <c r="B613" s="15"/>
      <c r="C613" s="15"/>
      <c r="D613" s="15"/>
      <c r="E613" s="15"/>
      <c r="F613" s="15"/>
      <c r="G613" s="15"/>
    </row>
    <row r="614" spans="1:7">
      <c r="A614" s="15"/>
      <c r="B614" s="15"/>
      <c r="C614" s="15"/>
      <c r="D614" s="15"/>
      <c r="E614" s="15"/>
      <c r="F614" s="15"/>
      <c r="G614" s="15"/>
    </row>
    <row r="615" spans="1:7">
      <c r="A615" s="15"/>
      <c r="B615" s="15"/>
      <c r="C615" s="15"/>
      <c r="D615" s="15"/>
      <c r="E615" s="15"/>
      <c r="F615" s="15"/>
      <c r="G615" s="15"/>
    </row>
    <row r="616" spans="1:7">
      <c r="A616" s="15"/>
      <c r="B616" s="15"/>
      <c r="C616" s="15"/>
      <c r="D616" s="15"/>
      <c r="E616" s="15"/>
      <c r="F616" s="15"/>
      <c r="G616" s="15"/>
    </row>
    <row r="617" spans="1:7">
      <c r="A617" s="15"/>
      <c r="B617" s="15"/>
      <c r="C617" s="15"/>
      <c r="D617" s="15"/>
      <c r="E617" s="15"/>
      <c r="F617" s="15"/>
      <c r="G617" s="15"/>
    </row>
    <row r="618" spans="1:7">
      <c r="A618" s="15"/>
      <c r="B618" s="15"/>
      <c r="C618" s="15"/>
      <c r="D618" s="15"/>
      <c r="E618" s="15"/>
      <c r="F618" s="15"/>
      <c r="G618" s="15"/>
    </row>
    <row r="619" spans="1:7">
      <c r="A619" s="15"/>
      <c r="B619" s="15"/>
      <c r="C619" s="15"/>
      <c r="D619" s="15"/>
      <c r="E619" s="15"/>
      <c r="F619" s="15"/>
      <c r="G619" s="15"/>
    </row>
    <row r="620" spans="1:7">
      <c r="A620" s="15"/>
      <c r="B620" s="15"/>
      <c r="C620" s="15"/>
      <c r="D620" s="15"/>
      <c r="E620" s="15"/>
      <c r="F620" s="15"/>
      <c r="G620" s="15"/>
    </row>
    <row r="621" spans="1:7">
      <c r="A621" s="15"/>
      <c r="B621" s="15"/>
      <c r="C621" s="15"/>
      <c r="D621" s="15"/>
      <c r="E621" s="15"/>
      <c r="F621" s="15"/>
      <c r="G621" s="15"/>
    </row>
    <row r="622" spans="1:7">
      <c r="A622" s="15"/>
      <c r="B622" s="15"/>
      <c r="C622" s="15"/>
      <c r="D622" s="15"/>
      <c r="E622" s="15"/>
      <c r="F622" s="15"/>
      <c r="G622" s="15"/>
    </row>
    <row r="623" spans="1:7">
      <c r="A623" s="15"/>
      <c r="B623" s="15"/>
      <c r="C623" s="15"/>
      <c r="D623" s="15"/>
      <c r="E623" s="15"/>
      <c r="F623" s="15"/>
      <c r="G623" s="15"/>
    </row>
    <row r="624" spans="1:7">
      <c r="A624" s="15"/>
      <c r="B624" s="15"/>
      <c r="C624" s="15"/>
      <c r="D624" s="15"/>
      <c r="E624" s="15"/>
      <c r="F624" s="15"/>
      <c r="G624" s="15"/>
    </row>
    <row r="625" spans="1:7">
      <c r="A625" s="15"/>
      <c r="B625" s="15"/>
      <c r="C625" s="15"/>
      <c r="D625" s="15"/>
      <c r="E625" s="15"/>
      <c r="F625" s="15"/>
      <c r="G625" s="15"/>
    </row>
    <row r="626" spans="1:7">
      <c r="A626" s="15"/>
      <c r="B626" s="15"/>
      <c r="C626" s="15"/>
      <c r="D626" s="15"/>
      <c r="E626" s="15"/>
      <c r="F626" s="15"/>
      <c r="G626" s="15"/>
    </row>
    <row r="627" spans="1:7">
      <c r="A627" s="15"/>
      <c r="B627" s="15"/>
      <c r="C627" s="15"/>
      <c r="D627" s="15"/>
      <c r="E627" s="15"/>
      <c r="F627" s="15"/>
      <c r="G627" s="15"/>
    </row>
    <row r="628" spans="1:7">
      <c r="A628" s="15"/>
      <c r="B628" s="15"/>
      <c r="C628" s="15"/>
      <c r="D628" s="15"/>
      <c r="E628" s="15"/>
      <c r="F628" s="15"/>
      <c r="G628" s="15"/>
    </row>
    <row r="629" spans="1:7">
      <c r="A629" s="15"/>
      <c r="B629" s="15"/>
      <c r="C629" s="15"/>
      <c r="D629" s="15"/>
      <c r="E629" s="15"/>
      <c r="F629" s="15"/>
      <c r="G629" s="15"/>
    </row>
    <row r="630" spans="1:7">
      <c r="A630" s="15"/>
      <c r="B630" s="15"/>
      <c r="C630" s="15"/>
      <c r="D630" s="15"/>
      <c r="E630" s="15"/>
      <c r="F630" s="15"/>
      <c r="G630" s="15"/>
    </row>
    <row r="631" spans="1:7">
      <c r="A631" s="15"/>
      <c r="B631" s="15"/>
      <c r="C631" s="15"/>
      <c r="D631" s="15"/>
      <c r="E631" s="15"/>
      <c r="F631" s="15"/>
      <c r="G631" s="15"/>
    </row>
    <row r="632" spans="1:7">
      <c r="A632" s="15"/>
      <c r="B632" s="15"/>
      <c r="C632" s="15"/>
      <c r="D632" s="15"/>
      <c r="E632" s="15"/>
      <c r="F632" s="15"/>
      <c r="G632" s="15"/>
    </row>
    <row r="633" spans="1:7">
      <c r="A633" s="15"/>
      <c r="B633" s="15"/>
      <c r="C633" s="15"/>
      <c r="D633" s="15"/>
      <c r="E633" s="15"/>
      <c r="F633" s="15"/>
      <c r="G633" s="15"/>
    </row>
    <row r="634" spans="1:7">
      <c r="A634" s="15"/>
      <c r="B634" s="15"/>
      <c r="C634" s="15"/>
      <c r="D634" s="15"/>
      <c r="E634" s="15"/>
      <c r="F634" s="15"/>
      <c r="G634" s="15"/>
    </row>
    <row r="635" spans="1:7">
      <c r="A635" s="15"/>
      <c r="B635" s="15"/>
      <c r="C635" s="15"/>
      <c r="D635" s="15"/>
      <c r="E635" s="15"/>
      <c r="F635" s="15"/>
      <c r="G635" s="15"/>
    </row>
    <row r="636" spans="1:7">
      <c r="A636" s="15"/>
      <c r="B636" s="15"/>
      <c r="C636" s="15"/>
      <c r="D636" s="15"/>
      <c r="E636" s="15"/>
      <c r="F636" s="15"/>
      <c r="G636" s="15"/>
    </row>
    <row r="637" spans="1:7">
      <c r="A637" s="15"/>
      <c r="B637" s="15"/>
      <c r="C637" s="15"/>
      <c r="D637" s="15"/>
      <c r="E637" s="15"/>
      <c r="F637" s="15"/>
      <c r="G637" s="15"/>
    </row>
    <row r="638" spans="1:7">
      <c r="A638" s="15"/>
      <c r="B638" s="15"/>
      <c r="C638" s="15"/>
      <c r="D638" s="15"/>
      <c r="E638" s="15"/>
      <c r="F638" s="15"/>
      <c r="G638" s="15"/>
    </row>
    <row r="639" spans="1:7">
      <c r="A639" s="15"/>
      <c r="B639" s="15"/>
      <c r="C639" s="15"/>
      <c r="D639" s="15"/>
      <c r="E639" s="15"/>
      <c r="F639" s="15"/>
      <c r="G639" s="15"/>
    </row>
    <row r="640" spans="1:7">
      <c r="A640" s="15"/>
      <c r="B640" s="15"/>
      <c r="C640" s="15"/>
      <c r="D640" s="15"/>
      <c r="E640" s="15"/>
      <c r="F640" s="15"/>
      <c r="G640" s="15"/>
    </row>
    <row r="641" spans="1:7">
      <c r="A641" s="15"/>
      <c r="B641" s="15"/>
      <c r="C641" s="15"/>
      <c r="D641" s="15"/>
      <c r="E641" s="15"/>
      <c r="F641" s="15"/>
      <c r="G641" s="15"/>
    </row>
    <row r="642" spans="1:7">
      <c r="A642" s="15"/>
      <c r="B642" s="15"/>
      <c r="C642" s="15"/>
      <c r="D642" s="15"/>
      <c r="E642" s="15"/>
      <c r="F642" s="15"/>
      <c r="G642" s="15"/>
    </row>
    <row r="643" spans="1:7">
      <c r="A643" s="15"/>
      <c r="B643" s="15"/>
      <c r="C643" s="15"/>
      <c r="D643" s="15"/>
      <c r="E643" s="15"/>
      <c r="F643" s="15"/>
      <c r="G643" s="15"/>
    </row>
    <row r="644" spans="1:7">
      <c r="A644" s="15"/>
      <c r="B644" s="15"/>
      <c r="C644" s="15"/>
      <c r="D644" s="15"/>
      <c r="E644" s="15"/>
      <c r="F644" s="15"/>
      <c r="G644" s="15"/>
    </row>
    <row r="645" spans="1:7">
      <c r="A645" s="15"/>
      <c r="B645" s="15"/>
      <c r="C645" s="15"/>
      <c r="D645" s="15"/>
      <c r="E645" s="15"/>
      <c r="F645" s="15"/>
      <c r="G645" s="15"/>
    </row>
    <row r="646" spans="1:7">
      <c r="A646" s="15"/>
      <c r="B646" s="15"/>
      <c r="C646" s="15"/>
      <c r="D646" s="15"/>
      <c r="E646" s="15"/>
      <c r="F646" s="15"/>
      <c r="G646" s="15"/>
    </row>
    <row r="647" spans="1:7">
      <c r="A647" s="15"/>
      <c r="B647" s="15"/>
      <c r="C647" s="15"/>
      <c r="D647" s="15"/>
      <c r="E647" s="15"/>
      <c r="F647" s="15"/>
      <c r="G647" s="15"/>
    </row>
    <row r="648" spans="1:7">
      <c r="A648" s="15"/>
      <c r="B648" s="15"/>
      <c r="C648" s="15"/>
      <c r="D648" s="15"/>
      <c r="E648" s="15"/>
      <c r="F648" s="15"/>
      <c r="G648" s="15"/>
    </row>
    <row r="649" spans="1:7">
      <c r="A649" s="15"/>
      <c r="B649" s="15"/>
      <c r="C649" s="15"/>
      <c r="D649" s="15"/>
      <c r="E649" s="15"/>
      <c r="F649" s="15"/>
      <c r="G649" s="15"/>
    </row>
    <row r="650" spans="1:7">
      <c r="A650" s="15"/>
      <c r="B650" s="15"/>
      <c r="C650" s="15"/>
      <c r="D650" s="15"/>
      <c r="E650" s="15"/>
      <c r="F650" s="15"/>
      <c r="G650" s="15"/>
    </row>
    <row r="651" spans="1:7">
      <c r="A651" s="15"/>
      <c r="B651" s="15"/>
      <c r="C651" s="15"/>
      <c r="D651" s="15"/>
      <c r="E651" s="15"/>
      <c r="F651" s="15"/>
      <c r="G651" s="15"/>
    </row>
    <row r="652" spans="1:7">
      <c r="A652" s="15"/>
      <c r="B652" s="15"/>
      <c r="C652" s="15"/>
      <c r="D652" s="15"/>
      <c r="E652" s="15"/>
      <c r="F652" s="15"/>
      <c r="G652" s="15"/>
    </row>
    <row r="653" spans="1:7">
      <c r="A653" s="15"/>
      <c r="B653" s="15"/>
      <c r="C653" s="15"/>
      <c r="D653" s="15"/>
      <c r="E653" s="15"/>
      <c r="F653" s="15"/>
      <c r="G653" s="15"/>
    </row>
    <row r="654" spans="1:7">
      <c r="A654" s="15"/>
      <c r="B654" s="15"/>
      <c r="C654" s="15"/>
      <c r="D654" s="15"/>
      <c r="E654" s="15"/>
      <c r="F654" s="15"/>
      <c r="G654" s="15"/>
    </row>
    <row r="655" spans="1:7">
      <c r="A655" s="15"/>
      <c r="B655" s="15"/>
      <c r="C655" s="15"/>
      <c r="D655" s="15"/>
      <c r="E655" s="15"/>
      <c r="F655" s="15"/>
      <c r="G655" s="15"/>
    </row>
    <row r="656" spans="1:7">
      <c r="A656" s="15"/>
      <c r="B656" s="15"/>
      <c r="C656" s="15"/>
      <c r="D656" s="15"/>
      <c r="E656" s="15"/>
      <c r="F656" s="15"/>
      <c r="G656" s="15"/>
    </row>
    <row r="657" spans="1:7">
      <c r="A657" s="15"/>
      <c r="B657" s="15"/>
      <c r="C657" s="15"/>
      <c r="D657" s="15"/>
      <c r="E657" s="15"/>
      <c r="F657" s="15"/>
      <c r="G657" s="15"/>
    </row>
    <row r="658" spans="1:7">
      <c r="A658" s="15"/>
      <c r="B658" s="15"/>
      <c r="C658" s="15"/>
      <c r="D658" s="15"/>
      <c r="E658" s="15"/>
      <c r="F658" s="15"/>
      <c r="G658" s="15"/>
    </row>
    <row r="659" spans="1:7">
      <c r="A659" s="15"/>
      <c r="B659" s="15"/>
      <c r="C659" s="15"/>
      <c r="D659" s="15"/>
      <c r="E659" s="15"/>
      <c r="F659" s="15"/>
      <c r="G659" s="15"/>
    </row>
    <row r="660" spans="1:7">
      <c r="A660" s="15"/>
      <c r="B660" s="15"/>
      <c r="C660" s="15"/>
      <c r="D660" s="15"/>
      <c r="E660" s="15"/>
      <c r="F660" s="15"/>
      <c r="G660" s="15"/>
    </row>
    <row r="661" spans="1:7">
      <c r="A661" s="15"/>
      <c r="B661" s="15"/>
      <c r="C661" s="15"/>
      <c r="D661" s="15"/>
      <c r="E661" s="15"/>
      <c r="F661" s="15"/>
      <c r="G661" s="15"/>
    </row>
    <row r="662" spans="1:7">
      <c r="A662" s="15"/>
      <c r="B662" s="15"/>
      <c r="C662" s="15"/>
      <c r="D662" s="15"/>
      <c r="E662" s="15"/>
      <c r="F662" s="15"/>
      <c r="G662" s="15"/>
    </row>
    <row r="663" spans="1:7">
      <c r="A663" s="15"/>
      <c r="B663" s="15"/>
      <c r="C663" s="15"/>
      <c r="D663" s="15"/>
      <c r="E663" s="15"/>
      <c r="F663" s="15"/>
      <c r="G663" s="15"/>
    </row>
    <row r="664" spans="1:7">
      <c r="A664" s="15"/>
      <c r="B664" s="15"/>
      <c r="C664" s="15"/>
      <c r="D664" s="15"/>
      <c r="E664" s="15"/>
      <c r="F664" s="15"/>
      <c r="G664" s="15"/>
    </row>
    <row r="665" spans="1:7">
      <c r="A665" s="15"/>
      <c r="B665" s="15"/>
      <c r="C665" s="15"/>
      <c r="D665" s="15"/>
      <c r="E665" s="15"/>
      <c r="F665" s="15"/>
      <c r="G665" s="15"/>
    </row>
    <row r="666" spans="1:7">
      <c r="A666" s="15"/>
      <c r="B666" s="15"/>
      <c r="C666" s="15"/>
      <c r="D666" s="15"/>
      <c r="E666" s="15"/>
      <c r="F666" s="15"/>
      <c r="G666" s="15"/>
    </row>
    <row r="667" spans="1:7">
      <c r="A667" s="15"/>
      <c r="B667" s="15"/>
      <c r="C667" s="15"/>
      <c r="D667" s="15"/>
      <c r="E667" s="15"/>
      <c r="F667" s="15"/>
      <c r="G667" s="15"/>
    </row>
    <row r="668" spans="1:7">
      <c r="A668" s="15"/>
      <c r="B668" s="15"/>
      <c r="C668" s="15"/>
      <c r="D668" s="15"/>
      <c r="E668" s="15"/>
      <c r="F668" s="15"/>
      <c r="G668" s="15"/>
    </row>
    <row r="669" spans="1:7">
      <c r="A669" s="15"/>
      <c r="B669" s="15"/>
      <c r="C669" s="15"/>
      <c r="D669" s="15"/>
      <c r="E669" s="15"/>
      <c r="F669" s="15"/>
      <c r="G669" s="15"/>
    </row>
    <row r="670" spans="1:7">
      <c r="A670" s="15"/>
      <c r="B670" s="15"/>
      <c r="C670" s="15"/>
      <c r="D670" s="15"/>
      <c r="E670" s="15"/>
      <c r="F670" s="15"/>
      <c r="G670" s="15"/>
    </row>
    <row r="671" spans="1:7">
      <c r="A671" s="15"/>
      <c r="B671" s="15"/>
      <c r="C671" s="15"/>
      <c r="D671" s="15"/>
      <c r="E671" s="15"/>
      <c r="F671" s="15"/>
      <c r="G671" s="15"/>
    </row>
    <row r="672" spans="1:7">
      <c r="A672" s="15"/>
      <c r="B672" s="15"/>
      <c r="C672" s="15"/>
      <c r="D672" s="15"/>
      <c r="E672" s="15"/>
      <c r="F672" s="15"/>
      <c r="G672" s="15"/>
    </row>
    <row r="673" spans="1:7">
      <c r="A673" s="15"/>
      <c r="B673" s="15"/>
      <c r="C673" s="15"/>
      <c r="D673" s="15"/>
      <c r="E673" s="15"/>
      <c r="F673" s="15"/>
      <c r="G673" s="15"/>
    </row>
    <row r="674" spans="1:7">
      <c r="A674" s="15"/>
      <c r="B674" s="15"/>
      <c r="C674" s="15"/>
      <c r="D674" s="15"/>
      <c r="E674" s="15"/>
      <c r="F674" s="15"/>
      <c r="G674" s="15"/>
    </row>
    <row r="675" spans="1:7">
      <c r="A675" s="15"/>
      <c r="B675" s="15"/>
      <c r="C675" s="15"/>
      <c r="D675" s="15"/>
      <c r="E675" s="15"/>
      <c r="F675" s="15"/>
      <c r="G675" s="15"/>
    </row>
    <row r="676" spans="1:7">
      <c r="A676" s="15"/>
      <c r="B676" s="15"/>
      <c r="C676" s="15"/>
      <c r="D676" s="15"/>
      <c r="E676" s="15"/>
      <c r="F676" s="15"/>
      <c r="G676" s="15"/>
    </row>
    <row r="677" spans="1:7">
      <c r="A677" s="15"/>
      <c r="B677" s="15"/>
      <c r="C677" s="15"/>
      <c r="D677" s="15"/>
      <c r="E677" s="15"/>
      <c r="F677" s="15"/>
      <c r="G677" s="15"/>
    </row>
    <row r="678" spans="1:7">
      <c r="A678" s="15"/>
      <c r="B678" s="15"/>
      <c r="C678" s="15"/>
      <c r="D678" s="15"/>
      <c r="E678" s="15"/>
      <c r="F678" s="15"/>
      <c r="G678" s="15"/>
    </row>
    <row r="679" spans="1:7">
      <c r="A679" s="15"/>
      <c r="B679" s="15"/>
      <c r="C679" s="15"/>
      <c r="D679" s="15"/>
      <c r="E679" s="15"/>
      <c r="F679" s="15"/>
      <c r="G679" s="15"/>
    </row>
    <row r="680" spans="1:7">
      <c r="A680" s="15"/>
      <c r="B680" s="15"/>
      <c r="C680" s="15"/>
      <c r="D680" s="15"/>
      <c r="E680" s="15"/>
      <c r="F680" s="15"/>
      <c r="G680" s="15"/>
    </row>
    <row r="681" spans="1:7">
      <c r="A681" s="15"/>
      <c r="B681" s="15"/>
      <c r="C681" s="15"/>
      <c r="D681" s="15"/>
      <c r="E681" s="15"/>
      <c r="F681" s="15"/>
      <c r="G681" s="15"/>
    </row>
    <row r="682" spans="1:7">
      <c r="A682" s="15"/>
      <c r="B682" s="15"/>
      <c r="C682" s="15"/>
      <c r="D682" s="15"/>
      <c r="E682" s="15"/>
      <c r="F682" s="15"/>
      <c r="G682" s="15"/>
    </row>
    <row r="683" spans="1:7">
      <c r="A683" s="15"/>
      <c r="B683" s="15"/>
      <c r="C683" s="15"/>
      <c r="D683" s="15"/>
      <c r="E683" s="15"/>
      <c r="F683" s="15"/>
      <c r="G683" s="15"/>
    </row>
    <row r="684" spans="1:7">
      <c r="A684" s="15"/>
      <c r="B684" s="15"/>
      <c r="C684" s="15"/>
      <c r="D684" s="15"/>
      <c r="E684" s="15"/>
      <c r="F684" s="15"/>
      <c r="G684" s="15"/>
    </row>
    <row r="685" spans="1:7">
      <c r="A685" s="15"/>
      <c r="B685" s="15"/>
      <c r="C685" s="15"/>
      <c r="D685" s="15"/>
      <c r="E685" s="15"/>
      <c r="F685" s="15"/>
      <c r="G685" s="15"/>
    </row>
    <row r="686" spans="1:7">
      <c r="A686" s="15"/>
      <c r="B686" s="15"/>
      <c r="C686" s="15"/>
      <c r="D686" s="15"/>
      <c r="E686" s="15"/>
      <c r="F686" s="15"/>
      <c r="G686" s="15"/>
    </row>
    <row r="687" spans="1:7">
      <c r="A687" s="15"/>
      <c r="B687" s="15"/>
      <c r="C687" s="15"/>
      <c r="D687" s="15"/>
      <c r="E687" s="15"/>
      <c r="F687" s="15"/>
      <c r="G687" s="15"/>
    </row>
    <row r="688" spans="1:7">
      <c r="A688" s="15"/>
      <c r="B688" s="15"/>
      <c r="C688" s="15"/>
      <c r="D688" s="15"/>
      <c r="E688" s="15"/>
      <c r="F688" s="15"/>
      <c r="G688" s="15"/>
    </row>
    <row r="689" spans="1:7">
      <c r="A689" s="15"/>
      <c r="B689" s="15"/>
      <c r="C689" s="15"/>
      <c r="D689" s="15"/>
      <c r="E689" s="15"/>
      <c r="F689" s="15"/>
      <c r="G689" s="15"/>
    </row>
    <row r="690" spans="1:7">
      <c r="A690" s="15"/>
      <c r="B690" s="15"/>
      <c r="C690" s="15"/>
      <c r="D690" s="15"/>
      <c r="E690" s="15"/>
      <c r="F690" s="15"/>
      <c r="G690" s="15"/>
    </row>
    <row r="691" spans="1:7">
      <c r="A691" s="15"/>
      <c r="B691" s="15"/>
      <c r="C691" s="15"/>
      <c r="D691" s="15"/>
      <c r="E691" s="15"/>
      <c r="F691" s="15"/>
      <c r="G691" s="15"/>
    </row>
    <row r="692" spans="1:7">
      <c r="A692" s="15"/>
      <c r="B692" s="15"/>
      <c r="C692" s="15"/>
      <c r="D692" s="15"/>
      <c r="E692" s="15"/>
      <c r="F692" s="15"/>
      <c r="G692" s="15"/>
    </row>
    <row r="693" spans="1:7">
      <c r="A693" s="15"/>
      <c r="B693" s="15"/>
      <c r="C693" s="15"/>
      <c r="D693" s="15"/>
      <c r="E693" s="15"/>
      <c r="F693" s="15"/>
      <c r="G693" s="15"/>
    </row>
    <row r="694" spans="1:7">
      <c r="A694" s="15"/>
      <c r="B694" s="15"/>
      <c r="C694" s="15"/>
      <c r="D694" s="15"/>
      <c r="E694" s="15"/>
      <c r="F694" s="15"/>
      <c r="G694" s="15"/>
    </row>
    <row r="695" spans="1:7">
      <c r="A695" s="15"/>
      <c r="B695" s="15"/>
      <c r="C695" s="15"/>
      <c r="D695" s="15"/>
      <c r="E695" s="15"/>
      <c r="F695" s="15"/>
      <c r="G695" s="15"/>
    </row>
    <row r="696" spans="1:7">
      <c r="A696" s="15"/>
      <c r="B696" s="15"/>
      <c r="C696" s="15"/>
      <c r="D696" s="15"/>
      <c r="E696" s="15"/>
      <c r="F696" s="15"/>
      <c r="G696" s="15"/>
    </row>
    <row r="697" spans="1:7">
      <c r="A697" s="15"/>
      <c r="B697" s="15"/>
      <c r="C697" s="15"/>
      <c r="D697" s="15"/>
      <c r="E697" s="15"/>
      <c r="F697" s="15"/>
      <c r="G697" s="15"/>
    </row>
    <row r="698" spans="1:7">
      <c r="A698" s="15"/>
      <c r="B698" s="15"/>
      <c r="C698" s="15"/>
      <c r="D698" s="15"/>
      <c r="E698" s="15"/>
      <c r="F698" s="15"/>
      <c r="G698" s="15"/>
    </row>
    <row r="699" spans="1:7">
      <c r="A699" s="15"/>
      <c r="B699" s="15"/>
      <c r="C699" s="15"/>
      <c r="D699" s="15"/>
      <c r="E699" s="15"/>
      <c r="F699" s="15"/>
      <c r="G699" s="15"/>
    </row>
    <row r="700" spans="1:7">
      <c r="A700" s="15"/>
      <c r="B700" s="15"/>
      <c r="C700" s="15"/>
      <c r="D700" s="15"/>
      <c r="E700" s="15"/>
      <c r="F700" s="15"/>
      <c r="G700" s="15"/>
    </row>
    <row r="701" spans="1:7">
      <c r="A701" s="15"/>
      <c r="B701" s="15"/>
      <c r="C701" s="15"/>
      <c r="D701" s="15"/>
      <c r="E701" s="15"/>
      <c r="F701" s="15"/>
      <c r="G701" s="15"/>
    </row>
    <row r="702" spans="1:7">
      <c r="A702" s="15"/>
      <c r="B702" s="15"/>
      <c r="C702" s="15"/>
      <c r="D702" s="15"/>
      <c r="E702" s="15"/>
      <c r="F702" s="15"/>
      <c r="G702" s="15"/>
    </row>
    <row r="703" spans="1:7">
      <c r="A703" s="15"/>
      <c r="B703" s="15"/>
      <c r="C703" s="15"/>
      <c r="D703" s="15"/>
      <c r="E703" s="15"/>
      <c r="F703" s="15"/>
      <c r="G703" s="15"/>
    </row>
    <row r="704" spans="1:7">
      <c r="A704" s="15"/>
      <c r="B704" s="15"/>
      <c r="C704" s="15"/>
      <c r="D704" s="15"/>
      <c r="E704" s="15"/>
      <c r="F704" s="15"/>
      <c r="G704" s="15"/>
    </row>
    <row r="705" spans="1:7">
      <c r="A705" s="15"/>
      <c r="B705" s="15"/>
      <c r="C705" s="15"/>
      <c r="D705" s="15"/>
      <c r="E705" s="15"/>
      <c r="F705" s="15"/>
      <c r="G705" s="15"/>
    </row>
    <row r="706" spans="1:7">
      <c r="A706" s="15"/>
      <c r="B706" s="15"/>
      <c r="C706" s="15"/>
      <c r="D706" s="15"/>
      <c r="E706" s="15"/>
      <c r="F706" s="15"/>
      <c r="G706" s="15"/>
    </row>
    <row r="707" spans="1:7">
      <c r="A707" s="15"/>
      <c r="B707" s="15"/>
      <c r="C707" s="15"/>
      <c r="D707" s="15"/>
      <c r="E707" s="15"/>
      <c r="F707" s="15"/>
      <c r="G707" s="15"/>
    </row>
    <row r="708" spans="1:7">
      <c r="A708" s="15"/>
      <c r="B708" s="15"/>
      <c r="C708" s="15"/>
      <c r="D708" s="15"/>
      <c r="E708" s="15"/>
      <c r="F708" s="15"/>
      <c r="G708" s="15"/>
    </row>
    <row r="709" spans="1:7">
      <c r="A709" s="15"/>
      <c r="B709" s="15"/>
      <c r="C709" s="15"/>
      <c r="D709" s="15"/>
      <c r="E709" s="15"/>
      <c r="F709" s="15"/>
      <c r="G709" s="15"/>
    </row>
    <row r="710" spans="1:7">
      <c r="A710" s="15"/>
      <c r="B710" s="15"/>
      <c r="C710" s="15"/>
      <c r="D710" s="15"/>
      <c r="E710" s="15"/>
      <c r="F710" s="15"/>
      <c r="G710" s="15"/>
    </row>
    <row r="711" spans="1:7">
      <c r="A711" s="15"/>
      <c r="B711" s="15"/>
      <c r="C711" s="15"/>
      <c r="D711" s="15"/>
      <c r="E711" s="15"/>
      <c r="F711" s="15"/>
      <c r="G711" s="15"/>
    </row>
    <row r="712" spans="1:7">
      <c r="A712" s="15"/>
      <c r="B712" s="15"/>
      <c r="C712" s="15"/>
      <c r="D712" s="15"/>
      <c r="E712" s="15"/>
      <c r="F712" s="15"/>
      <c r="G712" s="15"/>
    </row>
    <row r="713" spans="1:7">
      <c r="A713" s="15"/>
      <c r="B713" s="15"/>
      <c r="C713" s="15"/>
      <c r="D713" s="15"/>
      <c r="E713" s="15"/>
      <c r="F713" s="15"/>
      <c r="G713" s="15"/>
    </row>
    <row r="714" spans="1:7">
      <c r="A714" s="15"/>
      <c r="B714" s="15"/>
      <c r="C714" s="15"/>
      <c r="D714" s="15"/>
      <c r="E714" s="15"/>
      <c r="F714" s="15"/>
      <c r="G714" s="15"/>
    </row>
    <row r="715" spans="1:7">
      <c r="A715" s="15"/>
      <c r="B715" s="15"/>
      <c r="C715" s="15"/>
      <c r="D715" s="15"/>
      <c r="E715" s="15"/>
      <c r="F715" s="15"/>
      <c r="G715" s="15"/>
    </row>
    <row r="716" spans="1:7">
      <c r="A716" s="15"/>
      <c r="B716" s="15"/>
      <c r="C716" s="15"/>
      <c r="D716" s="15"/>
      <c r="E716" s="15"/>
      <c r="F716" s="15"/>
      <c r="G716" s="15"/>
    </row>
    <row r="717" spans="1:7">
      <c r="A717" s="15"/>
      <c r="B717" s="15"/>
      <c r="C717" s="15"/>
      <c r="D717" s="15"/>
      <c r="E717" s="15"/>
      <c r="F717" s="15"/>
      <c r="G717" s="15"/>
    </row>
    <row r="718" spans="1:7">
      <c r="A718" s="15"/>
      <c r="B718" s="15"/>
      <c r="C718" s="15"/>
      <c r="D718" s="15"/>
      <c r="E718" s="15"/>
      <c r="F718" s="15"/>
      <c r="G718" s="15"/>
    </row>
    <row r="719" spans="1:7">
      <c r="A719" s="15"/>
      <c r="B719" s="15"/>
      <c r="C719" s="15"/>
      <c r="D719" s="15"/>
      <c r="E719" s="15"/>
      <c r="F719" s="15"/>
      <c r="G719" s="15"/>
    </row>
    <row r="720" spans="1:7">
      <c r="A720" s="15"/>
      <c r="B720" s="15"/>
      <c r="C720" s="15"/>
      <c r="D720" s="15"/>
      <c r="E720" s="15"/>
      <c r="F720" s="15"/>
      <c r="G720" s="15"/>
    </row>
    <row r="721" spans="1:7">
      <c r="A721" s="15"/>
      <c r="B721" s="15"/>
      <c r="C721" s="15"/>
      <c r="D721" s="15"/>
      <c r="E721" s="15"/>
      <c r="F721" s="15"/>
      <c r="G721" s="15"/>
    </row>
    <row r="722" spans="1:7">
      <c r="A722" s="15"/>
      <c r="B722" s="15"/>
      <c r="C722" s="15"/>
      <c r="D722" s="15"/>
      <c r="E722" s="15"/>
      <c r="F722" s="15"/>
      <c r="G722" s="15"/>
    </row>
    <row r="723" spans="1:7">
      <c r="A723" s="15"/>
      <c r="B723" s="15"/>
      <c r="C723" s="15"/>
      <c r="D723" s="15"/>
      <c r="E723" s="15"/>
      <c r="F723" s="15"/>
      <c r="G723" s="15"/>
    </row>
    <row r="724" spans="1:7">
      <c r="A724" s="15"/>
      <c r="B724" s="15"/>
      <c r="C724" s="15"/>
      <c r="D724" s="15"/>
      <c r="E724" s="15"/>
      <c r="F724" s="15"/>
      <c r="G724" s="15"/>
    </row>
    <row r="725" spans="1:7">
      <c r="A725" s="15"/>
      <c r="B725" s="15"/>
      <c r="C725" s="15"/>
      <c r="D725" s="15"/>
      <c r="E725" s="15"/>
      <c r="F725" s="15"/>
      <c r="G725" s="15"/>
    </row>
    <row r="726" spans="1:7">
      <c r="A726" s="15"/>
      <c r="B726" s="15"/>
      <c r="C726" s="15"/>
      <c r="D726" s="15"/>
      <c r="E726" s="15"/>
      <c r="F726" s="15"/>
      <c r="G726" s="15"/>
    </row>
    <row r="727" spans="1:7">
      <c r="A727" s="15"/>
      <c r="B727" s="15"/>
      <c r="C727" s="15"/>
      <c r="D727" s="15"/>
      <c r="E727" s="15"/>
      <c r="F727" s="15"/>
      <c r="G727" s="15"/>
    </row>
    <row r="728" spans="1:7">
      <c r="A728" s="15"/>
      <c r="B728" s="15"/>
      <c r="C728" s="15"/>
      <c r="D728" s="15"/>
      <c r="E728" s="15"/>
      <c r="F728" s="15"/>
      <c r="G728" s="15"/>
    </row>
    <row r="729" spans="1:7">
      <c r="A729" s="15"/>
      <c r="B729" s="15"/>
      <c r="C729" s="15"/>
      <c r="D729" s="15"/>
      <c r="E729" s="15"/>
      <c r="F729" s="15"/>
      <c r="G729" s="15"/>
    </row>
    <row r="730" spans="1:7">
      <c r="A730" s="15"/>
      <c r="B730" s="15"/>
      <c r="C730" s="15"/>
      <c r="D730" s="15"/>
      <c r="E730" s="15"/>
      <c r="F730" s="15"/>
      <c r="G730" s="15"/>
    </row>
    <row r="731" spans="1:7">
      <c r="A731" s="15"/>
      <c r="B731" s="15"/>
      <c r="C731" s="15"/>
      <c r="D731" s="15"/>
      <c r="E731" s="15"/>
      <c r="F731" s="15"/>
      <c r="G731" s="15"/>
    </row>
    <row r="732" spans="1:7">
      <c r="A732" s="15"/>
      <c r="B732" s="15"/>
      <c r="C732" s="15"/>
      <c r="D732" s="15"/>
      <c r="E732" s="15"/>
      <c r="F732" s="15"/>
      <c r="G732" s="15"/>
    </row>
    <row r="733" spans="1:7">
      <c r="A733" s="15"/>
      <c r="B733" s="15"/>
      <c r="C733" s="15"/>
      <c r="D733" s="15"/>
      <c r="E733" s="15"/>
      <c r="F733" s="15"/>
      <c r="G733" s="15"/>
    </row>
    <row r="734" spans="1:7">
      <c r="A734" s="15"/>
      <c r="B734" s="15"/>
      <c r="C734" s="15"/>
      <c r="D734" s="15"/>
      <c r="E734" s="15"/>
      <c r="F734" s="15"/>
      <c r="G734" s="15"/>
    </row>
    <row r="735" spans="1:7">
      <c r="A735" s="15"/>
      <c r="B735" s="15"/>
      <c r="C735" s="15"/>
      <c r="D735" s="15"/>
      <c r="E735" s="15"/>
      <c r="F735" s="15"/>
      <c r="G735" s="15"/>
    </row>
    <row r="736" spans="1:7">
      <c r="A736" s="15"/>
      <c r="B736" s="15"/>
      <c r="C736" s="15"/>
      <c r="D736" s="15"/>
      <c r="E736" s="15"/>
      <c r="F736" s="15"/>
      <c r="G736" s="15"/>
    </row>
    <row r="737" spans="1:7">
      <c r="A737" s="15"/>
      <c r="B737" s="15"/>
      <c r="C737" s="15"/>
      <c r="D737" s="15"/>
      <c r="E737" s="15"/>
      <c r="F737" s="15"/>
      <c r="G737" s="15"/>
    </row>
    <row r="738" spans="1:7">
      <c r="A738" s="15"/>
      <c r="B738" s="15"/>
      <c r="C738" s="15"/>
      <c r="D738" s="15"/>
      <c r="E738" s="15"/>
      <c r="F738" s="15"/>
      <c r="G738" s="15"/>
    </row>
    <row r="739" spans="1:7">
      <c r="A739" s="15"/>
      <c r="B739" s="15"/>
      <c r="C739" s="15"/>
      <c r="D739" s="15"/>
      <c r="E739" s="15"/>
      <c r="F739" s="15"/>
      <c r="G739" s="15"/>
    </row>
    <row r="740" spans="1:7">
      <c r="A740" s="15"/>
      <c r="B740" s="15"/>
      <c r="C740" s="15"/>
      <c r="D740" s="15"/>
      <c r="E740" s="15"/>
      <c r="F740" s="15"/>
      <c r="G740" s="15"/>
    </row>
    <row r="741" spans="1:7">
      <c r="A741" s="15"/>
      <c r="B741" s="15"/>
      <c r="C741" s="15"/>
      <c r="D741" s="15"/>
      <c r="E741" s="15"/>
      <c r="F741" s="15"/>
      <c r="G741" s="15"/>
    </row>
    <row r="742" spans="1:7">
      <c r="A742" s="15"/>
      <c r="B742" s="15"/>
      <c r="C742" s="15"/>
      <c r="D742" s="15"/>
      <c r="E742" s="15"/>
      <c r="F742" s="15"/>
      <c r="G742" s="15"/>
    </row>
    <row r="743" spans="1:7">
      <c r="A743" s="15"/>
      <c r="B743" s="15"/>
      <c r="C743" s="15"/>
      <c r="D743" s="15"/>
      <c r="E743" s="15"/>
      <c r="F743" s="15"/>
      <c r="G743" s="15"/>
    </row>
    <row r="744" spans="1:7">
      <c r="A744" s="15"/>
      <c r="B744" s="15"/>
      <c r="C744" s="15"/>
      <c r="D744" s="15"/>
      <c r="E744" s="15"/>
      <c r="F744" s="15"/>
      <c r="G744" s="15"/>
    </row>
    <row r="745" spans="1:7">
      <c r="A745" s="15"/>
      <c r="B745" s="15"/>
      <c r="C745" s="15"/>
      <c r="D745" s="15"/>
      <c r="E745" s="15"/>
      <c r="F745" s="15"/>
      <c r="G745" s="15"/>
    </row>
    <row r="746" spans="1:7">
      <c r="A746" s="15"/>
      <c r="B746" s="15"/>
      <c r="C746" s="15"/>
      <c r="D746" s="15"/>
      <c r="E746" s="15"/>
      <c r="F746" s="15"/>
      <c r="G746" s="15"/>
    </row>
    <row r="747" spans="1:7">
      <c r="A747" s="15"/>
      <c r="B747" s="15"/>
      <c r="C747" s="15"/>
      <c r="D747" s="15"/>
      <c r="E747" s="15"/>
      <c r="F747" s="15"/>
      <c r="G747" s="15"/>
    </row>
    <row r="748" spans="1:7">
      <c r="A748" s="15"/>
      <c r="B748" s="15"/>
      <c r="C748" s="15"/>
      <c r="D748" s="15"/>
      <c r="E748" s="15"/>
      <c r="F748" s="15"/>
      <c r="G748" s="15"/>
    </row>
    <row r="749" spans="1:7">
      <c r="A749" s="15"/>
      <c r="B749" s="15"/>
      <c r="C749" s="15"/>
      <c r="D749" s="15"/>
      <c r="E749" s="15"/>
      <c r="F749" s="15"/>
      <c r="G749" s="15"/>
    </row>
    <row r="750" spans="1:7">
      <c r="A750" s="15"/>
      <c r="B750" s="15"/>
      <c r="C750" s="15"/>
      <c r="D750" s="15"/>
      <c r="E750" s="15"/>
      <c r="F750" s="15"/>
      <c r="G750" s="15"/>
    </row>
    <row r="751" spans="1:7">
      <c r="A751" s="15"/>
      <c r="B751" s="15"/>
      <c r="C751" s="15"/>
      <c r="D751" s="15"/>
      <c r="E751" s="15"/>
      <c r="F751" s="15"/>
      <c r="G751" s="15"/>
    </row>
    <row r="752" spans="1:7">
      <c r="A752" s="15"/>
      <c r="B752" s="15"/>
      <c r="C752" s="15"/>
      <c r="D752" s="15"/>
      <c r="E752" s="15"/>
      <c r="F752" s="15"/>
      <c r="G752" s="15"/>
    </row>
    <row r="753" spans="1:7">
      <c r="A753" s="15"/>
      <c r="B753" s="15"/>
      <c r="C753" s="15"/>
      <c r="D753" s="15"/>
      <c r="E753" s="15"/>
      <c r="F753" s="15"/>
      <c r="G753" s="15"/>
    </row>
    <row r="754" spans="1:7">
      <c r="A754" s="15"/>
      <c r="B754" s="15"/>
      <c r="C754" s="15"/>
      <c r="D754" s="15"/>
      <c r="E754" s="15"/>
      <c r="F754" s="15"/>
      <c r="G754" s="15"/>
    </row>
    <row r="755" spans="1:7">
      <c r="A755" s="15"/>
      <c r="B755" s="15"/>
      <c r="C755" s="15"/>
      <c r="D755" s="15"/>
      <c r="E755" s="15"/>
      <c r="F755" s="15"/>
      <c r="G755" s="15"/>
    </row>
    <row r="756" spans="1:7">
      <c r="A756" s="15"/>
      <c r="B756" s="15"/>
      <c r="C756" s="15"/>
      <c r="D756" s="15"/>
      <c r="E756" s="15"/>
      <c r="F756" s="15"/>
      <c r="G756" s="15"/>
    </row>
    <row r="757" spans="1:7">
      <c r="A757" s="15"/>
      <c r="B757" s="15"/>
      <c r="C757" s="15"/>
      <c r="D757" s="15"/>
      <c r="E757" s="15"/>
      <c r="F757" s="15"/>
      <c r="G757" s="15"/>
    </row>
    <row r="758" spans="1:7">
      <c r="A758" s="15"/>
      <c r="B758" s="15"/>
      <c r="C758" s="15"/>
      <c r="D758" s="15"/>
      <c r="E758" s="15"/>
      <c r="F758" s="15"/>
      <c r="G758" s="15"/>
    </row>
    <row r="759" spans="1:7">
      <c r="A759" s="15"/>
      <c r="B759" s="15"/>
      <c r="C759" s="15"/>
      <c r="D759" s="15"/>
      <c r="E759" s="15"/>
      <c r="F759" s="15"/>
      <c r="G759" s="15"/>
    </row>
    <row r="760" spans="1:7">
      <c r="A760" s="15"/>
      <c r="B760" s="15"/>
      <c r="C760" s="15"/>
      <c r="D760" s="15"/>
      <c r="E760" s="15"/>
      <c r="F760" s="15"/>
      <c r="G760" s="15"/>
    </row>
    <row r="761" spans="1:7">
      <c r="A761" s="15"/>
      <c r="B761" s="15"/>
      <c r="C761" s="15"/>
      <c r="D761" s="15"/>
      <c r="E761" s="15"/>
      <c r="F761" s="15"/>
      <c r="G761" s="15"/>
    </row>
    <row r="762" spans="1:7">
      <c r="A762" s="15"/>
      <c r="B762" s="15"/>
      <c r="C762" s="15"/>
      <c r="D762" s="15"/>
      <c r="E762" s="15"/>
      <c r="F762" s="15"/>
      <c r="G762" s="15"/>
    </row>
    <row r="763" spans="1:7">
      <c r="A763" s="15"/>
      <c r="B763" s="15"/>
      <c r="C763" s="15"/>
      <c r="D763" s="15"/>
      <c r="E763" s="15"/>
      <c r="F763" s="15"/>
      <c r="G763" s="15"/>
    </row>
    <row r="764" spans="1:7">
      <c r="A764" s="15"/>
      <c r="B764" s="15"/>
      <c r="C764" s="15"/>
      <c r="D764" s="15"/>
      <c r="E764" s="15"/>
      <c r="F764" s="15"/>
      <c r="G764" s="15"/>
    </row>
    <row r="765" spans="1:7">
      <c r="A765" s="15"/>
      <c r="B765" s="15"/>
      <c r="C765" s="15"/>
      <c r="D765" s="15"/>
      <c r="E765" s="15"/>
      <c r="F765" s="15"/>
      <c r="G765" s="15"/>
    </row>
    <row r="766" spans="1:7">
      <c r="A766" s="15"/>
      <c r="B766" s="15"/>
      <c r="C766" s="15"/>
      <c r="D766" s="15"/>
      <c r="E766" s="15"/>
      <c r="F766" s="15"/>
      <c r="G766" s="15"/>
    </row>
    <row r="767" spans="1:7">
      <c r="A767" s="15"/>
      <c r="B767" s="15"/>
      <c r="C767" s="15"/>
      <c r="D767" s="15"/>
      <c r="E767" s="15"/>
      <c r="F767" s="15"/>
      <c r="G767" s="15"/>
    </row>
    <row r="768" spans="1:7">
      <c r="A768" s="15"/>
      <c r="B768" s="15"/>
      <c r="C768" s="15"/>
      <c r="D768" s="15"/>
      <c r="E768" s="15"/>
      <c r="F768" s="15"/>
      <c r="G768" s="15"/>
    </row>
    <row r="769" spans="1:7">
      <c r="A769" s="15"/>
      <c r="B769" s="15"/>
      <c r="C769" s="15"/>
      <c r="D769" s="15"/>
      <c r="E769" s="15"/>
      <c r="F769" s="15"/>
      <c r="G769" s="15"/>
    </row>
    <row r="770" spans="1:7">
      <c r="A770" s="15"/>
      <c r="B770" s="15"/>
      <c r="C770" s="15"/>
      <c r="D770" s="15"/>
      <c r="E770" s="15"/>
      <c r="F770" s="15"/>
      <c r="G770" s="15"/>
    </row>
    <row r="771" spans="1:7">
      <c r="A771" s="15"/>
      <c r="B771" s="15"/>
      <c r="C771" s="15"/>
      <c r="D771" s="15"/>
      <c r="E771" s="15"/>
      <c r="F771" s="15"/>
      <c r="G771" s="15"/>
    </row>
    <row r="772" spans="1:7">
      <c r="A772" s="15"/>
      <c r="B772" s="15"/>
      <c r="C772" s="15"/>
      <c r="D772" s="15"/>
      <c r="E772" s="15"/>
      <c r="F772" s="15"/>
      <c r="G772" s="15"/>
    </row>
    <row r="773" spans="1:7">
      <c r="A773" s="15"/>
      <c r="B773" s="15"/>
      <c r="C773" s="15"/>
      <c r="D773" s="15"/>
      <c r="E773" s="15"/>
      <c r="F773" s="15"/>
      <c r="G773" s="15"/>
    </row>
    <row r="774" spans="1:7">
      <c r="A774" s="15"/>
      <c r="B774" s="15"/>
      <c r="C774" s="15"/>
      <c r="D774" s="15"/>
      <c r="E774" s="15"/>
      <c r="F774" s="15"/>
      <c r="G774" s="15"/>
    </row>
    <row r="775" spans="1:7">
      <c r="A775" s="15"/>
      <c r="B775" s="15"/>
      <c r="C775" s="15"/>
      <c r="D775" s="15"/>
      <c r="E775" s="15"/>
      <c r="F775" s="15"/>
      <c r="G775" s="15"/>
    </row>
    <row r="776" spans="1:7">
      <c r="A776" s="15"/>
      <c r="B776" s="15"/>
      <c r="C776" s="15"/>
      <c r="D776" s="15"/>
      <c r="E776" s="15"/>
      <c r="F776" s="15"/>
      <c r="G776" s="15"/>
    </row>
    <row r="777" spans="1:7">
      <c r="A777" s="15"/>
      <c r="B777" s="15"/>
      <c r="C777" s="15"/>
      <c r="D777" s="15"/>
      <c r="E777" s="15"/>
      <c r="F777" s="15"/>
      <c r="G777" s="15"/>
    </row>
    <row r="778" spans="1:7">
      <c r="A778" s="15"/>
      <c r="B778" s="15"/>
      <c r="C778" s="15"/>
      <c r="D778" s="15"/>
      <c r="E778" s="15"/>
      <c r="F778" s="15"/>
      <c r="G778" s="15"/>
    </row>
    <row r="779" spans="1:7">
      <c r="A779" s="15"/>
      <c r="B779" s="15"/>
      <c r="C779" s="15"/>
      <c r="D779" s="15"/>
      <c r="E779" s="15"/>
      <c r="F779" s="15"/>
      <c r="G779" s="15"/>
    </row>
    <row r="780" spans="1:7">
      <c r="A780" s="15"/>
      <c r="B780" s="15"/>
      <c r="C780" s="15"/>
      <c r="D780" s="15"/>
      <c r="E780" s="15"/>
      <c r="F780" s="15"/>
      <c r="G780" s="15"/>
    </row>
    <row r="781" spans="1:7">
      <c r="A781" s="15"/>
      <c r="B781" s="15"/>
      <c r="C781" s="15"/>
      <c r="D781" s="15"/>
      <c r="E781" s="15"/>
      <c r="F781" s="15"/>
      <c r="G781" s="15"/>
    </row>
    <row r="782" spans="1:7">
      <c r="A782" s="15"/>
      <c r="B782" s="15"/>
      <c r="C782" s="15"/>
      <c r="D782" s="15"/>
      <c r="E782" s="15"/>
      <c r="F782" s="15"/>
      <c r="G782" s="15"/>
    </row>
    <row r="783" spans="1:7">
      <c r="A783" s="15"/>
      <c r="B783" s="15"/>
      <c r="C783" s="15"/>
      <c r="D783" s="15"/>
      <c r="E783" s="15"/>
      <c r="F783" s="15"/>
      <c r="G783" s="15"/>
    </row>
    <row r="784" spans="1:7">
      <c r="A784" s="15"/>
      <c r="B784" s="15"/>
      <c r="C784" s="15"/>
      <c r="D784" s="15"/>
      <c r="E784" s="15"/>
      <c r="F784" s="15"/>
      <c r="G784" s="15"/>
    </row>
    <row r="785" spans="1:7">
      <c r="A785" s="15"/>
      <c r="B785" s="15"/>
      <c r="C785" s="15"/>
      <c r="D785" s="15"/>
      <c r="E785" s="15"/>
      <c r="F785" s="15"/>
      <c r="G785" s="15"/>
    </row>
    <row r="786" spans="1:7">
      <c r="A786" s="15"/>
      <c r="B786" s="15"/>
      <c r="C786" s="15"/>
      <c r="D786" s="15"/>
      <c r="E786" s="15"/>
      <c r="F786" s="15"/>
      <c r="G786" s="15"/>
    </row>
    <row r="787" spans="1:7">
      <c r="A787" s="15"/>
      <c r="B787" s="15"/>
      <c r="C787" s="15"/>
      <c r="D787" s="15"/>
      <c r="E787" s="15"/>
      <c r="F787" s="15"/>
      <c r="G787" s="15"/>
    </row>
    <row r="788" spans="1:7">
      <c r="A788" s="15"/>
      <c r="B788" s="15"/>
      <c r="C788" s="15"/>
      <c r="D788" s="15"/>
      <c r="E788" s="15"/>
      <c r="F788" s="15"/>
      <c r="G788" s="15"/>
    </row>
    <row r="789" spans="1:7">
      <c r="A789" s="15"/>
      <c r="B789" s="15"/>
      <c r="C789" s="15"/>
      <c r="D789" s="15"/>
      <c r="E789" s="15"/>
      <c r="F789" s="15"/>
      <c r="G789" s="15"/>
    </row>
    <row r="790" spans="1:7">
      <c r="A790" s="15"/>
      <c r="B790" s="15"/>
      <c r="C790" s="15"/>
      <c r="D790" s="15"/>
      <c r="E790" s="15"/>
      <c r="F790" s="15"/>
      <c r="G790" s="15"/>
    </row>
    <row r="791" spans="1:7">
      <c r="A791" s="15"/>
      <c r="B791" s="15"/>
      <c r="C791" s="15"/>
      <c r="D791" s="15"/>
      <c r="E791" s="15"/>
      <c r="F791" s="15"/>
      <c r="G791" s="15"/>
    </row>
    <row r="792" spans="1:7">
      <c r="A792" s="15"/>
      <c r="B792" s="15"/>
      <c r="C792" s="15"/>
      <c r="D792" s="15"/>
      <c r="E792" s="15"/>
      <c r="F792" s="15"/>
      <c r="G792" s="15"/>
    </row>
    <row r="793" spans="1:7">
      <c r="A793" s="15"/>
      <c r="B793" s="15"/>
      <c r="C793" s="15"/>
      <c r="D793" s="15"/>
      <c r="E793" s="15"/>
      <c r="F793" s="15"/>
      <c r="G793" s="15"/>
    </row>
    <row r="794" spans="1:7">
      <c r="A794" s="15"/>
      <c r="B794" s="15"/>
      <c r="C794" s="15"/>
      <c r="D794" s="15"/>
      <c r="E794" s="15"/>
      <c r="F794" s="15"/>
      <c r="G794" s="15"/>
    </row>
    <row r="795" spans="1:7">
      <c r="A795" s="15"/>
      <c r="B795" s="15"/>
      <c r="C795" s="15"/>
      <c r="D795" s="15"/>
      <c r="E795" s="15"/>
      <c r="F795" s="15"/>
      <c r="G795" s="15"/>
    </row>
    <row r="796" spans="1:7">
      <c r="A796" s="15"/>
      <c r="B796" s="15"/>
      <c r="C796" s="15"/>
      <c r="D796" s="15"/>
      <c r="E796" s="15"/>
      <c r="F796" s="15"/>
      <c r="G796" s="15"/>
    </row>
    <row r="797" spans="1:7">
      <c r="A797" s="15"/>
      <c r="B797" s="15"/>
      <c r="C797" s="15"/>
      <c r="D797" s="15"/>
      <c r="E797" s="15"/>
      <c r="F797" s="15"/>
      <c r="G797" s="15"/>
    </row>
    <row r="798" spans="1:7">
      <c r="A798" s="15"/>
      <c r="B798" s="15"/>
      <c r="C798" s="15"/>
      <c r="D798" s="15"/>
      <c r="E798" s="15"/>
      <c r="F798" s="15"/>
      <c r="G798" s="15"/>
    </row>
    <row r="799" spans="1:7">
      <c r="A799" s="15"/>
      <c r="B799" s="15"/>
      <c r="C799" s="15"/>
      <c r="D799" s="15"/>
      <c r="E799" s="15"/>
      <c r="F799" s="15"/>
      <c r="G799" s="15"/>
    </row>
    <row r="800" spans="1:7">
      <c r="A800" s="15"/>
      <c r="B800" s="15"/>
      <c r="C800" s="15"/>
      <c r="D800" s="15"/>
      <c r="E800" s="15"/>
      <c r="F800" s="15"/>
      <c r="G800" s="15"/>
    </row>
    <row r="801" spans="1:7">
      <c r="A801" s="15"/>
      <c r="B801" s="15"/>
      <c r="C801" s="15"/>
      <c r="D801" s="15"/>
      <c r="E801" s="15"/>
      <c r="F801" s="15"/>
      <c r="G801" s="15"/>
    </row>
    <row r="802" spans="1:7">
      <c r="A802" s="15"/>
      <c r="B802" s="15"/>
      <c r="C802" s="15"/>
      <c r="D802" s="15"/>
      <c r="E802" s="15"/>
      <c r="F802" s="15"/>
      <c r="G802" s="15"/>
    </row>
    <row r="803" spans="1:7">
      <c r="A803" s="15"/>
      <c r="B803" s="15"/>
      <c r="C803" s="15"/>
      <c r="D803" s="15"/>
      <c r="E803" s="15"/>
      <c r="F803" s="15"/>
      <c r="G803" s="15"/>
    </row>
    <row r="804" spans="1:7">
      <c r="A804" s="15"/>
      <c r="B804" s="15"/>
      <c r="C804" s="15"/>
      <c r="D804" s="15"/>
      <c r="E804" s="15"/>
      <c r="F804" s="15"/>
      <c r="G804" s="15"/>
    </row>
    <row r="805" spans="1:7">
      <c r="A805" s="15"/>
      <c r="B805" s="15"/>
      <c r="C805" s="15"/>
      <c r="D805" s="15"/>
      <c r="E805" s="15"/>
      <c r="F805" s="15"/>
      <c r="G805" s="15"/>
    </row>
    <row r="806" spans="1:7">
      <c r="A806" s="15"/>
      <c r="B806" s="15"/>
      <c r="C806" s="15"/>
      <c r="D806" s="15"/>
      <c r="E806" s="15"/>
      <c r="F806" s="15"/>
      <c r="G806" s="15"/>
    </row>
    <row r="807" spans="1:7">
      <c r="A807" s="15"/>
      <c r="B807" s="15"/>
      <c r="C807" s="15"/>
      <c r="D807" s="15"/>
      <c r="E807" s="15"/>
      <c r="F807" s="15"/>
      <c r="G807" s="15"/>
    </row>
    <row r="808" spans="1:7">
      <c r="A808" s="15"/>
      <c r="B808" s="15"/>
      <c r="C808" s="15"/>
      <c r="D808" s="15"/>
      <c r="E808" s="15"/>
      <c r="F808" s="15"/>
      <c r="G808" s="15"/>
    </row>
    <row r="809" spans="1:7">
      <c r="A809" s="15"/>
      <c r="B809" s="15"/>
      <c r="C809" s="15"/>
      <c r="D809" s="15"/>
      <c r="E809" s="15"/>
      <c r="F809" s="15"/>
      <c r="G809" s="15"/>
    </row>
    <row r="810" spans="1:7">
      <c r="A810" s="15"/>
      <c r="B810" s="15"/>
      <c r="C810" s="15"/>
      <c r="D810" s="15"/>
      <c r="E810" s="15"/>
      <c r="F810" s="15"/>
      <c r="G810" s="15"/>
    </row>
    <row r="811" spans="1:7">
      <c r="A811" s="15"/>
      <c r="B811" s="15"/>
      <c r="C811" s="15"/>
      <c r="D811" s="15"/>
      <c r="E811" s="15"/>
      <c r="F811" s="15"/>
      <c r="G811" s="15"/>
    </row>
    <row r="812" spans="1:7">
      <c r="A812" s="15"/>
      <c r="B812" s="15"/>
      <c r="C812" s="15"/>
      <c r="D812" s="15"/>
      <c r="E812" s="15"/>
      <c r="F812" s="15"/>
      <c r="G812" s="15"/>
    </row>
    <row r="813" spans="1:7">
      <c r="A813" s="15"/>
      <c r="B813" s="15"/>
      <c r="C813" s="15"/>
      <c r="D813" s="15"/>
      <c r="E813" s="15"/>
      <c r="F813" s="15"/>
      <c r="G813" s="15"/>
    </row>
    <row r="814" spans="1:7">
      <c r="A814" s="15"/>
      <c r="B814" s="15"/>
      <c r="C814" s="15"/>
      <c r="D814" s="15"/>
      <c r="E814" s="15"/>
      <c r="F814" s="15"/>
      <c r="G814" s="15"/>
    </row>
    <row r="815" spans="1:7">
      <c r="A815" s="15"/>
      <c r="B815" s="15"/>
      <c r="C815" s="15"/>
      <c r="D815" s="15"/>
      <c r="E815" s="15"/>
      <c r="F815" s="15"/>
      <c r="G815" s="15"/>
    </row>
    <row r="816" spans="1:7">
      <c r="A816" s="15"/>
      <c r="B816" s="15"/>
      <c r="C816" s="15"/>
      <c r="D816" s="15"/>
      <c r="E816" s="15"/>
      <c r="F816" s="15"/>
      <c r="G816" s="15"/>
    </row>
    <row r="817" spans="1:7">
      <c r="A817" s="15"/>
      <c r="B817" s="15"/>
      <c r="C817" s="15"/>
      <c r="D817" s="15"/>
      <c r="E817" s="15"/>
      <c r="F817" s="15"/>
      <c r="G817" s="15"/>
    </row>
    <row r="818" spans="1:7">
      <c r="A818" s="15"/>
      <c r="B818" s="15"/>
      <c r="C818" s="15"/>
      <c r="D818" s="15"/>
      <c r="E818" s="15"/>
      <c r="F818" s="15"/>
      <c r="G818" s="15"/>
    </row>
    <row r="819" spans="1:7">
      <c r="A819" s="15"/>
      <c r="B819" s="15"/>
      <c r="C819" s="15"/>
      <c r="D819" s="15"/>
      <c r="E819" s="15"/>
      <c r="F819" s="15"/>
      <c r="G819" s="15"/>
    </row>
    <row r="820" spans="1:7">
      <c r="A820" s="15"/>
      <c r="B820" s="15"/>
      <c r="C820" s="15"/>
      <c r="D820" s="15"/>
      <c r="E820" s="15"/>
      <c r="F820" s="15"/>
      <c r="G820" s="15"/>
    </row>
    <row r="821" spans="1:7">
      <c r="A821" s="15"/>
      <c r="B821" s="15"/>
      <c r="C821" s="15"/>
      <c r="D821" s="15"/>
      <c r="E821" s="15"/>
      <c r="F821" s="15"/>
      <c r="G821" s="15"/>
    </row>
    <row r="822" spans="1:7">
      <c r="A822" s="15"/>
      <c r="B822" s="15"/>
      <c r="C822" s="15"/>
      <c r="D822" s="15"/>
      <c r="E822" s="15"/>
      <c r="F822" s="15"/>
      <c r="G822" s="15"/>
    </row>
    <row r="823" spans="1:7">
      <c r="A823" s="15"/>
      <c r="B823" s="15"/>
      <c r="C823" s="15"/>
      <c r="D823" s="15"/>
      <c r="E823" s="15"/>
      <c r="F823" s="15"/>
      <c r="G823" s="15"/>
    </row>
    <row r="824" spans="1:7">
      <c r="A824" s="15"/>
      <c r="B824" s="15"/>
      <c r="C824" s="15"/>
      <c r="D824" s="15"/>
      <c r="E824" s="15"/>
      <c r="F824" s="15"/>
      <c r="G824" s="15"/>
    </row>
    <row r="825" spans="1:7">
      <c r="A825" s="15"/>
      <c r="B825" s="15"/>
      <c r="C825" s="15"/>
      <c r="D825" s="15"/>
      <c r="E825" s="15"/>
      <c r="F825" s="15"/>
      <c r="G825" s="15"/>
    </row>
    <row r="826" spans="1:7">
      <c r="A826" s="15"/>
      <c r="B826" s="15"/>
      <c r="C826" s="15"/>
      <c r="D826" s="15"/>
      <c r="E826" s="15"/>
      <c r="F826" s="15"/>
      <c r="G826" s="15"/>
    </row>
    <row r="827" spans="1:7">
      <c r="A827" s="15"/>
      <c r="B827" s="15"/>
      <c r="C827" s="15"/>
      <c r="D827" s="15"/>
      <c r="E827" s="15"/>
      <c r="F827" s="15"/>
      <c r="G827" s="15"/>
    </row>
    <row r="828" spans="1:7">
      <c r="A828" s="15"/>
      <c r="B828" s="15"/>
      <c r="C828" s="15"/>
      <c r="D828" s="15"/>
      <c r="E828" s="15"/>
      <c r="F828" s="15"/>
      <c r="G828" s="15"/>
    </row>
    <row r="829" spans="1:7">
      <c r="A829" s="15"/>
      <c r="B829" s="15"/>
      <c r="C829" s="15"/>
      <c r="D829" s="15"/>
      <c r="E829" s="15"/>
      <c r="F829" s="15"/>
      <c r="G829" s="15"/>
    </row>
    <row r="830" spans="1:7">
      <c r="A830" s="15"/>
      <c r="B830" s="15"/>
      <c r="C830" s="15"/>
      <c r="D830" s="15"/>
      <c r="E830" s="15"/>
      <c r="F830" s="15"/>
      <c r="G830" s="15"/>
    </row>
    <row r="831" spans="1:7">
      <c r="A831" s="15"/>
      <c r="B831" s="15"/>
      <c r="C831" s="15"/>
      <c r="D831" s="15"/>
      <c r="E831" s="15"/>
      <c r="F831" s="15"/>
      <c r="G831" s="15"/>
    </row>
    <row r="832" spans="1:7">
      <c r="A832" s="15"/>
      <c r="B832" s="15"/>
      <c r="C832" s="15"/>
      <c r="D832" s="15"/>
      <c r="E832" s="15"/>
      <c r="F832" s="15"/>
      <c r="G832" s="15"/>
    </row>
    <row r="833" spans="1:7">
      <c r="A833" s="15"/>
      <c r="B833" s="15"/>
      <c r="C833" s="15"/>
      <c r="D833" s="15"/>
      <c r="E833" s="15"/>
      <c r="F833" s="15"/>
      <c r="G833" s="15"/>
    </row>
    <row r="834" spans="1:7">
      <c r="A834" s="15"/>
      <c r="B834" s="15"/>
      <c r="C834" s="15"/>
      <c r="D834" s="15"/>
      <c r="E834" s="15"/>
      <c r="F834" s="15"/>
      <c r="G834" s="15"/>
    </row>
    <row r="835" spans="1:7">
      <c r="A835" s="15"/>
      <c r="B835" s="15"/>
      <c r="C835" s="15"/>
      <c r="D835" s="15"/>
      <c r="E835" s="15"/>
      <c r="F835" s="15"/>
      <c r="G835" s="15"/>
    </row>
    <row r="836" spans="1:7">
      <c r="A836" s="15"/>
      <c r="B836" s="15"/>
      <c r="C836" s="15"/>
      <c r="D836" s="15"/>
      <c r="E836" s="15"/>
      <c r="F836" s="15"/>
      <c r="G836" s="15"/>
    </row>
    <row r="837" spans="1:7">
      <c r="A837" s="15"/>
      <c r="B837" s="15"/>
      <c r="C837" s="15"/>
      <c r="D837" s="15"/>
      <c r="E837" s="15"/>
      <c r="F837" s="15"/>
      <c r="G837" s="15"/>
    </row>
    <row r="838" spans="1:7">
      <c r="A838" s="15"/>
      <c r="B838" s="15"/>
      <c r="C838" s="15"/>
      <c r="D838" s="15"/>
      <c r="E838" s="15"/>
      <c r="F838" s="15"/>
      <c r="G838" s="15"/>
    </row>
    <row r="839" spans="1:7">
      <c r="A839" s="15"/>
      <c r="B839" s="15"/>
      <c r="C839" s="15"/>
      <c r="D839" s="15"/>
      <c r="E839" s="15"/>
      <c r="F839" s="15"/>
      <c r="G839" s="15"/>
    </row>
    <row r="840" spans="1:7">
      <c r="A840" s="15"/>
      <c r="B840" s="15"/>
      <c r="C840" s="15"/>
      <c r="D840" s="15"/>
      <c r="E840" s="15"/>
      <c r="F840" s="15"/>
      <c r="G840" s="15"/>
    </row>
    <row r="841" spans="1:7">
      <c r="A841" s="15"/>
      <c r="B841" s="15"/>
      <c r="C841" s="15"/>
      <c r="D841" s="15"/>
      <c r="E841" s="15"/>
      <c r="F841" s="15"/>
      <c r="G841" s="15"/>
    </row>
    <row r="842" spans="1:7">
      <c r="A842" s="15"/>
      <c r="B842" s="15"/>
      <c r="C842" s="15"/>
      <c r="D842" s="15"/>
      <c r="E842" s="15"/>
      <c r="F842" s="15"/>
      <c r="G842" s="15"/>
    </row>
    <row r="843" spans="1:7">
      <c r="A843" s="15"/>
      <c r="B843" s="15"/>
      <c r="C843" s="15"/>
      <c r="D843" s="15"/>
      <c r="E843" s="15"/>
      <c r="F843" s="15"/>
      <c r="G843" s="15"/>
    </row>
    <row r="844" spans="1:7">
      <c r="A844" s="15"/>
      <c r="B844" s="15"/>
      <c r="C844" s="15"/>
      <c r="D844" s="15"/>
      <c r="E844" s="15"/>
      <c r="F844" s="15"/>
      <c r="G844" s="15"/>
    </row>
    <row r="845" spans="1:7">
      <c r="A845" s="15"/>
      <c r="B845" s="15"/>
      <c r="C845" s="15"/>
      <c r="D845" s="15"/>
      <c r="E845" s="15"/>
      <c r="F845" s="15"/>
      <c r="G845" s="15"/>
    </row>
    <row r="846" spans="1:7">
      <c r="A846" s="15"/>
      <c r="B846" s="15"/>
      <c r="C846" s="15"/>
      <c r="D846" s="15"/>
      <c r="E846" s="15"/>
      <c r="F846" s="15"/>
      <c r="G846" s="15"/>
    </row>
    <row r="847" spans="1:7">
      <c r="A847" s="15"/>
      <c r="B847" s="15"/>
      <c r="C847" s="15"/>
      <c r="D847" s="15"/>
      <c r="E847" s="15"/>
      <c r="F847" s="15"/>
      <c r="G847" s="15"/>
    </row>
    <row r="848" spans="1:7">
      <c r="A848" s="15"/>
      <c r="B848" s="15"/>
      <c r="C848" s="15"/>
      <c r="D848" s="15"/>
      <c r="E848" s="15"/>
      <c r="F848" s="15"/>
      <c r="G848" s="15"/>
    </row>
    <row r="849" spans="1:7">
      <c r="A849" s="15"/>
      <c r="B849" s="15"/>
      <c r="C849" s="15"/>
      <c r="D849" s="15"/>
      <c r="E849" s="15"/>
      <c r="F849" s="15"/>
      <c r="G849" s="15"/>
    </row>
    <row r="850" spans="1:7">
      <c r="A850" s="15"/>
      <c r="B850" s="15"/>
      <c r="C850" s="15"/>
      <c r="D850" s="15"/>
      <c r="E850" s="15"/>
      <c r="F850" s="15"/>
      <c r="G850" s="15"/>
    </row>
    <row r="851" spans="1:7">
      <c r="A851" s="15"/>
      <c r="B851" s="15"/>
      <c r="C851" s="15"/>
      <c r="D851" s="15"/>
      <c r="E851" s="15"/>
      <c r="F851" s="15"/>
      <c r="G851" s="15"/>
    </row>
    <row r="852" spans="1:7">
      <c r="A852" s="15"/>
      <c r="B852" s="15"/>
      <c r="C852" s="15"/>
      <c r="D852" s="15"/>
      <c r="E852" s="15"/>
      <c r="F852" s="15"/>
      <c r="G852" s="15"/>
    </row>
    <row r="853" spans="1:7">
      <c r="A853" s="15"/>
      <c r="B853" s="15"/>
      <c r="C853" s="15"/>
      <c r="D853" s="15"/>
      <c r="E853" s="15"/>
      <c r="F853" s="15"/>
      <c r="G853" s="15"/>
    </row>
    <row r="854" spans="1:7">
      <c r="A854" s="15"/>
      <c r="B854" s="15"/>
      <c r="C854" s="15"/>
      <c r="D854" s="15"/>
      <c r="E854" s="15"/>
      <c r="F854" s="15"/>
      <c r="G854" s="15"/>
    </row>
    <row r="855" spans="1:7">
      <c r="A855" s="15"/>
      <c r="B855" s="15"/>
      <c r="C855" s="15"/>
      <c r="D855" s="15"/>
      <c r="E855" s="15"/>
      <c r="F855" s="15"/>
      <c r="G855" s="15"/>
    </row>
    <row r="856" spans="1:7">
      <c r="A856" s="15"/>
      <c r="B856" s="15"/>
      <c r="C856" s="15"/>
      <c r="D856" s="15"/>
      <c r="E856" s="15"/>
      <c r="F856" s="15"/>
      <c r="G856" s="15"/>
    </row>
    <row r="857" spans="1:7">
      <c r="A857" s="15"/>
      <c r="B857" s="15"/>
      <c r="C857" s="15"/>
      <c r="D857" s="15"/>
      <c r="E857" s="15"/>
      <c r="F857" s="15"/>
      <c r="G857" s="15"/>
    </row>
    <row r="858" spans="1:7">
      <c r="A858" s="15"/>
      <c r="B858" s="15"/>
      <c r="C858" s="15"/>
      <c r="D858" s="15"/>
      <c r="E858" s="15"/>
      <c r="F858" s="15"/>
      <c r="G858" s="15"/>
    </row>
    <row r="859" spans="1:7">
      <c r="A859" s="15"/>
      <c r="B859" s="15"/>
      <c r="C859" s="15"/>
      <c r="D859" s="15"/>
      <c r="E859" s="15"/>
      <c r="F859" s="15"/>
      <c r="G859" s="15"/>
    </row>
    <row r="860" spans="1:7">
      <c r="A860" s="15"/>
      <c r="B860" s="15"/>
      <c r="C860" s="15"/>
      <c r="D860" s="15"/>
      <c r="E860" s="15"/>
      <c r="F860" s="15"/>
      <c r="G860" s="15"/>
    </row>
    <row r="861" spans="1:7">
      <c r="A861" s="15"/>
      <c r="B861" s="15"/>
      <c r="C861" s="15"/>
      <c r="D861" s="15"/>
      <c r="E861" s="15"/>
      <c r="F861" s="15"/>
      <c r="G861" s="15"/>
    </row>
    <row r="862" spans="1:7">
      <c r="A862" s="15"/>
      <c r="B862" s="15"/>
      <c r="C862" s="15"/>
      <c r="D862" s="15"/>
      <c r="E862" s="15"/>
      <c r="F862" s="15"/>
      <c r="G862" s="15"/>
    </row>
    <row r="863" spans="1:7">
      <c r="A863" s="15"/>
      <c r="B863" s="15"/>
      <c r="C863" s="15"/>
      <c r="D863" s="15"/>
      <c r="E863" s="15"/>
      <c r="F863" s="15"/>
      <c r="G863" s="15"/>
    </row>
    <row r="864" spans="1:7">
      <c r="A864" s="15"/>
      <c r="B864" s="15"/>
      <c r="C864" s="15"/>
      <c r="D864" s="15"/>
      <c r="E864" s="15"/>
      <c r="F864" s="15"/>
      <c r="G864" s="15"/>
    </row>
    <row r="865" spans="1:7">
      <c r="A865" s="15"/>
      <c r="B865" s="15"/>
      <c r="C865" s="15"/>
      <c r="D865" s="15"/>
      <c r="E865" s="15"/>
      <c r="F865" s="15"/>
      <c r="G865" s="15"/>
    </row>
    <row r="866" spans="1:7">
      <c r="A866" s="15"/>
      <c r="B866" s="15"/>
      <c r="C866" s="15"/>
      <c r="D866" s="15"/>
      <c r="E866" s="15"/>
      <c r="F866" s="15"/>
      <c r="G866" s="15"/>
    </row>
    <row r="867" spans="1:7">
      <c r="A867" s="15"/>
      <c r="B867" s="15"/>
      <c r="C867" s="15"/>
      <c r="D867" s="15"/>
      <c r="E867" s="15"/>
      <c r="F867" s="15"/>
      <c r="G867" s="15"/>
    </row>
    <row r="868" spans="1:7">
      <c r="A868" s="15"/>
      <c r="B868" s="15"/>
      <c r="C868" s="15"/>
      <c r="D868" s="15"/>
      <c r="E868" s="15"/>
      <c r="F868" s="15"/>
      <c r="G868" s="15"/>
    </row>
    <row r="869" spans="1:7">
      <c r="A869" s="15"/>
      <c r="B869" s="15"/>
      <c r="C869" s="15"/>
      <c r="D869" s="15"/>
      <c r="E869" s="15"/>
      <c r="F869" s="15"/>
      <c r="G869" s="15"/>
    </row>
    <row r="870" spans="1:7">
      <c r="A870" s="15"/>
      <c r="B870" s="15"/>
      <c r="C870" s="15"/>
      <c r="D870" s="15"/>
      <c r="E870" s="15"/>
      <c r="F870" s="15"/>
      <c r="G870" s="15"/>
    </row>
    <row r="871" spans="1:7">
      <c r="A871" s="15"/>
      <c r="B871" s="15"/>
      <c r="C871" s="15"/>
      <c r="D871" s="15"/>
      <c r="E871" s="15"/>
      <c r="F871" s="15"/>
      <c r="G871" s="15"/>
    </row>
    <row r="872" spans="1:7">
      <c r="A872" s="15"/>
      <c r="B872" s="15"/>
      <c r="C872" s="15"/>
      <c r="D872" s="15"/>
      <c r="E872" s="15"/>
      <c r="F872" s="15"/>
      <c r="G872" s="15"/>
    </row>
    <row r="873" spans="1:7">
      <c r="A873" s="15"/>
      <c r="B873" s="15"/>
      <c r="C873" s="15"/>
      <c r="D873" s="15"/>
      <c r="E873" s="15"/>
      <c r="F873" s="15"/>
      <c r="G873" s="15"/>
    </row>
    <row r="874" spans="1:7">
      <c r="A874" s="15"/>
      <c r="B874" s="15"/>
      <c r="C874" s="15"/>
      <c r="D874" s="15"/>
      <c r="E874" s="15"/>
      <c r="F874" s="15"/>
      <c r="G874" s="15"/>
    </row>
    <row r="875" spans="1:7">
      <c r="A875" s="15"/>
      <c r="B875" s="15"/>
      <c r="C875" s="15"/>
      <c r="D875" s="15"/>
      <c r="E875" s="15"/>
      <c r="F875" s="15"/>
      <c r="G875" s="15"/>
    </row>
    <row r="876" spans="1:7">
      <c r="A876" s="15"/>
      <c r="B876" s="15"/>
      <c r="C876" s="15"/>
      <c r="D876" s="15"/>
      <c r="E876" s="15"/>
      <c r="F876" s="15"/>
      <c r="G876" s="15"/>
    </row>
    <row r="877" spans="1:7">
      <c r="A877" s="15"/>
      <c r="B877" s="15"/>
      <c r="C877" s="15"/>
      <c r="D877" s="15"/>
      <c r="E877" s="15"/>
      <c r="F877" s="15"/>
      <c r="G877" s="15"/>
    </row>
    <row r="878" spans="1:7">
      <c r="A878" s="15"/>
      <c r="B878" s="15"/>
      <c r="C878" s="15"/>
      <c r="D878" s="15"/>
      <c r="E878" s="15"/>
      <c r="F878" s="15"/>
      <c r="G878" s="15"/>
    </row>
    <row r="879" spans="1:7">
      <c r="A879" s="15"/>
      <c r="B879" s="15"/>
      <c r="C879" s="15"/>
      <c r="D879" s="15"/>
      <c r="E879" s="15"/>
      <c r="F879" s="15"/>
      <c r="G879" s="15"/>
    </row>
    <row r="880" spans="1:7">
      <c r="A880" s="15"/>
      <c r="B880" s="15"/>
      <c r="C880" s="15"/>
      <c r="D880" s="15"/>
      <c r="E880" s="15"/>
      <c r="F880" s="15"/>
      <c r="G880" s="15"/>
    </row>
    <row r="881" spans="1:7">
      <c r="A881" s="15"/>
      <c r="B881" s="15"/>
      <c r="C881" s="15"/>
      <c r="D881" s="15"/>
      <c r="E881" s="15"/>
      <c r="F881" s="15"/>
      <c r="G881" s="15"/>
    </row>
    <row r="882" spans="1:7">
      <c r="A882" s="15"/>
      <c r="B882" s="15"/>
      <c r="C882" s="15"/>
      <c r="D882" s="15"/>
      <c r="E882" s="15"/>
      <c r="F882" s="15"/>
      <c r="G882" s="15"/>
    </row>
    <row r="883" spans="1:7">
      <c r="A883" s="15"/>
      <c r="B883" s="15"/>
      <c r="C883" s="15"/>
      <c r="D883" s="15"/>
      <c r="E883" s="15"/>
      <c r="F883" s="15"/>
      <c r="G883" s="15"/>
    </row>
    <row r="884" spans="1:7">
      <c r="A884" s="15"/>
      <c r="B884" s="15"/>
      <c r="C884" s="15"/>
      <c r="D884" s="15"/>
      <c r="E884" s="15"/>
      <c r="F884" s="15"/>
      <c r="G884" s="15"/>
    </row>
    <row r="885" spans="1:7">
      <c r="A885" s="15"/>
      <c r="B885" s="15"/>
      <c r="C885" s="15"/>
      <c r="D885" s="15"/>
      <c r="E885" s="15"/>
      <c r="F885" s="15"/>
      <c r="G885" s="15"/>
    </row>
    <row r="886" spans="1:7">
      <c r="A886" s="15"/>
      <c r="B886" s="15"/>
      <c r="C886" s="15"/>
      <c r="D886" s="15"/>
      <c r="E886" s="15"/>
      <c r="F886" s="15"/>
      <c r="G886" s="15"/>
    </row>
    <row r="887" spans="1:7">
      <c r="A887" s="15"/>
      <c r="B887" s="15"/>
      <c r="C887" s="15"/>
      <c r="D887" s="15"/>
      <c r="E887" s="15"/>
      <c r="F887" s="15"/>
      <c r="G887" s="15"/>
    </row>
    <row r="888" spans="1:7">
      <c r="A888" s="15"/>
      <c r="B888" s="15"/>
      <c r="C888" s="15"/>
      <c r="D888" s="15"/>
      <c r="E888" s="15"/>
      <c r="F888" s="15"/>
      <c r="G888" s="15"/>
    </row>
    <row r="889" spans="1:7">
      <c r="A889" s="15"/>
      <c r="B889" s="15"/>
      <c r="C889" s="15"/>
      <c r="D889" s="15"/>
      <c r="E889" s="15"/>
      <c r="F889" s="15"/>
      <c r="G889" s="15"/>
    </row>
    <row r="890" spans="1:7">
      <c r="A890" s="15"/>
      <c r="B890" s="15"/>
      <c r="C890" s="15"/>
      <c r="D890" s="15"/>
      <c r="E890" s="15"/>
      <c r="F890" s="15"/>
      <c r="G890" s="15"/>
    </row>
    <row r="891" spans="1:7">
      <c r="A891" s="15"/>
      <c r="B891" s="15"/>
      <c r="C891" s="15"/>
      <c r="D891" s="15"/>
      <c r="E891" s="15"/>
      <c r="F891" s="15"/>
      <c r="G891" s="15"/>
    </row>
    <row r="892" spans="1:7">
      <c r="A892" s="15"/>
      <c r="B892" s="15"/>
      <c r="C892" s="15"/>
      <c r="D892" s="15"/>
      <c r="E892" s="15"/>
      <c r="F892" s="15"/>
      <c r="G892" s="15"/>
    </row>
    <row r="893" spans="1:7">
      <c r="A893" s="15"/>
      <c r="B893" s="15"/>
      <c r="C893" s="15"/>
      <c r="D893" s="15"/>
      <c r="E893" s="15"/>
      <c r="F893" s="15"/>
      <c r="G893" s="15"/>
    </row>
    <row r="894" spans="1:7">
      <c r="A894" s="15"/>
      <c r="B894" s="15"/>
      <c r="C894" s="15"/>
      <c r="D894" s="15"/>
      <c r="E894" s="15"/>
      <c r="F894" s="15"/>
      <c r="G894" s="15"/>
    </row>
    <row r="895" spans="1:7">
      <c r="A895" s="15"/>
      <c r="B895" s="15"/>
      <c r="C895" s="15"/>
      <c r="D895" s="15"/>
      <c r="E895" s="15"/>
      <c r="F895" s="15"/>
      <c r="G895" s="15"/>
    </row>
    <row r="896" spans="1:7">
      <c r="A896" s="15"/>
      <c r="B896" s="15"/>
      <c r="C896" s="15"/>
      <c r="D896" s="15"/>
      <c r="E896" s="15"/>
      <c r="F896" s="15"/>
      <c r="G896" s="15"/>
    </row>
    <row r="897" spans="1:7">
      <c r="A897" s="15"/>
      <c r="B897" s="15"/>
      <c r="C897" s="15"/>
      <c r="D897" s="15"/>
      <c r="E897" s="15"/>
      <c r="F897" s="15"/>
      <c r="G897" s="15"/>
    </row>
    <row r="898" spans="1:7">
      <c r="A898" s="15"/>
      <c r="B898" s="15"/>
      <c r="C898" s="15"/>
      <c r="D898" s="15"/>
      <c r="E898" s="15"/>
      <c r="F898" s="15"/>
      <c r="G898" s="15"/>
    </row>
    <row r="899" spans="1:7">
      <c r="A899" s="15"/>
      <c r="B899" s="15"/>
      <c r="C899" s="15"/>
      <c r="D899" s="15"/>
      <c r="E899" s="15"/>
      <c r="F899" s="15"/>
      <c r="G899" s="15"/>
    </row>
    <row r="900" spans="1:7">
      <c r="A900" s="15"/>
      <c r="B900" s="15"/>
      <c r="C900" s="15"/>
      <c r="D900" s="15"/>
      <c r="E900" s="15"/>
      <c r="F900" s="15"/>
      <c r="G900" s="15"/>
    </row>
    <row r="901" spans="1:7">
      <c r="A901" s="15"/>
      <c r="B901" s="15"/>
      <c r="C901" s="15"/>
      <c r="D901" s="15"/>
      <c r="E901" s="15"/>
      <c r="F901" s="15"/>
      <c r="G901" s="15"/>
    </row>
    <row r="902" spans="1:7">
      <c r="A902" s="15"/>
      <c r="B902" s="15"/>
      <c r="C902" s="15"/>
      <c r="D902" s="15"/>
      <c r="E902" s="15"/>
      <c r="F902" s="15"/>
      <c r="G902" s="15"/>
    </row>
    <row r="903" spans="1:7">
      <c r="A903" s="15"/>
      <c r="B903" s="15"/>
      <c r="C903" s="15"/>
      <c r="D903" s="15"/>
      <c r="E903" s="15"/>
      <c r="F903" s="15"/>
      <c r="G903" s="15"/>
    </row>
    <row r="904" spans="1:7">
      <c r="A904" s="15"/>
      <c r="B904" s="15"/>
      <c r="C904" s="15"/>
      <c r="D904" s="15"/>
      <c r="E904" s="15"/>
      <c r="F904" s="15"/>
      <c r="G904" s="15"/>
    </row>
    <row r="905" spans="1:7">
      <c r="A905" s="15"/>
      <c r="B905" s="15"/>
      <c r="C905" s="15"/>
      <c r="D905" s="15"/>
      <c r="E905" s="15"/>
      <c r="F905" s="15"/>
      <c r="G905" s="15"/>
    </row>
    <row r="906" spans="1:7">
      <c r="A906" s="15"/>
      <c r="B906" s="15"/>
      <c r="C906" s="15"/>
      <c r="D906" s="15"/>
      <c r="E906" s="15"/>
      <c r="F906" s="15"/>
      <c r="G906" s="15"/>
    </row>
    <row r="907" spans="1:7">
      <c r="A907" s="15"/>
      <c r="B907" s="15"/>
      <c r="C907" s="15"/>
      <c r="D907" s="15"/>
      <c r="E907" s="15"/>
      <c r="F907" s="15"/>
      <c r="G907" s="15"/>
    </row>
    <row r="908" spans="1:7">
      <c r="A908" s="15"/>
      <c r="B908" s="15"/>
      <c r="C908" s="15"/>
      <c r="D908" s="15"/>
      <c r="E908" s="15"/>
      <c r="F908" s="15"/>
      <c r="G908" s="15"/>
    </row>
    <row r="909" spans="1:7">
      <c r="A909" s="15"/>
      <c r="B909" s="15"/>
      <c r="C909" s="15"/>
      <c r="D909" s="15"/>
      <c r="E909" s="15"/>
      <c r="F909" s="15"/>
      <c r="G909" s="15"/>
    </row>
    <row r="910" spans="1:7">
      <c r="A910" s="15"/>
      <c r="B910" s="15"/>
      <c r="C910" s="15"/>
      <c r="D910" s="15"/>
      <c r="E910" s="15"/>
      <c r="F910" s="15"/>
      <c r="G910" s="15"/>
    </row>
    <row r="911" spans="1:7">
      <c r="A911" s="15"/>
      <c r="B911" s="15"/>
      <c r="C911" s="15"/>
      <c r="D911" s="15"/>
      <c r="E911" s="15"/>
      <c r="F911" s="15"/>
      <c r="G911" s="15"/>
    </row>
    <row r="912" spans="1:7">
      <c r="A912" s="15"/>
      <c r="B912" s="15"/>
      <c r="C912" s="15"/>
      <c r="D912" s="15"/>
      <c r="E912" s="15"/>
      <c r="F912" s="15"/>
      <c r="G912" s="15"/>
    </row>
    <row r="913" spans="1:7">
      <c r="A913" s="15"/>
      <c r="B913" s="15"/>
      <c r="C913" s="15"/>
      <c r="D913" s="15"/>
      <c r="E913" s="15"/>
      <c r="F913" s="15"/>
      <c r="G913" s="15"/>
    </row>
    <row r="914" spans="1:7">
      <c r="A914" s="15"/>
      <c r="B914" s="15"/>
      <c r="C914" s="15"/>
      <c r="D914" s="15"/>
      <c r="E914" s="15"/>
      <c r="F914" s="15"/>
      <c r="G914" s="15"/>
    </row>
    <row r="915" spans="1:7">
      <c r="A915" s="15"/>
      <c r="B915" s="15"/>
      <c r="C915" s="15"/>
      <c r="D915" s="15"/>
      <c r="E915" s="15"/>
      <c r="F915" s="15"/>
      <c r="G915" s="15"/>
    </row>
    <row r="916" spans="1:7">
      <c r="A916" s="15"/>
      <c r="B916" s="15"/>
      <c r="C916" s="15"/>
      <c r="D916" s="15"/>
      <c r="E916" s="15"/>
      <c r="F916" s="15"/>
      <c r="G916" s="15"/>
    </row>
    <row r="917" spans="1:7">
      <c r="A917" s="15"/>
      <c r="B917" s="15"/>
      <c r="C917" s="15"/>
      <c r="D917" s="15"/>
      <c r="E917" s="15"/>
      <c r="F917" s="15"/>
      <c r="G917" s="15"/>
    </row>
    <row r="918" spans="1:7">
      <c r="A918" s="15"/>
      <c r="B918" s="15"/>
      <c r="C918" s="15"/>
      <c r="D918" s="15"/>
      <c r="E918" s="15"/>
      <c r="F918" s="15"/>
      <c r="G918" s="15"/>
    </row>
    <row r="919" spans="1:7">
      <c r="A919" s="15"/>
      <c r="B919" s="15"/>
      <c r="C919" s="15"/>
      <c r="D919" s="15"/>
      <c r="E919" s="15"/>
      <c r="F919" s="15"/>
      <c r="G919" s="15"/>
    </row>
    <row r="920" spans="1:7">
      <c r="A920" s="15"/>
      <c r="B920" s="15"/>
      <c r="C920" s="15"/>
      <c r="D920" s="15"/>
      <c r="E920" s="15"/>
      <c r="F920" s="15"/>
      <c r="G920" s="15"/>
    </row>
    <row r="921" spans="1:7">
      <c r="A921" s="15"/>
      <c r="B921" s="15"/>
      <c r="C921" s="15"/>
      <c r="D921" s="15"/>
      <c r="E921" s="15"/>
      <c r="F921" s="15"/>
      <c r="G921" s="15"/>
    </row>
    <row r="922" spans="1:7">
      <c r="A922" s="15"/>
      <c r="B922" s="15"/>
      <c r="C922" s="15"/>
      <c r="D922" s="15"/>
      <c r="E922" s="15"/>
      <c r="F922" s="15"/>
      <c r="G922" s="15"/>
    </row>
    <row r="923" spans="1:7">
      <c r="A923" s="15"/>
      <c r="B923" s="15"/>
      <c r="C923" s="15"/>
      <c r="D923" s="15"/>
      <c r="E923" s="15"/>
      <c r="F923" s="15"/>
      <c r="G923" s="15"/>
    </row>
    <row r="924" spans="1:7">
      <c r="A924" s="15"/>
      <c r="B924" s="15"/>
      <c r="C924" s="15"/>
      <c r="D924" s="15"/>
      <c r="E924" s="15"/>
      <c r="F924" s="15"/>
      <c r="G924" s="15"/>
    </row>
    <row r="925" spans="1:7">
      <c r="A925" s="15"/>
      <c r="B925" s="15"/>
      <c r="C925" s="15"/>
      <c r="D925" s="15"/>
      <c r="E925" s="15"/>
      <c r="F925" s="15"/>
      <c r="G925" s="15"/>
    </row>
    <row r="926" spans="1:7">
      <c r="A926" s="15"/>
      <c r="B926" s="15"/>
      <c r="C926" s="15"/>
      <c r="D926" s="15"/>
      <c r="E926" s="15"/>
      <c r="F926" s="15"/>
      <c r="G926" s="15"/>
    </row>
    <row r="927" spans="1:7">
      <c r="A927" s="15"/>
      <c r="B927" s="15"/>
      <c r="C927" s="15"/>
      <c r="D927" s="15"/>
      <c r="E927" s="15"/>
      <c r="F927" s="15"/>
      <c r="G927" s="15"/>
    </row>
    <row r="928" spans="1:7">
      <c r="A928" s="15"/>
      <c r="B928" s="15"/>
      <c r="C928" s="15"/>
      <c r="D928" s="15"/>
      <c r="E928" s="15"/>
      <c r="F928" s="15"/>
      <c r="G928" s="15"/>
    </row>
    <row r="929" spans="1:7">
      <c r="A929" s="15"/>
      <c r="B929" s="15"/>
      <c r="C929" s="15"/>
      <c r="D929" s="15"/>
      <c r="E929" s="15"/>
      <c r="F929" s="15"/>
      <c r="G929" s="15"/>
    </row>
    <row r="930" spans="1:7">
      <c r="A930" s="15"/>
      <c r="B930" s="15"/>
      <c r="C930" s="15"/>
      <c r="D930" s="15"/>
      <c r="E930" s="15"/>
      <c r="F930" s="15"/>
      <c r="G930" s="15"/>
    </row>
    <row r="931" spans="1:7">
      <c r="A931" s="15"/>
      <c r="B931" s="15"/>
      <c r="C931" s="15"/>
      <c r="D931" s="15"/>
      <c r="E931" s="15"/>
      <c r="F931" s="15"/>
      <c r="G931" s="15"/>
    </row>
    <row r="932" spans="1:7">
      <c r="A932" s="15"/>
      <c r="B932" s="15"/>
      <c r="C932" s="15"/>
      <c r="D932" s="15"/>
      <c r="E932" s="15"/>
      <c r="F932" s="15"/>
      <c r="G932" s="15"/>
    </row>
    <row r="933" spans="1:7">
      <c r="A933" s="15"/>
      <c r="B933" s="15"/>
      <c r="C933" s="15"/>
      <c r="D933" s="15"/>
      <c r="E933" s="15"/>
      <c r="F933" s="15"/>
      <c r="G933" s="15"/>
    </row>
    <row r="934" spans="1:7">
      <c r="A934" s="15"/>
      <c r="B934" s="15"/>
      <c r="C934" s="15"/>
      <c r="D934" s="15"/>
      <c r="E934" s="15"/>
      <c r="F934" s="15"/>
      <c r="G934" s="15"/>
    </row>
    <row r="935" spans="1:7">
      <c r="A935" s="15"/>
      <c r="B935" s="15"/>
      <c r="C935" s="15"/>
      <c r="D935" s="15"/>
      <c r="E935" s="15"/>
      <c r="F935" s="15"/>
      <c r="G935" s="15"/>
    </row>
    <row r="936" spans="1:7">
      <c r="A936" s="15"/>
      <c r="B936" s="15"/>
      <c r="C936" s="15"/>
      <c r="D936" s="15"/>
      <c r="E936" s="15"/>
      <c r="F936" s="15"/>
      <c r="G936" s="15"/>
    </row>
    <row r="937" spans="1:7">
      <c r="A937" s="15"/>
      <c r="B937" s="15"/>
      <c r="C937" s="15"/>
      <c r="D937" s="15"/>
      <c r="E937" s="15"/>
      <c r="F937" s="15"/>
      <c r="G937" s="15"/>
    </row>
    <row r="938" spans="1:7">
      <c r="A938" s="15"/>
      <c r="B938" s="15"/>
      <c r="C938" s="15"/>
      <c r="D938" s="15"/>
      <c r="E938" s="15"/>
      <c r="F938" s="15"/>
      <c r="G938" s="15"/>
    </row>
    <row r="939" spans="1:7">
      <c r="A939" s="15"/>
      <c r="B939" s="15"/>
      <c r="C939" s="15"/>
      <c r="D939" s="15"/>
      <c r="E939" s="15"/>
      <c r="F939" s="15"/>
      <c r="G939" s="15"/>
    </row>
    <row r="940" spans="1:7">
      <c r="A940" s="15"/>
      <c r="B940" s="15"/>
      <c r="C940" s="15"/>
      <c r="D940" s="15"/>
      <c r="E940" s="15"/>
      <c r="F940" s="15"/>
      <c r="G940" s="15"/>
    </row>
    <row r="941" spans="1:7">
      <c r="A941" s="15"/>
      <c r="B941" s="15"/>
      <c r="C941" s="15"/>
      <c r="D941" s="15"/>
      <c r="E941" s="15"/>
      <c r="F941" s="15"/>
      <c r="G941" s="15"/>
    </row>
    <row r="942" spans="1:7">
      <c r="A942" s="15"/>
      <c r="B942" s="15"/>
      <c r="C942" s="15"/>
      <c r="D942" s="15"/>
      <c r="E942" s="15"/>
      <c r="F942" s="15"/>
      <c r="G942" s="15"/>
    </row>
    <row r="943" spans="1:7">
      <c r="A943" s="15"/>
      <c r="B943" s="15"/>
      <c r="C943" s="15"/>
      <c r="D943" s="15"/>
      <c r="E943" s="15"/>
      <c r="F943" s="15"/>
      <c r="G943" s="15"/>
    </row>
    <row r="944" spans="1:7">
      <c r="A944" s="15"/>
      <c r="B944" s="15"/>
      <c r="C944" s="15"/>
      <c r="D944" s="15"/>
      <c r="E944" s="15"/>
      <c r="F944" s="15"/>
      <c r="G944" s="15"/>
    </row>
    <row r="945" spans="1:7">
      <c r="A945" s="15"/>
      <c r="B945" s="15"/>
      <c r="C945" s="15"/>
      <c r="D945" s="15"/>
      <c r="E945" s="15"/>
      <c r="F945" s="15"/>
      <c r="G945" s="15"/>
    </row>
    <row r="946" spans="1:7">
      <c r="A946" s="15"/>
      <c r="B946" s="15"/>
      <c r="C946" s="15"/>
      <c r="D946" s="15"/>
      <c r="E946" s="15"/>
      <c r="F946" s="15"/>
      <c r="G946" s="15"/>
    </row>
    <row r="947" spans="1:7">
      <c r="A947" s="15"/>
      <c r="B947" s="15"/>
      <c r="C947" s="15"/>
      <c r="D947" s="15"/>
      <c r="E947" s="15"/>
      <c r="F947" s="15"/>
      <c r="G947" s="15"/>
    </row>
    <row r="948" spans="1:7">
      <c r="A948" s="15"/>
      <c r="B948" s="15"/>
      <c r="C948" s="15"/>
      <c r="D948" s="15"/>
      <c r="E948" s="15"/>
      <c r="F948" s="15"/>
      <c r="G948" s="15"/>
    </row>
    <row r="949" spans="1:7">
      <c r="A949" s="15"/>
      <c r="B949" s="15"/>
      <c r="C949" s="15"/>
      <c r="D949" s="15"/>
      <c r="E949" s="15"/>
      <c r="F949" s="15"/>
      <c r="G949" s="15"/>
    </row>
    <row r="950" spans="1:7">
      <c r="A950" s="15"/>
      <c r="B950" s="15"/>
      <c r="C950" s="15"/>
      <c r="D950" s="15"/>
      <c r="E950" s="15"/>
      <c r="F950" s="15"/>
      <c r="G950" s="15"/>
    </row>
    <row r="951" spans="1:7">
      <c r="A951" s="15"/>
      <c r="B951" s="15"/>
      <c r="C951" s="15"/>
      <c r="D951" s="15"/>
      <c r="E951" s="15"/>
      <c r="F951" s="15"/>
      <c r="G951" s="15"/>
    </row>
    <row r="952" spans="1:7">
      <c r="A952" s="15"/>
      <c r="B952" s="15"/>
      <c r="C952" s="15"/>
      <c r="D952" s="15"/>
      <c r="E952" s="15"/>
      <c r="F952" s="15"/>
      <c r="G952" s="15"/>
    </row>
    <row r="953" spans="1:7">
      <c r="A953" s="15"/>
      <c r="B953" s="15"/>
      <c r="C953" s="15"/>
      <c r="D953" s="15"/>
      <c r="E953" s="15"/>
      <c r="F953" s="15"/>
      <c r="G953" s="15"/>
    </row>
    <row r="954" spans="1:7">
      <c r="A954" s="15"/>
      <c r="B954" s="15"/>
      <c r="C954" s="15"/>
      <c r="D954" s="15"/>
      <c r="E954" s="15"/>
      <c r="F954" s="15"/>
      <c r="G954" s="15"/>
    </row>
    <row r="955" spans="1:7">
      <c r="A955" s="15"/>
      <c r="B955" s="15"/>
      <c r="C955" s="15"/>
      <c r="D955" s="15"/>
      <c r="E955" s="15"/>
      <c r="F955" s="15"/>
      <c r="G955" s="15"/>
    </row>
    <row r="956" spans="1:7">
      <c r="A956" s="15"/>
      <c r="B956" s="15"/>
      <c r="C956" s="15"/>
      <c r="D956" s="15"/>
      <c r="E956" s="15"/>
      <c r="F956" s="15"/>
      <c r="G956" s="15"/>
    </row>
    <row r="957" spans="1:7">
      <c r="A957" s="15"/>
      <c r="B957" s="15"/>
      <c r="C957" s="15"/>
      <c r="D957" s="15"/>
      <c r="E957" s="15"/>
      <c r="F957" s="15"/>
      <c r="G957" s="15"/>
    </row>
    <row r="958" spans="1:7">
      <c r="A958" s="15"/>
      <c r="B958" s="15"/>
      <c r="C958" s="15"/>
      <c r="D958" s="15"/>
      <c r="E958" s="15"/>
      <c r="F958" s="15"/>
      <c r="G958" s="15"/>
    </row>
    <row r="959" spans="1:7">
      <c r="A959" s="15"/>
      <c r="B959" s="15"/>
      <c r="C959" s="15"/>
      <c r="D959" s="15"/>
      <c r="E959" s="15"/>
      <c r="F959" s="15"/>
      <c r="G959" s="15"/>
    </row>
    <row r="960" spans="1:7">
      <c r="A960" s="15"/>
      <c r="B960" s="15"/>
      <c r="C960" s="15"/>
      <c r="D960" s="15"/>
      <c r="E960" s="15"/>
      <c r="F960" s="15"/>
      <c r="G960" s="15"/>
    </row>
    <row r="961" spans="1:7">
      <c r="A961" s="15"/>
      <c r="B961" s="15"/>
      <c r="C961" s="15"/>
      <c r="D961" s="15"/>
      <c r="E961" s="15"/>
      <c r="F961" s="15"/>
      <c r="G961" s="15"/>
    </row>
    <row r="962" spans="1:7">
      <c r="A962" s="15"/>
      <c r="B962" s="15"/>
      <c r="C962" s="15"/>
      <c r="D962" s="15"/>
      <c r="E962" s="15"/>
      <c r="F962" s="15"/>
      <c r="G962" s="15"/>
    </row>
    <row r="963" spans="1:7">
      <c r="A963" s="15"/>
      <c r="B963" s="15"/>
      <c r="C963" s="15"/>
      <c r="D963" s="15"/>
      <c r="E963" s="15"/>
      <c r="F963" s="15"/>
      <c r="G963" s="15"/>
    </row>
    <row r="964" spans="1:7">
      <c r="A964" s="15"/>
      <c r="B964" s="15"/>
      <c r="C964" s="15"/>
      <c r="D964" s="15"/>
      <c r="E964" s="15"/>
      <c r="F964" s="15"/>
      <c r="G964" s="15"/>
    </row>
    <row r="965" spans="1:7">
      <c r="A965" s="15"/>
      <c r="B965" s="15"/>
      <c r="C965" s="15"/>
      <c r="D965" s="15"/>
      <c r="E965" s="15"/>
      <c r="F965" s="15"/>
      <c r="G965" s="15"/>
    </row>
    <row r="966" spans="1:7">
      <c r="A966" s="15"/>
      <c r="B966" s="15"/>
      <c r="C966" s="15"/>
      <c r="D966" s="15"/>
      <c r="E966" s="15"/>
      <c r="F966" s="15"/>
      <c r="G966" s="15"/>
    </row>
    <row r="967" spans="1:7">
      <c r="A967" s="15"/>
      <c r="B967" s="15"/>
      <c r="C967" s="15"/>
      <c r="D967" s="15"/>
      <c r="E967" s="15"/>
      <c r="F967" s="15"/>
      <c r="G967" s="15"/>
    </row>
    <row r="968" spans="1:7">
      <c r="A968" s="15"/>
      <c r="B968" s="15"/>
      <c r="C968" s="15"/>
      <c r="D968" s="15"/>
      <c r="E968" s="15"/>
      <c r="F968" s="15"/>
      <c r="G968" s="15"/>
    </row>
    <row r="969" spans="1:7">
      <c r="A969" s="15"/>
      <c r="B969" s="15"/>
      <c r="C969" s="15"/>
      <c r="D969" s="15"/>
      <c r="E969" s="15"/>
      <c r="F969" s="15"/>
      <c r="G969" s="15"/>
    </row>
    <row r="970" spans="1:7">
      <c r="A970" s="15"/>
      <c r="B970" s="15"/>
      <c r="C970" s="15"/>
      <c r="D970" s="15"/>
      <c r="E970" s="15"/>
      <c r="F970" s="15"/>
      <c r="G970" s="15"/>
    </row>
    <row r="971" spans="1:7">
      <c r="A971" s="15"/>
      <c r="B971" s="15"/>
      <c r="C971" s="15"/>
      <c r="D971" s="15"/>
      <c r="E971" s="15"/>
      <c r="F971" s="15"/>
      <c r="G971" s="15"/>
    </row>
    <row r="972" spans="1:7">
      <c r="A972" s="15"/>
      <c r="B972" s="15"/>
      <c r="C972" s="15"/>
      <c r="D972" s="15"/>
      <c r="E972" s="15"/>
      <c r="F972" s="15"/>
      <c r="G972" s="15"/>
    </row>
    <row r="973" spans="1:7">
      <c r="A973" s="15"/>
      <c r="B973" s="15"/>
      <c r="C973" s="15"/>
      <c r="D973" s="15"/>
      <c r="E973" s="15"/>
      <c r="F973" s="15"/>
      <c r="G973" s="15"/>
    </row>
    <row r="974" spans="1:7">
      <c r="A974" s="15"/>
      <c r="B974" s="15"/>
      <c r="C974" s="15"/>
      <c r="D974" s="15"/>
      <c r="E974" s="15"/>
      <c r="F974" s="15"/>
      <c r="G974" s="15"/>
    </row>
    <row r="975" spans="1:7">
      <c r="A975" s="15"/>
      <c r="B975" s="15"/>
      <c r="C975" s="15"/>
      <c r="D975" s="15"/>
      <c r="E975" s="15"/>
      <c r="F975" s="15"/>
      <c r="G975" s="15"/>
    </row>
    <row r="976" spans="1:7">
      <c r="A976" s="15"/>
      <c r="B976" s="15"/>
      <c r="C976" s="15"/>
      <c r="D976" s="15"/>
      <c r="E976" s="15"/>
      <c r="F976" s="15"/>
      <c r="G976" s="15"/>
    </row>
    <row r="977" spans="1:7">
      <c r="A977" s="15"/>
      <c r="B977" s="15"/>
      <c r="C977" s="15"/>
      <c r="D977" s="15"/>
      <c r="E977" s="15"/>
      <c r="F977" s="15"/>
      <c r="G977" s="15"/>
    </row>
    <row r="978" spans="1:7">
      <c r="A978" s="15"/>
      <c r="B978" s="15"/>
      <c r="C978" s="15"/>
      <c r="D978" s="15"/>
      <c r="E978" s="15"/>
      <c r="F978" s="15"/>
      <c r="G978" s="15"/>
    </row>
    <row r="979" spans="1:7">
      <c r="A979" s="15"/>
      <c r="B979" s="15"/>
      <c r="C979" s="15"/>
      <c r="D979" s="15"/>
      <c r="E979" s="15"/>
      <c r="F979" s="15"/>
      <c r="G979" s="15"/>
    </row>
    <row r="980" spans="1:7">
      <c r="A980" s="15"/>
      <c r="B980" s="15"/>
      <c r="C980" s="15"/>
      <c r="D980" s="15"/>
      <c r="E980" s="15"/>
      <c r="F980" s="15"/>
      <c r="G980" s="15"/>
    </row>
    <row r="981" spans="1:7">
      <c r="A981" s="15"/>
      <c r="B981" s="15"/>
      <c r="C981" s="15"/>
      <c r="D981" s="15"/>
      <c r="E981" s="15"/>
      <c r="F981" s="15"/>
      <c r="G981" s="15"/>
    </row>
    <row r="982" spans="1:7">
      <c r="A982" s="15"/>
      <c r="B982" s="15"/>
      <c r="C982" s="15"/>
      <c r="D982" s="15"/>
      <c r="E982" s="15"/>
      <c r="F982" s="15"/>
      <c r="G982" s="15"/>
    </row>
    <row r="983" spans="1:7">
      <c r="A983" s="15"/>
      <c r="B983" s="15"/>
      <c r="C983" s="15"/>
      <c r="D983" s="15"/>
      <c r="E983" s="15"/>
      <c r="F983" s="15"/>
      <c r="G983" s="15"/>
    </row>
    <row r="984" spans="1:7">
      <c r="A984" s="15"/>
      <c r="B984" s="15"/>
      <c r="C984" s="15"/>
      <c r="D984" s="15"/>
      <c r="E984" s="15"/>
      <c r="F984" s="15"/>
      <c r="G984" s="15"/>
    </row>
    <row r="985" spans="1:7">
      <c r="A985" s="15"/>
      <c r="B985" s="15"/>
      <c r="C985" s="15"/>
      <c r="D985" s="15"/>
      <c r="E985" s="15"/>
      <c r="F985" s="15"/>
      <c r="G985" s="15"/>
    </row>
    <row r="986" spans="1:7">
      <c r="A986" s="15"/>
      <c r="B986" s="15"/>
      <c r="C986" s="15"/>
      <c r="D986" s="15"/>
      <c r="E986" s="15"/>
      <c r="F986" s="15"/>
      <c r="G986" s="15"/>
    </row>
    <row r="987" spans="1:7">
      <c r="A987" s="15"/>
      <c r="B987" s="15"/>
      <c r="C987" s="15"/>
      <c r="D987" s="15"/>
      <c r="E987" s="15"/>
      <c r="F987" s="15"/>
      <c r="G987" s="15"/>
    </row>
    <row r="988" spans="1:7">
      <c r="A988" s="15"/>
      <c r="B988" s="15"/>
      <c r="C988" s="15"/>
      <c r="D988" s="15"/>
      <c r="E988" s="15"/>
      <c r="F988" s="15"/>
      <c r="G988" s="15"/>
    </row>
    <row r="989" spans="1:7">
      <c r="A989" s="15"/>
      <c r="B989" s="15"/>
      <c r="C989" s="15"/>
      <c r="D989" s="15"/>
      <c r="E989" s="15"/>
      <c r="F989" s="15"/>
      <c r="G989" s="15"/>
    </row>
    <row r="990" spans="1:7">
      <c r="A990" s="15"/>
      <c r="B990" s="15"/>
      <c r="C990" s="15"/>
      <c r="D990" s="15"/>
      <c r="E990" s="15"/>
      <c r="F990" s="15"/>
      <c r="G990" s="15"/>
    </row>
    <row r="991" spans="1:7">
      <c r="A991" s="15"/>
      <c r="B991" s="15"/>
      <c r="C991" s="15"/>
      <c r="D991" s="15"/>
      <c r="E991" s="15"/>
      <c r="F991" s="15"/>
      <c r="G991" s="15"/>
    </row>
    <row r="992" spans="1:7">
      <c r="A992" s="15"/>
      <c r="B992" s="15"/>
      <c r="C992" s="15"/>
      <c r="D992" s="15"/>
      <c r="E992" s="15"/>
      <c r="F992" s="15"/>
      <c r="G992" s="15"/>
    </row>
    <row r="993" spans="1:7">
      <c r="A993" s="15"/>
      <c r="B993" s="15"/>
      <c r="C993" s="15"/>
      <c r="D993" s="15"/>
      <c r="E993" s="15"/>
      <c r="F993" s="15"/>
      <c r="G993" s="15"/>
    </row>
    <row r="994" spans="1:7">
      <c r="A994" s="15"/>
      <c r="B994" s="15"/>
      <c r="C994" s="15"/>
      <c r="D994" s="15"/>
      <c r="E994" s="15"/>
      <c r="F994" s="15"/>
      <c r="G994" s="15"/>
    </row>
    <row r="995" spans="1:7">
      <c r="A995" s="15"/>
      <c r="B995" s="15"/>
      <c r="C995" s="15"/>
      <c r="D995" s="15"/>
      <c r="E995" s="15"/>
      <c r="F995" s="15"/>
      <c r="G995" s="15"/>
    </row>
    <row r="996" spans="1:7">
      <c r="A996" s="15"/>
      <c r="B996" s="15"/>
      <c r="C996" s="15"/>
      <c r="D996" s="15"/>
      <c r="E996" s="15"/>
      <c r="F996" s="15"/>
      <c r="G996" s="15"/>
    </row>
    <row r="997" spans="1:7">
      <c r="A997" s="15"/>
      <c r="B997" s="15"/>
      <c r="C997" s="15"/>
      <c r="D997" s="15"/>
      <c r="E997" s="15"/>
      <c r="F997" s="15"/>
      <c r="G997" s="15"/>
    </row>
    <row r="998" spans="1:7">
      <c r="A998" s="15"/>
      <c r="B998" s="15"/>
      <c r="C998" s="15"/>
      <c r="D998" s="15"/>
      <c r="E998" s="15"/>
      <c r="F998" s="15"/>
      <c r="G998" s="15"/>
    </row>
    <row r="999" spans="1:7">
      <c r="A999" s="15"/>
      <c r="B999" s="15"/>
      <c r="C999" s="15"/>
      <c r="D999" s="15"/>
      <c r="E999" s="15"/>
      <c r="F999" s="15"/>
      <c r="G999" s="15"/>
    </row>
    <row r="1000" spans="1:7">
      <c r="A1000" s="15"/>
      <c r="B1000" s="15"/>
      <c r="C1000" s="15"/>
      <c r="D1000" s="15"/>
      <c r="E1000" s="15"/>
      <c r="F1000" s="15"/>
      <c r="G1000" s="15"/>
    </row>
    <row r="1001" spans="1:7">
      <c r="A1001" s="15"/>
      <c r="B1001" s="15"/>
      <c r="C1001" s="15"/>
      <c r="D1001" s="15"/>
      <c r="E1001" s="15"/>
      <c r="F1001" s="15"/>
      <c r="G1001" s="15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'Ship Speeds'!$C$9:$C$19</xm:f>
          </x14:formula1>
          <x14:formula2>
            <xm:f>0</xm:f>
          </x14:formula2>
          <xm:sqref>B2:B455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AD22"/>
  <sheetViews>
    <sheetView zoomScaleNormal="100" workbookViewId="0">
      <selection activeCell="K33" sqref="K33"/>
    </sheetView>
  </sheetViews>
  <sheetFormatPr baseColWidth="10" defaultColWidth="9.1640625" defaultRowHeight="15"/>
  <cols>
    <col min="2" max="2" width="17.1640625" customWidth="1"/>
  </cols>
  <sheetData>
    <row r="1" spans="1:30" ht="85">
      <c r="A1" s="42" t="s">
        <v>225</v>
      </c>
      <c r="B1" s="42" t="s">
        <v>1</v>
      </c>
      <c r="C1" s="42" t="s">
        <v>226</v>
      </c>
      <c r="D1" s="42" t="s">
        <v>227</v>
      </c>
      <c r="E1" s="42" t="s">
        <v>228</v>
      </c>
      <c r="F1" s="42" t="s">
        <v>229</v>
      </c>
      <c r="G1" s="42" t="s">
        <v>230</v>
      </c>
      <c r="H1" s="42" t="s">
        <v>231</v>
      </c>
      <c r="I1" s="42" t="s">
        <v>232</v>
      </c>
      <c r="J1" s="42" t="s">
        <v>233</v>
      </c>
      <c r="K1" s="42" t="s">
        <v>234</v>
      </c>
      <c r="L1" s="42" t="s">
        <v>235</v>
      </c>
      <c r="M1" s="42" t="s">
        <v>236</v>
      </c>
      <c r="N1" s="42" t="s">
        <v>237</v>
      </c>
      <c r="O1" s="42" t="s">
        <v>238</v>
      </c>
      <c r="P1" s="42" t="s">
        <v>239</v>
      </c>
      <c r="Q1" s="42" t="s">
        <v>240</v>
      </c>
      <c r="R1" s="42" t="s">
        <v>241</v>
      </c>
      <c r="S1" s="42" t="s">
        <v>242</v>
      </c>
      <c r="T1" s="42" t="s">
        <v>243</v>
      </c>
      <c r="U1" s="42" t="s">
        <v>244</v>
      </c>
      <c r="V1" s="42" t="s">
        <v>245</v>
      </c>
      <c r="W1" s="42" t="s">
        <v>246</v>
      </c>
      <c r="X1" s="42" t="s">
        <v>247</v>
      </c>
      <c r="Y1" s="42" t="s">
        <v>248</v>
      </c>
      <c r="Z1" s="42" t="s">
        <v>74</v>
      </c>
      <c r="AA1" s="42" t="s">
        <v>74</v>
      </c>
      <c r="AB1" s="42" t="s">
        <v>74</v>
      </c>
      <c r="AC1" s="42" t="s">
        <v>74</v>
      </c>
      <c r="AD1" s="42" t="s">
        <v>249</v>
      </c>
    </row>
    <row r="2" spans="1:30" ht="16">
      <c r="A2" s="152" t="s">
        <v>250</v>
      </c>
      <c r="B2" s="152">
        <v>43466</v>
      </c>
      <c r="C2" s="153">
        <v>42500</v>
      </c>
      <c r="D2" s="153">
        <v>42500</v>
      </c>
      <c r="E2" s="153">
        <v>42500</v>
      </c>
      <c r="F2" s="153">
        <v>42500</v>
      </c>
      <c r="G2" s="153">
        <v>42500</v>
      </c>
      <c r="H2" s="153">
        <v>42500</v>
      </c>
      <c r="I2" s="153">
        <v>42500</v>
      </c>
      <c r="J2" s="153" t="s">
        <v>251</v>
      </c>
      <c r="K2" s="151">
        <v>12342</v>
      </c>
      <c r="L2" s="154"/>
      <c r="M2" s="154"/>
      <c r="N2" s="154">
        <v>2.64</v>
      </c>
      <c r="O2" s="154"/>
      <c r="P2" s="154"/>
      <c r="Q2" s="154">
        <v>4.53</v>
      </c>
      <c r="R2" s="154">
        <v>0.36699999999999999</v>
      </c>
      <c r="S2" s="154">
        <v>0.05</v>
      </c>
      <c r="T2" s="154"/>
      <c r="U2" s="154"/>
      <c r="V2" s="154"/>
      <c r="W2" s="154">
        <v>197</v>
      </c>
      <c r="X2" s="154"/>
      <c r="Y2" s="154"/>
      <c r="Z2" s="155"/>
      <c r="AA2" s="155"/>
      <c r="AB2" s="155"/>
      <c r="AC2" s="155"/>
      <c r="AD2" s="155"/>
    </row>
    <row r="3" spans="1:30" ht="16">
      <c r="A3" s="152" t="s">
        <v>252</v>
      </c>
      <c r="B3" s="152">
        <v>43466</v>
      </c>
      <c r="C3" s="153">
        <v>42500</v>
      </c>
      <c r="D3" s="153">
        <v>42500</v>
      </c>
      <c r="E3" s="153">
        <v>42500</v>
      </c>
      <c r="F3" s="153">
        <v>42500</v>
      </c>
      <c r="G3" s="153">
        <v>42500</v>
      </c>
      <c r="H3" s="153">
        <v>42500</v>
      </c>
      <c r="I3" s="153">
        <v>42500</v>
      </c>
      <c r="J3" s="153" t="s">
        <v>251</v>
      </c>
      <c r="K3" s="151">
        <v>12342</v>
      </c>
      <c r="L3" s="154"/>
      <c r="M3" s="154"/>
      <c r="N3" s="154">
        <v>2.64</v>
      </c>
      <c r="O3" s="154"/>
      <c r="P3" s="154"/>
      <c r="Q3" s="154">
        <v>4.53</v>
      </c>
      <c r="R3" s="154">
        <v>0.36699999999999999</v>
      </c>
      <c r="S3" s="154">
        <v>0.05</v>
      </c>
      <c r="T3" s="154"/>
      <c r="U3" s="154"/>
      <c r="V3" s="154"/>
      <c r="W3" s="154">
        <v>197</v>
      </c>
      <c r="X3" s="154"/>
      <c r="Y3" s="154"/>
      <c r="Z3" s="154"/>
      <c r="AA3" s="154"/>
      <c r="AB3" s="154"/>
      <c r="AC3" s="154"/>
      <c r="AD3" s="154"/>
    </row>
    <row r="4" spans="1:30" ht="16">
      <c r="A4" s="152" t="s">
        <v>253</v>
      </c>
      <c r="B4" s="152">
        <v>43466</v>
      </c>
      <c r="C4" s="153">
        <v>42500</v>
      </c>
      <c r="D4" s="153">
        <v>42500</v>
      </c>
      <c r="E4" s="153">
        <v>42500</v>
      </c>
      <c r="F4" s="153">
        <v>42500</v>
      </c>
      <c r="G4" s="153">
        <v>42500</v>
      </c>
      <c r="H4" s="153">
        <v>42500</v>
      </c>
      <c r="I4" s="153">
        <v>42500</v>
      </c>
      <c r="J4" s="153" t="s">
        <v>251</v>
      </c>
      <c r="K4" s="151">
        <v>12342</v>
      </c>
      <c r="L4" s="154"/>
      <c r="M4" s="154"/>
      <c r="N4" s="154">
        <v>2.64</v>
      </c>
      <c r="O4" s="154"/>
      <c r="P4" s="154"/>
      <c r="Q4" s="154">
        <v>4.53</v>
      </c>
      <c r="R4" s="154">
        <v>0.36699999999999999</v>
      </c>
      <c r="S4" s="154">
        <v>0.05</v>
      </c>
      <c r="T4" s="154"/>
      <c r="U4" s="154"/>
      <c r="V4" s="154"/>
      <c r="W4" s="154">
        <v>197</v>
      </c>
      <c r="X4" s="154"/>
      <c r="Y4" s="154"/>
      <c r="Z4" s="154"/>
      <c r="AA4" s="154"/>
      <c r="AB4" s="154"/>
      <c r="AC4" s="154"/>
      <c r="AD4" s="154"/>
    </row>
    <row r="5" spans="1:30" ht="16">
      <c r="A5" s="152" t="s">
        <v>254</v>
      </c>
      <c r="B5" s="152">
        <v>43466</v>
      </c>
      <c r="C5" s="153">
        <v>42500</v>
      </c>
      <c r="D5" s="153">
        <v>42500</v>
      </c>
      <c r="E5" s="153">
        <v>42500</v>
      </c>
      <c r="F5" s="153">
        <v>42500</v>
      </c>
      <c r="G5" s="153">
        <v>42500</v>
      </c>
      <c r="H5" s="153">
        <v>42500</v>
      </c>
      <c r="I5" s="153">
        <v>42500</v>
      </c>
      <c r="J5" s="153" t="s">
        <v>251</v>
      </c>
      <c r="K5" s="151">
        <v>12342</v>
      </c>
      <c r="L5" s="154"/>
      <c r="M5" s="154"/>
      <c r="N5" s="154">
        <v>2.64</v>
      </c>
      <c r="O5" s="154"/>
      <c r="P5" s="154"/>
      <c r="Q5" s="154">
        <v>4.53</v>
      </c>
      <c r="R5" s="154">
        <v>0.36699999999999999</v>
      </c>
      <c r="S5" s="154">
        <v>0.05</v>
      </c>
      <c r="T5" s="154"/>
      <c r="U5" s="154"/>
      <c r="V5" s="154"/>
      <c r="W5" s="154">
        <v>197</v>
      </c>
      <c r="X5" s="154"/>
      <c r="Y5" s="154"/>
      <c r="Z5" s="154"/>
      <c r="AA5" s="154"/>
      <c r="AB5" s="154"/>
      <c r="AC5" s="154"/>
      <c r="AD5" s="154"/>
    </row>
    <row r="6" spans="1:30" ht="16">
      <c r="A6" s="152" t="s">
        <v>255</v>
      </c>
      <c r="B6" s="152">
        <v>43466</v>
      </c>
      <c r="C6" s="153">
        <v>42500</v>
      </c>
      <c r="D6" s="153">
        <v>42500</v>
      </c>
      <c r="E6" s="153">
        <v>42500</v>
      </c>
      <c r="F6" s="153">
        <v>42500</v>
      </c>
      <c r="G6" s="153">
        <v>42500</v>
      </c>
      <c r="H6" s="153">
        <v>42500</v>
      </c>
      <c r="I6" s="153">
        <v>42500</v>
      </c>
      <c r="J6" s="153" t="s">
        <v>251</v>
      </c>
      <c r="K6" s="151">
        <v>12342</v>
      </c>
      <c r="L6" s="154"/>
      <c r="M6" s="154"/>
      <c r="N6" s="154">
        <v>2.64</v>
      </c>
      <c r="O6" s="154"/>
      <c r="P6" s="154"/>
      <c r="Q6" s="154">
        <v>4.53</v>
      </c>
      <c r="R6" s="154">
        <v>0.36699999999999999</v>
      </c>
      <c r="S6" s="154">
        <v>0.05</v>
      </c>
      <c r="T6" s="154"/>
      <c r="U6" s="154"/>
      <c r="V6" s="154"/>
      <c r="W6" s="154">
        <v>197</v>
      </c>
      <c r="X6" s="154"/>
      <c r="Y6" s="154"/>
      <c r="Z6" s="154"/>
      <c r="AA6" s="154"/>
      <c r="AB6" s="154"/>
      <c r="AC6" s="154"/>
      <c r="AD6" s="154"/>
    </row>
    <row r="7" spans="1:30" ht="16">
      <c r="A7" s="152" t="s">
        <v>256</v>
      </c>
      <c r="B7" s="152">
        <v>43466</v>
      </c>
      <c r="C7" s="153">
        <v>42500</v>
      </c>
      <c r="D7" s="153">
        <v>42500</v>
      </c>
      <c r="E7" s="153">
        <v>42500</v>
      </c>
      <c r="F7" s="153">
        <v>42500</v>
      </c>
      <c r="G7" s="153">
        <v>42500</v>
      </c>
      <c r="H7" s="153">
        <v>42500</v>
      </c>
      <c r="I7" s="153">
        <v>42500</v>
      </c>
      <c r="J7" s="153" t="s">
        <v>251</v>
      </c>
      <c r="K7" s="151">
        <v>12342</v>
      </c>
      <c r="L7" s="154"/>
      <c r="M7" s="154"/>
      <c r="N7" s="154">
        <v>2.64</v>
      </c>
      <c r="O7" s="154"/>
      <c r="P7" s="154"/>
      <c r="Q7" s="154">
        <v>4.53</v>
      </c>
      <c r="R7" s="154">
        <v>0.36699999999999999</v>
      </c>
      <c r="S7" s="154">
        <v>0.05</v>
      </c>
      <c r="T7" s="154"/>
      <c r="U7" s="154"/>
      <c r="V7" s="154"/>
      <c r="W7" s="154">
        <v>197</v>
      </c>
      <c r="X7" s="154"/>
      <c r="Y7" s="154"/>
      <c r="Z7" s="154"/>
      <c r="AA7" s="154"/>
      <c r="AB7" s="154"/>
      <c r="AC7" s="154"/>
      <c r="AD7" s="154"/>
    </row>
    <row r="8" spans="1:30" ht="16">
      <c r="A8" s="152" t="s">
        <v>257</v>
      </c>
      <c r="B8" s="152">
        <v>43466</v>
      </c>
      <c r="C8" s="153">
        <v>42500</v>
      </c>
      <c r="D8" s="153">
        <v>42500</v>
      </c>
      <c r="E8" s="153">
        <v>42500</v>
      </c>
      <c r="F8" s="153">
        <v>42500</v>
      </c>
      <c r="G8" s="153">
        <v>42500</v>
      </c>
      <c r="H8" s="153">
        <v>42500</v>
      </c>
      <c r="I8" s="153">
        <v>42500</v>
      </c>
      <c r="J8" s="153" t="s">
        <v>251</v>
      </c>
      <c r="K8" s="151">
        <v>12342</v>
      </c>
      <c r="L8" s="154"/>
      <c r="M8" s="154"/>
      <c r="N8" s="154">
        <v>2.64</v>
      </c>
      <c r="O8" s="154"/>
      <c r="P8" s="154"/>
      <c r="Q8" s="154">
        <v>4.53</v>
      </c>
      <c r="R8" s="154">
        <v>0.36699999999999999</v>
      </c>
      <c r="S8" s="154">
        <v>0.05</v>
      </c>
      <c r="T8" s="154"/>
      <c r="U8" s="154"/>
      <c r="V8" s="154"/>
      <c r="W8" s="154">
        <v>197</v>
      </c>
      <c r="X8" s="154"/>
      <c r="Y8" s="154"/>
      <c r="Z8" s="154"/>
      <c r="AA8" s="154"/>
      <c r="AB8" s="154"/>
      <c r="AC8" s="154"/>
      <c r="AD8" s="154"/>
    </row>
    <row r="9" spans="1:30" ht="16">
      <c r="A9" s="152" t="s">
        <v>113</v>
      </c>
      <c r="B9" s="152">
        <v>43466</v>
      </c>
      <c r="C9" s="153">
        <v>42500</v>
      </c>
      <c r="D9" s="153">
        <v>42500</v>
      </c>
      <c r="E9" s="153">
        <v>42500</v>
      </c>
      <c r="F9" s="153">
        <v>42500</v>
      </c>
      <c r="G9" s="153">
        <v>42500</v>
      </c>
      <c r="H9" s="153">
        <v>42500</v>
      </c>
      <c r="I9" s="153">
        <v>42500</v>
      </c>
      <c r="J9" s="153" t="s">
        <v>251</v>
      </c>
      <c r="K9" s="151">
        <v>12342</v>
      </c>
      <c r="L9" s="154"/>
      <c r="M9" s="154"/>
      <c r="N9" s="154">
        <v>2.64</v>
      </c>
      <c r="O9" s="154"/>
      <c r="P9" s="154"/>
      <c r="Q9" s="154">
        <v>4.53</v>
      </c>
      <c r="R9" s="154">
        <v>0.36699999999999999</v>
      </c>
      <c r="S9" s="154">
        <v>0.05</v>
      </c>
      <c r="T9" s="154"/>
      <c r="U9" s="154"/>
      <c r="V9" s="154"/>
      <c r="W9" s="154">
        <v>197</v>
      </c>
      <c r="X9" s="154"/>
      <c r="Y9" s="154"/>
      <c r="Z9" s="154"/>
      <c r="AA9" s="154"/>
      <c r="AB9" s="154"/>
      <c r="AC9" s="154"/>
      <c r="AD9" s="154"/>
    </row>
    <row r="10" spans="1:30" ht="16">
      <c r="A10" s="152" t="s">
        <v>258</v>
      </c>
      <c r="B10" s="152">
        <v>43466</v>
      </c>
      <c r="C10" s="153">
        <v>42500</v>
      </c>
      <c r="D10" s="153">
        <v>42500</v>
      </c>
      <c r="E10" s="153">
        <v>42500</v>
      </c>
      <c r="F10" s="153">
        <v>42500</v>
      </c>
      <c r="G10" s="153">
        <v>42500</v>
      </c>
      <c r="H10" s="153">
        <v>42500</v>
      </c>
      <c r="I10" s="153">
        <v>42500</v>
      </c>
      <c r="J10" s="153" t="s">
        <v>251</v>
      </c>
      <c r="K10" s="151">
        <v>12342</v>
      </c>
      <c r="L10" s="154"/>
      <c r="M10" s="154"/>
      <c r="N10" s="154">
        <v>2.64</v>
      </c>
      <c r="O10" s="154"/>
      <c r="P10" s="154"/>
      <c r="Q10" s="154">
        <v>4.53</v>
      </c>
      <c r="R10" s="154">
        <v>0.36699999999999999</v>
      </c>
      <c r="S10" s="154">
        <v>0.05</v>
      </c>
      <c r="T10" s="154"/>
      <c r="U10" s="154"/>
      <c r="V10" s="154"/>
      <c r="W10" s="154">
        <v>197</v>
      </c>
      <c r="X10" s="154"/>
      <c r="Y10" s="154"/>
      <c r="Z10" s="154"/>
      <c r="AA10" s="154"/>
      <c r="AB10" s="154"/>
      <c r="AC10" s="154"/>
      <c r="AD10" s="154"/>
    </row>
    <row r="11" spans="1:30" ht="16">
      <c r="A11" s="152" t="s">
        <v>259</v>
      </c>
      <c r="B11" s="152">
        <v>43466</v>
      </c>
      <c r="C11" s="153">
        <v>42500</v>
      </c>
      <c r="D11" s="153">
        <v>42500</v>
      </c>
      <c r="E11" s="153">
        <v>42500</v>
      </c>
      <c r="F11" s="153">
        <v>42500</v>
      </c>
      <c r="G11" s="153">
        <v>42500</v>
      </c>
      <c r="H11" s="153">
        <v>42500</v>
      </c>
      <c r="I11" s="153">
        <v>42500</v>
      </c>
      <c r="J11" s="153" t="s">
        <v>251</v>
      </c>
      <c r="K11" s="151">
        <v>12342</v>
      </c>
      <c r="L11" s="154"/>
      <c r="M11" s="154"/>
      <c r="N11" s="154">
        <v>2.64</v>
      </c>
      <c r="O11" s="154"/>
      <c r="P11" s="154"/>
      <c r="Q11" s="154">
        <v>4.53</v>
      </c>
      <c r="R11" s="154">
        <v>0.36699999999999999</v>
      </c>
      <c r="S11" s="154">
        <v>0.05</v>
      </c>
      <c r="T11" s="154"/>
      <c r="U11" s="154"/>
      <c r="V11" s="154"/>
      <c r="W11" s="154">
        <v>197</v>
      </c>
      <c r="X11" s="154"/>
      <c r="Y11" s="154"/>
      <c r="Z11" s="154"/>
      <c r="AA11" s="154"/>
      <c r="AB11" s="154"/>
      <c r="AC11" s="154"/>
      <c r="AD11" s="154"/>
    </row>
    <row r="12" spans="1:30" ht="16">
      <c r="A12" s="152" t="s">
        <v>260</v>
      </c>
      <c r="B12" s="152">
        <v>43466</v>
      </c>
      <c r="C12" s="153">
        <v>42500</v>
      </c>
      <c r="D12" s="153">
        <v>42500</v>
      </c>
      <c r="E12" s="153">
        <v>42500</v>
      </c>
      <c r="F12" s="153">
        <v>42500</v>
      </c>
      <c r="G12" s="153">
        <v>42500</v>
      </c>
      <c r="H12" s="153">
        <v>42500</v>
      </c>
      <c r="I12" s="153">
        <v>42500</v>
      </c>
      <c r="J12" s="153" t="s">
        <v>251</v>
      </c>
      <c r="K12" s="151">
        <v>12342</v>
      </c>
      <c r="L12" s="154"/>
      <c r="M12" s="154"/>
      <c r="N12" s="154">
        <v>2.64</v>
      </c>
      <c r="O12" s="154"/>
      <c r="P12" s="154"/>
      <c r="Q12" s="154">
        <v>4.53</v>
      </c>
      <c r="R12" s="154">
        <v>0.36699999999999999</v>
      </c>
      <c r="S12" s="154">
        <v>0.05</v>
      </c>
      <c r="T12" s="154"/>
      <c r="U12" s="154"/>
      <c r="V12" s="154"/>
      <c r="W12" s="154">
        <v>197</v>
      </c>
      <c r="X12" s="154"/>
      <c r="Y12" s="154"/>
      <c r="Z12" s="154"/>
      <c r="AA12" s="154"/>
      <c r="AB12" s="154"/>
      <c r="AC12" s="154"/>
      <c r="AD12" s="154"/>
    </row>
    <row r="13" spans="1:30" ht="16">
      <c r="A13" s="152" t="s">
        <v>261</v>
      </c>
      <c r="B13" s="152">
        <v>43466</v>
      </c>
      <c r="C13" s="153">
        <v>42500</v>
      </c>
      <c r="D13" s="153">
        <v>42500</v>
      </c>
      <c r="E13" s="153">
        <v>42500</v>
      </c>
      <c r="F13" s="153">
        <v>42500</v>
      </c>
      <c r="G13" s="153">
        <v>42500</v>
      </c>
      <c r="H13" s="153">
        <v>42500</v>
      </c>
      <c r="I13" s="153">
        <v>42500</v>
      </c>
      <c r="J13" s="153" t="s">
        <v>251</v>
      </c>
      <c r="K13" s="151">
        <v>12342</v>
      </c>
      <c r="L13" s="154"/>
      <c r="M13" s="154"/>
      <c r="N13" s="154">
        <v>2.64</v>
      </c>
      <c r="O13" s="154"/>
      <c r="P13" s="154"/>
      <c r="Q13" s="154">
        <v>4.53</v>
      </c>
      <c r="R13" s="154">
        <v>0.36699999999999999</v>
      </c>
      <c r="S13" s="154">
        <v>0.05</v>
      </c>
      <c r="T13" s="154"/>
      <c r="U13" s="154"/>
      <c r="V13" s="154"/>
      <c r="W13" s="154">
        <v>197</v>
      </c>
      <c r="X13" s="154"/>
      <c r="Y13" s="154"/>
      <c r="Z13" s="154"/>
      <c r="AA13" s="154"/>
      <c r="AB13" s="154"/>
      <c r="AC13" s="154"/>
      <c r="AD13" s="154"/>
    </row>
    <row r="14" spans="1:30" ht="16">
      <c r="A14" s="152" t="s">
        <v>262</v>
      </c>
      <c r="B14" s="152">
        <v>43466</v>
      </c>
      <c r="C14" s="153">
        <v>42500</v>
      </c>
      <c r="D14" s="153">
        <v>42500</v>
      </c>
      <c r="E14" s="153">
        <v>42500</v>
      </c>
      <c r="F14" s="153">
        <v>42500</v>
      </c>
      <c r="G14" s="153">
        <v>42500</v>
      </c>
      <c r="H14" s="153">
        <v>42500</v>
      </c>
      <c r="I14" s="153">
        <v>42500</v>
      </c>
      <c r="J14" s="153" t="s">
        <v>251</v>
      </c>
      <c r="K14" s="151">
        <v>12342</v>
      </c>
      <c r="L14" s="154"/>
      <c r="M14" s="154"/>
      <c r="N14" s="154">
        <v>2.64</v>
      </c>
      <c r="O14" s="154"/>
      <c r="P14" s="154"/>
      <c r="Q14" s="154">
        <v>4.53</v>
      </c>
      <c r="R14" s="154">
        <v>0.36699999999999999</v>
      </c>
      <c r="S14" s="154">
        <v>0.05</v>
      </c>
      <c r="T14" s="154"/>
      <c r="U14" s="154"/>
      <c r="V14" s="154"/>
      <c r="W14" s="154">
        <v>197</v>
      </c>
      <c r="X14" s="154"/>
      <c r="Y14" s="154"/>
      <c r="Z14" s="154"/>
      <c r="AA14" s="154"/>
      <c r="AB14" s="154"/>
      <c r="AC14" s="154"/>
      <c r="AD14" s="154"/>
    </row>
    <row r="15" spans="1:30" ht="16">
      <c r="A15" s="152" t="s">
        <v>44</v>
      </c>
      <c r="B15" s="152">
        <v>43466</v>
      </c>
      <c r="C15" s="153">
        <v>30000</v>
      </c>
      <c r="D15" s="153">
        <v>30000</v>
      </c>
      <c r="E15" s="153">
        <v>30000</v>
      </c>
      <c r="F15" s="153">
        <v>30000</v>
      </c>
      <c r="G15" s="153">
        <v>30000</v>
      </c>
      <c r="H15" s="153">
        <v>30000</v>
      </c>
      <c r="I15" s="153">
        <v>30000</v>
      </c>
      <c r="J15" s="153" t="s">
        <v>263</v>
      </c>
      <c r="K15" s="151">
        <v>0</v>
      </c>
      <c r="L15" s="156">
        <v>0</v>
      </c>
      <c r="M15" s="156">
        <v>0</v>
      </c>
      <c r="N15" s="156">
        <v>2</v>
      </c>
      <c r="O15" s="156">
        <v>0</v>
      </c>
      <c r="P15" s="156">
        <v>0</v>
      </c>
      <c r="Q15" s="156">
        <v>0</v>
      </c>
      <c r="R15" s="156">
        <v>0</v>
      </c>
      <c r="S15" s="156">
        <v>0</v>
      </c>
      <c r="T15" s="156">
        <v>0</v>
      </c>
      <c r="U15" s="156">
        <v>0</v>
      </c>
      <c r="V15" s="156">
        <v>0</v>
      </c>
      <c r="W15" s="156">
        <v>0</v>
      </c>
      <c r="X15" s="156">
        <v>0</v>
      </c>
      <c r="Y15" s="156">
        <v>0</v>
      </c>
      <c r="Z15" s="154"/>
      <c r="AA15" s="154"/>
      <c r="AB15" s="154"/>
      <c r="AC15" s="154"/>
      <c r="AD15" s="154"/>
    </row>
    <row r="16" spans="1:30" ht="16">
      <c r="A16" s="152" t="s">
        <v>319</v>
      </c>
      <c r="B16" s="152">
        <v>43466</v>
      </c>
      <c r="C16" s="153">
        <v>22000</v>
      </c>
      <c r="D16" s="153">
        <v>22000</v>
      </c>
      <c r="E16" s="153">
        <v>22000</v>
      </c>
      <c r="F16" s="153">
        <v>22000</v>
      </c>
      <c r="G16" s="153">
        <v>22000</v>
      </c>
      <c r="H16" s="131">
        <v>22000</v>
      </c>
      <c r="I16" s="154">
        <v>22000</v>
      </c>
      <c r="J16" s="153" t="s">
        <v>263</v>
      </c>
      <c r="K16" s="154"/>
      <c r="L16" s="154">
        <v>210</v>
      </c>
      <c r="M16" s="154"/>
      <c r="N16" s="154">
        <v>0.81399999999999995</v>
      </c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</row>
    <row r="17" spans="1:30" ht="16">
      <c r="A17" s="152" t="s">
        <v>320</v>
      </c>
      <c r="B17" s="152">
        <v>43466</v>
      </c>
      <c r="C17" s="153">
        <v>22000</v>
      </c>
      <c r="D17" s="153">
        <v>22000</v>
      </c>
      <c r="E17" s="153">
        <v>22000</v>
      </c>
      <c r="F17" s="153">
        <v>22000</v>
      </c>
      <c r="G17" s="153">
        <v>22000</v>
      </c>
      <c r="H17" s="131">
        <v>22000</v>
      </c>
      <c r="I17" s="154">
        <v>22000</v>
      </c>
      <c r="J17" s="153" t="s">
        <v>263</v>
      </c>
      <c r="K17" s="154"/>
      <c r="L17" s="154">
        <v>210</v>
      </c>
      <c r="M17" s="154"/>
      <c r="N17" s="154">
        <v>0.81399999999999995</v>
      </c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</row>
    <row r="18" spans="1:30" ht="16">
      <c r="A18" s="152" t="s">
        <v>321</v>
      </c>
      <c r="B18" s="152">
        <v>43466</v>
      </c>
      <c r="C18" s="153">
        <v>22000</v>
      </c>
      <c r="D18" s="153">
        <v>22000</v>
      </c>
      <c r="E18" s="153">
        <v>22000</v>
      </c>
      <c r="F18" s="153">
        <v>22000</v>
      </c>
      <c r="G18" s="153">
        <v>22000</v>
      </c>
      <c r="H18" s="131">
        <v>22000</v>
      </c>
      <c r="I18" s="154">
        <v>22000</v>
      </c>
      <c r="J18" s="153" t="s">
        <v>263</v>
      </c>
      <c r="K18" s="154"/>
      <c r="L18" s="154">
        <v>210</v>
      </c>
      <c r="M18" s="154"/>
      <c r="N18" s="154">
        <v>0.81399999999999995</v>
      </c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</row>
    <row r="19" spans="1:30" ht="16">
      <c r="A19" s="152" t="s">
        <v>322</v>
      </c>
      <c r="B19" s="152">
        <v>43466</v>
      </c>
      <c r="C19" s="153">
        <v>40000</v>
      </c>
      <c r="D19" s="153">
        <v>40000</v>
      </c>
      <c r="E19" s="153">
        <v>40000</v>
      </c>
      <c r="F19" s="153">
        <v>40000</v>
      </c>
      <c r="G19" s="153">
        <v>40000</v>
      </c>
      <c r="H19" s="131">
        <v>40000</v>
      </c>
      <c r="I19" s="154">
        <v>40000</v>
      </c>
      <c r="J19" s="153" t="s">
        <v>263</v>
      </c>
      <c r="K19" s="154"/>
      <c r="L19" s="154">
        <v>210</v>
      </c>
      <c r="M19" s="154"/>
      <c r="N19" s="154">
        <v>0.81399999999999995</v>
      </c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</row>
    <row r="20" spans="1:30" ht="16">
      <c r="A20" s="12"/>
      <c r="B20" s="12"/>
      <c r="C20" s="12"/>
      <c r="D20" s="7"/>
      <c r="E20" s="7"/>
      <c r="F20" s="7"/>
      <c r="G20" s="7"/>
      <c r="H20" s="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spans="1:30" ht="16">
      <c r="A21" s="12"/>
      <c r="B21" s="12"/>
      <c r="C21" s="12"/>
      <c r="D21" s="7"/>
      <c r="E21" s="7"/>
      <c r="F21" s="7"/>
      <c r="G21" s="7"/>
      <c r="H21" s="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 spans="1:30" ht="16">
      <c r="A22" s="12"/>
      <c r="B22" s="12"/>
      <c r="C22" s="12"/>
      <c r="D22" s="7"/>
      <c r="E22" s="7"/>
      <c r="F22" s="7"/>
      <c r="G22" s="7"/>
      <c r="H22" s="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Q6"/>
  <sheetViews>
    <sheetView zoomScaleNormal="100" workbookViewId="0">
      <selection activeCell="F14" sqref="F14"/>
    </sheetView>
  </sheetViews>
  <sheetFormatPr baseColWidth="10" defaultColWidth="9.1640625" defaultRowHeight="15"/>
  <cols>
    <col min="1" max="1" width="10.83203125" bestFit="1" customWidth="1"/>
  </cols>
  <sheetData>
    <row r="1" spans="1:43" ht="109.75" customHeight="1">
      <c r="A1" s="58" t="s">
        <v>1</v>
      </c>
      <c r="B1" s="58" t="s">
        <v>264</v>
      </c>
      <c r="C1" s="58" t="s">
        <v>233</v>
      </c>
      <c r="D1" s="58" t="s">
        <v>265</v>
      </c>
      <c r="E1" s="59" t="s">
        <v>266</v>
      </c>
      <c r="F1" s="60" t="s">
        <v>267</v>
      </c>
      <c r="G1" s="60" t="s">
        <v>268</v>
      </c>
      <c r="H1" s="60" t="s">
        <v>269</v>
      </c>
      <c r="I1" s="61" t="s">
        <v>270</v>
      </c>
      <c r="J1" s="61" t="s">
        <v>271</v>
      </c>
      <c r="K1" s="61" t="s">
        <v>272</v>
      </c>
      <c r="L1" s="61" t="s">
        <v>273</v>
      </c>
      <c r="M1" s="61" t="s">
        <v>274</v>
      </c>
      <c r="N1" s="62" t="s">
        <v>275</v>
      </c>
      <c r="O1" s="63" t="s">
        <v>276</v>
      </c>
      <c r="P1" s="63" t="s">
        <v>277</v>
      </c>
      <c r="Q1" s="64" t="s">
        <v>278</v>
      </c>
      <c r="R1" s="63" t="s">
        <v>279</v>
      </c>
      <c r="S1" s="63" t="s">
        <v>280</v>
      </c>
      <c r="T1" s="63" t="s">
        <v>281</v>
      </c>
      <c r="U1" s="63" t="s">
        <v>282</v>
      </c>
      <c r="V1" s="63" t="s">
        <v>283</v>
      </c>
      <c r="W1" s="63" t="s">
        <v>284</v>
      </c>
      <c r="X1" s="58" t="s">
        <v>285</v>
      </c>
      <c r="Y1" s="58" t="s">
        <v>286</v>
      </c>
      <c r="Z1" s="58" t="s">
        <v>287</v>
      </c>
      <c r="AA1" s="58" t="s">
        <v>288</v>
      </c>
      <c r="AB1" s="58" t="s">
        <v>289</v>
      </c>
      <c r="AC1" s="58" t="s">
        <v>290</v>
      </c>
      <c r="AD1" s="58" t="s">
        <v>291</v>
      </c>
      <c r="AE1" s="58" t="s">
        <v>292</v>
      </c>
      <c r="AF1" s="58" t="s">
        <v>293</v>
      </c>
      <c r="AG1" s="62" t="s">
        <v>294</v>
      </c>
      <c r="AH1" s="62" t="s">
        <v>295</v>
      </c>
      <c r="AI1" s="62" t="s">
        <v>296</v>
      </c>
      <c r="AJ1" s="62" t="s">
        <v>297</v>
      </c>
      <c r="AK1" s="62" t="s">
        <v>298</v>
      </c>
      <c r="AL1" s="62" t="s">
        <v>299</v>
      </c>
      <c r="AM1" s="62" t="s">
        <v>300</v>
      </c>
      <c r="AN1" s="62" t="s">
        <v>301</v>
      </c>
      <c r="AO1" s="62" t="s">
        <v>302</v>
      </c>
      <c r="AP1" s="63" t="s">
        <v>303</v>
      </c>
      <c r="AQ1" s="59" t="s">
        <v>304</v>
      </c>
    </row>
    <row r="2" spans="1:43" ht="16">
      <c r="A2" s="157">
        <v>43466</v>
      </c>
      <c r="B2" s="158" t="s">
        <v>216</v>
      </c>
      <c r="C2" s="158" t="s">
        <v>263</v>
      </c>
      <c r="D2" s="158" t="s">
        <v>11</v>
      </c>
      <c r="E2" s="159">
        <v>1000000</v>
      </c>
      <c r="F2" s="159">
        <v>1100000</v>
      </c>
      <c r="G2" s="159">
        <v>1200000</v>
      </c>
      <c r="H2" s="159">
        <v>1300000</v>
      </c>
      <c r="I2" s="159">
        <v>1400000</v>
      </c>
      <c r="J2" s="159">
        <v>1500000</v>
      </c>
      <c r="K2" s="159">
        <v>1600000</v>
      </c>
      <c r="L2" s="159">
        <v>1700000</v>
      </c>
      <c r="M2" s="159">
        <v>1800000</v>
      </c>
      <c r="N2" s="160">
        <v>0</v>
      </c>
      <c r="O2" s="160">
        <v>0</v>
      </c>
      <c r="P2" s="160">
        <v>0</v>
      </c>
      <c r="Q2" s="160">
        <v>0</v>
      </c>
      <c r="R2" s="160">
        <v>0</v>
      </c>
      <c r="S2" s="160">
        <v>0</v>
      </c>
      <c r="T2" s="160">
        <v>0</v>
      </c>
      <c r="U2" s="160">
        <v>0</v>
      </c>
      <c r="V2" s="160">
        <v>0</v>
      </c>
      <c r="W2" s="160">
        <v>0</v>
      </c>
      <c r="X2" s="161">
        <v>1000000</v>
      </c>
      <c r="Y2" s="161">
        <v>1100000</v>
      </c>
      <c r="Z2" s="161">
        <v>1200000</v>
      </c>
      <c r="AA2" s="161">
        <v>1300000</v>
      </c>
      <c r="AB2" s="161">
        <v>1400000</v>
      </c>
      <c r="AC2" s="161">
        <v>1500000</v>
      </c>
      <c r="AD2" s="161">
        <v>1600000</v>
      </c>
      <c r="AE2" s="161">
        <v>1700000</v>
      </c>
      <c r="AF2" s="161">
        <v>1800000</v>
      </c>
      <c r="AG2" s="162">
        <v>0</v>
      </c>
      <c r="AH2" s="162">
        <v>0</v>
      </c>
      <c r="AI2" s="162">
        <v>0</v>
      </c>
      <c r="AJ2" s="162">
        <v>0</v>
      </c>
      <c r="AK2" s="162">
        <v>0</v>
      </c>
      <c r="AL2" s="162">
        <v>0</v>
      </c>
      <c r="AM2" s="162">
        <v>0</v>
      </c>
      <c r="AN2" s="162">
        <v>0</v>
      </c>
      <c r="AO2" s="162">
        <v>0</v>
      </c>
      <c r="AP2" s="162">
        <v>0</v>
      </c>
      <c r="AQ2" s="159">
        <v>0</v>
      </c>
    </row>
    <row r="3" spans="1:43" ht="16">
      <c r="A3" s="91">
        <v>43466</v>
      </c>
      <c r="B3" s="96" t="s">
        <v>217</v>
      </c>
      <c r="C3" s="96" t="s">
        <v>263</v>
      </c>
      <c r="D3" s="96" t="s">
        <v>11</v>
      </c>
      <c r="E3" s="163">
        <v>5000</v>
      </c>
      <c r="F3" s="163">
        <v>5000</v>
      </c>
      <c r="G3" s="163">
        <v>10000</v>
      </c>
      <c r="H3" s="163">
        <v>20000</v>
      </c>
      <c r="I3" s="163">
        <v>20000</v>
      </c>
      <c r="J3" s="163">
        <v>25000</v>
      </c>
      <c r="K3" s="163">
        <v>35000</v>
      </c>
      <c r="L3" s="164">
        <v>1700000</v>
      </c>
      <c r="M3" s="164">
        <v>1800000</v>
      </c>
      <c r="N3" s="165">
        <v>3.4050000000000002</v>
      </c>
      <c r="O3" s="165">
        <v>2.8149999999999999</v>
      </c>
      <c r="P3" s="165">
        <v>2.2850000000000001</v>
      </c>
      <c r="Q3" s="165">
        <v>2.09</v>
      </c>
      <c r="R3" s="165">
        <v>1.92</v>
      </c>
      <c r="S3" s="165">
        <v>1.48</v>
      </c>
      <c r="T3" s="165">
        <v>1.1400000000000001</v>
      </c>
      <c r="U3" s="166">
        <v>0.80499999999999994</v>
      </c>
      <c r="V3" s="166">
        <v>0</v>
      </c>
      <c r="W3" s="166">
        <v>0</v>
      </c>
      <c r="X3" s="161">
        <v>1000000</v>
      </c>
      <c r="Y3" s="161">
        <v>1100000</v>
      </c>
      <c r="Z3" s="161">
        <v>1200000</v>
      </c>
      <c r="AA3" s="161">
        <v>1300000</v>
      </c>
      <c r="AB3" s="161">
        <v>1400000</v>
      </c>
      <c r="AC3" s="161">
        <v>1500000</v>
      </c>
      <c r="AD3" s="161">
        <v>1600000</v>
      </c>
      <c r="AE3" s="161">
        <v>1700000</v>
      </c>
      <c r="AF3" s="161">
        <v>1800000</v>
      </c>
      <c r="AG3" s="165">
        <v>0</v>
      </c>
      <c r="AH3" s="165">
        <v>0</v>
      </c>
      <c r="AI3" s="165">
        <v>0</v>
      </c>
      <c r="AJ3" s="165">
        <v>0</v>
      </c>
      <c r="AK3" s="165">
        <v>0</v>
      </c>
      <c r="AL3" s="165">
        <v>0</v>
      </c>
      <c r="AM3" s="165">
        <v>0</v>
      </c>
      <c r="AN3" s="165">
        <v>0</v>
      </c>
      <c r="AO3" s="165">
        <v>0</v>
      </c>
      <c r="AP3" s="165">
        <v>0</v>
      </c>
      <c r="AQ3" s="163">
        <v>2</v>
      </c>
    </row>
    <row r="4" spans="1:43" ht="16">
      <c r="A4" s="91">
        <v>43466</v>
      </c>
      <c r="B4" s="96" t="s">
        <v>219</v>
      </c>
      <c r="C4" s="96" t="s">
        <v>263</v>
      </c>
      <c r="D4" s="96" t="s">
        <v>11</v>
      </c>
      <c r="E4" s="163">
        <v>5000</v>
      </c>
      <c r="F4" s="163">
        <v>5000</v>
      </c>
      <c r="G4" s="163">
        <v>10000</v>
      </c>
      <c r="H4" s="163">
        <v>20000</v>
      </c>
      <c r="I4" s="163">
        <v>20000</v>
      </c>
      <c r="J4" s="163">
        <v>25000</v>
      </c>
      <c r="K4" s="163">
        <v>35000</v>
      </c>
      <c r="L4" s="164">
        <v>1700000</v>
      </c>
      <c r="M4" s="164">
        <v>1800000</v>
      </c>
      <c r="N4" s="165">
        <v>4.2450000000000001</v>
      </c>
      <c r="O4" s="165">
        <v>3.6849999999999996</v>
      </c>
      <c r="P4" s="165">
        <v>3.105</v>
      </c>
      <c r="Q4" s="165">
        <v>2.2400000000000002</v>
      </c>
      <c r="R4" s="165">
        <v>1.83</v>
      </c>
      <c r="S4" s="165">
        <v>1.01</v>
      </c>
      <c r="T4" s="165">
        <v>0.69</v>
      </c>
      <c r="U4" s="166">
        <v>0.56499999999999995</v>
      </c>
      <c r="V4" s="166">
        <v>0</v>
      </c>
      <c r="W4" s="166">
        <v>0</v>
      </c>
      <c r="X4" s="167">
        <v>5000</v>
      </c>
      <c r="Y4" s="167">
        <v>5000</v>
      </c>
      <c r="Z4" s="167">
        <v>10000</v>
      </c>
      <c r="AA4" s="167">
        <v>20000</v>
      </c>
      <c r="AB4" s="167">
        <v>20000</v>
      </c>
      <c r="AC4" s="167">
        <v>25000</v>
      </c>
      <c r="AD4" s="167">
        <v>35000</v>
      </c>
      <c r="AE4" s="161">
        <v>1700000</v>
      </c>
      <c r="AF4" s="161">
        <v>1800000</v>
      </c>
      <c r="AG4" s="165">
        <v>0.35</v>
      </c>
      <c r="AH4" s="165">
        <v>0.34</v>
      </c>
      <c r="AI4" s="165">
        <v>0.33</v>
      </c>
      <c r="AJ4" s="165">
        <v>0.3</v>
      </c>
      <c r="AK4" s="165">
        <v>0.25</v>
      </c>
      <c r="AL4" s="165">
        <v>0.2</v>
      </c>
      <c r="AM4" s="165">
        <v>0.15</v>
      </c>
      <c r="AN4" s="165">
        <v>0.1</v>
      </c>
      <c r="AO4" s="165">
        <v>0</v>
      </c>
      <c r="AP4" s="165">
        <v>0</v>
      </c>
      <c r="AQ4" s="163">
        <v>2</v>
      </c>
    </row>
    <row r="5" spans="1:43" ht="16">
      <c r="A5" s="91">
        <v>43466</v>
      </c>
      <c r="B5" s="96" t="s">
        <v>218</v>
      </c>
      <c r="C5" s="96" t="s">
        <v>305</v>
      </c>
      <c r="D5" s="96" t="s">
        <v>306</v>
      </c>
      <c r="E5" s="163">
        <v>5000</v>
      </c>
      <c r="F5" s="163">
        <v>5000</v>
      </c>
      <c r="G5" s="163">
        <v>10000</v>
      </c>
      <c r="H5" s="163">
        <v>20000</v>
      </c>
      <c r="I5" s="163">
        <v>30000</v>
      </c>
      <c r="J5" s="163">
        <v>50000</v>
      </c>
      <c r="K5" s="164">
        <v>1600000</v>
      </c>
      <c r="L5" s="164">
        <v>1700000</v>
      </c>
      <c r="M5" s="164">
        <v>1800000</v>
      </c>
      <c r="N5" s="165">
        <v>7.6549999999999994</v>
      </c>
      <c r="O5" s="165">
        <v>5.85</v>
      </c>
      <c r="P5" s="165">
        <v>4.625</v>
      </c>
      <c r="Q5" s="165">
        <v>1.69</v>
      </c>
      <c r="R5" s="165">
        <v>1.4900000000000002</v>
      </c>
      <c r="S5" s="165">
        <v>1.395</v>
      </c>
      <c r="T5" s="165">
        <v>1.3399999999999999</v>
      </c>
      <c r="U5" s="166">
        <v>0</v>
      </c>
      <c r="V5" s="166">
        <v>0</v>
      </c>
      <c r="W5" s="166">
        <v>0</v>
      </c>
      <c r="X5" s="161">
        <v>1000000</v>
      </c>
      <c r="Y5" s="161">
        <v>1100000</v>
      </c>
      <c r="Z5" s="161">
        <v>1200000</v>
      </c>
      <c r="AA5" s="161">
        <v>1300000</v>
      </c>
      <c r="AB5" s="161">
        <v>1400000</v>
      </c>
      <c r="AC5" s="161">
        <v>1500000</v>
      </c>
      <c r="AD5" s="161">
        <v>1600000</v>
      </c>
      <c r="AE5" s="161">
        <v>1700000</v>
      </c>
      <c r="AF5" s="161">
        <v>1800000</v>
      </c>
      <c r="AG5" s="165">
        <v>0</v>
      </c>
      <c r="AH5" s="165">
        <v>0</v>
      </c>
      <c r="AI5" s="165">
        <v>0</v>
      </c>
      <c r="AJ5" s="165">
        <v>0</v>
      </c>
      <c r="AK5" s="165">
        <v>0</v>
      </c>
      <c r="AL5" s="165">
        <v>0</v>
      </c>
      <c r="AM5" s="165">
        <v>0</v>
      </c>
      <c r="AN5" s="165">
        <v>0</v>
      </c>
      <c r="AO5" s="165">
        <v>0</v>
      </c>
      <c r="AP5" s="165">
        <v>0</v>
      </c>
      <c r="AQ5" s="163">
        <v>2</v>
      </c>
    </row>
    <row r="6" spans="1:43" ht="16">
      <c r="A6" s="66"/>
      <c r="B6" s="8"/>
      <c r="C6" s="8"/>
      <c r="D6" s="8"/>
      <c r="E6" s="9"/>
      <c r="F6" s="9"/>
      <c r="G6" s="9"/>
      <c r="H6" s="9"/>
      <c r="I6" s="9"/>
      <c r="J6" s="9"/>
      <c r="K6" s="67"/>
      <c r="L6" s="67"/>
      <c r="M6" s="67"/>
      <c r="N6" s="68"/>
      <c r="O6" s="68"/>
      <c r="P6" s="68"/>
      <c r="Q6" s="68"/>
      <c r="R6" s="68"/>
      <c r="S6" s="68"/>
      <c r="T6" s="68"/>
      <c r="U6" s="69"/>
      <c r="V6" s="69"/>
      <c r="W6" s="69"/>
      <c r="X6" s="65"/>
      <c r="Y6" s="65"/>
      <c r="Z6" s="65"/>
      <c r="AA6" s="65"/>
      <c r="AB6" s="65"/>
      <c r="AC6" s="65"/>
      <c r="AD6" s="65"/>
      <c r="AE6" s="65"/>
      <c r="AF6" s="65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9"/>
    </row>
  </sheetData>
  <dataValidations disablePrompts="1" count="4">
    <dataValidation type="list" allowBlank="1" showInputMessage="1" showErrorMessage="1" sqref="B6" xr:uid="{00000000-0002-0000-1300-000000000000}">
      <formula1>$C$4:$C$13</formula1>
      <formula2>0</formula2>
    </dataValidation>
    <dataValidation type="list" allowBlank="1" showInputMessage="1" showErrorMessage="1" sqref="D6" xr:uid="{00000000-0002-0000-1300-000002000000}">
      <formula1>"DWT,NRT"</formula1>
      <formula2>0</formula2>
    </dataValidation>
    <dataValidation type="list" allowBlank="1" showInputMessage="1" showErrorMessage="1" sqref="B2:B5" xr:uid="{7D1BFED2-6ADE-E84D-A148-F9F48634598E}">
      <formula1>$C$5:$C$14</formula1>
    </dataValidation>
    <dataValidation type="list" allowBlank="1" showInputMessage="1" showErrorMessage="1" sqref="D2:D5" xr:uid="{82A57B4D-FFF5-C14C-91C6-410A3AC86D72}">
      <formula1>"DWT,NRT"</formula1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300-000001000000}">
          <x14:formula1>
            <xm:f>'China Price Series'!$E$8:$H$8</xm:f>
          </x14:formula1>
          <x14:formula2>
            <xm:f>0</xm:f>
          </x14:formula2>
          <xm:sqref>C6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2"/>
  <sheetViews>
    <sheetView zoomScaleNormal="100" workbookViewId="0">
      <selection activeCell="A9" sqref="A9"/>
    </sheetView>
  </sheetViews>
  <sheetFormatPr baseColWidth="10" defaultColWidth="9.1640625" defaultRowHeight="15"/>
  <cols>
    <col min="1" max="1" width="19.6640625" customWidth="1"/>
  </cols>
  <sheetData>
    <row r="1" spans="1:1" ht="19">
      <c r="A1" s="70" t="s">
        <v>1</v>
      </c>
    </row>
    <row r="2" spans="1:1" ht="19">
      <c r="A2" s="168">
        <v>44008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A2"/>
  <sheetViews>
    <sheetView zoomScaleNormal="100" workbookViewId="0">
      <selection activeCell="P47" sqref="P47"/>
    </sheetView>
  </sheetViews>
  <sheetFormatPr baseColWidth="10" defaultColWidth="9.1640625" defaultRowHeight="15"/>
  <cols>
    <col min="1" max="1" width="23.6640625" bestFit="1" customWidth="1"/>
  </cols>
  <sheetData>
    <row r="1" spans="1:1" ht="16">
      <c r="A1" s="71" t="s">
        <v>307</v>
      </c>
    </row>
    <row r="2" spans="1:1" ht="16">
      <c r="A2" s="72">
        <v>45.237383285001854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T10"/>
  <sheetViews>
    <sheetView topLeftCell="B1" zoomScaleNormal="100" workbookViewId="0">
      <selection activeCell="V44" sqref="V44"/>
    </sheetView>
  </sheetViews>
  <sheetFormatPr baseColWidth="10" defaultColWidth="9.1640625" defaultRowHeight="15"/>
  <cols>
    <col min="2" max="2" width="20.6640625" customWidth="1"/>
    <col min="4" max="4" width="16.5" customWidth="1"/>
  </cols>
  <sheetData>
    <row r="1" spans="1:20" ht="27.5" customHeight="1">
      <c r="A1" s="73" t="s">
        <v>308</v>
      </c>
      <c r="B1" s="2" t="s">
        <v>1</v>
      </c>
      <c r="C1" s="2" t="s">
        <v>127</v>
      </c>
      <c r="D1" s="3" t="s">
        <v>0</v>
      </c>
      <c r="E1" s="2" t="s">
        <v>128</v>
      </c>
      <c r="F1" s="2" t="s">
        <v>129</v>
      </c>
      <c r="G1" s="2" t="s">
        <v>130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131</v>
      </c>
      <c r="N1" s="2" t="s">
        <v>8</v>
      </c>
      <c r="O1" s="3" t="s">
        <v>132</v>
      </c>
      <c r="P1" s="3" t="s">
        <v>14</v>
      </c>
      <c r="Q1" s="3" t="s">
        <v>133</v>
      </c>
      <c r="R1" t="s">
        <v>134</v>
      </c>
      <c r="S1" t="s">
        <v>135</v>
      </c>
      <c r="T1" t="s">
        <v>136</v>
      </c>
    </row>
    <row r="2" spans="1:20" ht="16">
      <c r="A2" s="74"/>
      <c r="B2" s="75">
        <f>'Master date cell'!$A2</f>
        <v>44008</v>
      </c>
      <c r="C2" s="123" t="s">
        <v>137</v>
      </c>
      <c r="D2" s="126" t="s">
        <v>41</v>
      </c>
      <c r="E2" s="124">
        <v>45</v>
      </c>
      <c r="F2" s="125" t="s">
        <v>140</v>
      </c>
      <c r="G2" s="125" t="s">
        <v>139</v>
      </c>
      <c r="H2" s="79"/>
      <c r="I2" s="79"/>
      <c r="J2" s="79"/>
      <c r="K2" s="79"/>
      <c r="L2" s="79"/>
      <c r="M2" s="79"/>
      <c r="N2" s="79"/>
      <c r="O2" s="169">
        <v>77000</v>
      </c>
      <c r="P2" s="80"/>
      <c r="Q2" s="76" t="s">
        <v>113</v>
      </c>
      <c r="R2" s="96" t="s">
        <v>140</v>
      </c>
      <c r="S2" s="96" t="s">
        <v>139</v>
      </c>
      <c r="T2" s="96" t="s">
        <v>30</v>
      </c>
    </row>
    <row r="3" spans="1:20" ht="16">
      <c r="A3" s="74"/>
      <c r="B3" s="75">
        <f>'Master date cell'!$A2</f>
        <v>44008</v>
      </c>
      <c r="C3" s="123" t="s">
        <v>137</v>
      </c>
      <c r="D3" s="126" t="s">
        <v>41</v>
      </c>
      <c r="E3" s="124">
        <v>45</v>
      </c>
      <c r="F3" s="125" t="s">
        <v>140</v>
      </c>
      <c r="G3" s="125" t="s">
        <v>139</v>
      </c>
      <c r="H3" s="79"/>
      <c r="I3" s="79"/>
      <c r="J3" s="79"/>
      <c r="K3" s="79"/>
      <c r="L3" s="79"/>
      <c r="M3" s="79"/>
      <c r="N3" s="79"/>
      <c r="O3" s="169">
        <v>153000</v>
      </c>
      <c r="P3" s="80"/>
      <c r="Q3" s="76" t="s">
        <v>113</v>
      </c>
      <c r="R3" s="96" t="s">
        <v>140</v>
      </c>
      <c r="S3" s="96" t="s">
        <v>139</v>
      </c>
      <c r="T3" s="96" t="s">
        <v>30</v>
      </c>
    </row>
    <row r="4" spans="1:20" ht="16">
      <c r="A4" s="74"/>
      <c r="B4" s="75">
        <f>'Master date cell'!$A2</f>
        <v>44008</v>
      </c>
      <c r="C4" s="123" t="s">
        <v>137</v>
      </c>
      <c r="D4" s="126" t="s">
        <v>39</v>
      </c>
      <c r="E4" s="124">
        <v>45</v>
      </c>
      <c r="F4" s="125" t="s">
        <v>138</v>
      </c>
      <c r="G4" s="125" t="s">
        <v>139</v>
      </c>
      <c r="H4" s="79"/>
      <c r="I4" s="79"/>
      <c r="J4" s="79"/>
      <c r="K4" s="79"/>
      <c r="L4" s="79"/>
      <c r="M4" s="79"/>
      <c r="N4" s="79"/>
      <c r="O4" s="169">
        <v>78000.000000000015</v>
      </c>
      <c r="P4" s="80"/>
      <c r="Q4" s="76" t="s">
        <v>113</v>
      </c>
      <c r="R4" s="96" t="s">
        <v>140</v>
      </c>
      <c r="S4" s="96" t="s">
        <v>139</v>
      </c>
      <c r="T4" s="96" t="s">
        <v>30</v>
      </c>
    </row>
    <row r="5" spans="1:20" ht="16">
      <c r="A5" s="74"/>
      <c r="B5" s="75">
        <f>'Master date cell'!$A2</f>
        <v>44008</v>
      </c>
      <c r="C5" s="123" t="s">
        <v>137</v>
      </c>
      <c r="D5" s="126" t="s">
        <v>63</v>
      </c>
      <c r="E5" s="124">
        <v>45</v>
      </c>
      <c r="F5" s="125" t="s">
        <v>138</v>
      </c>
      <c r="G5" s="125" t="s">
        <v>139</v>
      </c>
      <c r="H5" s="79"/>
      <c r="I5" s="79"/>
      <c r="J5" s="79"/>
      <c r="K5" s="79"/>
      <c r="L5" s="79"/>
      <c r="M5" s="79"/>
      <c r="N5" s="79"/>
      <c r="O5" s="169">
        <v>47000</v>
      </c>
      <c r="P5" s="80"/>
      <c r="Q5" s="76" t="s">
        <v>113</v>
      </c>
      <c r="R5" s="96" t="s">
        <v>140</v>
      </c>
      <c r="S5" s="96" t="s">
        <v>139</v>
      </c>
      <c r="T5" s="96" t="s">
        <v>30</v>
      </c>
    </row>
    <row r="6" spans="1:20" ht="16">
      <c r="A6" s="74"/>
      <c r="B6" s="75">
        <f>'Master date cell'!$A2</f>
        <v>44008</v>
      </c>
      <c r="C6" s="123" t="s">
        <v>137</v>
      </c>
      <c r="D6" s="126" t="s">
        <v>63</v>
      </c>
      <c r="E6" s="124">
        <v>45</v>
      </c>
      <c r="F6" s="125" t="s">
        <v>138</v>
      </c>
      <c r="G6" s="125" t="s">
        <v>139</v>
      </c>
      <c r="H6" s="79"/>
      <c r="I6" s="79"/>
      <c r="J6" s="79"/>
      <c r="K6" s="79"/>
      <c r="L6" s="79"/>
      <c r="M6" s="79"/>
      <c r="N6" s="79"/>
      <c r="O6" s="169">
        <v>75000</v>
      </c>
      <c r="P6" s="80"/>
      <c r="Q6" s="76" t="s">
        <v>113</v>
      </c>
      <c r="R6" s="96" t="s">
        <v>140</v>
      </c>
      <c r="S6" s="96" t="s">
        <v>139</v>
      </c>
      <c r="T6" s="96" t="s">
        <v>30</v>
      </c>
    </row>
    <row r="7" spans="1:20" ht="16">
      <c r="A7" s="74"/>
      <c r="B7" s="75">
        <f>'Master date cell'!$A2</f>
        <v>44008</v>
      </c>
      <c r="C7" s="123" t="s">
        <v>137</v>
      </c>
      <c r="D7" s="126" t="s">
        <v>64</v>
      </c>
      <c r="E7" s="124">
        <v>45</v>
      </c>
      <c r="F7" s="125" t="s">
        <v>138</v>
      </c>
      <c r="G7" s="125" t="s">
        <v>139</v>
      </c>
      <c r="H7" s="79"/>
      <c r="I7" s="79"/>
      <c r="J7" s="79"/>
      <c r="K7" s="79"/>
      <c r="L7" s="79"/>
      <c r="M7" s="79"/>
      <c r="N7" s="79"/>
      <c r="O7" s="169">
        <v>151000</v>
      </c>
      <c r="P7" s="80"/>
      <c r="Q7" s="76" t="s">
        <v>113</v>
      </c>
      <c r="R7" s="96" t="s">
        <v>140</v>
      </c>
      <c r="S7" s="96" t="s">
        <v>139</v>
      </c>
      <c r="T7" s="96" t="s">
        <v>30</v>
      </c>
    </row>
    <row r="8" spans="1:20" ht="16">
      <c r="A8" s="74"/>
      <c r="B8" s="75">
        <f>'Master date cell'!$A2</f>
        <v>44008</v>
      </c>
      <c r="C8" s="123" t="s">
        <v>137</v>
      </c>
      <c r="D8" s="126" t="s">
        <v>64</v>
      </c>
      <c r="E8" s="124">
        <v>45</v>
      </c>
      <c r="F8" s="125" t="s">
        <v>138</v>
      </c>
      <c r="G8" s="125" t="s">
        <v>139</v>
      </c>
      <c r="H8" s="79"/>
      <c r="I8" s="79"/>
      <c r="J8" s="79"/>
      <c r="K8" s="79"/>
      <c r="L8" s="79"/>
      <c r="M8" s="79"/>
      <c r="N8" s="79"/>
      <c r="O8" s="169">
        <v>76000</v>
      </c>
      <c r="P8" s="80"/>
      <c r="Q8" s="76" t="s">
        <v>113</v>
      </c>
      <c r="R8" s="96" t="s">
        <v>140</v>
      </c>
      <c r="S8" s="96" t="s">
        <v>139</v>
      </c>
      <c r="T8" s="96" t="s">
        <v>30</v>
      </c>
    </row>
    <row r="9" spans="1:20" ht="16">
      <c r="A9" s="74"/>
      <c r="B9" s="75">
        <f>'Master date cell'!$A2</f>
        <v>44008</v>
      </c>
      <c r="C9" s="123" t="s">
        <v>137</v>
      </c>
      <c r="D9" s="126" t="s">
        <v>64</v>
      </c>
      <c r="E9" s="124">
        <v>45</v>
      </c>
      <c r="F9" s="125" t="s">
        <v>138</v>
      </c>
      <c r="G9" s="125" t="s">
        <v>139</v>
      </c>
      <c r="H9" s="79"/>
      <c r="I9" s="79"/>
      <c r="J9" s="79"/>
      <c r="K9" s="79"/>
      <c r="L9" s="79"/>
      <c r="M9" s="79"/>
      <c r="N9" s="79"/>
      <c r="O9" s="169">
        <v>47000</v>
      </c>
      <c r="P9" s="80"/>
      <c r="Q9" s="76" t="s">
        <v>113</v>
      </c>
      <c r="R9" s="96" t="s">
        <v>140</v>
      </c>
      <c r="S9" s="96" t="s">
        <v>139</v>
      </c>
      <c r="T9" s="96" t="s">
        <v>30</v>
      </c>
    </row>
    <row r="10" spans="1:20" ht="16">
      <c r="A10" s="74"/>
      <c r="B10" s="75">
        <f>'Master date cell'!$A2</f>
        <v>44008</v>
      </c>
      <c r="C10" s="123" t="s">
        <v>137</v>
      </c>
      <c r="D10" s="126" t="s">
        <v>31</v>
      </c>
      <c r="E10" s="124">
        <v>45</v>
      </c>
      <c r="F10" s="125" t="s">
        <v>138</v>
      </c>
      <c r="G10" s="125" t="s">
        <v>139</v>
      </c>
      <c r="H10" s="79"/>
      <c r="I10" s="79"/>
      <c r="J10" s="79"/>
      <c r="K10" s="79"/>
      <c r="L10" s="79"/>
      <c r="M10" s="79"/>
      <c r="N10" s="79"/>
      <c r="O10" s="169">
        <v>151000</v>
      </c>
      <c r="P10" s="80"/>
      <c r="Q10" s="76" t="s">
        <v>113</v>
      </c>
      <c r="R10" s="96" t="s">
        <v>140</v>
      </c>
      <c r="S10" s="96" t="s">
        <v>139</v>
      </c>
      <c r="T10" s="96" t="s">
        <v>30</v>
      </c>
    </row>
  </sheetData>
  <dataValidations disablePrompts="1" count="4">
    <dataValidation type="decimal" allowBlank="1" showInputMessage="1" showErrorMessage="1" sqref="H2:N10" xr:uid="{00000000-0002-0000-1600-000003000000}">
      <formula1>0</formula1>
      <formula2>1</formula2>
    </dataValidation>
    <dataValidation type="decimal" allowBlank="1" showInputMessage="1" showErrorMessage="1" sqref="O2:O10" xr:uid="{9B6B37FD-2894-A944-84BE-0E017ADC899B}">
      <formula1>0</formula1>
      <formula2>500000</formula2>
    </dataValidation>
    <dataValidation type="list" allowBlank="1" showInputMessage="1" showErrorMessage="1" sqref="G2:G10" xr:uid="{2E99895C-0839-F34B-BF23-81558073E37C}">
      <formula1>"dmt,wmt"</formula1>
    </dataValidation>
    <dataValidation type="list" allowBlank="1" showInputMessage="1" showErrorMessage="1" sqref="F2:F10" xr:uid="{C4CD3009-B965-2C42-A4EE-5EEB341AD4CB}">
      <formula1>"FOB,CFR,CIF"</formula1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1600-000005000000}">
          <x14:formula1>
            <xm:f>'processing factors'!$Q$26:$Q$51</xm:f>
          </x14:formula1>
          <x14:formula2>
            <xm:f>0</xm:f>
          </x14:formula2>
          <xm:sqref>P2:P10</xm:sqref>
        </x14:dataValidation>
        <x14:dataValidation type="list" allowBlank="1" showInputMessage="1" showErrorMessage="1" xr:uid="{00000000-0002-0000-1600-000006000000}">
          <x14:formula1>
            <xm:f>'Trade Details'!$C$20:$C$41</xm:f>
          </x14:formula1>
          <x14:formula2>
            <xm:f>0</xm:f>
          </x14:formula2>
          <xm:sqref>Q2:Q10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T9"/>
  <sheetViews>
    <sheetView zoomScaleNormal="100" workbookViewId="0">
      <selection activeCell="R14" sqref="R14"/>
    </sheetView>
  </sheetViews>
  <sheetFormatPr baseColWidth="10" defaultColWidth="9.1640625" defaultRowHeight="15"/>
  <cols>
    <col min="1" max="1" width="22.5" customWidth="1"/>
    <col min="2" max="2" width="13.83203125" customWidth="1"/>
  </cols>
  <sheetData>
    <row r="1" spans="1:20" ht="41" customHeight="1">
      <c r="A1" s="81" t="s">
        <v>309</v>
      </c>
      <c r="B1" s="2" t="s">
        <v>1</v>
      </c>
      <c r="C1" s="2" t="s">
        <v>127</v>
      </c>
      <c r="D1" s="3" t="s">
        <v>0</v>
      </c>
      <c r="E1" s="2" t="s">
        <v>128</v>
      </c>
      <c r="F1" s="2" t="s">
        <v>129</v>
      </c>
      <c r="G1" s="2" t="s">
        <v>130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131</v>
      </c>
      <c r="N1" s="2" t="s">
        <v>8</v>
      </c>
      <c r="O1" s="3" t="s">
        <v>132</v>
      </c>
      <c r="P1" s="3" t="s">
        <v>14</v>
      </c>
      <c r="Q1" s="3" t="s">
        <v>133</v>
      </c>
      <c r="R1" t="s">
        <v>134</v>
      </c>
      <c r="S1" t="s">
        <v>135</v>
      </c>
      <c r="T1" t="s">
        <v>136</v>
      </c>
    </row>
    <row r="2" spans="1:20" ht="16">
      <c r="A2" s="82"/>
      <c r="B2" s="75">
        <f>'Master date cell'!$A2</f>
        <v>44008</v>
      </c>
      <c r="C2" s="76" t="s">
        <v>137</v>
      </c>
      <c r="D2" s="77" t="s">
        <v>45</v>
      </c>
      <c r="E2" s="83">
        <v>36.123882661740382</v>
      </c>
      <c r="F2" s="78" t="s">
        <v>140</v>
      </c>
      <c r="G2" s="78" t="s">
        <v>139</v>
      </c>
      <c r="H2" s="79"/>
      <c r="I2" s="84"/>
      <c r="J2" s="79"/>
      <c r="K2" s="84"/>
      <c r="L2" s="79"/>
      <c r="M2" s="79"/>
      <c r="N2" s="84"/>
      <c r="O2" s="85">
        <v>50000</v>
      </c>
      <c r="P2" s="80"/>
      <c r="Q2" s="76" t="s">
        <v>113</v>
      </c>
      <c r="R2" s="96" t="s">
        <v>140</v>
      </c>
      <c r="S2" s="96" t="s">
        <v>139</v>
      </c>
      <c r="T2" s="96" t="s">
        <v>30</v>
      </c>
    </row>
    <row r="3" spans="1:20" ht="16">
      <c r="A3" s="82"/>
      <c r="B3" s="86">
        <f>'Master date cell'!$A2</f>
        <v>44008</v>
      </c>
      <c r="C3" s="76" t="s">
        <v>137</v>
      </c>
      <c r="D3" s="77" t="s">
        <v>45</v>
      </c>
      <c r="E3" s="83">
        <v>36.123882661740382</v>
      </c>
      <c r="F3" s="78" t="s">
        <v>140</v>
      </c>
      <c r="G3" s="78" t="s">
        <v>139</v>
      </c>
      <c r="H3" s="79"/>
      <c r="I3" s="84"/>
      <c r="J3" s="79"/>
      <c r="K3" s="84"/>
      <c r="L3" s="79"/>
      <c r="M3" s="79"/>
      <c r="N3" s="84"/>
      <c r="O3" s="85">
        <v>50000</v>
      </c>
      <c r="P3" s="80"/>
      <c r="Q3" s="76" t="s">
        <v>113</v>
      </c>
      <c r="R3" s="96" t="s">
        <v>140</v>
      </c>
      <c r="S3" s="96" t="s">
        <v>139</v>
      </c>
      <c r="T3" s="96" t="s">
        <v>30</v>
      </c>
    </row>
    <row r="4" spans="1:20" ht="16">
      <c r="A4" s="82"/>
      <c r="B4" s="86">
        <f>'Master date cell'!$A2</f>
        <v>44008</v>
      </c>
      <c r="C4" s="76" t="s">
        <v>137</v>
      </c>
      <c r="D4" s="77" t="s">
        <v>45</v>
      </c>
      <c r="E4" s="83">
        <v>55.717216774099811</v>
      </c>
      <c r="F4" s="78" t="s">
        <v>140</v>
      </c>
      <c r="G4" s="78" t="s">
        <v>139</v>
      </c>
      <c r="H4" s="79"/>
      <c r="I4" s="84"/>
      <c r="J4" s="79"/>
      <c r="K4" s="84"/>
      <c r="L4" s="79"/>
      <c r="M4" s="79"/>
      <c r="N4" s="84"/>
      <c r="O4" s="85">
        <v>50000</v>
      </c>
      <c r="P4" s="80"/>
      <c r="Q4" s="76" t="s">
        <v>113</v>
      </c>
      <c r="R4" s="96" t="s">
        <v>140</v>
      </c>
      <c r="S4" s="96" t="s">
        <v>139</v>
      </c>
      <c r="T4" s="96" t="s">
        <v>30</v>
      </c>
    </row>
    <row r="5" spans="1:20" ht="16">
      <c r="A5" s="82"/>
      <c r="B5" s="86">
        <f>'Master date cell'!$A2</f>
        <v>44008</v>
      </c>
      <c r="C5" s="76" t="s">
        <v>137</v>
      </c>
      <c r="D5" s="77" t="s">
        <v>45</v>
      </c>
      <c r="E5" s="83">
        <v>55.717216774099811</v>
      </c>
      <c r="F5" s="78" t="s">
        <v>140</v>
      </c>
      <c r="G5" s="78" t="s">
        <v>139</v>
      </c>
      <c r="H5" s="79"/>
      <c r="I5" s="84"/>
      <c r="J5" s="79"/>
      <c r="K5" s="84"/>
      <c r="L5" s="79"/>
      <c r="M5" s="79"/>
      <c r="N5" s="84"/>
      <c r="O5" s="85">
        <v>50000</v>
      </c>
      <c r="P5" s="80"/>
      <c r="Q5" s="76" t="s">
        <v>113</v>
      </c>
      <c r="R5" s="96" t="s">
        <v>140</v>
      </c>
      <c r="S5" s="96" t="s">
        <v>139</v>
      </c>
      <c r="T5" s="96" t="s">
        <v>30</v>
      </c>
    </row>
    <row r="6" spans="1:20" ht="16">
      <c r="A6" s="82"/>
      <c r="B6" s="86">
        <f>'Master date cell'!$A2</f>
        <v>44008</v>
      </c>
      <c r="C6" s="76" t="s">
        <v>137</v>
      </c>
      <c r="D6" s="77" t="s">
        <v>45</v>
      </c>
      <c r="E6" s="83">
        <v>22.961475600702155</v>
      </c>
      <c r="F6" s="78" t="s">
        <v>140</v>
      </c>
      <c r="G6" s="78" t="s">
        <v>139</v>
      </c>
      <c r="H6" s="79"/>
      <c r="I6" s="84"/>
      <c r="J6" s="79"/>
      <c r="K6" s="84"/>
      <c r="L6" s="79"/>
      <c r="M6" s="79"/>
      <c r="N6" s="84"/>
      <c r="O6" s="85">
        <v>50000</v>
      </c>
      <c r="P6" s="80"/>
      <c r="Q6" s="76" t="s">
        <v>113</v>
      </c>
      <c r="R6" s="96" t="s">
        <v>140</v>
      </c>
      <c r="S6" s="96" t="s">
        <v>139</v>
      </c>
      <c r="T6" s="96" t="s">
        <v>30</v>
      </c>
    </row>
    <row r="7" spans="1:20" ht="16">
      <c r="A7" s="82"/>
      <c r="B7" s="86">
        <f>'Master date cell'!$A2</f>
        <v>44008</v>
      </c>
      <c r="C7" s="76" t="s">
        <v>137</v>
      </c>
      <c r="D7" s="77" t="s">
        <v>45</v>
      </c>
      <c r="E7" s="83">
        <v>22.961475600702155</v>
      </c>
      <c r="F7" s="78" t="s">
        <v>140</v>
      </c>
      <c r="G7" s="78" t="s">
        <v>139</v>
      </c>
      <c r="H7" s="79"/>
      <c r="I7" s="84"/>
      <c r="J7" s="79"/>
      <c r="K7" s="84"/>
      <c r="L7" s="79"/>
      <c r="M7" s="79"/>
      <c r="N7" s="84"/>
      <c r="O7" s="85">
        <v>50000</v>
      </c>
      <c r="P7" s="80"/>
      <c r="Q7" s="76" t="s">
        <v>113</v>
      </c>
      <c r="R7" s="96" t="s">
        <v>140</v>
      </c>
      <c r="S7" s="96" t="s">
        <v>139</v>
      </c>
      <c r="T7" s="96" t="s">
        <v>30</v>
      </c>
    </row>
    <row r="8" spans="1:20" ht="16">
      <c r="A8" s="82"/>
      <c r="B8" s="86">
        <f>'Master date cell'!$A2</f>
        <v>44008</v>
      </c>
      <c r="C8" s="76" t="s">
        <v>137</v>
      </c>
      <c r="D8" s="77" t="s">
        <v>45</v>
      </c>
      <c r="E8" s="83">
        <v>42.554809713061566</v>
      </c>
      <c r="F8" s="78" t="s">
        <v>140</v>
      </c>
      <c r="G8" s="78" t="s">
        <v>139</v>
      </c>
      <c r="H8" s="79"/>
      <c r="I8" s="84"/>
      <c r="J8" s="79"/>
      <c r="K8" s="84"/>
      <c r="L8" s="79"/>
      <c r="M8" s="79"/>
      <c r="N8" s="84"/>
      <c r="O8" s="85">
        <v>50000</v>
      </c>
      <c r="P8" s="80"/>
      <c r="Q8" s="76" t="s">
        <v>113</v>
      </c>
      <c r="R8" s="96" t="s">
        <v>140</v>
      </c>
      <c r="S8" s="96" t="s">
        <v>139</v>
      </c>
      <c r="T8" s="96" t="s">
        <v>30</v>
      </c>
    </row>
    <row r="9" spans="1:20" ht="16">
      <c r="A9" s="82"/>
      <c r="B9" s="86">
        <f>'Master date cell'!$A2</f>
        <v>44008</v>
      </c>
      <c r="C9" s="76" t="s">
        <v>137</v>
      </c>
      <c r="D9" s="77" t="s">
        <v>45</v>
      </c>
      <c r="E9" s="83">
        <v>42.554809713061566</v>
      </c>
      <c r="F9" s="78" t="s">
        <v>140</v>
      </c>
      <c r="G9" s="78" t="s">
        <v>139</v>
      </c>
      <c r="H9" s="79"/>
      <c r="I9" s="84"/>
      <c r="J9" s="79"/>
      <c r="K9" s="84"/>
      <c r="L9" s="79"/>
      <c r="M9" s="79"/>
      <c r="N9" s="84"/>
      <c r="O9" s="85">
        <v>50000</v>
      </c>
      <c r="P9" s="80"/>
      <c r="Q9" s="76" t="s">
        <v>113</v>
      </c>
      <c r="R9" s="96" t="s">
        <v>140</v>
      </c>
      <c r="S9" s="96" t="s">
        <v>139</v>
      </c>
      <c r="T9" s="96" t="s">
        <v>30</v>
      </c>
    </row>
  </sheetData>
  <dataValidations disablePrompts="1" count="4">
    <dataValidation type="list" allowBlank="1" showInputMessage="1" showErrorMessage="1" sqref="F2:F9" xr:uid="{00000000-0002-0000-1700-000001000000}">
      <formula1>"FOB,CFR,CIF"</formula1>
      <formula2>0</formula2>
    </dataValidation>
    <dataValidation type="list" allowBlank="1" showInputMessage="1" showErrorMessage="1" sqref="G2:G9" xr:uid="{00000000-0002-0000-1700-000002000000}">
      <formula1>"dmt,wmt"</formula1>
      <formula2>0</formula2>
    </dataValidation>
    <dataValidation type="decimal" allowBlank="1" showInputMessage="1" showErrorMessage="1" sqref="H2:N9" xr:uid="{00000000-0002-0000-1700-000003000000}">
      <formula1>0</formula1>
      <formula2>1</formula2>
    </dataValidation>
    <dataValidation type="decimal" allowBlank="1" showInputMessage="1" showErrorMessage="1" sqref="O2:O9" xr:uid="{00000000-0002-0000-1700-000006000000}">
      <formula1>0</formula1>
      <formula2>500000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1700-000000000000}">
          <x14:formula1>
            <xm:f>'processing factors'!$C$26:$C$51</xm:f>
          </x14:formula1>
          <x14:formula2>
            <xm:f>0</xm:f>
          </x14:formula2>
          <xm:sqref>D2:D9</xm:sqref>
        </x14:dataValidation>
        <x14:dataValidation type="list" allowBlank="1" showInputMessage="1" showErrorMessage="1" xr:uid="{00000000-0002-0000-1700-000004000000}">
          <x14:formula1>
            <xm:f>'processing factors'!$Q$26:$Q$51</xm:f>
          </x14:formula1>
          <x14:formula2>
            <xm:f>0</xm:f>
          </x14:formula2>
          <xm:sqref>P2:P9</xm:sqref>
        </x14:dataValidation>
        <x14:dataValidation type="list" allowBlank="1" showInputMessage="1" showErrorMessage="1" xr:uid="{00000000-0002-0000-1700-000005000000}">
          <x14:formula1>
            <xm:f>'Trade Details'!$C$20:$C$41</xm:f>
          </x14:formula1>
          <x14:formula2>
            <xm:f>0</xm:f>
          </x14:formula2>
          <xm:sqref>Q2:Q9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D3"/>
  <sheetViews>
    <sheetView tabSelected="1" zoomScaleNormal="100" workbookViewId="0">
      <selection activeCell="B36" sqref="B36"/>
    </sheetView>
  </sheetViews>
  <sheetFormatPr baseColWidth="10" defaultColWidth="9.1640625" defaultRowHeight="15"/>
  <cols>
    <col min="1" max="4" width="18.33203125" customWidth="1"/>
  </cols>
  <sheetData>
    <row r="1" spans="1:4" ht="34">
      <c r="A1" s="87"/>
      <c r="B1" s="39" t="s">
        <v>3</v>
      </c>
      <c r="C1" s="39" t="s">
        <v>5</v>
      </c>
      <c r="D1" s="39" t="s">
        <v>8</v>
      </c>
    </row>
    <row r="2" spans="1:4" ht="16">
      <c r="A2" s="87" t="s">
        <v>310</v>
      </c>
      <c r="B2" s="88">
        <v>0.48</v>
      </c>
      <c r="C2" s="89">
        <v>0.06</v>
      </c>
      <c r="D2" s="89">
        <v>0.1</v>
      </c>
    </row>
    <row r="3" spans="1:4" ht="16">
      <c r="A3" s="87" t="s">
        <v>311</v>
      </c>
      <c r="B3" s="89">
        <v>0.05</v>
      </c>
      <c r="C3" s="89">
        <v>0.03</v>
      </c>
      <c r="D3" s="89">
        <v>0.05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Indices Mines Exporting Ports</vt:lpstr>
      <vt:lpstr>processing factors</vt:lpstr>
      <vt:lpstr>Lignitious Coal</vt:lpstr>
      <vt:lpstr>Caustic Soda</vt:lpstr>
      <vt:lpstr>Lime</vt:lpstr>
      <vt:lpstr>Mud disposal cost</vt:lpstr>
      <vt:lpstr>Global factors</vt:lpstr>
      <vt:lpstr>Ship Time Charter Rates</vt:lpstr>
      <vt:lpstr>Ship Speeds</vt:lpstr>
      <vt:lpstr>Trade Details</vt:lpstr>
      <vt:lpstr>Special 2 Leg Shipping Table</vt:lpstr>
      <vt:lpstr>MRN or Juruti max cargo</vt:lpstr>
      <vt:lpstr>FX Rates</vt:lpstr>
      <vt:lpstr>China Price Series</vt:lpstr>
      <vt:lpstr>Sheetname_Class</vt:lpstr>
      <vt:lpstr>Canals_Class</vt:lpstr>
      <vt:lpstr>Port Linkages</vt:lpstr>
      <vt:lpstr>Ship Fuel Prices</vt:lpstr>
      <vt:lpstr>China n Importing Ports</vt:lpstr>
      <vt:lpstr>Canals</vt:lpstr>
      <vt:lpstr>Master date cell</vt:lpstr>
      <vt:lpstr>Target CBIX Price</vt:lpstr>
      <vt:lpstr>Freights US$ per wmt Trade Deta</vt:lpstr>
      <vt:lpstr>CBIX Co-Efficients Determinatio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48</cp:revision>
  <dcterms:created xsi:type="dcterms:W3CDTF">2015-06-05T18:17:20Z</dcterms:created>
  <dcterms:modified xsi:type="dcterms:W3CDTF">2020-08-17T04:38:54Z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