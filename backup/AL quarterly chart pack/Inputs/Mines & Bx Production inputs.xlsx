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AFD56141-616F-4E5D-8140-A62F950FC9DD}" xr6:coauthVersionLast="38" xr6:coauthVersionMax="38" xr10:uidLastSave="{00000000-0000-0000-0000-000000000000}"/>
  <bookViews>
    <workbookView xWindow="0" yWindow="0" windowWidth="20490" windowHeight="9090" activeTab="1" xr2:uid="{326E3C4A-41E9-4FFE-A3CB-3CC44438B473}"/>
  </bookViews>
  <sheets>
    <sheet name="Sheet1" sheetId="2" r:id="rId1"/>
    <sheet name="Sheet2" sheetId="3" r:id="rId2"/>
    <sheet name="Sheet3" sheetId="5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3" i="3" l="1"/>
  <c r="G73" i="3"/>
  <c r="F73" i="3"/>
  <c r="E73" i="3"/>
  <c r="F70" i="3"/>
  <c r="E7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Cihang</author>
  </authors>
  <commentList>
    <comment ref="E3" authorId="0" shapeId="0" xr:uid="{7B03F187-6B9F-4E7F-9B75-8BD33F4B3865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Rio Quarterly Report</t>
        </r>
      </text>
    </comment>
    <comment ref="E4" authorId="0" shapeId="0" xr:uid="{546C6F39-DA77-4562-BF17-2921FF18581E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Rio Quarterly Report</t>
        </r>
      </text>
    </comment>
    <comment ref="E6" authorId="0" shapeId="0" xr:uid="{2E62C95E-7496-447E-A219-C7358A2972C0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Aloca Quarterly Report</t>
        </r>
      </text>
    </comment>
    <comment ref="E7" authorId="0" shapeId="0" xr:uid="{E8B8D932-7942-4BA1-866A-F1B9BDE16B4E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Aloca Quarterly Report</t>
        </r>
      </text>
    </comment>
    <comment ref="K8" authorId="0" shapeId="0" xr:uid="{40985D08-5C8D-44D9-BF6D-ABB6FB5815C4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Metro Quarterly Report</t>
        </r>
      </text>
    </comment>
    <comment ref="E22" authorId="0" shapeId="0" xr:uid="{4EC3D32A-BF49-4681-A735-2B8D9D020AD4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Hydro Report</t>
        </r>
      </text>
    </comment>
    <comment ref="E23" authorId="0" shapeId="0" xr:uid="{E714FB06-87F6-42B9-948C-30DD5F5429DD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Aloca Quarterly Report</t>
        </r>
      </text>
    </comment>
    <comment ref="E33" authorId="0" shapeId="0" xr:uid="{92CAD372-20C1-4487-83F7-5E64B9C5A794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Rio Quarterly Report</t>
        </r>
      </text>
    </comment>
    <comment ref="E36" authorId="0" shapeId="0" xr:uid="{96C07E88-D1D6-4CE5-81F3-4EB8AA83477B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Rusal Report</t>
        </r>
      </text>
    </comment>
    <comment ref="E42" authorId="0" shapeId="0" xr:uid="{194B01DB-9045-4524-9D36-5861BAFE3900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Weiqiao's import data and capacity allocation</t>
        </r>
      </text>
    </comment>
    <comment ref="E45" authorId="0" shapeId="0" xr:uid="{B416FE04-9BD9-4D62-AC20-E1AB156B8E54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Weiqiao's import data and capacity allocation</t>
        </r>
      </text>
    </comment>
    <comment ref="E69" authorId="0" shapeId="0" xr:uid="{A638CADA-AFF2-4F8E-98FC-1D0B8D122A6B}">
      <text>
        <r>
          <rPr>
            <b/>
            <sz val="10"/>
            <color rgb="FF000000"/>
            <rFont val="Calibri"/>
            <family val="2"/>
          </rPr>
          <t>Cihang: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from Noranda</t>
        </r>
      </text>
    </comment>
  </commentList>
</comments>
</file>

<file path=xl/sharedStrings.xml><?xml version="1.0" encoding="utf-8"?>
<sst xmlns="http://schemas.openxmlformats.org/spreadsheetml/2006/main" count="901" uniqueCount="256">
  <si>
    <t>Name</t>
  </si>
  <si>
    <t>Country</t>
  </si>
  <si>
    <t>Total Al2O3</t>
  </si>
  <si>
    <t>Total SiO2</t>
  </si>
  <si>
    <t>LT Reactive SiO2</t>
  </si>
  <si>
    <t>Moisture</t>
  </si>
  <si>
    <t>Total Organic Carbon</t>
  </si>
  <si>
    <t>Style</t>
  </si>
  <si>
    <t>Weipa</t>
  </si>
  <si>
    <t>Australia</t>
  </si>
  <si>
    <t>High</t>
  </si>
  <si>
    <t>HT-B</t>
  </si>
  <si>
    <t>M_002</t>
  </si>
  <si>
    <t>Gove</t>
  </si>
  <si>
    <t>LT</t>
  </si>
  <si>
    <t>M_003</t>
  </si>
  <si>
    <t>Boddington</t>
  </si>
  <si>
    <t>M_004</t>
  </si>
  <si>
    <t>Huntly</t>
  </si>
  <si>
    <t>M_005</t>
  </si>
  <si>
    <t>Willowdale</t>
  </si>
  <si>
    <t>M_006</t>
  </si>
  <si>
    <t>HT-D</t>
  </si>
  <si>
    <t>M_007</t>
  </si>
  <si>
    <t>Metro LT</t>
  </si>
  <si>
    <t>M_008</t>
  </si>
  <si>
    <t>Metro Blend</t>
  </si>
  <si>
    <t>M_009</t>
  </si>
  <si>
    <t>Greencoast Hey Point</t>
  </si>
  <si>
    <t>M_010</t>
  </si>
  <si>
    <t>M_011</t>
  </si>
  <si>
    <t>Aurukun</t>
  </si>
  <si>
    <t>M_012</t>
  </si>
  <si>
    <t>Amrun</t>
  </si>
  <si>
    <t>M_013</t>
  </si>
  <si>
    <t>Amrun HT</t>
  </si>
  <si>
    <t>M_014</t>
  </si>
  <si>
    <t>ABx Tasmania</t>
  </si>
  <si>
    <t>M_015</t>
  </si>
  <si>
    <t>Jajce</t>
  </si>
  <si>
    <t>Bosnia</t>
  </si>
  <si>
    <t>Low</t>
  </si>
  <si>
    <t>M_016</t>
  </si>
  <si>
    <t>Milici (Vlasenica)</t>
  </si>
  <si>
    <t>M_017</t>
  </si>
  <si>
    <t>Brazil</t>
  </si>
  <si>
    <t>M_018</t>
  </si>
  <si>
    <t>Mirai</t>
  </si>
  <si>
    <t>M_019</t>
  </si>
  <si>
    <t>Rondon do Para</t>
  </si>
  <si>
    <t>M_020</t>
  </si>
  <si>
    <t>Paragominas</t>
  </si>
  <si>
    <t>M_021</t>
  </si>
  <si>
    <t>Juruti</t>
  </si>
  <si>
    <t>M_022</t>
  </si>
  <si>
    <t>Cataguases</t>
  </si>
  <si>
    <t>M_023</t>
  </si>
  <si>
    <t>Pocos de Caldas, Alcoa</t>
  </si>
  <si>
    <t>M_024</t>
  </si>
  <si>
    <t>Brazil others</t>
  </si>
  <si>
    <t>M_025</t>
  </si>
  <si>
    <t>Dom. Rep.</t>
  </si>
  <si>
    <t>Dominican Republic</t>
  </si>
  <si>
    <t>M_026</t>
  </si>
  <si>
    <t>Aurum Xinfa-Fiji</t>
  </si>
  <si>
    <t>Fiji</t>
  </si>
  <si>
    <t>Moderate</t>
  </si>
  <si>
    <t>M_027</t>
  </si>
  <si>
    <t>Awaso</t>
  </si>
  <si>
    <t>Ghana</t>
  </si>
  <si>
    <t>M_028</t>
  </si>
  <si>
    <t>Other Ghana</t>
  </si>
  <si>
    <t>M_029</t>
  </si>
  <si>
    <t>Delphi-Distomon</t>
  </si>
  <si>
    <t>Greece</t>
  </si>
  <si>
    <t>M_030</t>
  </si>
  <si>
    <t>Parnasse</t>
  </si>
  <si>
    <t>M_031</t>
  </si>
  <si>
    <t>CBG</t>
  </si>
  <si>
    <t>Guinea</t>
  </si>
  <si>
    <t>M_032</t>
  </si>
  <si>
    <t>M_033</t>
  </si>
  <si>
    <t>GAC</t>
  </si>
  <si>
    <t>M_034</t>
  </si>
  <si>
    <t>M_035</t>
  </si>
  <si>
    <t>M_036</t>
  </si>
  <si>
    <t>Alufer (Bel Air)</t>
  </si>
  <si>
    <t>M_037</t>
  </si>
  <si>
    <t>GDM</t>
  </si>
  <si>
    <t>M_038</t>
  </si>
  <si>
    <t>Henan-Chine</t>
  </si>
  <si>
    <t>M_039</t>
  </si>
  <si>
    <t>AMR</t>
  </si>
  <si>
    <t>M_040</t>
  </si>
  <si>
    <t>SMB Malapouya</t>
  </si>
  <si>
    <t>M_041</t>
  </si>
  <si>
    <t>Ashapura Guinea</t>
  </si>
  <si>
    <t>M_042</t>
  </si>
  <si>
    <t>SMB Kaboye</t>
  </si>
  <si>
    <t>M_043</t>
  </si>
  <si>
    <t>SMB Dabiss S</t>
  </si>
  <si>
    <t>M_044</t>
  </si>
  <si>
    <t>Eurasian - 3rd Party Mines</t>
  </si>
  <si>
    <t>M_045</t>
  </si>
  <si>
    <t>Dynamic</t>
  </si>
  <si>
    <t>M_046</t>
  </si>
  <si>
    <t>AMC</t>
  </si>
  <si>
    <t>M_047</t>
  </si>
  <si>
    <t>Chalco Boffa</t>
  </si>
  <si>
    <t>M_048</t>
  </si>
  <si>
    <t>Axis</t>
  </si>
  <si>
    <t>M_049</t>
  </si>
  <si>
    <t>Guinea Other</t>
  </si>
  <si>
    <t>M_050</t>
  </si>
  <si>
    <t>Aroaima</t>
  </si>
  <si>
    <t>Guyana</t>
  </si>
  <si>
    <t>M_051</t>
  </si>
  <si>
    <t>Kurubuka</t>
  </si>
  <si>
    <t>M_052</t>
  </si>
  <si>
    <t>Guyana Others</t>
  </si>
  <si>
    <t>M_053</t>
  </si>
  <si>
    <t>Bakony</t>
  </si>
  <si>
    <t>Hungary</t>
  </si>
  <si>
    <t>M_054</t>
  </si>
  <si>
    <t>Chhattisgarh</t>
  </si>
  <si>
    <t>India</t>
  </si>
  <si>
    <t>M_055</t>
  </si>
  <si>
    <t>Goa</t>
  </si>
  <si>
    <t>M_056</t>
  </si>
  <si>
    <t>M_057</t>
  </si>
  <si>
    <t>Jharkhand</t>
  </si>
  <si>
    <t>M_058</t>
  </si>
  <si>
    <t>Karnataka</t>
  </si>
  <si>
    <t>M_059</t>
  </si>
  <si>
    <t>Madhya Pradesh</t>
  </si>
  <si>
    <t>M_060</t>
  </si>
  <si>
    <t>Odisha</t>
  </si>
  <si>
    <t>M_061</t>
  </si>
  <si>
    <t>Andhra Pradesh</t>
  </si>
  <si>
    <t>M_062</t>
  </si>
  <si>
    <t>Tamil Nadu</t>
  </si>
  <si>
    <t>M_063</t>
  </si>
  <si>
    <t>Bintan</t>
  </si>
  <si>
    <t>Indonesia</t>
  </si>
  <si>
    <t>M_064</t>
  </si>
  <si>
    <t>West Kalimantan</t>
  </si>
  <si>
    <t>M_065</t>
  </si>
  <si>
    <t>Indonesia Other</t>
  </si>
  <si>
    <t>M_066</t>
  </si>
  <si>
    <t>Jajarm</t>
  </si>
  <si>
    <t>Iran</t>
  </si>
  <si>
    <t>M_067</t>
  </si>
  <si>
    <t>Discovery Bay</t>
  </si>
  <si>
    <t>Jamaica</t>
  </si>
  <si>
    <t>M_068</t>
  </si>
  <si>
    <t>M_069</t>
  </si>
  <si>
    <t>M_070</t>
  </si>
  <si>
    <t>M_071</t>
  </si>
  <si>
    <t>Krasnogorsky</t>
  </si>
  <si>
    <t>Kazakhstan</t>
  </si>
  <si>
    <t>M_072</t>
  </si>
  <si>
    <t xml:space="preserve">Kuantan &amp; Johor </t>
  </si>
  <si>
    <t>Malaysia</t>
  </si>
  <si>
    <t>M_073</t>
  </si>
  <si>
    <t>Malaysia Other</t>
  </si>
  <si>
    <t>M_074</t>
  </si>
  <si>
    <t>Niksic</t>
  </si>
  <si>
    <t>Montenegro</t>
  </si>
  <si>
    <t>M_075</t>
  </si>
  <si>
    <t>Kola Apatit</t>
  </si>
  <si>
    <t>Russia</t>
  </si>
  <si>
    <t>M_076</t>
  </si>
  <si>
    <t>North Onega</t>
  </si>
  <si>
    <t>M_077</t>
  </si>
  <si>
    <t>North Ural</t>
  </si>
  <si>
    <t>M_078</t>
  </si>
  <si>
    <t>South Ural</t>
  </si>
  <si>
    <t>M_079</t>
  </si>
  <si>
    <t>Tikhvin</t>
  </si>
  <si>
    <t>M_080</t>
  </si>
  <si>
    <t>Timan</t>
  </si>
  <si>
    <t>M_081</t>
  </si>
  <si>
    <t>Kiya-Shaltyr</t>
  </si>
  <si>
    <t>M_082</t>
  </si>
  <si>
    <t>Al-Baitha</t>
  </si>
  <si>
    <t>Saudi Arabia</t>
  </si>
  <si>
    <t>M_083</t>
  </si>
  <si>
    <t>Sierra Minerals</t>
  </si>
  <si>
    <t>Sierra Leone</t>
  </si>
  <si>
    <t>M_084</t>
  </si>
  <si>
    <t>Solomon Islands</t>
  </si>
  <si>
    <t>M_085</t>
  </si>
  <si>
    <t>Suriname - AWACS</t>
  </si>
  <si>
    <t>Suriname</t>
  </si>
  <si>
    <t>M_086</t>
  </si>
  <si>
    <t>Seydisehir</t>
  </si>
  <si>
    <t>Turkey</t>
  </si>
  <si>
    <t>M_087</t>
  </si>
  <si>
    <t>Los Pijiguaos</t>
  </si>
  <si>
    <t>Venezuela</t>
  </si>
  <si>
    <t>M_088</t>
  </si>
  <si>
    <t>Nhan Co.</t>
  </si>
  <si>
    <t>Vietnam</t>
  </si>
  <si>
    <t>M_089</t>
  </si>
  <si>
    <t>Tan Rai</t>
  </si>
  <si>
    <t>M_090</t>
  </si>
  <si>
    <t>Vietnam Others</t>
  </si>
  <si>
    <t>M_091</t>
  </si>
  <si>
    <t>AGB2A</t>
  </si>
  <si>
    <t>M_092</t>
  </si>
  <si>
    <t>Rundi</t>
  </si>
  <si>
    <t>M_093</t>
  </si>
  <si>
    <t>SMB Santou-Houda</t>
  </si>
  <si>
    <t>M_094</t>
  </si>
  <si>
    <t>M_095</t>
  </si>
  <si>
    <t>M_096</t>
  </si>
  <si>
    <t>M_097</t>
  </si>
  <si>
    <t>M_098</t>
  </si>
  <si>
    <t>M_099</t>
  </si>
  <si>
    <t>M_100</t>
  </si>
  <si>
    <t>Key</t>
  </si>
  <si>
    <t>Region</t>
  </si>
  <si>
    <t xml:space="preserve">Monohydrate </t>
  </si>
  <si>
    <t>M_001</t>
  </si>
  <si>
    <t>Oceania</t>
  </si>
  <si>
    <t>Bauxite Hills</t>
  </si>
  <si>
    <t>QBL South Johnstone</t>
  </si>
  <si>
    <t>East &amp; Central Europe</t>
  </si>
  <si>
    <t>MRN (Trombetas)</t>
  </si>
  <si>
    <t>South America</t>
  </si>
  <si>
    <t>Africa &amp; Asia (ex China)</t>
  </si>
  <si>
    <t>West Europe</t>
  </si>
  <si>
    <t>Dian Dian</t>
  </si>
  <si>
    <t>CBK Kindia</t>
  </si>
  <si>
    <t>Fria</t>
  </si>
  <si>
    <t>Gujarat &amp; Maharashtra</t>
  </si>
  <si>
    <t>Windalco</t>
  </si>
  <si>
    <t>Jamalco</t>
  </si>
  <si>
    <t>Alpart</t>
  </si>
  <si>
    <t/>
  </si>
  <si>
    <t>Q1 2017</t>
    <phoneticPr fontId="0" type="noConversion"/>
  </si>
  <si>
    <t>Q2 2017</t>
    <phoneticPr fontId="0" type="noConversion"/>
  </si>
  <si>
    <t>Q3 2017</t>
    <phoneticPr fontId="0" type="noConversion"/>
  </si>
  <si>
    <t>Q4 2017</t>
  </si>
  <si>
    <t>Q1 2018</t>
    <phoneticPr fontId="0" type="noConversion"/>
  </si>
  <si>
    <t>Q2 2018</t>
    <phoneticPr fontId="0" type="noConversion"/>
  </si>
  <si>
    <t>Q3 2018</t>
    <phoneticPr fontId="0" type="noConversion"/>
  </si>
  <si>
    <t>Q4 2018</t>
    <phoneticPr fontId="0" type="noConversion"/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</si>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</sst>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_-* #,##0_-;\-* #,##0_-;_-* &quot;-&quot;??_-;_-@_-"/>
    <numFmt numFmtId="168" formatCode="#,##0.0_ ;\-#,##0.0\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165" fontId="5" fillId="2" borderId="0" xfId="5" applyNumberFormat="1" applyFont="1" applyFill="1" applyBorder="1"/>
    <xf numFmtId="165" fontId="8" fillId="2" borderId="0" xfId="5" applyNumberFormat="1" applyFont="1" applyFill="1" applyBorder="1"/>
    <xf numFmtId="165" fontId="9" fillId="2" borderId="0" xfId="5" applyNumberFormat="1" applyFont="1" applyFill="1" applyBorder="1"/>
    <xf numFmtId="166" fontId="8" fillId="2" borderId="0" xfId="5" applyNumberFormat="1" applyFont="1" applyFill="1" applyBorder="1"/>
    <xf numFmtId="166" fontId="5" fillId="2" borderId="0" xfId="5" applyNumberFormat="1" applyFont="1" applyFill="1" applyBorder="1"/>
    <xf numFmtId="4" fontId="9" fillId="3" borderId="0" xfId="5" applyNumberFormat="1" applyFont="1" applyFill="1" applyBorder="1"/>
    <xf numFmtId="0" fontId="4" fillId="0" borderId="1" xfId="5" applyNumberFormat="1" applyFont="1" applyFill="1" applyBorder="1" applyAlignment="1">
      <alignment horizontal="center" vertical="center"/>
    </xf>
    <xf numFmtId="165" fontId="5" fillId="2" borderId="2" xfId="5" applyNumberFormat="1" applyFont="1" applyFill="1" applyBorder="1"/>
    <xf numFmtId="168" fontId="5" fillId="2" borderId="0" xfId="5" applyNumberFormat="1" applyFont="1" applyFill="1" applyBorder="1"/>
  </cellXfs>
  <cellStyles count="7">
    <cellStyle name="Comma 7" xfId="5" xr:uid="{AF5B4168-AE5B-4991-864B-C4BC4CF5B1BA}"/>
    <cellStyle name="Normal" xfId="0" builtinId="0"/>
    <cellStyle name="Normal 10" xfId="2" xr:uid="{42111C02-E813-473E-8145-627C4570F1AB}"/>
    <cellStyle name="Normal 8" xfId="6" xr:uid="{79861F19-A81F-4243-93F7-A67823CFAD74}"/>
    <cellStyle name="Per cent 2" xfId="4" xr:uid="{312B6243-7A6D-4247-82B5-9BD493A3FD7A}"/>
    <cellStyle name="千位分隔 2" xfId="3" xr:uid="{917A9627-1788-4590-8139-386CC2F3F5A5}"/>
    <cellStyle name="常规 2 2" xfId="1" xr:uid="{178FC8DE-E276-4274-8CF8-81BC851506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FA9F-21E4-4172-BC92-2054FA86CA31}">
  <dimension ref="A1:M101"/>
  <sheetViews>
    <sheetView workbookViewId="0">
      <selection sqref="A1:C101"/>
    </sheetView>
  </sheetViews>
  <sheetFormatPr defaultRowHeight="15"/>
  <sheetData>
    <row r="1" spans="1:11">
      <c r="A1" t="s">
        <v>220</v>
      </c>
      <c r="B1" t="s">
        <v>0</v>
      </c>
      <c r="C1" t="s">
        <v>1</v>
      </c>
      <c r="D1" t="s">
        <v>221</v>
      </c>
      <c r="E1" t="s">
        <v>2</v>
      </c>
      <c r="F1" t="s">
        <v>3</v>
      </c>
      <c r="G1" t="s">
        <v>4</v>
      </c>
      <c r="H1" t="s">
        <v>5</v>
      </c>
      <c r="I1" t="s">
        <v>222</v>
      </c>
      <c r="J1" t="s">
        <v>6</v>
      </c>
      <c r="K1" t="s">
        <v>7</v>
      </c>
    </row>
    <row r="2" spans="1:11">
      <c r="A2" t="s">
        <v>223</v>
      </c>
      <c r="B2" t="s">
        <v>8</v>
      </c>
      <c r="C2" t="s">
        <v>9</v>
      </c>
      <c r="D2" t="s">
        <v>224</v>
      </c>
      <c r="E2">
        <v>0.54</v>
      </c>
      <c r="F2">
        <v>0.09</v>
      </c>
      <c r="G2">
        <v>0.06</v>
      </c>
      <c r="H2">
        <v>0.13</v>
      </c>
      <c r="I2">
        <v>9.0000000000000024E-2</v>
      </c>
      <c r="J2" t="s">
        <v>10</v>
      </c>
      <c r="K2" t="s">
        <v>11</v>
      </c>
    </row>
    <row r="3" spans="1:11">
      <c r="A3" t="s">
        <v>12</v>
      </c>
      <c r="B3" t="s">
        <v>13</v>
      </c>
      <c r="C3" t="s">
        <v>9</v>
      </c>
      <c r="D3" t="s">
        <v>224</v>
      </c>
      <c r="E3">
        <v>0.495</v>
      </c>
      <c r="F3">
        <v>0.05</v>
      </c>
      <c r="G3">
        <v>4.2000000000000003E-2</v>
      </c>
      <c r="H3">
        <v>9.5000000000000001E-2</v>
      </c>
      <c r="I3">
        <v>2.8000000000000004E-2</v>
      </c>
      <c r="J3" t="s">
        <v>10</v>
      </c>
      <c r="K3" t="s">
        <v>14</v>
      </c>
    </row>
    <row r="4" spans="1:11">
      <c r="A4" t="s">
        <v>15</v>
      </c>
      <c r="B4" t="s">
        <v>16</v>
      </c>
      <c r="C4" t="s">
        <v>9</v>
      </c>
      <c r="D4" t="s">
        <v>224</v>
      </c>
      <c r="E4">
        <v>0.35</v>
      </c>
      <c r="F4">
        <v>0.16500000000000001</v>
      </c>
      <c r="G4">
        <v>1.4999999999999999E-2</v>
      </c>
      <c r="H4">
        <v>0.08</v>
      </c>
      <c r="I4">
        <v>9.9999999999999672E-3</v>
      </c>
      <c r="J4" t="s">
        <v>10</v>
      </c>
      <c r="K4" t="s">
        <v>14</v>
      </c>
    </row>
    <row r="5" spans="1:11">
      <c r="A5" t="s">
        <v>17</v>
      </c>
      <c r="B5" t="s">
        <v>18</v>
      </c>
      <c r="C5" t="s">
        <v>9</v>
      </c>
      <c r="D5" t="s">
        <v>224</v>
      </c>
      <c r="E5">
        <v>0.35</v>
      </c>
      <c r="F5">
        <v>0.2</v>
      </c>
      <c r="G5">
        <v>1.0999999999999999E-2</v>
      </c>
      <c r="H5">
        <v>0.08</v>
      </c>
      <c r="I5">
        <v>8.9999999999999629E-3</v>
      </c>
      <c r="J5" t="s">
        <v>10</v>
      </c>
      <c r="K5" t="s">
        <v>14</v>
      </c>
    </row>
    <row r="6" spans="1:11">
      <c r="A6" t="s">
        <v>19</v>
      </c>
      <c r="B6" t="s">
        <v>20</v>
      </c>
      <c r="C6" t="s">
        <v>9</v>
      </c>
      <c r="D6" t="s">
        <v>224</v>
      </c>
      <c r="E6">
        <v>0.34</v>
      </c>
      <c r="F6">
        <v>0.2</v>
      </c>
      <c r="G6">
        <v>0.01</v>
      </c>
      <c r="H6">
        <v>0.08</v>
      </c>
      <c r="I6">
        <v>1.0000000000000018E-2</v>
      </c>
      <c r="J6" t="s">
        <v>10</v>
      </c>
      <c r="K6" t="s">
        <v>14</v>
      </c>
    </row>
    <row r="7" spans="1:11">
      <c r="A7" t="s">
        <v>21</v>
      </c>
      <c r="B7" t="s">
        <v>225</v>
      </c>
      <c r="C7" t="s">
        <v>9</v>
      </c>
      <c r="D7" t="s">
        <v>224</v>
      </c>
      <c r="E7">
        <v>0.51339999999999997</v>
      </c>
      <c r="F7">
        <v>9.5100000000000004E-2</v>
      </c>
      <c r="G7">
        <v>5.126436318562131E-2</v>
      </c>
      <c r="H7">
        <v>0.1</v>
      </c>
      <c r="I7">
        <v>5.192328721453577E-2</v>
      </c>
      <c r="J7" t="s">
        <v>10</v>
      </c>
      <c r="K7" t="s">
        <v>22</v>
      </c>
    </row>
    <row r="8" spans="1:11">
      <c r="A8" t="s">
        <v>23</v>
      </c>
      <c r="B8" t="s">
        <v>24</v>
      </c>
      <c r="C8" t="s">
        <v>9</v>
      </c>
      <c r="D8" t="s">
        <v>224</v>
      </c>
      <c r="E8">
        <v>0.49</v>
      </c>
      <c r="F8">
        <v>0.14699999999999999</v>
      </c>
      <c r="G8">
        <v>5.3436581964673061E-2</v>
      </c>
      <c r="H8">
        <v>0.1</v>
      </c>
      <c r="I8">
        <v>2.3539689948324723E-2</v>
      </c>
      <c r="J8" t="s">
        <v>10</v>
      </c>
      <c r="K8" t="s">
        <v>14</v>
      </c>
    </row>
    <row r="9" spans="1:11">
      <c r="A9" t="s">
        <v>25</v>
      </c>
      <c r="B9" t="s">
        <v>26</v>
      </c>
      <c r="C9" t="s">
        <v>9</v>
      </c>
      <c r="D9" t="s">
        <v>224</v>
      </c>
      <c r="E9">
        <v>0.50570000000000004</v>
      </c>
      <c r="F9">
        <v>0.1116</v>
      </c>
      <c r="G9">
        <v>5.4186984815618212E-2</v>
      </c>
      <c r="H9">
        <v>0.1</v>
      </c>
      <c r="I9">
        <v>5.0223670611768634E-2</v>
      </c>
      <c r="J9" t="s">
        <v>10</v>
      </c>
      <c r="K9" t="s">
        <v>22</v>
      </c>
    </row>
    <row r="10" spans="1:11">
      <c r="A10" t="s">
        <v>27</v>
      </c>
      <c r="B10" t="s">
        <v>28</v>
      </c>
      <c r="C10" t="s">
        <v>9</v>
      </c>
      <c r="D10" t="s">
        <v>224</v>
      </c>
      <c r="E10">
        <v>0.5</v>
      </c>
      <c r="F10">
        <v>0.115</v>
      </c>
      <c r="G10">
        <v>0.09</v>
      </c>
      <c r="H10">
        <v>0.13</v>
      </c>
      <c r="I10">
        <v>1.999999999999999E-2</v>
      </c>
      <c r="J10" t="s">
        <v>10</v>
      </c>
      <c r="K10" t="s">
        <v>22</v>
      </c>
    </row>
    <row r="11" spans="1:11">
      <c r="A11" t="s">
        <v>29</v>
      </c>
      <c r="B11" t="s">
        <v>226</v>
      </c>
      <c r="C11" t="s">
        <v>9</v>
      </c>
      <c r="D11" t="s">
        <v>224</v>
      </c>
      <c r="E11">
        <v>0.45</v>
      </c>
      <c r="F11">
        <v>0</v>
      </c>
      <c r="G11">
        <v>0.03</v>
      </c>
      <c r="H11">
        <v>0.1</v>
      </c>
      <c r="I11">
        <v>0.03</v>
      </c>
      <c r="J11" t="s">
        <v>10</v>
      </c>
      <c r="K11" t="s">
        <v>14</v>
      </c>
    </row>
    <row r="12" spans="1:11">
      <c r="A12" t="s">
        <v>30</v>
      </c>
      <c r="B12" t="s">
        <v>31</v>
      </c>
      <c r="C12" t="s">
        <v>9</v>
      </c>
      <c r="D12" t="s">
        <v>224</v>
      </c>
      <c r="E12">
        <v>0.53</v>
      </c>
      <c r="F12">
        <v>0.11</v>
      </c>
      <c r="G12">
        <v>7.4999999999999997E-2</v>
      </c>
      <c r="H12">
        <v>0.13</v>
      </c>
      <c r="I12">
        <v>7.5000000000000025E-2</v>
      </c>
      <c r="J12" t="s">
        <v>10</v>
      </c>
      <c r="K12" t="s">
        <v>22</v>
      </c>
    </row>
    <row r="13" spans="1:11">
      <c r="A13" t="s">
        <v>32</v>
      </c>
      <c r="B13" t="s">
        <v>33</v>
      </c>
      <c r="C13" t="s">
        <v>9</v>
      </c>
      <c r="D13" t="s">
        <v>224</v>
      </c>
      <c r="E13">
        <v>0.54</v>
      </c>
      <c r="F13">
        <v>0.09</v>
      </c>
      <c r="G13">
        <v>6.7500000000000004E-2</v>
      </c>
      <c r="H13">
        <v>0.13</v>
      </c>
      <c r="I13">
        <v>0.10799999999999998</v>
      </c>
      <c r="J13" t="s">
        <v>10</v>
      </c>
      <c r="K13" t="s">
        <v>11</v>
      </c>
    </row>
    <row r="14" spans="1:11">
      <c r="A14" t="s">
        <v>34</v>
      </c>
      <c r="B14" t="s">
        <v>35</v>
      </c>
      <c r="C14" t="s">
        <v>9</v>
      </c>
      <c r="D14" t="s">
        <v>224</v>
      </c>
      <c r="E14">
        <v>0.54</v>
      </c>
      <c r="F14">
        <v>0.09</v>
      </c>
      <c r="G14">
        <v>6.7500000000000004E-2</v>
      </c>
      <c r="H14">
        <v>0.13</v>
      </c>
      <c r="I14">
        <v>0.10799999999999998</v>
      </c>
      <c r="J14" t="s">
        <v>10</v>
      </c>
      <c r="K14" t="s">
        <v>11</v>
      </c>
    </row>
    <row r="15" spans="1:11">
      <c r="A15" t="s">
        <v>36</v>
      </c>
      <c r="B15" t="s">
        <v>37</v>
      </c>
      <c r="C15" t="s">
        <v>9</v>
      </c>
      <c r="D15" t="s">
        <v>224</v>
      </c>
      <c r="E15">
        <v>0.42499999999999999</v>
      </c>
      <c r="F15">
        <v>3.3000000000000002E-2</v>
      </c>
      <c r="G15">
        <v>2.9000000000000001E-2</v>
      </c>
      <c r="H15">
        <v>0.1</v>
      </c>
      <c r="I15">
        <v>3.0999999999999996E-2</v>
      </c>
      <c r="J15" t="s">
        <v>10</v>
      </c>
      <c r="K15" t="s">
        <v>14</v>
      </c>
    </row>
    <row r="16" spans="1:11">
      <c r="A16" t="s">
        <v>38</v>
      </c>
      <c r="B16" t="s">
        <v>39</v>
      </c>
      <c r="C16" t="s">
        <v>40</v>
      </c>
      <c r="D16" t="s">
        <v>227</v>
      </c>
      <c r="E16">
        <v>0.56000000000000005</v>
      </c>
      <c r="F16">
        <v>0.06</v>
      </c>
      <c r="G16">
        <v>0.05</v>
      </c>
      <c r="H16">
        <v>0.1</v>
      </c>
      <c r="I16">
        <v>0.51</v>
      </c>
      <c r="J16" t="s">
        <v>41</v>
      </c>
      <c r="K16" t="s">
        <v>22</v>
      </c>
    </row>
    <row r="17" spans="1:11">
      <c r="A17" t="s">
        <v>42</v>
      </c>
      <c r="B17" t="s">
        <v>43</v>
      </c>
      <c r="C17" t="s">
        <v>40</v>
      </c>
      <c r="D17" t="s">
        <v>227</v>
      </c>
      <c r="E17">
        <v>0.52</v>
      </c>
      <c r="F17">
        <v>7.0000000000000007E-2</v>
      </c>
      <c r="G17">
        <v>0.06</v>
      </c>
      <c r="H17">
        <v>0.1</v>
      </c>
      <c r="I17">
        <v>0.46</v>
      </c>
      <c r="J17" t="s">
        <v>41</v>
      </c>
      <c r="K17" t="s">
        <v>22</v>
      </c>
    </row>
    <row r="18" spans="1:11">
      <c r="A18" t="s">
        <v>44</v>
      </c>
      <c r="B18" t="s">
        <v>228</v>
      </c>
      <c r="C18" t="s">
        <v>45</v>
      </c>
      <c r="D18" t="s">
        <v>229</v>
      </c>
      <c r="E18">
        <v>0.55000000000000004</v>
      </c>
      <c r="F18">
        <v>0.05</v>
      </c>
      <c r="G18">
        <v>4.4999999999999998E-2</v>
      </c>
      <c r="H18">
        <v>7.0000000000000007E-2</v>
      </c>
      <c r="I18">
        <v>5.0000000000000461E-3</v>
      </c>
      <c r="J18" t="s">
        <v>41</v>
      </c>
      <c r="K18" t="s">
        <v>14</v>
      </c>
    </row>
    <row r="19" spans="1:11">
      <c r="A19" t="s">
        <v>46</v>
      </c>
      <c r="B19" t="s">
        <v>47</v>
      </c>
      <c r="C19" t="s">
        <v>45</v>
      </c>
      <c r="D19" t="s">
        <v>229</v>
      </c>
      <c r="E19">
        <v>0.48</v>
      </c>
      <c r="F19">
        <v>0.08</v>
      </c>
      <c r="G19">
        <v>0.03</v>
      </c>
      <c r="H19">
        <v>0.13</v>
      </c>
      <c r="I19">
        <v>1.999999999999999E-2</v>
      </c>
      <c r="J19" t="s">
        <v>41</v>
      </c>
      <c r="K19" t="s">
        <v>14</v>
      </c>
    </row>
    <row r="20" spans="1:11">
      <c r="A20" t="s">
        <v>48</v>
      </c>
      <c r="B20" t="s">
        <v>49</v>
      </c>
      <c r="C20" t="s">
        <v>45</v>
      </c>
      <c r="D20" t="s">
        <v>229</v>
      </c>
      <c r="E20">
        <v>0.47</v>
      </c>
      <c r="F20">
        <v>0.05</v>
      </c>
      <c r="G20">
        <v>3.9E-2</v>
      </c>
      <c r="H20">
        <v>0.13</v>
      </c>
      <c r="I20">
        <v>2.9999999999999818E-3</v>
      </c>
      <c r="J20" t="s">
        <v>41</v>
      </c>
      <c r="K20" t="s">
        <v>14</v>
      </c>
    </row>
    <row r="21" spans="1:11">
      <c r="A21" t="s">
        <v>50</v>
      </c>
      <c r="B21" t="s">
        <v>51</v>
      </c>
      <c r="C21" t="s">
        <v>45</v>
      </c>
      <c r="D21" t="s">
        <v>229</v>
      </c>
      <c r="E21">
        <v>0.52</v>
      </c>
      <c r="F21">
        <v>4.4999999999999998E-2</v>
      </c>
      <c r="G21">
        <v>4.1000000000000002E-2</v>
      </c>
      <c r="H21">
        <v>0.13</v>
      </c>
      <c r="I21">
        <v>4.0000000000000382E-3</v>
      </c>
      <c r="J21" t="s">
        <v>41</v>
      </c>
      <c r="K21" t="s">
        <v>14</v>
      </c>
    </row>
    <row r="22" spans="1:11">
      <c r="A22" t="s">
        <v>52</v>
      </c>
      <c r="B22" t="s">
        <v>53</v>
      </c>
      <c r="C22" t="s">
        <v>45</v>
      </c>
      <c r="D22" t="s">
        <v>229</v>
      </c>
      <c r="E22">
        <v>0.52</v>
      </c>
      <c r="F22">
        <v>4.4999999999999998E-2</v>
      </c>
      <c r="G22">
        <v>4.1000000000000002E-2</v>
      </c>
      <c r="H22">
        <v>0.13</v>
      </c>
      <c r="I22">
        <v>4.0000000000000382E-3</v>
      </c>
      <c r="J22" t="s">
        <v>41</v>
      </c>
      <c r="K22" t="s">
        <v>14</v>
      </c>
    </row>
    <row r="23" spans="1:11">
      <c r="A23" t="s">
        <v>54</v>
      </c>
      <c r="B23" t="s">
        <v>55</v>
      </c>
      <c r="C23" t="s">
        <v>45</v>
      </c>
      <c r="D23" t="s">
        <v>229</v>
      </c>
      <c r="E23">
        <v>0.48</v>
      </c>
      <c r="F23">
        <v>0.06</v>
      </c>
      <c r="G23">
        <v>0.05</v>
      </c>
      <c r="H23">
        <v>0.13</v>
      </c>
      <c r="I23">
        <v>9.999999999999995E-3</v>
      </c>
      <c r="J23" t="s">
        <v>41</v>
      </c>
      <c r="K23" t="s">
        <v>14</v>
      </c>
    </row>
    <row r="24" spans="1:11">
      <c r="A24" t="s">
        <v>56</v>
      </c>
      <c r="B24" t="s">
        <v>57</v>
      </c>
      <c r="C24" t="s">
        <v>45</v>
      </c>
      <c r="D24" t="s">
        <v>229</v>
      </c>
      <c r="E24">
        <v>0.46</v>
      </c>
      <c r="F24">
        <v>0.06</v>
      </c>
      <c r="G24">
        <v>0.05</v>
      </c>
      <c r="H24">
        <v>0.05</v>
      </c>
      <c r="I24">
        <v>9.999999999999995E-3</v>
      </c>
      <c r="J24" t="s">
        <v>41</v>
      </c>
      <c r="K24" t="s">
        <v>14</v>
      </c>
    </row>
    <row r="25" spans="1:11">
      <c r="A25" t="s">
        <v>58</v>
      </c>
      <c r="B25" t="s">
        <v>59</v>
      </c>
      <c r="C25" t="s">
        <v>45</v>
      </c>
      <c r="D25" t="s">
        <v>229</v>
      </c>
      <c r="E25">
        <v>0.46</v>
      </c>
      <c r="F25">
        <v>0.06</v>
      </c>
      <c r="G25">
        <v>0.05</v>
      </c>
      <c r="H25">
        <v>0.05</v>
      </c>
      <c r="I25">
        <v>9.999999999999995E-3</v>
      </c>
      <c r="J25" t="s">
        <v>41</v>
      </c>
      <c r="K25" t="s">
        <v>14</v>
      </c>
    </row>
    <row r="26" spans="1:11">
      <c r="A26" t="s">
        <v>60</v>
      </c>
      <c r="B26" t="s">
        <v>61</v>
      </c>
      <c r="C26" t="s">
        <v>62</v>
      </c>
      <c r="D26" t="s">
        <v>229</v>
      </c>
      <c r="E26">
        <v>0.46500000000000002</v>
      </c>
      <c r="F26">
        <v>0.05</v>
      </c>
      <c r="G26">
        <v>0.04</v>
      </c>
      <c r="H26">
        <v>0.16</v>
      </c>
      <c r="I26">
        <v>7.5000000000000039E-2</v>
      </c>
      <c r="J26" t="s">
        <v>41</v>
      </c>
      <c r="K26" t="s">
        <v>11</v>
      </c>
    </row>
    <row r="27" spans="1:11">
      <c r="A27" t="s">
        <v>63</v>
      </c>
      <c r="B27" t="s">
        <v>64</v>
      </c>
      <c r="C27" t="s">
        <v>65</v>
      </c>
      <c r="D27" t="s">
        <v>224</v>
      </c>
      <c r="E27">
        <v>0.4</v>
      </c>
      <c r="F27">
        <v>0.04</v>
      </c>
      <c r="G27">
        <v>3.5000000000000003E-2</v>
      </c>
      <c r="H27">
        <v>0.17</v>
      </c>
      <c r="I27">
        <v>0</v>
      </c>
      <c r="J27" t="s">
        <v>66</v>
      </c>
      <c r="K27" t="s">
        <v>14</v>
      </c>
    </row>
    <row r="28" spans="1:11">
      <c r="A28" t="s">
        <v>67</v>
      </c>
      <c r="B28" t="s">
        <v>68</v>
      </c>
      <c r="C28" t="s">
        <v>69</v>
      </c>
      <c r="D28" t="s">
        <v>230</v>
      </c>
      <c r="E28">
        <v>0.51500000000000001</v>
      </c>
      <c r="F28">
        <v>0.02</v>
      </c>
      <c r="G28">
        <v>0.02</v>
      </c>
      <c r="H28">
        <v>0.11</v>
      </c>
      <c r="I28">
        <v>0</v>
      </c>
      <c r="J28" t="s">
        <v>66</v>
      </c>
      <c r="K28" t="s">
        <v>14</v>
      </c>
    </row>
    <row r="29" spans="1:11">
      <c r="A29" t="s">
        <v>70</v>
      </c>
      <c r="B29" t="s">
        <v>71</v>
      </c>
      <c r="C29" t="s">
        <v>69</v>
      </c>
      <c r="D29" t="s">
        <v>230</v>
      </c>
      <c r="E29">
        <v>0.52</v>
      </c>
      <c r="F29">
        <v>0.02</v>
      </c>
      <c r="G29">
        <v>0.01</v>
      </c>
      <c r="H29">
        <v>0.1</v>
      </c>
      <c r="I29">
        <v>1.0000000000000018E-2</v>
      </c>
      <c r="J29" t="s">
        <v>66</v>
      </c>
      <c r="K29" t="s">
        <v>14</v>
      </c>
    </row>
    <row r="30" spans="1:11">
      <c r="A30" t="s">
        <v>72</v>
      </c>
      <c r="B30" t="s">
        <v>73</v>
      </c>
      <c r="C30" t="s">
        <v>74</v>
      </c>
      <c r="D30" t="s">
        <v>231</v>
      </c>
      <c r="E30">
        <v>0.6</v>
      </c>
      <c r="F30">
        <v>0.03</v>
      </c>
      <c r="G30">
        <v>0</v>
      </c>
      <c r="H30">
        <v>7.0000000000000007E-2</v>
      </c>
      <c r="I30">
        <v>0.6</v>
      </c>
      <c r="J30" t="s">
        <v>41</v>
      </c>
      <c r="K30" t="s">
        <v>22</v>
      </c>
    </row>
    <row r="31" spans="1:11">
      <c r="A31" t="s">
        <v>75</v>
      </c>
      <c r="B31" t="s">
        <v>76</v>
      </c>
      <c r="C31" t="s">
        <v>74</v>
      </c>
      <c r="D31" t="s">
        <v>231</v>
      </c>
      <c r="E31">
        <v>0.56999999999999995</v>
      </c>
      <c r="F31">
        <v>0.04</v>
      </c>
      <c r="G31">
        <v>0</v>
      </c>
      <c r="H31">
        <v>0.1</v>
      </c>
      <c r="I31">
        <v>0.56999999999999995</v>
      </c>
      <c r="J31" t="s">
        <v>41</v>
      </c>
      <c r="K31" t="s">
        <v>22</v>
      </c>
    </row>
    <row r="32" spans="1:11">
      <c r="A32" t="s">
        <v>77</v>
      </c>
      <c r="B32" t="s">
        <v>78</v>
      </c>
      <c r="C32" t="s">
        <v>79</v>
      </c>
      <c r="D32" t="s">
        <v>230</v>
      </c>
      <c r="E32">
        <v>0.49</v>
      </c>
      <c r="F32">
        <v>0.02</v>
      </c>
      <c r="G32">
        <v>1.9E-2</v>
      </c>
      <c r="H32">
        <v>0.06</v>
      </c>
      <c r="I32">
        <v>3.5000000000000045E-2</v>
      </c>
      <c r="J32" t="s">
        <v>66</v>
      </c>
      <c r="K32" t="s">
        <v>11</v>
      </c>
    </row>
    <row r="33" spans="1:11">
      <c r="A33" t="s">
        <v>80</v>
      </c>
      <c r="B33" t="s">
        <v>232</v>
      </c>
      <c r="C33" t="s">
        <v>79</v>
      </c>
      <c r="D33" t="s">
        <v>230</v>
      </c>
      <c r="E33">
        <v>0.49</v>
      </c>
      <c r="F33">
        <v>1.4999999999999999E-2</v>
      </c>
      <c r="G33">
        <v>1.3999999999999999E-2</v>
      </c>
      <c r="H33">
        <v>0.1</v>
      </c>
      <c r="I33">
        <v>0.02</v>
      </c>
      <c r="J33" t="s">
        <v>66</v>
      </c>
      <c r="K33" t="s">
        <v>14</v>
      </c>
    </row>
    <row r="34" spans="1:11">
      <c r="A34" t="s">
        <v>81</v>
      </c>
      <c r="B34" t="s">
        <v>82</v>
      </c>
      <c r="C34" t="s">
        <v>79</v>
      </c>
      <c r="D34" t="s">
        <v>230</v>
      </c>
      <c r="E34">
        <v>0.46</v>
      </c>
      <c r="F34">
        <v>2.5000000000000001E-2</v>
      </c>
      <c r="G34">
        <v>1.2E-2</v>
      </c>
      <c r="H34">
        <v>0.1</v>
      </c>
      <c r="I34">
        <v>3.5000000000000003E-2</v>
      </c>
      <c r="J34" t="s">
        <v>66</v>
      </c>
      <c r="K34" t="s">
        <v>14</v>
      </c>
    </row>
    <row r="35" spans="1:11">
      <c r="A35" t="s">
        <v>83</v>
      </c>
      <c r="B35" t="s">
        <v>233</v>
      </c>
      <c r="C35" t="s">
        <v>79</v>
      </c>
      <c r="D35" t="s">
        <v>230</v>
      </c>
      <c r="E35">
        <v>0.46</v>
      </c>
      <c r="F35">
        <v>2.8000000000000001E-2</v>
      </c>
      <c r="G35">
        <v>1.4999999999999999E-2</v>
      </c>
      <c r="H35">
        <v>0.1</v>
      </c>
      <c r="I35">
        <v>3.5000000000000003E-2</v>
      </c>
      <c r="J35" t="s">
        <v>66</v>
      </c>
      <c r="K35" t="s">
        <v>14</v>
      </c>
    </row>
    <row r="36" spans="1:11">
      <c r="A36" t="s">
        <v>84</v>
      </c>
      <c r="B36" t="s">
        <v>234</v>
      </c>
      <c r="C36" t="s">
        <v>79</v>
      </c>
      <c r="D36" t="s">
        <v>230</v>
      </c>
      <c r="E36">
        <v>0.45</v>
      </c>
      <c r="F36">
        <v>1.4999999999999999E-2</v>
      </c>
      <c r="G36">
        <v>8.0000000000000002E-3</v>
      </c>
      <c r="H36">
        <v>0.1</v>
      </c>
      <c r="I36">
        <v>1.4999999999999999E-2</v>
      </c>
      <c r="J36" t="s">
        <v>66</v>
      </c>
      <c r="K36" t="s">
        <v>14</v>
      </c>
    </row>
    <row r="37" spans="1:11">
      <c r="A37" t="s">
        <v>85</v>
      </c>
      <c r="B37" t="s">
        <v>86</v>
      </c>
      <c r="C37" t="s">
        <v>79</v>
      </c>
      <c r="D37" t="s">
        <v>230</v>
      </c>
      <c r="E37">
        <v>0.47</v>
      </c>
      <c r="F37">
        <v>4.4999999999999998E-2</v>
      </c>
      <c r="G37">
        <v>1.7000000000000001E-2</v>
      </c>
      <c r="H37">
        <v>0.1</v>
      </c>
      <c r="I37">
        <v>0</v>
      </c>
      <c r="J37" t="s">
        <v>66</v>
      </c>
      <c r="K37" t="s">
        <v>14</v>
      </c>
    </row>
    <row r="38" spans="1:11">
      <c r="A38" t="s">
        <v>87</v>
      </c>
      <c r="B38" t="s">
        <v>88</v>
      </c>
      <c r="C38" t="s">
        <v>79</v>
      </c>
      <c r="D38" t="s">
        <v>230</v>
      </c>
      <c r="E38">
        <v>0.45700000000000002</v>
      </c>
      <c r="F38">
        <v>2.3E-2</v>
      </c>
      <c r="G38">
        <v>1.4E-2</v>
      </c>
      <c r="H38">
        <v>0.1</v>
      </c>
      <c r="I38">
        <v>2.7000000000000038E-2</v>
      </c>
      <c r="J38" t="s">
        <v>66</v>
      </c>
      <c r="K38" t="s">
        <v>14</v>
      </c>
    </row>
    <row r="39" spans="1:11">
      <c r="A39" t="s">
        <v>89</v>
      </c>
      <c r="B39" t="s">
        <v>90</v>
      </c>
      <c r="C39" t="s">
        <v>79</v>
      </c>
      <c r="D39" t="s">
        <v>230</v>
      </c>
      <c r="E39">
        <v>0.46</v>
      </c>
      <c r="F39">
        <v>0.02</v>
      </c>
      <c r="G39">
        <v>1.4999999999999999E-2</v>
      </c>
      <c r="H39">
        <v>0.1</v>
      </c>
      <c r="I39">
        <v>2.0000000000000032E-2</v>
      </c>
      <c r="J39" t="s">
        <v>66</v>
      </c>
      <c r="K39" t="s">
        <v>14</v>
      </c>
    </row>
    <row r="40" spans="1:11">
      <c r="A40" t="s">
        <v>91</v>
      </c>
      <c r="B40" t="s">
        <v>92</v>
      </c>
      <c r="C40" t="s">
        <v>79</v>
      </c>
      <c r="D40" t="s">
        <v>230</v>
      </c>
      <c r="E40">
        <v>0.44</v>
      </c>
      <c r="F40">
        <v>0.02</v>
      </c>
      <c r="G40">
        <v>1.4999999999999999E-2</v>
      </c>
      <c r="H40">
        <v>0.1</v>
      </c>
      <c r="I40">
        <v>1.9999999999999976E-2</v>
      </c>
      <c r="J40" t="s">
        <v>66</v>
      </c>
      <c r="K40" t="s">
        <v>14</v>
      </c>
    </row>
    <row r="41" spans="1:11">
      <c r="A41" t="s">
        <v>93</v>
      </c>
      <c r="B41" t="s">
        <v>94</v>
      </c>
      <c r="C41" t="s">
        <v>79</v>
      </c>
      <c r="D41" t="s">
        <v>230</v>
      </c>
      <c r="E41">
        <v>0.44</v>
      </c>
      <c r="F41">
        <v>0.02</v>
      </c>
      <c r="G41">
        <v>1.4999999999999999E-2</v>
      </c>
      <c r="H41">
        <v>0.1</v>
      </c>
      <c r="I41">
        <v>2.0000000000000032E-2</v>
      </c>
      <c r="J41" t="s">
        <v>66</v>
      </c>
      <c r="K41" t="s">
        <v>14</v>
      </c>
    </row>
    <row r="42" spans="1:11">
      <c r="A42" t="s">
        <v>95</v>
      </c>
      <c r="B42" t="s">
        <v>96</v>
      </c>
      <c r="C42" t="s">
        <v>79</v>
      </c>
      <c r="D42" t="s">
        <v>230</v>
      </c>
      <c r="E42">
        <v>0.45</v>
      </c>
      <c r="F42">
        <v>0.02</v>
      </c>
      <c r="G42">
        <v>1.4999999999999999E-2</v>
      </c>
      <c r="H42">
        <v>0.1</v>
      </c>
      <c r="I42">
        <v>2.0000000000000032E-2</v>
      </c>
      <c r="J42" t="s">
        <v>66</v>
      </c>
      <c r="K42" t="s">
        <v>14</v>
      </c>
    </row>
    <row r="43" spans="1:11">
      <c r="A43" t="s">
        <v>97</v>
      </c>
      <c r="B43" t="s">
        <v>98</v>
      </c>
      <c r="C43" t="s">
        <v>79</v>
      </c>
      <c r="D43" t="s">
        <v>230</v>
      </c>
      <c r="E43">
        <v>0.42</v>
      </c>
      <c r="F43">
        <v>0.02</v>
      </c>
      <c r="G43">
        <v>1.4999999999999999E-2</v>
      </c>
      <c r="H43">
        <v>0.1</v>
      </c>
      <c r="I43">
        <v>0.02</v>
      </c>
      <c r="J43" t="s">
        <v>66</v>
      </c>
      <c r="K43" t="s">
        <v>14</v>
      </c>
    </row>
    <row r="44" spans="1:11">
      <c r="A44" t="s">
        <v>99</v>
      </c>
      <c r="B44" t="s">
        <v>100</v>
      </c>
      <c r="C44" t="s">
        <v>79</v>
      </c>
      <c r="D44" t="s">
        <v>230</v>
      </c>
      <c r="E44">
        <v>0.44</v>
      </c>
      <c r="F44">
        <v>0.02</v>
      </c>
      <c r="G44">
        <v>1.4999999999999999E-2</v>
      </c>
      <c r="H44">
        <v>0.1</v>
      </c>
      <c r="I44">
        <v>0.02</v>
      </c>
      <c r="J44" t="s">
        <v>66</v>
      </c>
      <c r="K44" t="s">
        <v>14</v>
      </c>
    </row>
    <row r="45" spans="1:11">
      <c r="A45" t="s">
        <v>101</v>
      </c>
      <c r="B45" t="s">
        <v>102</v>
      </c>
      <c r="C45" t="s">
        <v>79</v>
      </c>
      <c r="D45" t="s">
        <v>230</v>
      </c>
      <c r="E45">
        <v>0.45</v>
      </c>
      <c r="F45">
        <v>0.04</v>
      </c>
      <c r="G45">
        <v>1.4999999999999999E-2</v>
      </c>
      <c r="H45">
        <v>0.1</v>
      </c>
      <c r="I45">
        <v>0.02</v>
      </c>
      <c r="J45" t="s">
        <v>66</v>
      </c>
      <c r="K45" t="s">
        <v>14</v>
      </c>
    </row>
    <row r="46" spans="1:11">
      <c r="A46" t="s">
        <v>103</v>
      </c>
      <c r="B46" t="s">
        <v>104</v>
      </c>
      <c r="C46" t="s">
        <v>79</v>
      </c>
      <c r="D46" t="s">
        <v>230</v>
      </c>
      <c r="E46">
        <v>0.44800000000000001</v>
      </c>
      <c r="F46">
        <v>0.02</v>
      </c>
      <c r="G46">
        <v>8.0000000000000002E-3</v>
      </c>
      <c r="H46">
        <v>0.1</v>
      </c>
      <c r="I46">
        <v>2.0000000000000025E-2</v>
      </c>
      <c r="J46" t="s">
        <v>66</v>
      </c>
      <c r="K46" t="s">
        <v>14</v>
      </c>
    </row>
    <row r="47" spans="1:11">
      <c r="A47" t="s">
        <v>105</v>
      </c>
      <c r="B47" t="s">
        <v>106</v>
      </c>
      <c r="C47" t="s">
        <v>79</v>
      </c>
      <c r="D47" t="s">
        <v>230</v>
      </c>
      <c r="E47">
        <v>0.49</v>
      </c>
      <c r="F47">
        <v>2.8000000000000001E-2</v>
      </c>
      <c r="G47">
        <v>1.2E-2</v>
      </c>
      <c r="H47">
        <v>0.1</v>
      </c>
      <c r="I47">
        <v>0.02</v>
      </c>
      <c r="J47" t="s">
        <v>66</v>
      </c>
      <c r="K47" t="s">
        <v>14</v>
      </c>
    </row>
    <row r="48" spans="1:11">
      <c r="A48" t="s">
        <v>107</v>
      </c>
      <c r="B48" t="s">
        <v>108</v>
      </c>
      <c r="C48" t="s">
        <v>79</v>
      </c>
      <c r="D48" t="s">
        <v>230</v>
      </c>
      <c r="E48">
        <v>0.434</v>
      </c>
      <c r="F48">
        <v>1.4999999999999999E-2</v>
      </c>
      <c r="G48">
        <v>1.2E-2</v>
      </c>
      <c r="H48">
        <v>0.1</v>
      </c>
      <c r="I48">
        <v>2.9999999999999982E-2</v>
      </c>
      <c r="J48" t="s">
        <v>66</v>
      </c>
      <c r="K48" t="s">
        <v>14</v>
      </c>
    </row>
    <row r="49" spans="1:11">
      <c r="A49" t="s">
        <v>109</v>
      </c>
      <c r="B49" t="s">
        <v>110</v>
      </c>
      <c r="C49" t="s">
        <v>79</v>
      </c>
      <c r="D49" t="s">
        <v>230</v>
      </c>
      <c r="E49">
        <v>0.45700000000000002</v>
      </c>
      <c r="F49">
        <v>2.3E-2</v>
      </c>
      <c r="G49">
        <v>1.4E-2</v>
      </c>
      <c r="H49">
        <v>0.1</v>
      </c>
      <c r="I49">
        <v>2.7000000000000038E-2</v>
      </c>
      <c r="J49" t="s">
        <v>66</v>
      </c>
      <c r="K49" t="s">
        <v>14</v>
      </c>
    </row>
    <row r="50" spans="1:11">
      <c r="A50" t="s">
        <v>111</v>
      </c>
      <c r="B50" t="s">
        <v>112</v>
      </c>
      <c r="C50" t="s">
        <v>79</v>
      </c>
      <c r="D50" t="s">
        <v>230</v>
      </c>
      <c r="E50">
        <v>0.4</v>
      </c>
      <c r="F50">
        <v>2.1999999999999999E-2</v>
      </c>
      <c r="G50">
        <v>1.7000000000000001E-2</v>
      </c>
      <c r="H50">
        <v>0.13</v>
      </c>
      <c r="I50">
        <v>2.0000000000000032E-2</v>
      </c>
      <c r="J50" t="s">
        <v>66</v>
      </c>
      <c r="K50" t="s">
        <v>14</v>
      </c>
    </row>
    <row r="51" spans="1:11">
      <c r="A51" t="s">
        <v>113</v>
      </c>
      <c r="B51" t="s">
        <v>114</v>
      </c>
      <c r="C51" t="s">
        <v>115</v>
      </c>
      <c r="D51" t="s">
        <v>229</v>
      </c>
      <c r="E51">
        <v>0.58499999999999996</v>
      </c>
      <c r="F51">
        <v>6.5000000000000002E-2</v>
      </c>
      <c r="G51">
        <v>4.4999999999999998E-2</v>
      </c>
      <c r="H51">
        <v>0.12</v>
      </c>
      <c r="I51">
        <v>1.9999999999999948E-2</v>
      </c>
      <c r="J51" t="s">
        <v>66</v>
      </c>
      <c r="K51" t="s">
        <v>14</v>
      </c>
    </row>
    <row r="52" spans="1:11">
      <c r="A52" t="s">
        <v>116</v>
      </c>
      <c r="B52" t="s">
        <v>117</v>
      </c>
      <c r="C52" t="s">
        <v>115</v>
      </c>
      <c r="D52" t="s">
        <v>229</v>
      </c>
      <c r="E52">
        <v>0.55000000000000004</v>
      </c>
      <c r="F52">
        <v>7.0000000000000007E-2</v>
      </c>
      <c r="G52">
        <v>4.4999999999999998E-2</v>
      </c>
      <c r="H52">
        <v>0.12</v>
      </c>
      <c r="I52">
        <v>2.5000000000000064E-2</v>
      </c>
      <c r="J52" t="s">
        <v>66</v>
      </c>
      <c r="K52" t="s">
        <v>14</v>
      </c>
    </row>
    <row r="53" spans="1:11">
      <c r="A53" t="s">
        <v>118</v>
      </c>
      <c r="B53" t="s">
        <v>119</v>
      </c>
      <c r="C53" t="s">
        <v>115</v>
      </c>
      <c r="D53" t="s">
        <v>229</v>
      </c>
      <c r="E53">
        <v>0.58499999999999996</v>
      </c>
      <c r="F53">
        <v>7.0000000000000007E-2</v>
      </c>
      <c r="G53">
        <v>4.4999999999999998E-2</v>
      </c>
      <c r="H53">
        <v>0.1</v>
      </c>
      <c r="I53">
        <v>1.9999999999999948E-2</v>
      </c>
      <c r="J53" t="s">
        <v>66</v>
      </c>
      <c r="K53" t="s">
        <v>14</v>
      </c>
    </row>
    <row r="54" spans="1:11">
      <c r="A54" t="s">
        <v>120</v>
      </c>
      <c r="B54" t="s">
        <v>121</v>
      </c>
      <c r="C54" t="s">
        <v>122</v>
      </c>
      <c r="D54" t="s">
        <v>227</v>
      </c>
      <c r="E54">
        <v>0.5</v>
      </c>
      <c r="F54">
        <v>7.0000000000000007E-2</v>
      </c>
      <c r="G54">
        <v>0.05</v>
      </c>
      <c r="H54">
        <v>7.0000000000000007E-2</v>
      </c>
      <c r="I54">
        <v>0.45</v>
      </c>
      <c r="J54" t="s">
        <v>41</v>
      </c>
      <c r="K54" t="s">
        <v>11</v>
      </c>
    </row>
    <row r="55" spans="1:11">
      <c r="A55" t="s">
        <v>123</v>
      </c>
      <c r="B55" t="s">
        <v>124</v>
      </c>
      <c r="C55" t="s">
        <v>125</v>
      </c>
      <c r="D55" t="s">
        <v>230</v>
      </c>
      <c r="E55">
        <v>0.45</v>
      </c>
      <c r="F55">
        <v>7.0000000000000007E-2</v>
      </c>
      <c r="G55">
        <v>0.05</v>
      </c>
      <c r="H55">
        <v>7.0000000000000007E-2</v>
      </c>
      <c r="I55">
        <v>5.0000000000000031E-2</v>
      </c>
      <c r="J55" t="s">
        <v>66</v>
      </c>
      <c r="K55" t="s">
        <v>11</v>
      </c>
    </row>
    <row r="56" spans="1:11">
      <c r="A56" t="s">
        <v>126</v>
      </c>
      <c r="B56" t="s">
        <v>127</v>
      </c>
      <c r="C56" t="s">
        <v>125</v>
      </c>
      <c r="D56" t="s">
        <v>230</v>
      </c>
      <c r="E56">
        <v>0.48</v>
      </c>
      <c r="F56">
        <v>7.0000000000000007E-2</v>
      </c>
      <c r="G56">
        <v>5.2500000000000005E-2</v>
      </c>
      <c r="H56">
        <v>7.0000000000000007E-2</v>
      </c>
      <c r="I56">
        <v>2.2499999999999951E-2</v>
      </c>
      <c r="J56" t="s">
        <v>66</v>
      </c>
      <c r="K56" t="s">
        <v>14</v>
      </c>
    </row>
    <row r="57" spans="1:11">
      <c r="A57" t="s">
        <v>128</v>
      </c>
      <c r="B57" t="s">
        <v>235</v>
      </c>
      <c r="C57" t="s">
        <v>125</v>
      </c>
      <c r="D57" t="s">
        <v>230</v>
      </c>
      <c r="E57">
        <v>0.48</v>
      </c>
      <c r="F57">
        <v>7.0000000000000007E-2</v>
      </c>
      <c r="G57">
        <v>5.2500000000000005E-2</v>
      </c>
      <c r="H57">
        <v>7.0000000000000007E-2</v>
      </c>
      <c r="I57">
        <v>2.2499999999999951E-2</v>
      </c>
      <c r="J57" t="s">
        <v>66</v>
      </c>
      <c r="K57" t="s">
        <v>14</v>
      </c>
    </row>
    <row r="58" spans="1:11">
      <c r="A58" t="s">
        <v>129</v>
      </c>
      <c r="B58" t="s">
        <v>130</v>
      </c>
      <c r="C58" t="s">
        <v>125</v>
      </c>
      <c r="D58" t="s">
        <v>230</v>
      </c>
      <c r="E58">
        <v>0.45</v>
      </c>
      <c r="F58">
        <v>7.0000000000000007E-2</v>
      </c>
      <c r="G58">
        <v>0.05</v>
      </c>
      <c r="H58">
        <v>7.0000000000000007E-2</v>
      </c>
      <c r="I58">
        <v>5.0000000000000031E-2</v>
      </c>
      <c r="J58" t="s">
        <v>66</v>
      </c>
      <c r="K58" t="s">
        <v>11</v>
      </c>
    </row>
    <row r="59" spans="1:11">
      <c r="A59" t="s">
        <v>131</v>
      </c>
      <c r="B59" t="s">
        <v>132</v>
      </c>
      <c r="C59" t="s">
        <v>125</v>
      </c>
      <c r="D59" t="s">
        <v>230</v>
      </c>
      <c r="E59">
        <v>0.45</v>
      </c>
      <c r="F59">
        <v>7.0000000000000007E-2</v>
      </c>
      <c r="G59">
        <v>0.05</v>
      </c>
      <c r="H59">
        <v>7.0000000000000007E-2</v>
      </c>
      <c r="I59">
        <v>5.0000000000000031E-2</v>
      </c>
      <c r="J59" t="s">
        <v>66</v>
      </c>
      <c r="K59" t="s">
        <v>11</v>
      </c>
    </row>
    <row r="60" spans="1:11">
      <c r="A60" t="s">
        <v>133</v>
      </c>
      <c r="B60" t="s">
        <v>134</v>
      </c>
      <c r="C60" t="s">
        <v>125</v>
      </c>
      <c r="D60" t="s">
        <v>230</v>
      </c>
      <c r="E60">
        <v>0.48</v>
      </c>
      <c r="F60">
        <v>7.0000000000000007E-2</v>
      </c>
      <c r="G60">
        <v>0.03</v>
      </c>
      <c r="H60">
        <v>7.0000000000000007E-2</v>
      </c>
      <c r="I60">
        <v>0.1</v>
      </c>
      <c r="J60" t="s">
        <v>66</v>
      </c>
      <c r="K60" t="s">
        <v>11</v>
      </c>
    </row>
    <row r="61" spans="1:11">
      <c r="A61" t="s">
        <v>135</v>
      </c>
      <c r="B61" t="s">
        <v>136</v>
      </c>
      <c r="C61" t="s">
        <v>125</v>
      </c>
      <c r="D61" t="s">
        <v>230</v>
      </c>
      <c r="E61">
        <v>0.44</v>
      </c>
      <c r="F61">
        <v>0.04</v>
      </c>
      <c r="G61">
        <v>0.02</v>
      </c>
      <c r="H61">
        <v>0.08</v>
      </c>
      <c r="I61">
        <v>0</v>
      </c>
      <c r="J61" t="s">
        <v>66</v>
      </c>
      <c r="K61" t="s">
        <v>14</v>
      </c>
    </row>
    <row r="62" spans="1:11">
      <c r="A62" t="s">
        <v>137</v>
      </c>
      <c r="B62" t="s">
        <v>138</v>
      </c>
      <c r="C62" t="s">
        <v>125</v>
      </c>
      <c r="D62" t="s">
        <v>230</v>
      </c>
      <c r="E62">
        <v>0.44</v>
      </c>
      <c r="F62">
        <v>0.04</v>
      </c>
      <c r="G62">
        <v>0.02</v>
      </c>
      <c r="H62">
        <v>0.08</v>
      </c>
      <c r="I62">
        <v>0</v>
      </c>
      <c r="J62" t="s">
        <v>66</v>
      </c>
      <c r="K62" t="s">
        <v>14</v>
      </c>
    </row>
    <row r="63" spans="1:11">
      <c r="A63" t="s">
        <v>139</v>
      </c>
      <c r="B63" t="s">
        <v>140</v>
      </c>
      <c r="C63" t="s">
        <v>125</v>
      </c>
      <c r="D63" t="s">
        <v>230</v>
      </c>
      <c r="E63">
        <v>0.44</v>
      </c>
      <c r="F63">
        <v>7.0000000000000007E-2</v>
      </c>
      <c r="G63">
        <v>0.04</v>
      </c>
      <c r="H63">
        <v>0.08</v>
      </c>
      <c r="I63">
        <v>9.9999999999999881E-3</v>
      </c>
      <c r="J63" t="s">
        <v>66</v>
      </c>
      <c r="K63" t="s">
        <v>14</v>
      </c>
    </row>
    <row r="64" spans="1:11">
      <c r="A64" t="s">
        <v>141</v>
      </c>
      <c r="B64" t="s">
        <v>142</v>
      </c>
      <c r="C64" t="s">
        <v>143</v>
      </c>
      <c r="D64" t="s">
        <v>230</v>
      </c>
      <c r="E64">
        <v>0.49</v>
      </c>
      <c r="F64">
        <v>0.13</v>
      </c>
      <c r="G64">
        <v>6.5000000000000002E-2</v>
      </c>
      <c r="H64">
        <v>0.13</v>
      </c>
      <c r="I64">
        <v>2.4999999999999967E-2</v>
      </c>
      <c r="J64" t="s">
        <v>41</v>
      </c>
      <c r="K64" t="s">
        <v>14</v>
      </c>
    </row>
    <row r="65" spans="1:11">
      <c r="A65" t="s">
        <v>144</v>
      </c>
      <c r="B65" t="s">
        <v>145</v>
      </c>
      <c r="C65" t="s">
        <v>143</v>
      </c>
      <c r="D65" t="s">
        <v>230</v>
      </c>
      <c r="E65">
        <v>0.49</v>
      </c>
      <c r="F65">
        <v>0.125</v>
      </c>
      <c r="G65">
        <v>0.04</v>
      </c>
      <c r="H65">
        <v>0.14000000000000001</v>
      </c>
      <c r="I65">
        <v>0.01</v>
      </c>
      <c r="J65" t="s">
        <v>41</v>
      </c>
      <c r="K65" t="s">
        <v>14</v>
      </c>
    </row>
    <row r="66" spans="1:11">
      <c r="A66" t="s">
        <v>146</v>
      </c>
      <c r="B66" t="s">
        <v>147</v>
      </c>
      <c r="C66" t="s">
        <v>143</v>
      </c>
      <c r="D66" t="s">
        <v>230</v>
      </c>
      <c r="E66">
        <v>0.49</v>
      </c>
      <c r="F66">
        <v>0.13</v>
      </c>
      <c r="G66">
        <v>6.5000000000000002E-2</v>
      </c>
      <c r="H66">
        <v>0.13</v>
      </c>
      <c r="I66">
        <v>2.4999999999999967E-2</v>
      </c>
      <c r="J66" t="s">
        <v>41</v>
      </c>
      <c r="K66" t="s">
        <v>14</v>
      </c>
    </row>
    <row r="67" spans="1:11">
      <c r="A67" t="s">
        <v>148</v>
      </c>
      <c r="B67" t="s">
        <v>149</v>
      </c>
      <c r="C67" t="s">
        <v>150</v>
      </c>
      <c r="D67" t="s">
        <v>230</v>
      </c>
      <c r="E67">
        <v>0.47</v>
      </c>
      <c r="F67">
        <v>0.11</v>
      </c>
      <c r="G67">
        <v>0.03</v>
      </c>
      <c r="H67">
        <v>0.05</v>
      </c>
      <c r="I67">
        <v>0.33999999999999997</v>
      </c>
      <c r="J67" t="s">
        <v>41</v>
      </c>
      <c r="K67" t="s">
        <v>22</v>
      </c>
    </row>
    <row r="68" spans="1:11">
      <c r="A68" t="s">
        <v>151</v>
      </c>
      <c r="B68" t="s">
        <v>152</v>
      </c>
      <c r="C68" t="s">
        <v>153</v>
      </c>
      <c r="D68" t="s">
        <v>229</v>
      </c>
      <c r="E68">
        <v>0.49</v>
      </c>
      <c r="F68">
        <v>1.4999999999999999E-2</v>
      </c>
      <c r="G68">
        <v>0.01</v>
      </c>
      <c r="H68">
        <v>0.17</v>
      </c>
      <c r="I68">
        <v>4.9999999999999996E-2</v>
      </c>
      <c r="J68" t="s">
        <v>41</v>
      </c>
      <c r="K68" t="s">
        <v>11</v>
      </c>
    </row>
    <row r="69" spans="1:11">
      <c r="A69" t="s">
        <v>154</v>
      </c>
      <c r="B69" t="s">
        <v>236</v>
      </c>
      <c r="C69" t="s">
        <v>153</v>
      </c>
      <c r="D69" t="s">
        <v>229</v>
      </c>
      <c r="E69">
        <v>0.46</v>
      </c>
      <c r="F69">
        <v>7.0000000000000007E-2</v>
      </c>
      <c r="G69">
        <v>0.04</v>
      </c>
      <c r="H69">
        <v>0.18</v>
      </c>
      <c r="I69">
        <v>0.42000000000000004</v>
      </c>
      <c r="J69" t="s">
        <v>41</v>
      </c>
      <c r="K69" t="s">
        <v>11</v>
      </c>
    </row>
    <row r="70" spans="1:11">
      <c r="A70" t="s">
        <v>155</v>
      </c>
      <c r="B70" t="s">
        <v>237</v>
      </c>
      <c r="C70" t="s">
        <v>153</v>
      </c>
      <c r="D70" t="s">
        <v>229</v>
      </c>
      <c r="E70">
        <v>0.46</v>
      </c>
      <c r="F70">
        <v>7.0000000000000007E-2</v>
      </c>
      <c r="G70">
        <v>0.04</v>
      </c>
      <c r="H70">
        <v>0.18</v>
      </c>
      <c r="I70">
        <v>0.42000000000000004</v>
      </c>
      <c r="J70" t="s">
        <v>41</v>
      </c>
      <c r="K70" t="s">
        <v>11</v>
      </c>
    </row>
    <row r="71" spans="1:11">
      <c r="A71" t="s">
        <v>156</v>
      </c>
      <c r="B71" t="s">
        <v>238</v>
      </c>
      <c r="C71" t="s">
        <v>153</v>
      </c>
      <c r="D71" t="s">
        <v>229</v>
      </c>
      <c r="E71">
        <v>0.46</v>
      </c>
      <c r="F71">
        <v>7.0000000000000007E-2</v>
      </c>
      <c r="G71">
        <v>0.04</v>
      </c>
      <c r="H71">
        <v>0.18</v>
      </c>
      <c r="I71">
        <v>0.42000000000000004</v>
      </c>
      <c r="J71" t="s">
        <v>41</v>
      </c>
      <c r="K71" t="s">
        <v>11</v>
      </c>
    </row>
    <row r="72" spans="1:11">
      <c r="A72" t="s">
        <v>157</v>
      </c>
      <c r="B72" t="s">
        <v>158</v>
      </c>
      <c r="C72" t="s">
        <v>159</v>
      </c>
      <c r="D72" t="s">
        <v>230</v>
      </c>
      <c r="E72">
        <v>0.44</v>
      </c>
      <c r="F72">
        <v>0.12</v>
      </c>
      <c r="G72">
        <v>0.08</v>
      </c>
      <c r="H72">
        <v>0.13</v>
      </c>
      <c r="I72">
        <v>1.0000000000000023E-2</v>
      </c>
      <c r="J72" t="s">
        <v>41</v>
      </c>
      <c r="K72" t="s">
        <v>11</v>
      </c>
    </row>
    <row r="73" spans="1:11">
      <c r="A73" t="s">
        <v>160</v>
      </c>
      <c r="B73" t="s">
        <v>161</v>
      </c>
      <c r="C73" t="s">
        <v>162</v>
      </c>
      <c r="D73" t="s">
        <v>230</v>
      </c>
      <c r="E73">
        <v>0.41749999999999998</v>
      </c>
      <c r="F73">
        <v>5.6666666666666671E-2</v>
      </c>
      <c r="G73">
        <v>3.2500000000000001E-2</v>
      </c>
      <c r="H73">
        <v>0.17</v>
      </c>
      <c r="I73">
        <v>9.9999999999999811E-3</v>
      </c>
      <c r="J73" t="s">
        <v>41</v>
      </c>
      <c r="K73" t="s">
        <v>14</v>
      </c>
    </row>
    <row r="74" spans="1:11">
      <c r="A74" t="s">
        <v>163</v>
      </c>
      <c r="B74" t="s">
        <v>164</v>
      </c>
      <c r="C74" t="s">
        <v>162</v>
      </c>
      <c r="D74" t="s">
        <v>230</v>
      </c>
      <c r="E74">
        <v>0.39500000000000002</v>
      </c>
      <c r="F74">
        <v>4.4999999999999998E-2</v>
      </c>
      <c r="G74">
        <v>0.04</v>
      </c>
      <c r="H74">
        <v>0.17</v>
      </c>
      <c r="I74">
        <v>5.0000000000000391E-3</v>
      </c>
      <c r="J74" t="s">
        <v>41</v>
      </c>
      <c r="K74" t="s">
        <v>14</v>
      </c>
    </row>
    <row r="75" spans="1:11">
      <c r="A75" t="s">
        <v>165</v>
      </c>
      <c r="B75" t="s">
        <v>166</v>
      </c>
      <c r="C75" t="s">
        <v>167</v>
      </c>
      <c r="D75" t="s">
        <v>227</v>
      </c>
      <c r="E75">
        <v>0.6</v>
      </c>
      <c r="F75">
        <v>0.05</v>
      </c>
      <c r="G75">
        <v>4.4999999999999998E-2</v>
      </c>
      <c r="H75">
        <v>0.1</v>
      </c>
      <c r="I75">
        <v>0.55499999999999994</v>
      </c>
      <c r="J75" t="s">
        <v>41</v>
      </c>
      <c r="K75" t="s">
        <v>22</v>
      </c>
    </row>
    <row r="76" spans="1:11">
      <c r="A76" t="s">
        <v>168</v>
      </c>
      <c r="B76" t="s">
        <v>169</v>
      </c>
      <c r="C76" t="s">
        <v>170</v>
      </c>
      <c r="D76" t="s">
        <v>227</v>
      </c>
      <c r="E76">
        <v>0.41</v>
      </c>
      <c r="F76">
        <v>0.08</v>
      </c>
      <c r="G76">
        <v>0.06</v>
      </c>
      <c r="H76">
        <v>0.1</v>
      </c>
      <c r="I76">
        <v>0</v>
      </c>
      <c r="J76" t="s">
        <v>41</v>
      </c>
      <c r="K76" t="s">
        <v>11</v>
      </c>
    </row>
    <row r="77" spans="1:11">
      <c r="A77" t="s">
        <v>171</v>
      </c>
      <c r="B77" t="s">
        <v>172</v>
      </c>
      <c r="C77" t="s">
        <v>170</v>
      </c>
      <c r="D77" t="s">
        <v>227</v>
      </c>
      <c r="E77">
        <v>0.41</v>
      </c>
      <c r="F77">
        <v>0.08</v>
      </c>
      <c r="G77">
        <v>0.06</v>
      </c>
      <c r="H77">
        <v>0.1</v>
      </c>
      <c r="I77">
        <v>0</v>
      </c>
      <c r="J77" t="s">
        <v>41</v>
      </c>
      <c r="K77" t="s">
        <v>11</v>
      </c>
    </row>
    <row r="78" spans="1:11">
      <c r="A78" t="s">
        <v>173</v>
      </c>
      <c r="B78" t="s">
        <v>174</v>
      </c>
      <c r="C78" t="s">
        <v>170</v>
      </c>
      <c r="D78" t="s">
        <v>227</v>
      </c>
      <c r="E78">
        <v>0.45</v>
      </c>
      <c r="F78">
        <v>0.03</v>
      </c>
      <c r="G78">
        <v>3.5000000000000003E-2</v>
      </c>
      <c r="H78">
        <v>0.1</v>
      </c>
      <c r="I78">
        <v>2.4999999999999994E-2</v>
      </c>
      <c r="J78" t="s">
        <v>41</v>
      </c>
      <c r="K78" t="s">
        <v>22</v>
      </c>
    </row>
    <row r="79" spans="1:11">
      <c r="A79" t="s">
        <v>175</v>
      </c>
      <c r="B79" t="s">
        <v>176</v>
      </c>
      <c r="C79" t="s">
        <v>170</v>
      </c>
      <c r="D79" t="s">
        <v>227</v>
      </c>
      <c r="E79">
        <v>0.45</v>
      </c>
      <c r="F79">
        <v>0.03</v>
      </c>
      <c r="G79">
        <v>3.5000000000000003E-2</v>
      </c>
      <c r="H79">
        <v>0.1</v>
      </c>
      <c r="I79">
        <v>2.4999999999999994E-2</v>
      </c>
      <c r="J79" t="s">
        <v>41</v>
      </c>
      <c r="K79" t="s">
        <v>22</v>
      </c>
    </row>
    <row r="80" spans="1:11">
      <c r="A80" t="s">
        <v>177</v>
      </c>
      <c r="B80" t="s">
        <v>178</v>
      </c>
      <c r="C80" t="s">
        <v>170</v>
      </c>
      <c r="D80" t="s">
        <v>227</v>
      </c>
      <c r="E80">
        <v>0.45</v>
      </c>
      <c r="F80">
        <v>0.03</v>
      </c>
      <c r="G80">
        <v>3.5000000000000003E-2</v>
      </c>
      <c r="H80">
        <v>0.1</v>
      </c>
      <c r="I80">
        <v>2.4999999999999994E-2</v>
      </c>
      <c r="J80" t="s">
        <v>41</v>
      </c>
      <c r="K80" t="s">
        <v>22</v>
      </c>
    </row>
    <row r="81" spans="1:13">
      <c r="A81" t="s">
        <v>179</v>
      </c>
      <c r="B81" t="s">
        <v>180</v>
      </c>
      <c r="C81" t="s">
        <v>170</v>
      </c>
      <c r="D81" t="s">
        <v>227</v>
      </c>
      <c r="E81">
        <v>0.55000000000000004</v>
      </c>
      <c r="F81">
        <v>7.0000000000000007E-2</v>
      </c>
      <c r="G81">
        <v>6.5000000000000002E-2</v>
      </c>
      <c r="H81">
        <v>0.1</v>
      </c>
      <c r="I81">
        <v>8.500000000000002E-2</v>
      </c>
      <c r="J81" t="s">
        <v>41</v>
      </c>
      <c r="K81" t="s">
        <v>22</v>
      </c>
    </row>
    <row r="82" spans="1:13">
      <c r="A82" t="s">
        <v>181</v>
      </c>
      <c r="B82" t="s">
        <v>182</v>
      </c>
      <c r="C82" t="s">
        <v>170</v>
      </c>
      <c r="D82" t="s">
        <v>227</v>
      </c>
      <c r="E82">
        <v>0.55000000000000004</v>
      </c>
      <c r="F82">
        <v>7.0000000000000007E-2</v>
      </c>
      <c r="G82">
        <v>6.5000000000000002E-2</v>
      </c>
      <c r="H82">
        <v>0.1</v>
      </c>
      <c r="I82">
        <v>8.500000000000002E-2</v>
      </c>
      <c r="J82" t="s">
        <v>41</v>
      </c>
      <c r="K82" t="s">
        <v>22</v>
      </c>
    </row>
    <row r="83" spans="1:13">
      <c r="A83" t="s">
        <v>183</v>
      </c>
      <c r="B83" t="s">
        <v>184</v>
      </c>
      <c r="C83" t="s">
        <v>185</v>
      </c>
      <c r="D83" t="s">
        <v>230</v>
      </c>
      <c r="E83">
        <v>0.56999999999999995</v>
      </c>
      <c r="F83">
        <v>8.6999999999999994E-2</v>
      </c>
      <c r="G83">
        <v>0</v>
      </c>
      <c r="H83">
        <v>7.0000000000000007E-2</v>
      </c>
      <c r="I83">
        <v>0.56999999999999995</v>
      </c>
      <c r="J83" t="s">
        <v>41</v>
      </c>
      <c r="K83" t="s">
        <v>22</v>
      </c>
    </row>
    <row r="84" spans="1:13">
      <c r="A84" t="s">
        <v>186</v>
      </c>
      <c r="B84" t="s">
        <v>187</v>
      </c>
      <c r="C84" t="s">
        <v>188</v>
      </c>
      <c r="D84" t="s">
        <v>230</v>
      </c>
      <c r="E84">
        <v>0.5</v>
      </c>
      <c r="F84">
        <v>0.03</v>
      </c>
      <c r="G84">
        <v>2.5000000000000001E-2</v>
      </c>
      <c r="H84">
        <v>0.1</v>
      </c>
      <c r="I84">
        <v>1.4999999999999979E-2</v>
      </c>
      <c r="J84" t="s">
        <v>66</v>
      </c>
      <c r="K84" t="s">
        <v>14</v>
      </c>
    </row>
    <row r="85" spans="1:13">
      <c r="A85" t="s">
        <v>189</v>
      </c>
      <c r="B85" t="s">
        <v>190</v>
      </c>
      <c r="C85" t="s">
        <v>190</v>
      </c>
      <c r="D85" t="s">
        <v>224</v>
      </c>
      <c r="E85">
        <v>0.48</v>
      </c>
      <c r="F85">
        <v>1.0999999999999999E-2</v>
      </c>
      <c r="G85">
        <v>0.01</v>
      </c>
      <c r="H85">
        <v>0.15</v>
      </c>
      <c r="I85">
        <v>0</v>
      </c>
      <c r="J85" t="s">
        <v>10</v>
      </c>
      <c r="K85" t="s">
        <v>11</v>
      </c>
    </row>
    <row r="86" spans="1:13">
      <c r="A86" t="s">
        <v>191</v>
      </c>
      <c r="B86" t="s">
        <v>192</v>
      </c>
      <c r="C86" t="s">
        <v>193</v>
      </c>
      <c r="D86" t="s">
        <v>229</v>
      </c>
      <c r="E86">
        <v>0.53300000000000003</v>
      </c>
      <c r="F86">
        <v>7.0000000000000007E-2</v>
      </c>
      <c r="G86">
        <v>0.06</v>
      </c>
      <c r="H86">
        <v>0.13</v>
      </c>
      <c r="I86">
        <v>1.0000000000000009E-2</v>
      </c>
      <c r="J86" t="s">
        <v>41</v>
      </c>
      <c r="K86" t="s">
        <v>14</v>
      </c>
    </row>
    <row r="87" spans="1:13">
      <c r="A87" t="s">
        <v>194</v>
      </c>
      <c r="B87" t="s">
        <v>195</v>
      </c>
      <c r="C87" t="s">
        <v>196</v>
      </c>
      <c r="D87" t="s">
        <v>230</v>
      </c>
      <c r="E87">
        <v>0.56999999999999995</v>
      </c>
      <c r="F87">
        <v>0.09</v>
      </c>
      <c r="G87">
        <v>0</v>
      </c>
      <c r="H87">
        <v>7.0000000000000007E-2</v>
      </c>
      <c r="I87">
        <v>0.56999999999999995</v>
      </c>
      <c r="J87" t="s">
        <v>41</v>
      </c>
      <c r="K87" t="s">
        <v>22</v>
      </c>
    </row>
    <row r="88" spans="1:13">
      <c r="A88" t="s">
        <v>197</v>
      </c>
      <c r="B88" t="s">
        <v>198</v>
      </c>
      <c r="C88" t="s">
        <v>199</v>
      </c>
      <c r="D88" t="s">
        <v>229</v>
      </c>
      <c r="E88">
        <v>0.51</v>
      </c>
      <c r="F88">
        <v>0.06</v>
      </c>
      <c r="G88">
        <v>0.05</v>
      </c>
      <c r="H88">
        <v>0.13</v>
      </c>
      <c r="I88">
        <v>9.999999999999995E-3</v>
      </c>
      <c r="J88" t="s">
        <v>41</v>
      </c>
      <c r="K88" t="s">
        <v>14</v>
      </c>
    </row>
    <row r="89" spans="1:13">
      <c r="A89" t="s">
        <v>200</v>
      </c>
      <c r="B89" t="s">
        <v>201</v>
      </c>
      <c r="C89" t="s">
        <v>202</v>
      </c>
      <c r="D89" t="s">
        <v>230</v>
      </c>
      <c r="E89">
        <v>0.48499999999999999</v>
      </c>
      <c r="F89">
        <v>0.06</v>
      </c>
      <c r="G89">
        <v>0.04</v>
      </c>
      <c r="H89">
        <v>0.13</v>
      </c>
      <c r="I89">
        <v>4.9999999999999836E-3</v>
      </c>
      <c r="J89" t="s">
        <v>66</v>
      </c>
      <c r="K89" t="s">
        <v>14</v>
      </c>
    </row>
    <row r="90" spans="1:13">
      <c r="A90" t="s">
        <v>203</v>
      </c>
      <c r="B90" t="s">
        <v>204</v>
      </c>
      <c r="C90" t="s">
        <v>202</v>
      </c>
      <c r="D90" t="s">
        <v>230</v>
      </c>
      <c r="E90">
        <v>0.48499999999999999</v>
      </c>
      <c r="F90">
        <v>0.06</v>
      </c>
      <c r="G90">
        <v>0.04</v>
      </c>
      <c r="H90">
        <v>0.13</v>
      </c>
      <c r="I90">
        <v>4.9999999999999836E-3</v>
      </c>
      <c r="J90" t="s">
        <v>66</v>
      </c>
      <c r="K90" t="s">
        <v>14</v>
      </c>
    </row>
    <row r="91" spans="1:13">
      <c r="A91" t="s">
        <v>205</v>
      </c>
      <c r="B91" t="s">
        <v>206</v>
      </c>
      <c r="C91" t="s">
        <v>202</v>
      </c>
      <c r="D91" t="s">
        <v>230</v>
      </c>
      <c r="E91">
        <v>0.56510000000000005</v>
      </c>
      <c r="F91">
        <v>4.4699999999999997E-2</v>
      </c>
      <c r="G91">
        <v>3.2000000000000001E-2</v>
      </c>
      <c r="H91">
        <v>0.05</v>
      </c>
      <c r="I91">
        <v>0.50009999999999999</v>
      </c>
      <c r="J91" t="s">
        <v>41</v>
      </c>
      <c r="K91" t="s">
        <v>22</v>
      </c>
    </row>
    <row r="92" spans="1:13">
      <c r="A92" t="s">
        <v>207</v>
      </c>
      <c r="B92" t="s">
        <v>208</v>
      </c>
      <c r="C92" t="s">
        <v>79</v>
      </c>
      <c r="D92" t="s">
        <v>230</v>
      </c>
      <c r="M92" t="s">
        <v>239</v>
      </c>
    </row>
    <row r="93" spans="1:13">
      <c r="A93" t="s">
        <v>209</v>
      </c>
      <c r="B93" t="s">
        <v>210</v>
      </c>
      <c r="C93" t="s">
        <v>79</v>
      </c>
      <c r="D93" t="s">
        <v>230</v>
      </c>
      <c r="M93" t="s">
        <v>239</v>
      </c>
    </row>
    <row r="94" spans="1:13">
      <c r="A94" t="s">
        <v>211</v>
      </c>
      <c r="B94" t="s">
        <v>212</v>
      </c>
      <c r="C94" t="s">
        <v>79</v>
      </c>
      <c r="D94" t="s">
        <v>230</v>
      </c>
      <c r="M94" t="s">
        <v>239</v>
      </c>
    </row>
    <row r="95" spans="1:13">
      <c r="A95" t="s">
        <v>213</v>
      </c>
      <c r="M95" t="s">
        <v>239</v>
      </c>
    </row>
    <row r="96" spans="1:13">
      <c r="A96" t="s">
        <v>214</v>
      </c>
      <c r="M96" t="s">
        <v>239</v>
      </c>
    </row>
    <row r="97" spans="1:13">
      <c r="A97" t="s">
        <v>215</v>
      </c>
      <c r="M97" t="s">
        <v>239</v>
      </c>
    </row>
    <row r="98" spans="1:13">
      <c r="A98" t="s">
        <v>216</v>
      </c>
      <c r="M98" t="s">
        <v>239</v>
      </c>
    </row>
    <row r="99" spans="1:13">
      <c r="A99" t="s">
        <v>217</v>
      </c>
      <c r="M99" t="s">
        <v>239</v>
      </c>
    </row>
    <row r="100" spans="1:13">
      <c r="A100" t="s">
        <v>218</v>
      </c>
      <c r="M100" t="s">
        <v>239</v>
      </c>
    </row>
    <row r="101" spans="1:13">
      <c r="A101" t="s">
        <v>219</v>
      </c>
      <c r="M101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F7DE-8120-4B98-A1CF-06DA34DDABF5}">
  <dimension ref="A1:X102"/>
  <sheetViews>
    <sheetView tabSelected="1" zoomScale="68" zoomScaleNormal="68" workbookViewId="0">
      <selection activeCell="Q11" sqref="Q11"/>
    </sheetView>
  </sheetViews>
  <sheetFormatPr defaultRowHeight="15"/>
  <sheetData>
    <row r="1" spans="1:24">
      <c r="A1">
        <v>1</v>
      </c>
      <c r="B1">
        <v>2</v>
      </c>
      <c r="C1">
        <v>3</v>
      </c>
      <c r="D1">
        <v>8</v>
      </c>
      <c r="E1">
        <v>9</v>
      </c>
      <c r="F1">
        <v>10</v>
      </c>
      <c r="G1">
        <v>11</v>
      </c>
      <c r="H1">
        <v>12</v>
      </c>
      <c r="I1">
        <v>13</v>
      </c>
      <c r="J1">
        <v>14</v>
      </c>
      <c r="K1">
        <v>15</v>
      </c>
      <c r="L1">
        <v>16</v>
      </c>
      <c r="M1">
        <v>17</v>
      </c>
      <c r="N1">
        <v>18</v>
      </c>
      <c r="O1">
        <v>19</v>
      </c>
      <c r="P1">
        <v>20</v>
      </c>
      <c r="Q1">
        <v>21</v>
      </c>
      <c r="R1">
        <v>22</v>
      </c>
      <c r="S1">
        <v>23</v>
      </c>
      <c r="T1">
        <v>24</v>
      </c>
      <c r="U1">
        <v>25</v>
      </c>
      <c r="V1">
        <v>26</v>
      </c>
      <c r="W1">
        <v>27</v>
      </c>
      <c r="X1">
        <v>28</v>
      </c>
    </row>
    <row r="2" spans="1:24">
      <c r="A2" t="s">
        <v>220</v>
      </c>
      <c r="B2" t="s">
        <v>0</v>
      </c>
      <c r="C2" t="s">
        <v>1</v>
      </c>
      <c r="D2">
        <v>2017</v>
      </c>
      <c r="E2" t="s">
        <v>240</v>
      </c>
      <c r="F2" t="s">
        <v>241</v>
      </c>
      <c r="G2" t="s">
        <v>242</v>
      </c>
      <c r="H2" t="s">
        <v>243</v>
      </c>
      <c r="I2">
        <v>2018</v>
      </c>
      <c r="J2" t="s">
        <v>244</v>
      </c>
      <c r="K2" t="s">
        <v>245</v>
      </c>
      <c r="L2" t="s">
        <v>246</v>
      </c>
      <c r="M2" t="s">
        <v>247</v>
      </c>
      <c r="N2">
        <v>2019</v>
      </c>
      <c r="O2" t="s">
        <v>248</v>
      </c>
      <c r="P2" t="s">
        <v>249</v>
      </c>
      <c r="Q2" t="s">
        <v>250</v>
      </c>
      <c r="R2" t="s">
        <v>251</v>
      </c>
      <c r="S2">
        <v>2020</v>
      </c>
      <c r="T2" t="s">
        <v>252</v>
      </c>
      <c r="U2" t="s">
        <v>253</v>
      </c>
      <c r="V2" t="s">
        <v>254</v>
      </c>
      <c r="W2" t="s">
        <v>255</v>
      </c>
    </row>
    <row r="3" spans="1:24" ht="15.75">
      <c r="A3" t="s">
        <v>223</v>
      </c>
      <c r="B3" t="s">
        <v>8</v>
      </c>
      <c r="C3" t="s">
        <v>9</v>
      </c>
      <c r="E3" s="1">
        <v>6893</v>
      </c>
      <c r="F3" s="1">
        <v>7805</v>
      </c>
      <c r="G3" s="1">
        <v>7895</v>
      </c>
      <c r="H3" s="1">
        <v>8304</v>
      </c>
      <c r="J3" s="1">
        <v>7431</v>
      </c>
      <c r="K3" s="1">
        <v>7955</v>
      </c>
      <c r="L3" s="1">
        <v>8204</v>
      </c>
      <c r="M3" s="1">
        <v>6847</v>
      </c>
      <c r="O3" s="1">
        <v>7917</v>
      </c>
      <c r="P3" s="1">
        <v>8533</v>
      </c>
      <c r="Q3" s="1">
        <v>8695</v>
      </c>
      <c r="R3" s="1">
        <v>10267</v>
      </c>
      <c r="T3" s="1">
        <v>8720</v>
      </c>
      <c r="U3" s="9">
        <v>0</v>
      </c>
      <c r="V3" s="9">
        <v>0</v>
      </c>
      <c r="W3" s="9">
        <v>0</v>
      </c>
    </row>
    <row r="4" spans="1:24" ht="15.75">
      <c r="A4" t="s">
        <v>12</v>
      </c>
      <c r="B4" t="s">
        <v>13</v>
      </c>
      <c r="C4" t="s">
        <v>9</v>
      </c>
      <c r="E4" s="1">
        <v>2388</v>
      </c>
      <c r="F4" s="1">
        <v>2780</v>
      </c>
      <c r="G4" s="1">
        <v>2809</v>
      </c>
      <c r="H4" s="1">
        <v>3224</v>
      </c>
      <c r="J4" s="1">
        <v>3124</v>
      </c>
      <c r="K4" s="1">
        <v>3274</v>
      </c>
      <c r="L4" s="1">
        <v>2893</v>
      </c>
      <c r="M4" s="1">
        <v>3250</v>
      </c>
      <c r="O4" s="1">
        <v>3004</v>
      </c>
      <c r="P4" s="1">
        <v>2957</v>
      </c>
      <c r="Q4" s="1">
        <v>2968</v>
      </c>
      <c r="R4" s="1">
        <v>3273</v>
      </c>
      <c r="T4" s="1">
        <v>2876</v>
      </c>
      <c r="U4" s="9">
        <v>0</v>
      </c>
      <c r="V4" s="9">
        <v>0</v>
      </c>
      <c r="W4" s="9">
        <v>0</v>
      </c>
    </row>
    <row r="5" spans="1:24" ht="15.75">
      <c r="A5" t="s">
        <v>15</v>
      </c>
      <c r="B5" t="s">
        <v>16</v>
      </c>
      <c r="C5" t="s">
        <v>9</v>
      </c>
      <c r="E5" s="9">
        <v>0</v>
      </c>
      <c r="F5" s="9">
        <v>0</v>
      </c>
      <c r="G5" s="9">
        <v>0</v>
      </c>
      <c r="H5" s="9">
        <v>0</v>
      </c>
      <c r="J5" s="9">
        <v>0</v>
      </c>
      <c r="K5" s="9">
        <v>0</v>
      </c>
      <c r="L5" s="9">
        <v>0</v>
      </c>
      <c r="M5" s="9">
        <v>0</v>
      </c>
      <c r="O5" s="9">
        <v>0</v>
      </c>
      <c r="P5" s="9">
        <v>0</v>
      </c>
      <c r="Q5" s="9">
        <v>0</v>
      </c>
      <c r="R5" s="9">
        <v>0</v>
      </c>
      <c r="T5" s="9">
        <v>0</v>
      </c>
      <c r="U5" s="9">
        <v>0</v>
      </c>
      <c r="V5" s="9">
        <v>0</v>
      </c>
      <c r="W5" s="9">
        <v>0</v>
      </c>
    </row>
    <row r="6" spans="1:24" ht="15.75">
      <c r="A6" t="s">
        <v>17</v>
      </c>
      <c r="B6" t="s">
        <v>18</v>
      </c>
      <c r="C6" t="s">
        <v>9</v>
      </c>
      <c r="E6" s="1">
        <v>5834.1599999999989</v>
      </c>
      <c r="F6" s="1">
        <v>5781.5999999999995</v>
      </c>
      <c r="G6" s="1">
        <v>6096.96</v>
      </c>
      <c r="H6" s="1">
        <v>6359.76</v>
      </c>
      <c r="J6" s="1">
        <v>5931.25</v>
      </c>
      <c r="K6" s="1">
        <v>5984.54</v>
      </c>
      <c r="L6" s="1">
        <v>6283.11</v>
      </c>
      <c r="M6" s="1">
        <v>6349.54</v>
      </c>
      <c r="O6" s="1">
        <v>6492.62</v>
      </c>
      <c r="P6" s="1">
        <v>6093.3099999999995</v>
      </c>
      <c r="Q6" s="1">
        <v>6461.96</v>
      </c>
      <c r="R6" s="1">
        <v>6641.54</v>
      </c>
      <c r="T6" s="1">
        <v>6153.17</v>
      </c>
      <c r="U6" s="9">
        <v>0</v>
      </c>
      <c r="V6" s="9">
        <v>0</v>
      </c>
      <c r="W6" s="9">
        <v>0</v>
      </c>
    </row>
    <row r="7" spans="1:24" ht="15.75">
      <c r="A7" t="s">
        <v>19</v>
      </c>
      <c r="B7" t="s">
        <v>20</v>
      </c>
      <c r="C7" t="s">
        <v>9</v>
      </c>
      <c r="E7" s="1">
        <v>2157.8399999999997</v>
      </c>
      <c r="F7" s="1">
        <v>2138.4</v>
      </c>
      <c r="G7" s="1">
        <v>2255.04</v>
      </c>
      <c r="H7" s="1">
        <v>2352.2400000000002</v>
      </c>
      <c r="J7" s="1">
        <v>2193.75</v>
      </c>
      <c r="K7" s="1">
        <v>2213.46</v>
      </c>
      <c r="L7" s="1">
        <v>2323.8900000000003</v>
      </c>
      <c r="M7" s="1">
        <v>2348.46</v>
      </c>
      <c r="O7" s="1">
        <v>2401.38</v>
      </c>
      <c r="P7" s="1">
        <v>2253.69</v>
      </c>
      <c r="Q7" s="1">
        <v>2390.04</v>
      </c>
      <c r="R7" s="1">
        <v>2456.46</v>
      </c>
      <c r="T7" s="1">
        <v>2275.83</v>
      </c>
      <c r="U7" s="9">
        <v>0</v>
      </c>
      <c r="V7" s="9">
        <v>0</v>
      </c>
      <c r="W7" s="9">
        <v>0</v>
      </c>
    </row>
    <row r="8" spans="1:24" ht="15.75">
      <c r="A8" t="s">
        <v>21</v>
      </c>
      <c r="B8" t="s">
        <v>225</v>
      </c>
      <c r="C8" t="s">
        <v>9</v>
      </c>
      <c r="E8" s="9">
        <v>0</v>
      </c>
      <c r="F8" s="9">
        <v>0</v>
      </c>
      <c r="G8" s="9">
        <v>0</v>
      </c>
      <c r="H8" s="9">
        <v>0</v>
      </c>
      <c r="J8" s="9">
        <v>0</v>
      </c>
      <c r="K8" s="1">
        <v>400.5</v>
      </c>
      <c r="L8" s="1">
        <v>773.1</v>
      </c>
      <c r="M8" s="1">
        <v>668.7</v>
      </c>
      <c r="O8" s="9">
        <v>0</v>
      </c>
      <c r="P8" s="1">
        <v>792</v>
      </c>
      <c r="Q8" s="1">
        <v>1278</v>
      </c>
      <c r="R8" s="1">
        <v>1083.6000000000001</v>
      </c>
      <c r="T8" s="9">
        <v>0</v>
      </c>
      <c r="U8" s="9">
        <v>0</v>
      </c>
      <c r="V8" s="9">
        <v>0</v>
      </c>
      <c r="W8" s="9">
        <v>0</v>
      </c>
    </row>
    <row r="9" spans="1:24" ht="15.75">
      <c r="A9" t="s">
        <v>23</v>
      </c>
      <c r="B9" t="s">
        <v>24</v>
      </c>
      <c r="C9" t="s">
        <v>9</v>
      </c>
      <c r="E9" s="9">
        <v>0</v>
      </c>
      <c r="F9" s="9">
        <v>0</v>
      </c>
      <c r="G9" s="9">
        <v>0</v>
      </c>
      <c r="H9" s="9">
        <v>0</v>
      </c>
      <c r="J9" s="9">
        <v>0</v>
      </c>
      <c r="K9" s="9">
        <v>0</v>
      </c>
      <c r="L9" s="9">
        <v>0</v>
      </c>
      <c r="M9" s="9">
        <v>0</v>
      </c>
      <c r="O9" s="9">
        <v>0</v>
      </c>
      <c r="P9" s="9">
        <v>0</v>
      </c>
      <c r="Q9" s="9">
        <v>0</v>
      </c>
      <c r="R9" s="9">
        <v>0</v>
      </c>
      <c r="T9" s="9">
        <v>0</v>
      </c>
      <c r="U9" s="9">
        <v>0</v>
      </c>
      <c r="V9" s="9">
        <v>0</v>
      </c>
      <c r="W9" s="9">
        <v>0</v>
      </c>
    </row>
    <row r="10" spans="1:24" ht="15.75">
      <c r="A10" t="s">
        <v>25</v>
      </c>
      <c r="B10" t="s">
        <v>26</v>
      </c>
      <c r="C10" t="s">
        <v>9</v>
      </c>
      <c r="E10" s="9">
        <v>0</v>
      </c>
      <c r="F10" s="9">
        <v>0</v>
      </c>
      <c r="G10" s="9">
        <v>0</v>
      </c>
      <c r="H10" s="9">
        <v>0</v>
      </c>
      <c r="J10" s="9">
        <v>0</v>
      </c>
      <c r="K10" s="9">
        <v>0</v>
      </c>
      <c r="L10" s="9">
        <v>0</v>
      </c>
      <c r="M10" s="9">
        <v>0</v>
      </c>
      <c r="O10" s="9">
        <v>0</v>
      </c>
      <c r="P10" s="9">
        <v>0</v>
      </c>
      <c r="Q10" s="9">
        <v>0</v>
      </c>
      <c r="R10" s="9">
        <v>0</v>
      </c>
      <c r="T10" s="9">
        <v>0</v>
      </c>
      <c r="U10" s="9">
        <v>0</v>
      </c>
      <c r="V10" s="9">
        <v>0</v>
      </c>
      <c r="W10" s="9">
        <v>0</v>
      </c>
    </row>
    <row r="11" spans="1:24" ht="15.75">
      <c r="A11" t="s">
        <v>27</v>
      </c>
      <c r="B11" t="s">
        <v>28</v>
      </c>
      <c r="C11" t="s">
        <v>9</v>
      </c>
      <c r="E11" s="9">
        <v>0</v>
      </c>
      <c r="F11" s="9">
        <v>0</v>
      </c>
      <c r="G11" s="9">
        <v>0</v>
      </c>
      <c r="H11" s="9">
        <v>0</v>
      </c>
      <c r="J11" s="9">
        <v>0</v>
      </c>
      <c r="K11" s="9">
        <v>0</v>
      </c>
      <c r="L11" s="9">
        <v>0</v>
      </c>
      <c r="M11" s="9">
        <v>0</v>
      </c>
      <c r="O11" s="9">
        <v>0</v>
      </c>
      <c r="P11" s="9">
        <v>0</v>
      </c>
      <c r="Q11" s="9">
        <v>0</v>
      </c>
      <c r="R11" s="9">
        <v>0</v>
      </c>
      <c r="T11" s="9">
        <v>0</v>
      </c>
      <c r="U11" s="9">
        <v>0</v>
      </c>
      <c r="V11" s="9">
        <v>0</v>
      </c>
      <c r="W11" s="9">
        <v>0</v>
      </c>
    </row>
    <row r="12" spans="1:24" ht="15.75">
      <c r="A12" t="s">
        <v>29</v>
      </c>
      <c r="B12" t="s">
        <v>226</v>
      </c>
      <c r="C12" t="s">
        <v>9</v>
      </c>
      <c r="E12" s="9">
        <v>0</v>
      </c>
      <c r="F12" s="9">
        <v>0</v>
      </c>
      <c r="G12" s="9">
        <v>0</v>
      </c>
      <c r="H12" s="9">
        <v>0</v>
      </c>
      <c r="J12" s="9">
        <v>0</v>
      </c>
      <c r="K12" s="9">
        <v>0</v>
      </c>
      <c r="L12" s="9">
        <v>0</v>
      </c>
      <c r="M12" s="9">
        <v>0</v>
      </c>
      <c r="O12" s="9">
        <v>0</v>
      </c>
      <c r="P12" s="9">
        <v>0</v>
      </c>
      <c r="Q12" s="9">
        <v>0</v>
      </c>
      <c r="R12" s="9">
        <v>0</v>
      </c>
      <c r="T12" s="9">
        <v>0</v>
      </c>
      <c r="U12" s="9">
        <v>0</v>
      </c>
      <c r="V12" s="9">
        <v>0</v>
      </c>
      <c r="W12" s="9">
        <v>0</v>
      </c>
    </row>
    <row r="13" spans="1:24" ht="15.75">
      <c r="A13" t="s">
        <v>30</v>
      </c>
      <c r="B13" t="s">
        <v>31</v>
      </c>
      <c r="C13" t="s">
        <v>9</v>
      </c>
      <c r="E13" s="9">
        <v>0</v>
      </c>
      <c r="F13" s="9">
        <v>0</v>
      </c>
      <c r="G13" s="9">
        <v>0</v>
      </c>
      <c r="H13" s="9">
        <v>0</v>
      </c>
      <c r="J13" s="9">
        <v>0</v>
      </c>
      <c r="K13" s="9">
        <v>0</v>
      </c>
      <c r="L13" s="9">
        <v>0</v>
      </c>
      <c r="M13" s="9">
        <v>0</v>
      </c>
      <c r="O13" s="9">
        <v>0</v>
      </c>
      <c r="P13" s="9">
        <v>0</v>
      </c>
      <c r="Q13" s="9">
        <v>0</v>
      </c>
      <c r="R13" s="9">
        <v>0</v>
      </c>
      <c r="T13" s="9">
        <v>0</v>
      </c>
      <c r="U13" s="9">
        <v>0</v>
      </c>
      <c r="V13" s="9">
        <v>0</v>
      </c>
      <c r="W13" s="9">
        <v>0</v>
      </c>
    </row>
    <row r="14" spans="1:24" ht="15.75">
      <c r="A14" t="s">
        <v>32</v>
      </c>
      <c r="B14" t="s">
        <v>33</v>
      </c>
      <c r="C14" t="s">
        <v>9</v>
      </c>
      <c r="E14" s="9">
        <v>0</v>
      </c>
      <c r="F14" s="9">
        <v>0</v>
      </c>
      <c r="G14" s="9">
        <v>0</v>
      </c>
      <c r="H14" s="9">
        <v>0</v>
      </c>
      <c r="J14" s="9">
        <v>0</v>
      </c>
      <c r="K14" s="9">
        <v>0</v>
      </c>
      <c r="L14" s="9">
        <v>0</v>
      </c>
      <c r="M14" s="9">
        <v>0</v>
      </c>
      <c r="O14" s="9">
        <v>0</v>
      </c>
      <c r="P14" s="9">
        <v>0</v>
      </c>
      <c r="Q14" s="9">
        <v>0</v>
      </c>
      <c r="R14" s="9">
        <v>0</v>
      </c>
      <c r="T14" s="9">
        <v>0</v>
      </c>
      <c r="U14" s="9">
        <v>0</v>
      </c>
      <c r="V14" s="9">
        <v>0</v>
      </c>
      <c r="W14" s="9">
        <v>0</v>
      </c>
    </row>
    <row r="15" spans="1:24" ht="15.75">
      <c r="A15" t="s">
        <v>34</v>
      </c>
      <c r="B15" t="s">
        <v>35</v>
      </c>
      <c r="C15" t="s">
        <v>9</v>
      </c>
      <c r="E15" s="9">
        <v>0</v>
      </c>
      <c r="F15" s="9">
        <v>0</v>
      </c>
      <c r="G15" s="9">
        <v>0</v>
      </c>
      <c r="H15" s="9">
        <v>0</v>
      </c>
      <c r="J15" s="9">
        <v>0</v>
      </c>
      <c r="K15" s="9">
        <v>0</v>
      </c>
      <c r="L15" s="9">
        <v>0</v>
      </c>
      <c r="M15" s="9">
        <v>0</v>
      </c>
      <c r="O15" s="9">
        <v>0</v>
      </c>
      <c r="P15" s="9">
        <v>0</v>
      </c>
      <c r="Q15" s="9">
        <v>0</v>
      </c>
      <c r="R15" s="9">
        <v>0</v>
      </c>
      <c r="T15" s="9">
        <v>0</v>
      </c>
      <c r="U15" s="9">
        <v>0</v>
      </c>
      <c r="V15" s="9">
        <v>0</v>
      </c>
      <c r="W15" s="9">
        <v>0</v>
      </c>
    </row>
    <row r="16" spans="1:24" ht="15.75">
      <c r="A16" t="s">
        <v>36</v>
      </c>
      <c r="B16" t="s">
        <v>37</v>
      </c>
      <c r="C16" t="s">
        <v>9</v>
      </c>
      <c r="E16" s="9">
        <v>0</v>
      </c>
      <c r="F16" s="9">
        <v>0</v>
      </c>
      <c r="G16" s="9">
        <v>0</v>
      </c>
      <c r="H16" s="9">
        <v>0</v>
      </c>
      <c r="J16" s="9">
        <v>0</v>
      </c>
      <c r="K16" s="9">
        <v>0</v>
      </c>
      <c r="L16" s="9">
        <v>0</v>
      </c>
      <c r="M16" s="9">
        <v>0</v>
      </c>
      <c r="O16" s="9">
        <v>0</v>
      </c>
      <c r="P16" s="9">
        <v>0</v>
      </c>
      <c r="Q16" s="9">
        <v>0</v>
      </c>
      <c r="R16" s="9">
        <v>0</v>
      </c>
      <c r="T16" s="9">
        <v>0</v>
      </c>
      <c r="U16" s="9">
        <v>0</v>
      </c>
      <c r="V16" s="9">
        <v>0</v>
      </c>
      <c r="W16" s="9">
        <v>0</v>
      </c>
    </row>
    <row r="17" spans="1:23" ht="15.75">
      <c r="A17" t="s">
        <v>38</v>
      </c>
      <c r="B17" t="s">
        <v>39</v>
      </c>
      <c r="C17" t="s">
        <v>40</v>
      </c>
      <c r="E17" s="9">
        <v>0</v>
      </c>
      <c r="F17" s="9">
        <v>0</v>
      </c>
      <c r="G17" s="9">
        <v>0</v>
      </c>
      <c r="H17" s="9">
        <v>0</v>
      </c>
      <c r="J17" s="9">
        <v>0</v>
      </c>
      <c r="K17" s="9">
        <v>0</v>
      </c>
      <c r="L17" s="9">
        <v>0</v>
      </c>
      <c r="M17" s="9">
        <v>0</v>
      </c>
      <c r="O17" s="9">
        <v>0</v>
      </c>
      <c r="P17" s="9">
        <v>0</v>
      </c>
      <c r="Q17" s="9">
        <v>0</v>
      </c>
      <c r="R17" s="9">
        <v>0</v>
      </c>
      <c r="T17" s="9">
        <v>0</v>
      </c>
      <c r="U17" s="9">
        <v>0</v>
      </c>
      <c r="V17" s="9">
        <v>0</v>
      </c>
      <c r="W17" s="9">
        <v>0</v>
      </c>
    </row>
    <row r="18" spans="1:23" ht="15.75">
      <c r="A18" t="s">
        <v>42</v>
      </c>
      <c r="B18" t="s">
        <v>43</v>
      </c>
      <c r="C18" t="s">
        <v>40</v>
      </c>
      <c r="E18" s="9">
        <v>0</v>
      </c>
      <c r="F18" s="9">
        <v>0</v>
      </c>
      <c r="G18" s="9">
        <v>0</v>
      </c>
      <c r="H18" s="9">
        <v>0</v>
      </c>
      <c r="J18" s="9">
        <v>0</v>
      </c>
      <c r="K18" s="9">
        <v>0</v>
      </c>
      <c r="L18" s="9">
        <v>0</v>
      </c>
      <c r="M18" s="9">
        <v>0</v>
      </c>
      <c r="O18" s="9">
        <v>0</v>
      </c>
      <c r="P18" s="9">
        <v>0</v>
      </c>
      <c r="Q18" s="9">
        <v>0</v>
      </c>
      <c r="R18" s="9">
        <v>0</v>
      </c>
      <c r="T18" s="9">
        <v>0</v>
      </c>
      <c r="U18" s="9">
        <v>0</v>
      </c>
      <c r="V18" s="9">
        <v>0</v>
      </c>
      <c r="W18" s="9">
        <v>0</v>
      </c>
    </row>
    <row r="19" spans="1:23" ht="15.75">
      <c r="A19" t="s">
        <v>44</v>
      </c>
      <c r="B19" t="s">
        <v>228</v>
      </c>
      <c r="C19" t="s">
        <v>45</v>
      </c>
      <c r="E19" s="1">
        <v>2975</v>
      </c>
      <c r="F19" s="1">
        <v>4075</v>
      </c>
      <c r="G19" s="1">
        <v>4100</v>
      </c>
      <c r="H19" s="1">
        <v>3550</v>
      </c>
      <c r="J19" s="1">
        <v>2941.7</v>
      </c>
      <c r="K19" s="1">
        <v>3273</v>
      </c>
      <c r="L19" s="1">
        <v>2850</v>
      </c>
      <c r="M19" s="1">
        <v>4075</v>
      </c>
      <c r="O19" s="1">
        <v>2372</v>
      </c>
      <c r="P19" s="1">
        <v>2393</v>
      </c>
      <c r="Q19" s="1">
        <v>3208.3333333333335</v>
      </c>
      <c r="R19" s="1">
        <v>3091.666666666667</v>
      </c>
      <c r="T19" s="1">
        <v>2814</v>
      </c>
      <c r="U19" s="9">
        <v>0</v>
      </c>
      <c r="V19" s="9">
        <v>0</v>
      </c>
      <c r="W19" s="9">
        <v>0</v>
      </c>
    </row>
    <row r="20" spans="1:23" ht="15.75">
      <c r="A20" t="s">
        <v>46</v>
      </c>
      <c r="B20" t="s">
        <v>47</v>
      </c>
      <c r="C20" t="s">
        <v>45</v>
      </c>
      <c r="E20" s="9">
        <v>0</v>
      </c>
      <c r="F20" s="9">
        <v>0</v>
      </c>
      <c r="G20" s="9">
        <v>0</v>
      </c>
      <c r="H20" s="9">
        <v>0</v>
      </c>
      <c r="J20" s="9">
        <v>0</v>
      </c>
      <c r="K20" s="9">
        <v>0</v>
      </c>
      <c r="L20" s="9">
        <v>0</v>
      </c>
      <c r="M20" s="9">
        <v>0</v>
      </c>
      <c r="O20" s="9">
        <v>0</v>
      </c>
      <c r="P20" s="9">
        <v>0</v>
      </c>
      <c r="Q20" s="9">
        <v>0</v>
      </c>
      <c r="R20" s="9">
        <v>0</v>
      </c>
      <c r="T20" s="9">
        <v>0</v>
      </c>
      <c r="U20" s="9">
        <v>0</v>
      </c>
      <c r="V20" s="9">
        <v>0</v>
      </c>
      <c r="W20" s="9">
        <v>0</v>
      </c>
    </row>
    <row r="21" spans="1:23" ht="15.75">
      <c r="A21" t="s">
        <v>48</v>
      </c>
      <c r="B21" t="s">
        <v>49</v>
      </c>
      <c r="C21" t="s">
        <v>45</v>
      </c>
      <c r="E21" s="9">
        <v>0</v>
      </c>
      <c r="F21" s="9">
        <v>0</v>
      </c>
      <c r="G21" s="9">
        <v>0</v>
      </c>
      <c r="H21" s="9">
        <v>0</v>
      </c>
      <c r="J21" s="9">
        <v>0</v>
      </c>
      <c r="K21" s="9">
        <v>0</v>
      </c>
      <c r="L21" s="9">
        <v>0</v>
      </c>
      <c r="M21" s="9">
        <v>0</v>
      </c>
      <c r="O21" s="9">
        <v>0</v>
      </c>
      <c r="P21" s="9">
        <v>0</v>
      </c>
      <c r="Q21" s="9">
        <v>0</v>
      </c>
      <c r="R21" s="9">
        <v>0</v>
      </c>
      <c r="T21" s="9">
        <v>0</v>
      </c>
      <c r="U21" s="9">
        <v>0</v>
      </c>
      <c r="V21" s="9">
        <v>0</v>
      </c>
      <c r="W21" s="9">
        <v>0</v>
      </c>
    </row>
    <row r="22" spans="1:23" ht="15.75">
      <c r="A22" t="s">
        <v>50</v>
      </c>
      <c r="B22" t="s">
        <v>51</v>
      </c>
      <c r="C22" t="s">
        <v>45</v>
      </c>
      <c r="E22" s="1">
        <v>2160</v>
      </c>
      <c r="F22" s="1">
        <v>2648.7000000000003</v>
      </c>
      <c r="G22" s="1">
        <v>2738.7000000000003</v>
      </c>
      <c r="H22" s="1">
        <v>2744.1</v>
      </c>
      <c r="J22" s="1">
        <v>2093.4</v>
      </c>
      <c r="K22" s="1">
        <v>1213.2</v>
      </c>
      <c r="L22" s="1">
        <v>1157.4000000000001</v>
      </c>
      <c r="M22" s="2">
        <v>1128.6000000000001</v>
      </c>
      <c r="O22" s="2">
        <v>1224.9000000000001</v>
      </c>
      <c r="P22" s="2">
        <v>1461.6000000000001</v>
      </c>
      <c r="Q22" s="1">
        <v>1936.8</v>
      </c>
      <c r="R22" s="4">
        <v>2000.0520000000001</v>
      </c>
      <c r="T22" s="1">
        <v>2326.5</v>
      </c>
      <c r="U22" s="9">
        <v>0</v>
      </c>
      <c r="V22" s="9">
        <v>0</v>
      </c>
      <c r="W22" s="9">
        <v>0</v>
      </c>
    </row>
    <row r="23" spans="1:23" ht="15.75">
      <c r="A23" t="s">
        <v>52</v>
      </c>
      <c r="B23" t="s">
        <v>53</v>
      </c>
      <c r="C23" t="s">
        <v>45</v>
      </c>
      <c r="E23" s="1">
        <v>1354.2</v>
      </c>
      <c r="F23" s="1">
        <v>1342</v>
      </c>
      <c r="G23" s="1">
        <v>1415.2</v>
      </c>
      <c r="H23" s="1">
        <v>1476.2</v>
      </c>
      <c r="J23" s="1">
        <v>1378</v>
      </c>
      <c r="K23" s="1">
        <v>1390</v>
      </c>
      <c r="L23" s="1">
        <v>1460</v>
      </c>
      <c r="M23" s="1">
        <v>1475</v>
      </c>
      <c r="O23" s="1">
        <v>1508</v>
      </c>
      <c r="P23" s="1">
        <v>1415</v>
      </c>
      <c r="Q23" s="1">
        <v>1501</v>
      </c>
      <c r="R23" s="5">
        <v>1543</v>
      </c>
      <c r="T23" s="1">
        <v>1430</v>
      </c>
      <c r="U23" s="9">
        <v>0</v>
      </c>
      <c r="V23" s="9">
        <v>0</v>
      </c>
      <c r="W23" s="9">
        <v>0</v>
      </c>
    </row>
    <row r="24" spans="1:23" ht="15.75">
      <c r="A24" t="s">
        <v>54</v>
      </c>
      <c r="B24" t="s">
        <v>55</v>
      </c>
      <c r="C24" t="s">
        <v>45</v>
      </c>
      <c r="E24" s="9">
        <v>0</v>
      </c>
      <c r="F24" s="9">
        <v>0</v>
      </c>
      <c r="G24" s="9">
        <v>0</v>
      </c>
      <c r="H24" s="9">
        <v>0</v>
      </c>
      <c r="J24" s="9">
        <v>0</v>
      </c>
      <c r="K24" s="9">
        <v>0</v>
      </c>
      <c r="L24" s="9">
        <v>0</v>
      </c>
      <c r="M24" s="9">
        <v>0</v>
      </c>
      <c r="O24" s="9">
        <v>0</v>
      </c>
      <c r="P24" s="9">
        <v>0</v>
      </c>
      <c r="Q24" s="9">
        <v>0</v>
      </c>
      <c r="R24" s="9">
        <v>0</v>
      </c>
      <c r="T24" s="9">
        <v>0</v>
      </c>
      <c r="U24" s="9">
        <v>0</v>
      </c>
      <c r="V24" s="9">
        <v>0</v>
      </c>
      <c r="W24" s="9">
        <v>0</v>
      </c>
    </row>
    <row r="25" spans="1:23" ht="15.75">
      <c r="A25" t="s">
        <v>56</v>
      </c>
      <c r="B25" t="s">
        <v>57</v>
      </c>
      <c r="C25" t="s">
        <v>45</v>
      </c>
      <c r="E25" s="9">
        <v>0</v>
      </c>
      <c r="F25" s="9">
        <v>0</v>
      </c>
      <c r="G25" s="9">
        <v>0</v>
      </c>
      <c r="H25" s="9">
        <v>0</v>
      </c>
      <c r="J25" s="9">
        <v>0</v>
      </c>
      <c r="K25" s="9">
        <v>0</v>
      </c>
      <c r="L25" s="9">
        <v>0</v>
      </c>
      <c r="M25" s="9">
        <v>0</v>
      </c>
      <c r="O25" s="3">
        <v>80</v>
      </c>
      <c r="P25" s="3">
        <v>80</v>
      </c>
      <c r="Q25" s="3">
        <v>80</v>
      </c>
      <c r="R25" s="3">
        <v>80</v>
      </c>
      <c r="T25" s="3">
        <v>80</v>
      </c>
      <c r="U25" s="9">
        <v>0</v>
      </c>
      <c r="V25" s="9">
        <v>0</v>
      </c>
      <c r="W25" s="9">
        <v>0</v>
      </c>
    </row>
    <row r="26" spans="1:23" ht="15.75">
      <c r="A26" t="s">
        <v>58</v>
      </c>
      <c r="B26" t="s">
        <v>59</v>
      </c>
      <c r="C26" t="s">
        <v>45</v>
      </c>
      <c r="E26" s="9">
        <v>0</v>
      </c>
      <c r="F26" s="9">
        <v>0</v>
      </c>
      <c r="G26" s="9">
        <v>0</v>
      </c>
      <c r="H26" s="9">
        <v>0</v>
      </c>
      <c r="J26" s="9">
        <v>0</v>
      </c>
      <c r="K26" s="9">
        <v>0</v>
      </c>
      <c r="L26" s="9">
        <v>0</v>
      </c>
      <c r="M26" s="9">
        <v>0</v>
      </c>
      <c r="O26" s="9">
        <v>0</v>
      </c>
      <c r="P26" s="9">
        <v>0</v>
      </c>
      <c r="Q26" s="9">
        <v>0</v>
      </c>
      <c r="R26" s="9">
        <v>0</v>
      </c>
      <c r="T26" s="9">
        <v>0</v>
      </c>
      <c r="U26" s="9">
        <v>0</v>
      </c>
      <c r="V26" s="9">
        <v>0</v>
      </c>
      <c r="W26" s="9">
        <v>0</v>
      </c>
    </row>
    <row r="27" spans="1:23" ht="15.75">
      <c r="A27" t="s">
        <v>60</v>
      </c>
      <c r="B27" t="s">
        <v>61</v>
      </c>
      <c r="C27" t="s">
        <v>62</v>
      </c>
      <c r="E27" s="9">
        <v>0</v>
      </c>
      <c r="F27" s="9">
        <v>0</v>
      </c>
      <c r="G27" s="9">
        <v>0</v>
      </c>
      <c r="H27" s="9">
        <v>0</v>
      </c>
      <c r="J27" s="9">
        <v>0</v>
      </c>
      <c r="K27" s="9">
        <v>0</v>
      </c>
      <c r="L27" s="9">
        <v>0</v>
      </c>
      <c r="M27" s="9">
        <v>0</v>
      </c>
      <c r="O27" s="9">
        <v>0</v>
      </c>
      <c r="P27" s="9">
        <v>0</v>
      </c>
      <c r="Q27" s="9">
        <v>0</v>
      </c>
      <c r="R27" s="9">
        <v>0</v>
      </c>
      <c r="T27" s="9">
        <v>0</v>
      </c>
      <c r="U27" s="9">
        <v>0</v>
      </c>
      <c r="V27" s="9">
        <v>0</v>
      </c>
      <c r="W27" s="9">
        <v>0</v>
      </c>
    </row>
    <row r="28" spans="1:23" ht="15.75">
      <c r="A28" t="s">
        <v>63</v>
      </c>
      <c r="B28" t="s">
        <v>64</v>
      </c>
      <c r="C28" t="s">
        <v>65</v>
      </c>
      <c r="E28" s="9">
        <v>0</v>
      </c>
      <c r="F28" s="9">
        <v>0</v>
      </c>
      <c r="G28" s="9">
        <v>0</v>
      </c>
      <c r="H28" s="9">
        <v>0</v>
      </c>
      <c r="J28" s="9">
        <v>0</v>
      </c>
      <c r="K28" s="9">
        <v>0</v>
      </c>
      <c r="L28" s="9">
        <v>0</v>
      </c>
      <c r="M28" s="9">
        <v>0</v>
      </c>
      <c r="O28" s="9">
        <v>0</v>
      </c>
      <c r="P28" s="9">
        <v>0</v>
      </c>
      <c r="Q28" s="9">
        <v>0</v>
      </c>
      <c r="R28" s="9">
        <v>0</v>
      </c>
      <c r="T28" s="9">
        <v>0</v>
      </c>
      <c r="U28" s="9">
        <v>0</v>
      </c>
      <c r="V28" s="9">
        <v>0</v>
      </c>
      <c r="W28" s="9">
        <v>0</v>
      </c>
    </row>
    <row r="29" spans="1:23" ht="15.75">
      <c r="A29" t="s">
        <v>67</v>
      </c>
      <c r="B29" t="s">
        <v>68</v>
      </c>
      <c r="C29" t="s">
        <v>69</v>
      </c>
      <c r="E29" s="9">
        <v>0</v>
      </c>
      <c r="F29" s="9">
        <v>0</v>
      </c>
      <c r="G29" s="9">
        <v>0</v>
      </c>
      <c r="H29" s="9">
        <v>0</v>
      </c>
      <c r="J29" s="9">
        <v>0</v>
      </c>
      <c r="K29" s="9">
        <v>0</v>
      </c>
      <c r="L29" s="9">
        <v>0</v>
      </c>
      <c r="M29" s="9">
        <v>0</v>
      </c>
      <c r="O29" s="1">
        <v>282</v>
      </c>
      <c r="P29" s="3">
        <v>299.17808219178079</v>
      </c>
      <c r="Q29" s="3">
        <v>302.46575342465752</v>
      </c>
      <c r="R29" s="3">
        <v>302.46575342465752</v>
      </c>
      <c r="T29" s="3">
        <v>300</v>
      </c>
      <c r="U29" s="9">
        <v>0</v>
      </c>
      <c r="V29" s="9">
        <v>0</v>
      </c>
      <c r="W29" s="9">
        <v>0</v>
      </c>
    </row>
    <row r="30" spans="1:23" ht="15.75">
      <c r="A30" t="s">
        <v>70</v>
      </c>
      <c r="B30" t="s">
        <v>71</v>
      </c>
      <c r="C30" t="s">
        <v>69</v>
      </c>
      <c r="E30" s="9">
        <v>0</v>
      </c>
      <c r="F30" s="9">
        <v>0</v>
      </c>
      <c r="G30" s="9">
        <v>0</v>
      </c>
      <c r="H30" s="9">
        <v>0</v>
      </c>
      <c r="J30" s="9">
        <v>0</v>
      </c>
      <c r="K30" s="9">
        <v>0</v>
      </c>
      <c r="L30" s="9">
        <v>0</v>
      </c>
      <c r="M30" s="9">
        <v>0</v>
      </c>
      <c r="O30" s="9">
        <v>0</v>
      </c>
      <c r="P30" s="9">
        <v>0</v>
      </c>
      <c r="Q30" s="9">
        <v>0</v>
      </c>
      <c r="R30" s="9">
        <v>0</v>
      </c>
      <c r="T30" s="9">
        <v>0</v>
      </c>
      <c r="U30" s="9">
        <v>0</v>
      </c>
      <c r="V30" s="9">
        <v>0</v>
      </c>
      <c r="W30" s="9">
        <v>0</v>
      </c>
    </row>
    <row r="31" spans="1:23" ht="15.75">
      <c r="A31" t="s">
        <v>72</v>
      </c>
      <c r="B31" t="s">
        <v>73</v>
      </c>
      <c r="C31" t="s">
        <v>74</v>
      </c>
      <c r="E31" s="9">
        <v>0</v>
      </c>
      <c r="F31" s="9">
        <v>0</v>
      </c>
      <c r="G31" s="9">
        <v>0</v>
      </c>
      <c r="H31" s="9">
        <v>0</v>
      </c>
      <c r="J31" s="9">
        <v>0</v>
      </c>
      <c r="K31" s="9">
        <v>0</v>
      </c>
      <c r="L31" s="9">
        <v>0</v>
      </c>
      <c r="M31" s="9">
        <v>0</v>
      </c>
      <c r="O31" s="9">
        <v>0</v>
      </c>
      <c r="P31" s="9">
        <v>0</v>
      </c>
      <c r="Q31" s="9">
        <v>0</v>
      </c>
      <c r="R31" s="9">
        <v>0</v>
      </c>
      <c r="T31" s="1"/>
      <c r="U31" s="9">
        <v>0</v>
      </c>
      <c r="V31" s="9">
        <v>0</v>
      </c>
      <c r="W31" s="9">
        <v>0</v>
      </c>
    </row>
    <row r="32" spans="1:23" ht="15.75">
      <c r="A32" t="s">
        <v>75</v>
      </c>
      <c r="B32" t="s">
        <v>76</v>
      </c>
      <c r="C32" t="s">
        <v>74</v>
      </c>
      <c r="E32" s="9">
        <v>0</v>
      </c>
      <c r="F32" s="9">
        <v>0</v>
      </c>
      <c r="G32" s="9">
        <v>0</v>
      </c>
      <c r="H32" s="9">
        <v>0</v>
      </c>
      <c r="J32" s="9">
        <v>0</v>
      </c>
      <c r="K32" s="9">
        <v>0</v>
      </c>
      <c r="L32" s="9">
        <v>0</v>
      </c>
      <c r="M32" s="9">
        <v>0</v>
      </c>
      <c r="O32" s="9">
        <v>0</v>
      </c>
      <c r="P32" s="9">
        <v>0</v>
      </c>
      <c r="Q32" s="9">
        <v>0</v>
      </c>
      <c r="R32" s="9">
        <v>0</v>
      </c>
      <c r="T32" s="1"/>
      <c r="U32" s="9">
        <v>0</v>
      </c>
      <c r="V32" s="9">
        <v>0</v>
      </c>
      <c r="W32" s="9">
        <v>0</v>
      </c>
    </row>
    <row r="33" spans="1:23" ht="15.75">
      <c r="A33" t="s">
        <v>77</v>
      </c>
      <c r="B33" t="s">
        <v>78</v>
      </c>
      <c r="C33" t="s">
        <v>79</v>
      </c>
      <c r="E33" s="1">
        <v>3700</v>
      </c>
      <c r="F33" s="1">
        <v>3980</v>
      </c>
      <c r="G33" s="1">
        <v>3711.1111111111113</v>
      </c>
      <c r="H33" s="1">
        <v>4020</v>
      </c>
      <c r="J33" s="1">
        <v>3880</v>
      </c>
      <c r="K33" s="1">
        <v>3683</v>
      </c>
      <c r="L33" s="1">
        <v>2802.2222222222222</v>
      </c>
      <c r="M33" s="1">
        <v>2675</v>
      </c>
      <c r="O33" s="1">
        <v>3463</v>
      </c>
      <c r="P33" s="1">
        <v>3623</v>
      </c>
      <c r="Q33" s="1">
        <v>3886.6666666666665</v>
      </c>
      <c r="R33" s="1">
        <v>2726.6666666666665</v>
      </c>
      <c r="T33" s="1">
        <v>4175</v>
      </c>
      <c r="U33" s="9">
        <v>0</v>
      </c>
      <c r="V33" s="9">
        <v>0</v>
      </c>
      <c r="W33" s="9">
        <v>0</v>
      </c>
    </row>
    <row r="34" spans="1:23" ht="15.75">
      <c r="A34" t="s">
        <v>80</v>
      </c>
      <c r="B34" t="s">
        <v>232</v>
      </c>
      <c r="C34" t="s">
        <v>79</v>
      </c>
      <c r="E34" s="9">
        <v>0</v>
      </c>
      <c r="F34" s="9">
        <v>0</v>
      </c>
      <c r="G34" s="9">
        <v>0</v>
      </c>
      <c r="H34" s="9">
        <v>0</v>
      </c>
      <c r="J34" s="9">
        <v>0</v>
      </c>
      <c r="K34" s="1">
        <v>87</v>
      </c>
      <c r="L34" s="2">
        <v>277</v>
      </c>
      <c r="M34" s="2">
        <v>476</v>
      </c>
      <c r="O34" s="2">
        <v>658.80000000000007</v>
      </c>
      <c r="P34" s="2">
        <v>610.20000000000005</v>
      </c>
      <c r="Q34" s="2">
        <v>558.9</v>
      </c>
      <c r="R34" s="2">
        <v>674.1</v>
      </c>
      <c r="T34" s="2">
        <v>717.30000000000007</v>
      </c>
      <c r="U34" s="9">
        <v>0</v>
      </c>
      <c r="V34" s="9">
        <v>0</v>
      </c>
      <c r="W34" s="9">
        <v>0</v>
      </c>
    </row>
    <row r="35" spans="1:23" ht="15.75">
      <c r="A35" t="s">
        <v>81</v>
      </c>
      <c r="B35" t="s">
        <v>82</v>
      </c>
      <c r="C35" t="s">
        <v>79</v>
      </c>
      <c r="E35" s="9">
        <v>0</v>
      </c>
      <c r="F35" s="9">
        <v>0</v>
      </c>
      <c r="G35" s="9">
        <v>0</v>
      </c>
      <c r="H35" s="9">
        <v>0</v>
      </c>
      <c r="J35" s="9">
        <v>0</v>
      </c>
      <c r="K35" s="9">
        <v>0</v>
      </c>
      <c r="L35" s="9">
        <v>0</v>
      </c>
      <c r="M35" s="9">
        <v>0</v>
      </c>
      <c r="O35" s="9">
        <v>0</v>
      </c>
      <c r="P35" s="9">
        <v>0</v>
      </c>
      <c r="Q35" s="3">
        <v>300</v>
      </c>
      <c r="R35" s="3">
        <v>650</v>
      </c>
      <c r="T35" s="3">
        <v>800</v>
      </c>
      <c r="U35" s="9">
        <v>0</v>
      </c>
      <c r="V35" s="9">
        <v>0</v>
      </c>
      <c r="W35" s="9">
        <v>0</v>
      </c>
    </row>
    <row r="36" spans="1:23" ht="15.75">
      <c r="A36" t="s">
        <v>83</v>
      </c>
      <c r="B36" t="s">
        <v>233</v>
      </c>
      <c r="C36" t="s">
        <v>79</v>
      </c>
      <c r="E36" s="1">
        <v>771</v>
      </c>
      <c r="F36" s="1">
        <v>806</v>
      </c>
      <c r="G36" s="1">
        <v>717</v>
      </c>
      <c r="H36" s="1">
        <v>829</v>
      </c>
      <c r="J36" s="1">
        <v>850</v>
      </c>
      <c r="K36" s="1">
        <v>881</v>
      </c>
      <c r="L36" s="2">
        <v>812</v>
      </c>
      <c r="M36" s="2">
        <v>909</v>
      </c>
      <c r="O36" s="2">
        <v>813.6</v>
      </c>
      <c r="P36" s="2">
        <v>796.5</v>
      </c>
      <c r="Q36" s="2">
        <v>467.1</v>
      </c>
      <c r="R36" s="2">
        <v>731.7</v>
      </c>
      <c r="T36" s="2">
        <v>632.70000000000005</v>
      </c>
      <c r="U36" s="9">
        <v>0</v>
      </c>
      <c r="V36" s="9">
        <v>0</v>
      </c>
      <c r="W36" s="9">
        <v>0</v>
      </c>
    </row>
    <row r="37" spans="1:23" ht="15.75">
      <c r="A37" t="s">
        <v>84</v>
      </c>
      <c r="B37" t="s">
        <v>234</v>
      </c>
      <c r="C37" t="s">
        <v>79</v>
      </c>
      <c r="E37" s="9">
        <v>0</v>
      </c>
      <c r="F37" s="9">
        <v>0</v>
      </c>
      <c r="G37" s="9">
        <v>0</v>
      </c>
      <c r="H37" s="9">
        <v>0</v>
      </c>
      <c r="J37" s="9">
        <v>0</v>
      </c>
      <c r="K37" s="1">
        <v>176</v>
      </c>
      <c r="L37" s="1">
        <v>299</v>
      </c>
      <c r="M37" s="1">
        <v>245</v>
      </c>
      <c r="O37" s="2">
        <v>233.1</v>
      </c>
      <c r="P37" s="2">
        <v>255.6</v>
      </c>
      <c r="Q37" s="2">
        <v>339.3</v>
      </c>
      <c r="R37" s="2">
        <v>344.7</v>
      </c>
      <c r="T37" s="2">
        <v>294.3</v>
      </c>
      <c r="U37" s="9">
        <v>0</v>
      </c>
      <c r="V37" s="9">
        <v>0</v>
      </c>
      <c r="W37" s="9">
        <v>0</v>
      </c>
    </row>
    <row r="38" spans="1:23" ht="15.75">
      <c r="A38" t="s">
        <v>85</v>
      </c>
      <c r="B38" t="s">
        <v>86</v>
      </c>
      <c r="C38" t="s">
        <v>79</v>
      </c>
      <c r="E38" s="9">
        <v>0</v>
      </c>
      <c r="F38" s="9">
        <v>0</v>
      </c>
      <c r="G38" s="9">
        <v>0</v>
      </c>
      <c r="H38" s="9">
        <v>0</v>
      </c>
      <c r="J38" s="9">
        <v>0</v>
      </c>
      <c r="K38" s="9">
        <v>0</v>
      </c>
      <c r="L38" s="1">
        <v>500</v>
      </c>
      <c r="M38" s="1">
        <v>947</v>
      </c>
      <c r="O38" s="3">
        <v>935</v>
      </c>
      <c r="P38" s="3">
        <v>1200</v>
      </c>
      <c r="Q38" s="3">
        <v>1000</v>
      </c>
      <c r="R38" s="3">
        <v>750</v>
      </c>
      <c r="T38" s="3">
        <v>1350</v>
      </c>
      <c r="U38" s="9">
        <v>0</v>
      </c>
      <c r="V38" s="9">
        <v>0</v>
      </c>
      <c r="W38" s="9">
        <v>0</v>
      </c>
    </row>
    <row r="39" spans="1:23" ht="15.75">
      <c r="A39" t="s">
        <v>87</v>
      </c>
      <c r="B39" t="s">
        <v>88</v>
      </c>
      <c r="C39" t="s">
        <v>79</v>
      </c>
      <c r="E39" s="9">
        <v>0</v>
      </c>
      <c r="F39" s="9">
        <v>0</v>
      </c>
      <c r="G39" s="9">
        <v>0</v>
      </c>
      <c r="H39" s="9">
        <v>0</v>
      </c>
      <c r="J39" s="1">
        <v>585.36023054755037</v>
      </c>
      <c r="K39" s="1">
        <v>553.42939481268002</v>
      </c>
      <c r="L39" s="1">
        <v>507.20461095100859</v>
      </c>
      <c r="M39" s="1">
        <v>515.08652660637881</v>
      </c>
      <c r="O39" s="6">
        <v>0</v>
      </c>
      <c r="P39" s="6">
        <v>0</v>
      </c>
      <c r="Q39" s="6">
        <v>0</v>
      </c>
      <c r="R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ht="15.75">
      <c r="A40" t="s">
        <v>89</v>
      </c>
      <c r="B40" t="s">
        <v>90</v>
      </c>
      <c r="C40" t="s">
        <v>79</v>
      </c>
      <c r="E40" s="9">
        <v>0</v>
      </c>
      <c r="F40" s="9">
        <v>0</v>
      </c>
      <c r="G40" s="9">
        <v>0</v>
      </c>
      <c r="H40" s="9">
        <v>0</v>
      </c>
      <c r="J40" s="1">
        <v>1463.400576368876</v>
      </c>
      <c r="K40" s="1">
        <v>1383.5734870317001</v>
      </c>
      <c r="L40" s="1">
        <v>1268.0115273775216</v>
      </c>
      <c r="M40" s="1">
        <v>1287.7163165159473</v>
      </c>
      <c r="O40" s="6">
        <v>0</v>
      </c>
      <c r="P40" s="6">
        <v>0</v>
      </c>
      <c r="Q40" s="6">
        <v>0</v>
      </c>
      <c r="R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ht="15.75">
      <c r="A41" t="s">
        <v>91</v>
      </c>
      <c r="B41" t="s">
        <v>92</v>
      </c>
      <c r="C41" t="s">
        <v>79</v>
      </c>
      <c r="E41" s="9">
        <v>0</v>
      </c>
      <c r="F41" s="9">
        <v>0</v>
      </c>
      <c r="G41" s="9">
        <v>0</v>
      </c>
      <c r="H41" s="9">
        <v>0</v>
      </c>
      <c r="J41" s="1">
        <v>2341.4409221902015</v>
      </c>
      <c r="K41" s="1">
        <v>2213.7175792507201</v>
      </c>
      <c r="L41" s="1">
        <v>2028.8184438040344</v>
      </c>
      <c r="M41" s="1">
        <v>2060.3461064255152</v>
      </c>
      <c r="O41" s="6">
        <v>0</v>
      </c>
      <c r="P41" s="6">
        <v>0</v>
      </c>
      <c r="Q41" s="6">
        <v>0</v>
      </c>
      <c r="R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ht="15.75">
      <c r="A42" t="s">
        <v>93</v>
      </c>
      <c r="B42" t="s">
        <v>94</v>
      </c>
      <c r="C42" t="s">
        <v>79</v>
      </c>
      <c r="E42" s="1">
        <v>1007.8131694736843</v>
      </c>
      <c r="F42" s="1">
        <v>1520.6863214736841</v>
      </c>
      <c r="G42" s="1">
        <v>1640.0339905263156</v>
      </c>
      <c r="H42" s="1">
        <v>1421.2089052631577</v>
      </c>
      <c r="J42" s="1">
        <v>1170.7204610951007</v>
      </c>
      <c r="K42" s="1">
        <v>1106.85878962536</v>
      </c>
      <c r="L42" s="1">
        <v>1014.4092219020172</v>
      </c>
      <c r="M42" s="1">
        <v>1030.1730532127576</v>
      </c>
      <c r="O42" s="6">
        <v>0</v>
      </c>
      <c r="P42" s="6">
        <v>0</v>
      </c>
      <c r="Q42" s="6">
        <v>0</v>
      </c>
      <c r="R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ht="15.75">
      <c r="A43" t="s">
        <v>95</v>
      </c>
      <c r="B43" t="s">
        <v>96</v>
      </c>
      <c r="C43" t="s">
        <v>79</v>
      </c>
      <c r="E43" s="9">
        <v>0</v>
      </c>
      <c r="F43" s="9">
        <v>0</v>
      </c>
      <c r="G43" s="9">
        <v>0</v>
      </c>
      <c r="H43" s="9">
        <v>0</v>
      </c>
      <c r="J43" s="1">
        <v>200</v>
      </c>
      <c r="K43" s="9">
        <v>0</v>
      </c>
      <c r="L43" s="9">
        <v>0</v>
      </c>
      <c r="M43" s="9">
        <v>0</v>
      </c>
      <c r="O43" s="6">
        <v>0</v>
      </c>
      <c r="P43" s="6">
        <v>0</v>
      </c>
      <c r="Q43" s="6">
        <v>0</v>
      </c>
      <c r="R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ht="15.75">
      <c r="A44" t="s">
        <v>97</v>
      </c>
      <c r="B44" t="s">
        <v>98</v>
      </c>
      <c r="C44" t="s">
        <v>79</v>
      </c>
      <c r="E44" s="1">
        <v>3065.0471337829158</v>
      </c>
      <c r="F44" s="1">
        <v>4624.840587715209</v>
      </c>
      <c r="G44" s="1">
        <v>4987.810870336617</v>
      </c>
      <c r="H44" s="1">
        <v>4322.3014081652582</v>
      </c>
      <c r="J44" s="1">
        <v>146.34005763688759</v>
      </c>
      <c r="K44" s="1">
        <v>138.35734870317</v>
      </c>
      <c r="L44" s="1">
        <v>126.80115273775215</v>
      </c>
      <c r="M44" s="1">
        <v>128.7716316515947</v>
      </c>
      <c r="O44" s="6">
        <v>0</v>
      </c>
      <c r="P44" s="6">
        <v>0</v>
      </c>
      <c r="Q44" s="6">
        <v>0</v>
      </c>
      <c r="R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ht="15.75">
      <c r="A45" t="s">
        <v>99</v>
      </c>
      <c r="B45" t="s">
        <v>100</v>
      </c>
      <c r="C45" t="s">
        <v>79</v>
      </c>
      <c r="E45" s="1">
        <v>714.25225174340017</v>
      </c>
      <c r="F45" s="1">
        <v>1077.7331178111069</v>
      </c>
      <c r="G45" s="1">
        <v>1162.3165941370669</v>
      </c>
      <c r="H45" s="1">
        <v>1007.2319865715838</v>
      </c>
      <c r="J45" s="1">
        <v>4249</v>
      </c>
      <c r="K45" s="1">
        <v>4206</v>
      </c>
      <c r="L45" s="1">
        <v>3855</v>
      </c>
      <c r="M45" s="1">
        <v>3914.9063655878062</v>
      </c>
      <c r="O45" s="6">
        <v>0</v>
      </c>
      <c r="P45" s="6">
        <v>0</v>
      </c>
      <c r="Q45" s="6">
        <v>0</v>
      </c>
      <c r="R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ht="15.75">
      <c r="A46" t="s">
        <v>101</v>
      </c>
      <c r="B46" t="s">
        <v>102</v>
      </c>
      <c r="C46" t="s">
        <v>79</v>
      </c>
      <c r="E46" s="9">
        <v>0</v>
      </c>
      <c r="F46" s="9">
        <v>0</v>
      </c>
      <c r="G46" s="9">
        <v>0</v>
      </c>
      <c r="H46" s="9">
        <v>0</v>
      </c>
      <c r="J46" s="9">
        <v>0</v>
      </c>
      <c r="K46" s="9">
        <v>0</v>
      </c>
      <c r="L46" s="9">
        <v>0</v>
      </c>
      <c r="M46" s="9">
        <v>0</v>
      </c>
      <c r="O46" s="9">
        <v>0</v>
      </c>
      <c r="P46" s="9">
        <v>0</v>
      </c>
      <c r="Q46" s="9">
        <v>0</v>
      </c>
      <c r="R46" s="9">
        <v>0</v>
      </c>
      <c r="T46" s="9">
        <v>0</v>
      </c>
      <c r="U46" s="9">
        <v>0</v>
      </c>
      <c r="V46" s="9">
        <v>0</v>
      </c>
      <c r="W46" s="9">
        <v>0</v>
      </c>
    </row>
    <row r="47" spans="1:23" ht="15.75">
      <c r="A47" t="s">
        <v>103</v>
      </c>
      <c r="B47" t="s">
        <v>104</v>
      </c>
      <c r="C47" t="s">
        <v>79</v>
      </c>
      <c r="E47" s="9">
        <v>0</v>
      </c>
      <c r="F47" s="9">
        <v>0</v>
      </c>
      <c r="G47" s="9">
        <v>0</v>
      </c>
      <c r="H47" s="9">
        <v>0</v>
      </c>
      <c r="J47" s="9">
        <v>0</v>
      </c>
      <c r="K47" s="9">
        <v>0</v>
      </c>
      <c r="L47" s="9">
        <v>0</v>
      </c>
      <c r="M47" s="9">
        <v>0</v>
      </c>
      <c r="O47" s="9">
        <v>0</v>
      </c>
      <c r="P47" s="9">
        <v>0</v>
      </c>
      <c r="Q47" s="9">
        <v>0</v>
      </c>
      <c r="R47" s="9">
        <v>0</v>
      </c>
      <c r="T47" s="9">
        <v>0</v>
      </c>
      <c r="U47" s="9">
        <v>0</v>
      </c>
      <c r="V47" s="9">
        <v>0</v>
      </c>
      <c r="W47" s="9">
        <v>0</v>
      </c>
    </row>
    <row r="48" spans="1:23" ht="15.75">
      <c r="A48" t="s">
        <v>105</v>
      </c>
      <c r="B48" t="s">
        <v>106</v>
      </c>
      <c r="C48" t="s">
        <v>79</v>
      </c>
      <c r="E48" s="9">
        <v>0</v>
      </c>
      <c r="F48" s="9">
        <v>0</v>
      </c>
      <c r="G48" s="9">
        <v>0</v>
      </c>
      <c r="H48" s="9">
        <v>0</v>
      </c>
      <c r="J48" s="9">
        <v>0</v>
      </c>
      <c r="K48" s="9">
        <v>0</v>
      </c>
      <c r="L48" s="9">
        <v>0</v>
      </c>
      <c r="M48" s="9">
        <v>0</v>
      </c>
      <c r="O48" s="9">
        <v>0</v>
      </c>
      <c r="P48" s="9">
        <v>0</v>
      </c>
      <c r="Q48" s="9">
        <v>0</v>
      </c>
      <c r="R48" s="9">
        <v>0</v>
      </c>
      <c r="T48" s="9">
        <v>0</v>
      </c>
      <c r="U48" s="9">
        <v>0</v>
      </c>
      <c r="V48" s="9">
        <v>0</v>
      </c>
      <c r="W48" s="9">
        <v>0</v>
      </c>
    </row>
    <row r="49" spans="1:23" ht="15.75">
      <c r="A49" t="s">
        <v>107</v>
      </c>
      <c r="B49" t="s">
        <v>108</v>
      </c>
      <c r="C49" t="s">
        <v>79</v>
      </c>
      <c r="E49" s="9">
        <v>0</v>
      </c>
      <c r="F49" s="9">
        <v>0</v>
      </c>
      <c r="G49" s="9">
        <v>0</v>
      </c>
      <c r="H49" s="9">
        <v>0</v>
      </c>
      <c r="J49" s="9">
        <v>0</v>
      </c>
      <c r="K49" s="9">
        <v>0</v>
      </c>
      <c r="L49" s="9">
        <v>0</v>
      </c>
      <c r="M49" s="9">
        <v>0</v>
      </c>
      <c r="O49" s="9">
        <v>0</v>
      </c>
      <c r="P49" s="9">
        <v>0</v>
      </c>
      <c r="Q49" s="9">
        <v>0</v>
      </c>
      <c r="R49" s="9">
        <v>0</v>
      </c>
      <c r="T49" s="9">
        <v>0</v>
      </c>
      <c r="U49" s="9">
        <v>0</v>
      </c>
      <c r="V49" s="9">
        <v>0</v>
      </c>
      <c r="W49" s="9">
        <v>0</v>
      </c>
    </row>
    <row r="50" spans="1:23" ht="15.75">
      <c r="A50" t="s">
        <v>109</v>
      </c>
      <c r="B50" t="s">
        <v>110</v>
      </c>
      <c r="C50" t="s">
        <v>79</v>
      </c>
      <c r="E50" s="9">
        <v>0</v>
      </c>
      <c r="F50" s="9">
        <v>0</v>
      </c>
      <c r="G50" s="9">
        <v>0</v>
      </c>
      <c r="H50" s="9">
        <v>0</v>
      </c>
      <c r="J50" s="9">
        <v>0</v>
      </c>
      <c r="K50" s="9">
        <v>0</v>
      </c>
      <c r="L50" s="9">
        <v>0</v>
      </c>
      <c r="M50" s="9">
        <v>0</v>
      </c>
      <c r="O50" s="9">
        <v>0</v>
      </c>
      <c r="P50" s="9">
        <v>0</v>
      </c>
      <c r="Q50" s="9">
        <v>0</v>
      </c>
      <c r="R50" s="9">
        <v>0</v>
      </c>
      <c r="T50" s="9">
        <v>0</v>
      </c>
      <c r="U50" s="9">
        <v>0</v>
      </c>
      <c r="V50" s="9">
        <v>0</v>
      </c>
      <c r="W50" s="9">
        <v>0</v>
      </c>
    </row>
    <row r="51" spans="1:23" ht="15.75">
      <c r="A51" t="s">
        <v>111</v>
      </c>
      <c r="B51" t="s">
        <v>112</v>
      </c>
      <c r="C51" t="s">
        <v>79</v>
      </c>
      <c r="E51" s="9">
        <v>0</v>
      </c>
      <c r="F51" s="9">
        <v>0</v>
      </c>
      <c r="G51" s="9">
        <v>0</v>
      </c>
      <c r="H51" s="9">
        <v>0</v>
      </c>
      <c r="J51" s="9">
        <v>0</v>
      </c>
      <c r="K51" s="9">
        <v>0</v>
      </c>
      <c r="L51" s="9">
        <v>0</v>
      </c>
      <c r="M51" s="9">
        <v>0</v>
      </c>
      <c r="O51" s="9">
        <v>0</v>
      </c>
      <c r="P51" s="9">
        <v>0</v>
      </c>
      <c r="Q51" s="9">
        <v>0</v>
      </c>
      <c r="R51" s="9">
        <v>0</v>
      </c>
      <c r="T51" s="9">
        <v>0</v>
      </c>
      <c r="U51" s="9">
        <v>0</v>
      </c>
      <c r="V51" s="9">
        <v>0</v>
      </c>
      <c r="W51" s="9">
        <v>0</v>
      </c>
    </row>
    <row r="52" spans="1:23" ht="15.75">
      <c r="A52" t="s">
        <v>113</v>
      </c>
      <c r="B52" t="s">
        <v>114</v>
      </c>
      <c r="C52" t="s">
        <v>115</v>
      </c>
      <c r="E52" s="1">
        <v>283</v>
      </c>
      <c r="F52" s="1">
        <v>276</v>
      </c>
      <c r="G52" s="1">
        <v>161</v>
      </c>
      <c r="H52" s="1">
        <v>324</v>
      </c>
      <c r="J52" s="1">
        <v>355.55555555555554</v>
      </c>
      <c r="K52" s="1">
        <v>373.33333333333331</v>
      </c>
      <c r="L52" s="2">
        <v>436.66666666666663</v>
      </c>
      <c r="M52" s="2">
        <v>383.33333333333331</v>
      </c>
      <c r="O52" s="1">
        <v>227.70000000000002</v>
      </c>
      <c r="P52" s="2">
        <v>358.2</v>
      </c>
      <c r="Q52" s="2">
        <v>322.2</v>
      </c>
      <c r="R52" s="2">
        <v>363.6</v>
      </c>
      <c r="T52" s="2">
        <v>72.900000000000006</v>
      </c>
      <c r="U52" s="9">
        <v>0</v>
      </c>
      <c r="V52" s="9">
        <v>0</v>
      </c>
      <c r="W52" s="9">
        <v>0</v>
      </c>
    </row>
    <row r="53" spans="1:23" ht="15.75">
      <c r="A53" t="s">
        <v>116</v>
      </c>
      <c r="B53" t="s">
        <v>117</v>
      </c>
      <c r="C53" t="s">
        <v>115</v>
      </c>
      <c r="E53" s="9">
        <v>0</v>
      </c>
      <c r="F53" s="9">
        <v>0</v>
      </c>
      <c r="G53" s="9">
        <v>0</v>
      </c>
      <c r="H53" s="9">
        <v>0</v>
      </c>
      <c r="J53" s="9">
        <v>0</v>
      </c>
      <c r="K53" s="9">
        <v>0</v>
      </c>
      <c r="L53" s="9">
        <v>0</v>
      </c>
      <c r="M53" s="9">
        <v>0</v>
      </c>
      <c r="O53" s="9">
        <v>0</v>
      </c>
      <c r="P53" s="9">
        <v>0</v>
      </c>
      <c r="Q53" s="9">
        <v>0</v>
      </c>
      <c r="R53" s="9">
        <v>0</v>
      </c>
      <c r="T53" s="9">
        <v>0</v>
      </c>
      <c r="U53" s="9">
        <v>0</v>
      </c>
      <c r="V53" s="9">
        <v>0</v>
      </c>
      <c r="W53" s="9">
        <v>0</v>
      </c>
    </row>
    <row r="54" spans="1:23" ht="15.75">
      <c r="A54" t="s">
        <v>118</v>
      </c>
      <c r="B54" t="s">
        <v>119</v>
      </c>
      <c r="C54" t="s">
        <v>115</v>
      </c>
      <c r="E54" s="9">
        <v>0</v>
      </c>
      <c r="F54" s="9">
        <v>0</v>
      </c>
      <c r="G54" s="9">
        <v>0</v>
      </c>
      <c r="H54" s="9">
        <v>0</v>
      </c>
      <c r="J54" s="9">
        <v>0</v>
      </c>
      <c r="K54" s="9">
        <v>0</v>
      </c>
      <c r="L54" s="9">
        <v>0</v>
      </c>
      <c r="M54" s="9">
        <v>0</v>
      </c>
      <c r="O54" s="9">
        <v>0</v>
      </c>
      <c r="P54" s="9">
        <v>0</v>
      </c>
      <c r="Q54" s="9">
        <v>0</v>
      </c>
      <c r="R54" s="9">
        <v>0</v>
      </c>
      <c r="T54" s="9">
        <v>0</v>
      </c>
      <c r="U54" s="9">
        <v>0</v>
      </c>
      <c r="V54" s="9">
        <v>0</v>
      </c>
      <c r="W54" s="9">
        <v>0</v>
      </c>
    </row>
    <row r="55" spans="1:23" ht="15.75">
      <c r="A55" t="s">
        <v>120</v>
      </c>
      <c r="B55" t="s">
        <v>121</v>
      </c>
      <c r="C55" t="s">
        <v>122</v>
      </c>
      <c r="E55" s="9">
        <v>0</v>
      </c>
      <c r="F55" s="9">
        <v>0</v>
      </c>
      <c r="G55" s="9">
        <v>0</v>
      </c>
      <c r="H55" s="9">
        <v>0</v>
      </c>
      <c r="J55" s="9">
        <v>0</v>
      </c>
      <c r="K55" s="9">
        <v>0</v>
      </c>
      <c r="L55" s="9">
        <v>0</v>
      </c>
      <c r="M55" s="9">
        <v>0</v>
      </c>
      <c r="O55" s="9">
        <v>0</v>
      </c>
      <c r="P55" s="9">
        <v>0</v>
      </c>
      <c r="Q55" s="9">
        <v>0</v>
      </c>
      <c r="R55" s="9">
        <v>0</v>
      </c>
      <c r="T55" s="9">
        <v>0</v>
      </c>
      <c r="U55" s="9">
        <v>0</v>
      </c>
      <c r="V55" s="9">
        <v>0</v>
      </c>
      <c r="W55" s="9">
        <v>0</v>
      </c>
    </row>
    <row r="56" spans="1:23" ht="15.75">
      <c r="A56" t="s">
        <v>123</v>
      </c>
      <c r="B56" t="s">
        <v>124</v>
      </c>
      <c r="C56" t="s">
        <v>125</v>
      </c>
      <c r="E56" s="9">
        <v>0</v>
      </c>
      <c r="F56" s="9">
        <v>0</v>
      </c>
      <c r="G56" s="9">
        <v>0</v>
      </c>
      <c r="H56" s="9">
        <v>0</v>
      </c>
      <c r="J56" s="9">
        <v>0</v>
      </c>
      <c r="K56" s="9">
        <v>0</v>
      </c>
      <c r="L56" s="9">
        <v>0</v>
      </c>
      <c r="M56" s="9">
        <v>0</v>
      </c>
      <c r="O56" s="9">
        <v>0</v>
      </c>
      <c r="P56" s="9">
        <v>0</v>
      </c>
      <c r="Q56" s="9">
        <v>0</v>
      </c>
      <c r="R56" s="9">
        <v>0</v>
      </c>
      <c r="T56" s="9">
        <v>0</v>
      </c>
      <c r="U56" s="9">
        <v>0</v>
      </c>
      <c r="V56" s="9">
        <v>0</v>
      </c>
      <c r="W56" s="9">
        <v>0</v>
      </c>
    </row>
    <row r="57" spans="1:23" ht="15.75">
      <c r="A57" t="s">
        <v>126</v>
      </c>
      <c r="B57" t="s">
        <v>127</v>
      </c>
      <c r="C57" t="s">
        <v>125</v>
      </c>
      <c r="E57" s="9">
        <v>0</v>
      </c>
      <c r="F57" s="9">
        <v>0</v>
      </c>
      <c r="G57" s="9">
        <v>0</v>
      </c>
      <c r="H57" s="9">
        <v>0</v>
      </c>
      <c r="J57" s="9">
        <v>0</v>
      </c>
      <c r="K57" s="9">
        <v>0</v>
      </c>
      <c r="L57" s="9">
        <v>0</v>
      </c>
      <c r="M57" s="9">
        <v>0</v>
      </c>
      <c r="O57" s="9">
        <v>0</v>
      </c>
      <c r="P57" s="9">
        <v>0</v>
      </c>
      <c r="Q57" s="9">
        <v>0</v>
      </c>
      <c r="R57" s="9">
        <v>0</v>
      </c>
      <c r="T57" s="9">
        <v>0</v>
      </c>
      <c r="U57" s="9">
        <v>0</v>
      </c>
      <c r="V57" s="9">
        <v>0</v>
      </c>
      <c r="W57" s="9">
        <v>0</v>
      </c>
    </row>
    <row r="58" spans="1:23" ht="15.75">
      <c r="A58" t="s">
        <v>128</v>
      </c>
      <c r="B58" t="s">
        <v>235</v>
      </c>
      <c r="C58" t="s">
        <v>125</v>
      </c>
      <c r="E58" s="9">
        <v>0</v>
      </c>
      <c r="F58" s="9">
        <v>0</v>
      </c>
      <c r="G58" s="9">
        <v>0</v>
      </c>
      <c r="H58" s="9">
        <v>0</v>
      </c>
      <c r="J58" s="9">
        <v>0</v>
      </c>
      <c r="K58" s="9">
        <v>0</v>
      </c>
      <c r="L58" s="9">
        <v>0</v>
      </c>
      <c r="M58" s="9">
        <v>0</v>
      </c>
      <c r="O58" s="3">
        <v>461</v>
      </c>
      <c r="P58" s="3">
        <v>393</v>
      </c>
      <c r="Q58" s="3">
        <v>386</v>
      </c>
      <c r="R58" s="3">
        <v>276</v>
      </c>
      <c r="T58" s="9">
        <v>0</v>
      </c>
      <c r="U58" s="9">
        <v>0</v>
      </c>
      <c r="V58" s="9">
        <v>0</v>
      </c>
      <c r="W58" s="9">
        <v>0</v>
      </c>
    </row>
    <row r="59" spans="1:23" ht="15.75">
      <c r="A59" t="s">
        <v>129</v>
      </c>
      <c r="B59" t="s">
        <v>130</v>
      </c>
      <c r="C59" t="s">
        <v>125</v>
      </c>
      <c r="E59" s="9">
        <v>0</v>
      </c>
      <c r="F59" s="9">
        <v>0</v>
      </c>
      <c r="G59" s="9">
        <v>0</v>
      </c>
      <c r="H59" s="9">
        <v>0</v>
      </c>
      <c r="J59" s="9">
        <v>0</v>
      </c>
      <c r="K59" s="9">
        <v>0</v>
      </c>
      <c r="L59" s="9">
        <v>0</v>
      </c>
      <c r="M59" s="9">
        <v>0</v>
      </c>
      <c r="O59" s="9">
        <v>0</v>
      </c>
      <c r="P59" s="9">
        <v>0</v>
      </c>
      <c r="Q59" s="9">
        <v>0</v>
      </c>
      <c r="R59" s="9">
        <v>0</v>
      </c>
      <c r="T59" s="9">
        <v>0</v>
      </c>
      <c r="U59" s="9">
        <v>0</v>
      </c>
      <c r="V59" s="9">
        <v>0</v>
      </c>
      <c r="W59" s="9">
        <v>0</v>
      </c>
    </row>
    <row r="60" spans="1:23" ht="15.75">
      <c r="A60" t="s">
        <v>131</v>
      </c>
      <c r="B60" t="s">
        <v>132</v>
      </c>
      <c r="C60" t="s">
        <v>125</v>
      </c>
      <c r="E60" s="9">
        <v>0</v>
      </c>
      <c r="F60" s="9">
        <v>0</v>
      </c>
      <c r="G60" s="9">
        <v>0</v>
      </c>
      <c r="H60" s="9">
        <v>0</v>
      </c>
      <c r="J60" s="9">
        <v>0</v>
      </c>
      <c r="K60" s="9">
        <v>0</v>
      </c>
      <c r="L60" s="9">
        <v>0</v>
      </c>
      <c r="M60" s="9">
        <v>0</v>
      </c>
      <c r="O60" s="9">
        <v>0</v>
      </c>
      <c r="P60" s="9">
        <v>0</v>
      </c>
      <c r="Q60" s="9">
        <v>0</v>
      </c>
      <c r="R60" s="9">
        <v>0</v>
      </c>
      <c r="T60" s="9">
        <v>0</v>
      </c>
      <c r="U60" s="9">
        <v>0</v>
      </c>
      <c r="V60" s="9">
        <v>0</v>
      </c>
      <c r="W60" s="9">
        <v>0</v>
      </c>
    </row>
    <row r="61" spans="1:23" ht="15.75">
      <c r="A61" t="s">
        <v>133</v>
      </c>
      <c r="B61" t="s">
        <v>134</v>
      </c>
      <c r="C61" t="s">
        <v>125</v>
      </c>
      <c r="E61" s="9">
        <v>0</v>
      </c>
      <c r="F61" s="9">
        <v>0</v>
      </c>
      <c r="G61" s="9">
        <v>0</v>
      </c>
      <c r="H61" s="9">
        <v>0</v>
      </c>
      <c r="J61" s="9">
        <v>0</v>
      </c>
      <c r="K61" s="9">
        <v>0</v>
      </c>
      <c r="L61" s="9">
        <v>0</v>
      </c>
      <c r="M61" s="9">
        <v>0</v>
      </c>
      <c r="O61" s="9">
        <v>0</v>
      </c>
      <c r="P61" s="9">
        <v>0</v>
      </c>
      <c r="Q61" s="9">
        <v>0</v>
      </c>
      <c r="R61" s="9">
        <v>0</v>
      </c>
      <c r="T61" s="9">
        <v>0</v>
      </c>
      <c r="U61" s="9">
        <v>0</v>
      </c>
      <c r="V61" s="9">
        <v>0</v>
      </c>
      <c r="W61" s="9">
        <v>0</v>
      </c>
    </row>
    <row r="62" spans="1:23" ht="15.75">
      <c r="A62" t="s">
        <v>135</v>
      </c>
      <c r="B62" t="s">
        <v>136</v>
      </c>
      <c r="C62" t="s">
        <v>125</v>
      </c>
      <c r="E62" s="9">
        <v>0</v>
      </c>
      <c r="F62" s="9">
        <v>0</v>
      </c>
      <c r="G62" s="9">
        <v>0</v>
      </c>
      <c r="H62" s="9">
        <v>0</v>
      </c>
      <c r="J62" s="9">
        <v>0</v>
      </c>
      <c r="K62" s="9">
        <v>0</v>
      </c>
      <c r="L62" s="9">
        <v>0</v>
      </c>
      <c r="M62" s="9">
        <v>0</v>
      </c>
      <c r="O62" s="9">
        <v>0</v>
      </c>
      <c r="P62" s="9">
        <v>0</v>
      </c>
      <c r="Q62" s="9">
        <v>0</v>
      </c>
      <c r="R62" s="9">
        <v>0</v>
      </c>
      <c r="T62" s="9">
        <v>0</v>
      </c>
      <c r="U62" s="9">
        <v>0</v>
      </c>
      <c r="V62" s="9">
        <v>0</v>
      </c>
      <c r="W62" s="9">
        <v>0</v>
      </c>
    </row>
    <row r="63" spans="1:23" ht="15.75">
      <c r="A63" t="s">
        <v>137</v>
      </c>
      <c r="B63" t="s">
        <v>138</v>
      </c>
      <c r="C63" t="s">
        <v>125</v>
      </c>
      <c r="E63" s="9">
        <v>0</v>
      </c>
      <c r="F63" s="9">
        <v>0</v>
      </c>
      <c r="G63" s="9">
        <v>0</v>
      </c>
      <c r="H63" s="9">
        <v>0</v>
      </c>
      <c r="J63" s="9">
        <v>0</v>
      </c>
      <c r="K63" s="9">
        <v>0</v>
      </c>
      <c r="L63" s="9">
        <v>0</v>
      </c>
      <c r="M63" s="9">
        <v>0</v>
      </c>
      <c r="O63" s="9">
        <v>0</v>
      </c>
      <c r="P63" s="9">
        <v>0</v>
      </c>
      <c r="Q63" s="9">
        <v>0</v>
      </c>
      <c r="R63" s="9">
        <v>0</v>
      </c>
      <c r="T63" s="9">
        <v>0</v>
      </c>
      <c r="U63" s="9">
        <v>0</v>
      </c>
      <c r="V63" s="9">
        <v>0</v>
      </c>
      <c r="W63" s="9">
        <v>0</v>
      </c>
    </row>
    <row r="64" spans="1:23" ht="15.75">
      <c r="A64" t="s">
        <v>139</v>
      </c>
      <c r="B64" t="s">
        <v>140</v>
      </c>
      <c r="C64" t="s">
        <v>125</v>
      </c>
      <c r="E64" s="9">
        <v>0</v>
      </c>
      <c r="F64" s="9">
        <v>0</v>
      </c>
      <c r="G64" s="9">
        <v>0</v>
      </c>
      <c r="H64" s="9">
        <v>0</v>
      </c>
      <c r="J64" s="9">
        <v>0</v>
      </c>
      <c r="K64" s="9">
        <v>0</v>
      </c>
      <c r="L64" s="9">
        <v>0</v>
      </c>
      <c r="M64" s="9">
        <v>0</v>
      </c>
      <c r="O64" s="9">
        <v>0</v>
      </c>
      <c r="P64" s="9">
        <v>0</v>
      </c>
      <c r="Q64" s="9">
        <v>0</v>
      </c>
      <c r="R64" s="9">
        <v>0</v>
      </c>
      <c r="T64" s="9">
        <v>0</v>
      </c>
      <c r="U64" s="9">
        <v>0</v>
      </c>
      <c r="V64" s="9">
        <v>0</v>
      </c>
      <c r="W64" s="9">
        <v>0</v>
      </c>
    </row>
    <row r="65" spans="1:23" ht="15.75">
      <c r="A65" t="s">
        <v>141</v>
      </c>
      <c r="B65" t="s">
        <v>142</v>
      </c>
      <c r="C65" t="s">
        <v>143</v>
      </c>
      <c r="E65" s="9">
        <v>0</v>
      </c>
      <c r="F65" s="9">
        <v>0</v>
      </c>
      <c r="G65" s="9">
        <v>0</v>
      </c>
      <c r="H65" s="9">
        <v>0</v>
      </c>
      <c r="J65" s="9">
        <v>0</v>
      </c>
      <c r="K65" s="9">
        <v>0</v>
      </c>
      <c r="L65" s="9">
        <v>0</v>
      </c>
      <c r="M65" s="9">
        <v>0</v>
      </c>
      <c r="O65" s="9">
        <v>0</v>
      </c>
      <c r="P65" s="9">
        <v>0</v>
      </c>
      <c r="Q65" s="9">
        <v>0</v>
      </c>
      <c r="R65" s="9">
        <v>0</v>
      </c>
      <c r="T65" s="9">
        <v>0</v>
      </c>
      <c r="U65" s="9">
        <v>0</v>
      </c>
      <c r="V65" s="9">
        <v>0</v>
      </c>
      <c r="W65" s="9">
        <v>0</v>
      </c>
    </row>
    <row r="66" spans="1:23" ht="15.75">
      <c r="A66" t="s">
        <v>144</v>
      </c>
      <c r="B66" t="s">
        <v>145</v>
      </c>
      <c r="C66" t="s">
        <v>143</v>
      </c>
      <c r="E66" s="9">
        <v>0</v>
      </c>
      <c r="F66" s="9">
        <v>0</v>
      </c>
      <c r="G66" s="9">
        <v>0</v>
      </c>
      <c r="H66" s="9">
        <v>0</v>
      </c>
      <c r="J66" s="9">
        <v>0</v>
      </c>
      <c r="K66" s="9">
        <v>0</v>
      </c>
      <c r="L66" s="9">
        <v>0</v>
      </c>
      <c r="M66" s="9">
        <v>0</v>
      </c>
      <c r="O66" s="9">
        <v>0</v>
      </c>
      <c r="P66" s="9">
        <v>0</v>
      </c>
      <c r="Q66" s="9">
        <v>0</v>
      </c>
      <c r="R66" s="9">
        <v>0</v>
      </c>
      <c r="T66" s="9">
        <v>0</v>
      </c>
      <c r="U66" s="9">
        <v>0</v>
      </c>
      <c r="V66" s="9">
        <v>0</v>
      </c>
      <c r="W66" s="9">
        <v>0</v>
      </c>
    </row>
    <row r="67" spans="1:23" ht="15.75">
      <c r="A67" t="s">
        <v>146</v>
      </c>
      <c r="B67" t="s">
        <v>147</v>
      </c>
      <c r="C67" t="s">
        <v>143</v>
      </c>
      <c r="E67" s="9">
        <v>0</v>
      </c>
      <c r="F67" s="9">
        <v>0</v>
      </c>
      <c r="G67" s="9">
        <v>0</v>
      </c>
      <c r="H67" s="9">
        <v>0</v>
      </c>
      <c r="J67" s="9">
        <v>0</v>
      </c>
      <c r="K67" s="9">
        <v>0</v>
      </c>
      <c r="L67" s="9">
        <v>0</v>
      </c>
      <c r="M67" s="9">
        <v>0</v>
      </c>
      <c r="O67" s="9">
        <v>0</v>
      </c>
      <c r="P67" s="9">
        <v>0</v>
      </c>
      <c r="Q67" s="9">
        <v>0</v>
      </c>
      <c r="R67" s="9">
        <v>0</v>
      </c>
      <c r="T67" s="9">
        <v>0</v>
      </c>
      <c r="U67" s="9">
        <v>0</v>
      </c>
      <c r="V67" s="9">
        <v>0</v>
      </c>
      <c r="W67" s="9">
        <v>0</v>
      </c>
    </row>
    <row r="68" spans="1:23" ht="15.75">
      <c r="A68" t="s">
        <v>148</v>
      </c>
      <c r="B68" t="s">
        <v>149</v>
      </c>
      <c r="C68" t="s">
        <v>150</v>
      </c>
      <c r="E68" s="1">
        <v>214</v>
      </c>
      <c r="F68" s="1">
        <v>218</v>
      </c>
      <c r="G68" s="1">
        <v>218</v>
      </c>
      <c r="H68" s="1">
        <v>216</v>
      </c>
      <c r="J68" s="1">
        <v>214</v>
      </c>
      <c r="K68" s="1">
        <v>218</v>
      </c>
      <c r="L68" s="1">
        <v>218</v>
      </c>
      <c r="M68" s="3">
        <v>218</v>
      </c>
      <c r="O68" s="9">
        <v>0</v>
      </c>
      <c r="P68" s="9">
        <v>0</v>
      </c>
      <c r="Q68" s="9">
        <v>0</v>
      </c>
      <c r="R68" s="9">
        <v>0</v>
      </c>
      <c r="T68" s="9">
        <v>0</v>
      </c>
      <c r="U68" s="9">
        <v>0</v>
      </c>
      <c r="V68" s="9">
        <v>0</v>
      </c>
      <c r="W68" s="9">
        <v>0</v>
      </c>
    </row>
    <row r="69" spans="1:23" ht="15.75">
      <c r="A69" t="s">
        <v>151</v>
      </c>
      <c r="B69" t="s">
        <v>152</v>
      </c>
      <c r="C69" t="s">
        <v>153</v>
      </c>
      <c r="E69" s="1">
        <v>650</v>
      </c>
      <c r="F69" s="1">
        <v>950</v>
      </c>
      <c r="G69" s="1">
        <v>975</v>
      </c>
      <c r="H69" s="1">
        <v>950</v>
      </c>
      <c r="J69" s="1">
        <v>870</v>
      </c>
      <c r="K69" s="1">
        <v>1000</v>
      </c>
      <c r="L69" s="1">
        <v>913</v>
      </c>
      <c r="M69" s="1">
        <v>958</v>
      </c>
      <c r="O69" s="1">
        <v>786.476</v>
      </c>
      <c r="P69" s="1">
        <v>763.524</v>
      </c>
      <c r="Q69" s="2">
        <v>769.00000000000011</v>
      </c>
      <c r="R69" s="2">
        <v>633</v>
      </c>
      <c r="T69" s="9">
        <v>0</v>
      </c>
      <c r="U69" s="9">
        <v>0</v>
      </c>
      <c r="V69" s="9">
        <v>0</v>
      </c>
      <c r="W69" s="9">
        <v>0</v>
      </c>
    </row>
    <row r="70" spans="1:23" ht="15.75">
      <c r="A70" t="s">
        <v>154</v>
      </c>
      <c r="B70" t="s">
        <v>236</v>
      </c>
      <c r="C70" t="s">
        <v>153</v>
      </c>
      <c r="E70" s="1">
        <f>1954/4</f>
        <v>488.5</v>
      </c>
      <c r="F70" s="1">
        <f t="shared" ref="F70" si="0">1954/4</f>
        <v>488.5</v>
      </c>
      <c r="G70" s="1">
        <v>476</v>
      </c>
      <c r="H70" s="1">
        <v>471</v>
      </c>
      <c r="J70" s="1">
        <v>425</v>
      </c>
      <c r="K70" s="1">
        <v>429</v>
      </c>
      <c r="L70" s="1">
        <v>457</v>
      </c>
      <c r="M70" s="1">
        <v>480</v>
      </c>
      <c r="O70" s="2">
        <v>441.90000000000003</v>
      </c>
      <c r="P70" s="2">
        <v>423</v>
      </c>
      <c r="Q70" s="2">
        <v>420.3</v>
      </c>
      <c r="R70" s="2">
        <v>386.1</v>
      </c>
      <c r="T70" s="2">
        <v>429.3</v>
      </c>
      <c r="U70" s="9">
        <v>0</v>
      </c>
      <c r="V70" s="9">
        <v>0</v>
      </c>
      <c r="W70" s="9">
        <v>0</v>
      </c>
    </row>
    <row r="71" spans="1:23" ht="15.75">
      <c r="A71" t="s">
        <v>155</v>
      </c>
      <c r="B71" t="s">
        <v>237</v>
      </c>
      <c r="C71" t="s">
        <v>153</v>
      </c>
      <c r="E71" s="9">
        <v>0</v>
      </c>
      <c r="F71" s="9">
        <v>0</v>
      </c>
      <c r="G71" s="9">
        <v>0</v>
      </c>
      <c r="H71" s="9">
        <v>0</v>
      </c>
      <c r="J71" s="9">
        <v>0</v>
      </c>
      <c r="K71" s="9">
        <v>0</v>
      </c>
      <c r="L71" s="9">
        <v>0</v>
      </c>
      <c r="M71" s="9">
        <v>0</v>
      </c>
      <c r="O71" s="9">
        <v>0</v>
      </c>
      <c r="P71" s="9">
        <v>0</v>
      </c>
      <c r="Q71" s="9">
        <v>0</v>
      </c>
      <c r="R71" s="9">
        <v>0</v>
      </c>
      <c r="T71" s="9">
        <v>0</v>
      </c>
      <c r="U71" s="9">
        <v>0</v>
      </c>
      <c r="V71" s="9">
        <v>0</v>
      </c>
      <c r="W71" s="9">
        <v>0</v>
      </c>
    </row>
    <row r="72" spans="1:23" ht="15.75">
      <c r="A72" t="s">
        <v>156</v>
      </c>
      <c r="B72" t="s">
        <v>238</v>
      </c>
      <c r="C72" t="s">
        <v>153</v>
      </c>
      <c r="E72" s="9">
        <v>0</v>
      </c>
      <c r="F72" s="9">
        <v>0</v>
      </c>
      <c r="G72" s="9">
        <v>0</v>
      </c>
      <c r="H72" s="9">
        <v>0</v>
      </c>
      <c r="J72" s="9">
        <v>0</v>
      </c>
      <c r="K72" s="9">
        <v>0</v>
      </c>
      <c r="L72" s="9">
        <v>0</v>
      </c>
      <c r="M72" s="9">
        <v>0</v>
      </c>
      <c r="O72" s="9">
        <v>0</v>
      </c>
      <c r="P72" s="9">
        <v>0</v>
      </c>
      <c r="Q72" s="9">
        <v>0</v>
      </c>
      <c r="R72" s="9">
        <v>0</v>
      </c>
      <c r="T72" s="9">
        <v>0</v>
      </c>
      <c r="U72" s="9">
        <v>0</v>
      </c>
      <c r="V72" s="9">
        <v>0</v>
      </c>
      <c r="W72" s="9">
        <v>0</v>
      </c>
    </row>
    <row r="73" spans="1:23" ht="15.75">
      <c r="A73" t="s">
        <v>157</v>
      </c>
      <c r="B73" t="s">
        <v>158</v>
      </c>
      <c r="C73" t="s">
        <v>159</v>
      </c>
      <c r="E73" s="1">
        <f>5700/1.14/4</f>
        <v>1250</v>
      </c>
      <c r="F73" s="1">
        <f t="shared" ref="F73:H73" si="1">5700/1.14/4</f>
        <v>1250</v>
      </c>
      <c r="G73" s="1">
        <f t="shared" si="1"/>
        <v>1250</v>
      </c>
      <c r="H73" s="1">
        <f t="shared" si="1"/>
        <v>1250</v>
      </c>
      <c r="J73" s="1">
        <v>1250</v>
      </c>
      <c r="K73" s="1">
        <v>1483.3333333333333</v>
      </c>
      <c r="L73" s="1">
        <v>1483.3333333333333</v>
      </c>
      <c r="M73" s="1">
        <v>1483.3333333333333</v>
      </c>
      <c r="O73" s="3">
        <v>1483.3333333333333</v>
      </c>
      <c r="P73" s="3">
        <v>1483.3333333333333</v>
      </c>
      <c r="Q73" s="3">
        <v>1483.3333333333333</v>
      </c>
      <c r="R73" s="3">
        <v>1483.3333333333333</v>
      </c>
      <c r="T73" s="3">
        <v>1483.3333333333333</v>
      </c>
      <c r="U73" s="9">
        <v>0</v>
      </c>
      <c r="V73" s="9">
        <v>0</v>
      </c>
      <c r="W73" s="9">
        <v>0</v>
      </c>
    </row>
    <row r="74" spans="1:23" ht="15.75">
      <c r="A74" t="s">
        <v>160</v>
      </c>
      <c r="B74" t="s">
        <v>161</v>
      </c>
      <c r="C74" t="s">
        <v>162</v>
      </c>
      <c r="E74" s="9">
        <v>0</v>
      </c>
      <c r="F74" s="9">
        <v>0</v>
      </c>
      <c r="G74" s="9">
        <v>0</v>
      </c>
      <c r="H74" s="9">
        <v>0</v>
      </c>
      <c r="J74" s="9">
        <v>0</v>
      </c>
      <c r="K74" s="9">
        <v>0</v>
      </c>
      <c r="L74" s="9">
        <v>0</v>
      </c>
      <c r="M74" s="9">
        <v>0</v>
      </c>
      <c r="O74" s="9">
        <v>0</v>
      </c>
      <c r="P74" s="9">
        <v>0</v>
      </c>
      <c r="Q74" s="9">
        <v>0</v>
      </c>
      <c r="R74" s="9">
        <v>0</v>
      </c>
      <c r="T74" s="9">
        <v>0</v>
      </c>
      <c r="U74" s="9">
        <v>0</v>
      </c>
      <c r="V74" s="9">
        <v>0</v>
      </c>
      <c r="W74" s="9">
        <v>0</v>
      </c>
    </row>
    <row r="75" spans="1:23" ht="15.75">
      <c r="A75" t="s">
        <v>163</v>
      </c>
      <c r="B75" t="s">
        <v>164</v>
      </c>
      <c r="C75" t="s">
        <v>162</v>
      </c>
      <c r="E75" s="9">
        <v>0</v>
      </c>
      <c r="F75" s="9">
        <v>0</v>
      </c>
      <c r="G75" s="9">
        <v>0</v>
      </c>
      <c r="H75" s="9">
        <v>0</v>
      </c>
      <c r="J75" s="9">
        <v>0</v>
      </c>
      <c r="K75" s="9">
        <v>0</v>
      </c>
      <c r="L75" s="9">
        <v>0</v>
      </c>
      <c r="M75" s="9">
        <v>0</v>
      </c>
      <c r="O75" s="9">
        <v>0</v>
      </c>
      <c r="P75" s="9">
        <v>0</v>
      </c>
      <c r="Q75" s="9">
        <v>0</v>
      </c>
      <c r="R75" s="9">
        <v>0</v>
      </c>
      <c r="T75" s="9">
        <v>0</v>
      </c>
      <c r="U75" s="9">
        <v>0</v>
      </c>
      <c r="V75" s="9">
        <v>0</v>
      </c>
      <c r="W75" s="9">
        <v>0</v>
      </c>
    </row>
    <row r="76" spans="1:23" ht="15.75">
      <c r="A76" t="s">
        <v>165</v>
      </c>
      <c r="B76" t="s">
        <v>166</v>
      </c>
      <c r="C76" t="s">
        <v>167</v>
      </c>
      <c r="E76" s="9">
        <v>0</v>
      </c>
      <c r="F76" s="9">
        <v>0</v>
      </c>
      <c r="G76" s="9">
        <v>0</v>
      </c>
      <c r="H76" s="9">
        <v>0</v>
      </c>
      <c r="J76" s="9">
        <v>0</v>
      </c>
      <c r="K76" s="9">
        <v>0</v>
      </c>
      <c r="L76" s="9">
        <v>0</v>
      </c>
      <c r="M76" s="9">
        <v>0</v>
      </c>
      <c r="O76" s="9">
        <v>0</v>
      </c>
      <c r="P76" s="9">
        <v>0</v>
      </c>
      <c r="Q76" s="9">
        <v>0</v>
      </c>
      <c r="R76" s="9">
        <v>0</v>
      </c>
      <c r="T76" s="9">
        <v>0</v>
      </c>
      <c r="U76" s="9">
        <v>0</v>
      </c>
      <c r="V76" s="9">
        <v>0</v>
      </c>
      <c r="W76" s="9">
        <v>0</v>
      </c>
    </row>
    <row r="77" spans="1:23" ht="15.75">
      <c r="A77" t="s">
        <v>168</v>
      </c>
      <c r="B77" t="s">
        <v>169</v>
      </c>
      <c r="C77" t="s">
        <v>170</v>
      </c>
      <c r="E77" s="9">
        <v>0</v>
      </c>
      <c r="F77" s="9">
        <v>0</v>
      </c>
      <c r="G77" s="9">
        <v>0</v>
      </c>
      <c r="H77" s="9">
        <v>0</v>
      </c>
      <c r="J77" s="9">
        <v>0</v>
      </c>
      <c r="K77" s="9">
        <v>0</v>
      </c>
      <c r="L77" s="9">
        <v>0</v>
      </c>
      <c r="M77" s="9">
        <v>0</v>
      </c>
      <c r="O77" s="9">
        <v>0</v>
      </c>
      <c r="P77" s="9">
        <v>0</v>
      </c>
      <c r="Q77" s="9">
        <v>0</v>
      </c>
      <c r="R77" s="9">
        <v>0</v>
      </c>
      <c r="T77" s="9">
        <v>0</v>
      </c>
      <c r="U77" s="9">
        <v>0</v>
      </c>
      <c r="V77" s="9">
        <v>0</v>
      </c>
      <c r="W77" s="9">
        <v>0</v>
      </c>
    </row>
    <row r="78" spans="1:23" ht="15.75">
      <c r="A78" t="s">
        <v>171</v>
      </c>
      <c r="B78" t="s">
        <v>172</v>
      </c>
      <c r="C78" t="s">
        <v>170</v>
      </c>
      <c r="E78" s="9">
        <v>0</v>
      </c>
      <c r="F78" s="9">
        <v>0</v>
      </c>
      <c r="G78" s="9">
        <v>0</v>
      </c>
      <c r="H78" s="9">
        <v>0</v>
      </c>
      <c r="J78" s="9">
        <v>0</v>
      </c>
      <c r="K78" s="9">
        <v>0</v>
      </c>
      <c r="L78" s="9">
        <v>0</v>
      </c>
      <c r="M78" s="9">
        <v>0</v>
      </c>
      <c r="O78" s="9">
        <v>0</v>
      </c>
      <c r="P78" s="9">
        <v>0</v>
      </c>
      <c r="Q78" s="9">
        <v>0</v>
      </c>
      <c r="R78" s="9">
        <v>0</v>
      </c>
      <c r="T78" s="9">
        <v>0</v>
      </c>
      <c r="U78" s="9">
        <v>0</v>
      </c>
      <c r="V78" s="9">
        <v>0</v>
      </c>
      <c r="W78" s="9">
        <v>0</v>
      </c>
    </row>
    <row r="79" spans="1:23" ht="15.75">
      <c r="A79" t="s">
        <v>173</v>
      </c>
      <c r="B79" t="s">
        <v>174</v>
      </c>
      <c r="C79" t="s">
        <v>170</v>
      </c>
      <c r="E79" s="1">
        <v>564.16</v>
      </c>
      <c r="F79" s="1">
        <v>646.29</v>
      </c>
      <c r="G79" s="1">
        <v>596.41</v>
      </c>
      <c r="H79" s="1">
        <v>568.46</v>
      </c>
      <c r="J79" s="1">
        <v>563.29999999999995</v>
      </c>
      <c r="K79" s="1">
        <v>589</v>
      </c>
      <c r="L79" s="1">
        <v>549</v>
      </c>
      <c r="M79" s="1">
        <v>625</v>
      </c>
      <c r="O79" s="2">
        <v>476.1</v>
      </c>
      <c r="P79" s="2">
        <v>540.9</v>
      </c>
      <c r="Q79" s="2">
        <v>565.20000000000005</v>
      </c>
      <c r="R79" s="2">
        <v>534.6</v>
      </c>
      <c r="T79" s="2">
        <v>440.1</v>
      </c>
      <c r="U79" s="9">
        <v>0</v>
      </c>
      <c r="V79" s="9">
        <v>0</v>
      </c>
      <c r="W79" s="9">
        <v>0</v>
      </c>
    </row>
    <row r="80" spans="1:23" ht="15.75">
      <c r="A80" t="s">
        <v>175</v>
      </c>
      <c r="B80" t="s">
        <v>176</v>
      </c>
      <c r="C80" t="s">
        <v>170</v>
      </c>
      <c r="E80" s="9">
        <v>0</v>
      </c>
      <c r="F80" s="9">
        <v>0</v>
      </c>
      <c r="G80" s="9">
        <v>0</v>
      </c>
      <c r="H80" s="9">
        <v>0</v>
      </c>
      <c r="J80" s="9">
        <v>0</v>
      </c>
      <c r="K80" s="9">
        <v>0</v>
      </c>
      <c r="L80" s="9">
        <v>0</v>
      </c>
      <c r="M80" s="9">
        <v>0</v>
      </c>
      <c r="O80" s="9">
        <v>0</v>
      </c>
      <c r="P80" s="9">
        <v>0</v>
      </c>
      <c r="Q80" s="9">
        <v>0</v>
      </c>
      <c r="R80" s="9">
        <v>0</v>
      </c>
      <c r="T80" s="9">
        <v>0</v>
      </c>
      <c r="U80" s="9">
        <v>0</v>
      </c>
      <c r="V80" s="9">
        <v>0</v>
      </c>
      <c r="W80" s="9">
        <v>0</v>
      </c>
    </row>
    <row r="81" spans="1:23" ht="15.75">
      <c r="A81" t="s">
        <v>177</v>
      </c>
      <c r="B81" t="s">
        <v>178</v>
      </c>
      <c r="C81" t="s">
        <v>170</v>
      </c>
      <c r="E81" s="9">
        <v>0</v>
      </c>
      <c r="F81" s="9">
        <v>0</v>
      </c>
      <c r="G81" s="9">
        <v>0</v>
      </c>
      <c r="H81" s="9">
        <v>0</v>
      </c>
      <c r="J81" s="9">
        <v>0</v>
      </c>
      <c r="K81" s="9">
        <v>0</v>
      </c>
      <c r="L81" s="9">
        <v>0</v>
      </c>
      <c r="M81" s="9">
        <v>0</v>
      </c>
      <c r="O81" s="9">
        <v>0</v>
      </c>
      <c r="P81" s="9">
        <v>0</v>
      </c>
      <c r="Q81" s="9">
        <v>0</v>
      </c>
      <c r="R81" s="9">
        <v>0</v>
      </c>
      <c r="T81" s="9">
        <v>0</v>
      </c>
      <c r="U81" s="9">
        <v>0</v>
      </c>
      <c r="V81" s="9">
        <v>0</v>
      </c>
      <c r="W81" s="9">
        <v>0</v>
      </c>
    </row>
    <row r="82" spans="1:23" ht="15.75">
      <c r="A82" t="s">
        <v>179</v>
      </c>
      <c r="B82" t="s">
        <v>180</v>
      </c>
      <c r="C82" t="s">
        <v>170</v>
      </c>
      <c r="E82" s="1">
        <v>747.83999999999992</v>
      </c>
      <c r="F82" s="1">
        <v>856.70999999999992</v>
      </c>
      <c r="G82" s="1">
        <v>790.58999999999992</v>
      </c>
      <c r="H82" s="1">
        <v>753.54</v>
      </c>
      <c r="J82" s="1">
        <v>746.69999999999993</v>
      </c>
      <c r="K82" s="1">
        <v>879</v>
      </c>
      <c r="L82" s="1">
        <v>1060</v>
      </c>
      <c r="M82" s="1">
        <v>639</v>
      </c>
      <c r="O82" s="2">
        <v>596.70000000000005</v>
      </c>
      <c r="P82" s="2">
        <v>833.4</v>
      </c>
      <c r="Q82" s="2">
        <v>880.2</v>
      </c>
      <c r="R82" s="2">
        <v>587.70000000000005</v>
      </c>
      <c r="T82" s="2">
        <v>632.70000000000005</v>
      </c>
      <c r="U82" s="9">
        <v>0</v>
      </c>
      <c r="V82" s="9">
        <v>0</v>
      </c>
      <c r="W82" s="9">
        <v>0</v>
      </c>
    </row>
    <row r="83" spans="1:23" ht="15.75">
      <c r="A83" t="s">
        <v>181</v>
      </c>
      <c r="B83" t="s">
        <v>182</v>
      </c>
      <c r="C83" t="s">
        <v>170</v>
      </c>
      <c r="E83" s="9">
        <v>0</v>
      </c>
      <c r="F83" s="9">
        <v>0</v>
      </c>
      <c r="G83" s="9">
        <v>0</v>
      </c>
      <c r="H83" s="9">
        <v>0</v>
      </c>
      <c r="J83" s="9">
        <v>0</v>
      </c>
      <c r="K83" s="9">
        <v>0</v>
      </c>
      <c r="L83" s="9">
        <v>0</v>
      </c>
      <c r="M83" s="9">
        <v>0</v>
      </c>
      <c r="O83" s="9">
        <v>0</v>
      </c>
      <c r="P83" s="9">
        <v>0</v>
      </c>
      <c r="Q83" s="9">
        <v>0</v>
      </c>
      <c r="R83" s="9">
        <v>0</v>
      </c>
      <c r="T83" s="9">
        <v>0</v>
      </c>
      <c r="U83" s="9">
        <v>0</v>
      </c>
      <c r="V83" s="9">
        <v>0</v>
      </c>
      <c r="W83" s="9">
        <v>0</v>
      </c>
    </row>
    <row r="84" spans="1:23" ht="15.75">
      <c r="A84" t="s">
        <v>183</v>
      </c>
      <c r="B84" t="s">
        <v>184</v>
      </c>
      <c r="C84" t="s">
        <v>185</v>
      </c>
      <c r="E84" s="9">
        <v>0</v>
      </c>
      <c r="F84" s="9">
        <v>0</v>
      </c>
      <c r="G84" s="9">
        <v>0</v>
      </c>
      <c r="H84" s="9">
        <v>0</v>
      </c>
      <c r="J84" s="9">
        <v>0</v>
      </c>
      <c r="K84" s="9">
        <v>0</v>
      </c>
      <c r="L84" s="9">
        <v>0</v>
      </c>
      <c r="M84" s="9">
        <v>0</v>
      </c>
      <c r="O84" s="9">
        <v>0</v>
      </c>
      <c r="P84" s="9">
        <v>0</v>
      </c>
      <c r="Q84" s="9">
        <v>0</v>
      </c>
      <c r="R84" s="9">
        <v>0</v>
      </c>
      <c r="T84" s="9">
        <v>0</v>
      </c>
      <c r="U84" s="9">
        <v>0</v>
      </c>
      <c r="V84" s="9">
        <v>0</v>
      </c>
      <c r="W84" s="9">
        <v>0</v>
      </c>
    </row>
    <row r="85" spans="1:23" ht="15.75">
      <c r="A85" t="s">
        <v>186</v>
      </c>
      <c r="B85" t="s">
        <v>187</v>
      </c>
      <c r="C85" t="s">
        <v>188</v>
      </c>
      <c r="E85" s="1">
        <v>460</v>
      </c>
      <c r="F85" s="1">
        <v>461</v>
      </c>
      <c r="G85" s="1">
        <v>461</v>
      </c>
      <c r="H85" s="1">
        <v>406</v>
      </c>
      <c r="J85" s="1">
        <v>592.428</v>
      </c>
      <c r="K85" s="1">
        <v>539.17999999999995</v>
      </c>
      <c r="L85" s="1">
        <v>407</v>
      </c>
      <c r="M85" s="1">
        <v>400</v>
      </c>
      <c r="O85" s="1">
        <v>571.76400000000001</v>
      </c>
      <c r="P85" s="2">
        <v>545.476</v>
      </c>
      <c r="Q85" s="2">
        <v>410.44800000000009</v>
      </c>
      <c r="R85" s="2">
        <v>356.17499999999995</v>
      </c>
      <c r="T85" s="3">
        <v>360</v>
      </c>
      <c r="U85" s="9">
        <v>0</v>
      </c>
      <c r="V85" s="9">
        <v>0</v>
      </c>
      <c r="W85" s="9">
        <v>0</v>
      </c>
    </row>
    <row r="86" spans="1:23" ht="15.75">
      <c r="A86" t="s">
        <v>189</v>
      </c>
      <c r="B86" t="s">
        <v>190</v>
      </c>
      <c r="C86" t="s">
        <v>190</v>
      </c>
      <c r="E86" s="9">
        <v>0</v>
      </c>
      <c r="F86" s="9">
        <v>0</v>
      </c>
      <c r="G86" s="9">
        <v>0</v>
      </c>
      <c r="H86" s="9">
        <v>0</v>
      </c>
      <c r="J86" s="9">
        <v>0</v>
      </c>
      <c r="K86" s="9">
        <v>0</v>
      </c>
      <c r="L86" s="9">
        <v>0</v>
      </c>
      <c r="M86" s="9">
        <v>0</v>
      </c>
      <c r="O86" s="9">
        <v>0</v>
      </c>
      <c r="P86" s="9">
        <v>0</v>
      </c>
      <c r="Q86" s="9">
        <v>0</v>
      </c>
      <c r="R86" s="9">
        <v>0</v>
      </c>
      <c r="T86" s="9">
        <v>0</v>
      </c>
      <c r="U86" s="9">
        <v>0</v>
      </c>
      <c r="V86" s="9">
        <v>0</v>
      </c>
      <c r="W86" s="9">
        <v>0</v>
      </c>
    </row>
    <row r="87" spans="1:23" ht="15.75">
      <c r="A87" t="s">
        <v>191</v>
      </c>
      <c r="B87" t="s">
        <v>192</v>
      </c>
      <c r="C87" t="s">
        <v>193</v>
      </c>
      <c r="E87" s="9">
        <v>0</v>
      </c>
      <c r="F87" s="9">
        <v>0</v>
      </c>
      <c r="G87" s="9">
        <v>0</v>
      </c>
      <c r="H87" s="9">
        <v>0</v>
      </c>
      <c r="J87" s="9">
        <v>0</v>
      </c>
      <c r="K87" s="9">
        <v>0</v>
      </c>
      <c r="L87" s="9">
        <v>0</v>
      </c>
      <c r="M87" s="9">
        <v>0</v>
      </c>
      <c r="O87" s="9">
        <v>0</v>
      </c>
      <c r="P87" s="9">
        <v>0</v>
      </c>
      <c r="Q87" s="9">
        <v>0</v>
      </c>
      <c r="R87" s="9">
        <v>0</v>
      </c>
      <c r="T87" s="9">
        <v>0</v>
      </c>
      <c r="U87" s="9">
        <v>0</v>
      </c>
      <c r="V87" s="9">
        <v>0</v>
      </c>
      <c r="W87" s="9">
        <v>0</v>
      </c>
    </row>
    <row r="88" spans="1:23" ht="15.75">
      <c r="A88" t="s">
        <v>194</v>
      </c>
      <c r="B88" t="s">
        <v>195</v>
      </c>
      <c r="C88" t="s">
        <v>196</v>
      </c>
      <c r="E88" s="9">
        <v>0</v>
      </c>
      <c r="F88" s="9">
        <v>0</v>
      </c>
      <c r="G88" s="9">
        <v>0</v>
      </c>
      <c r="H88" s="9">
        <v>0</v>
      </c>
      <c r="J88" s="9">
        <v>0</v>
      </c>
      <c r="K88" s="9">
        <v>0</v>
      </c>
      <c r="L88" s="9">
        <v>0</v>
      </c>
      <c r="M88" s="9">
        <v>0</v>
      </c>
      <c r="O88" s="9">
        <v>0</v>
      </c>
      <c r="P88" s="9">
        <v>0</v>
      </c>
      <c r="Q88" s="9">
        <v>0</v>
      </c>
      <c r="R88" s="9">
        <v>0</v>
      </c>
      <c r="T88" s="9">
        <v>0</v>
      </c>
      <c r="U88" s="9">
        <v>0</v>
      </c>
      <c r="V88" s="9">
        <v>0</v>
      </c>
      <c r="W88" s="9">
        <v>0</v>
      </c>
    </row>
    <row r="89" spans="1:23" ht="15.75">
      <c r="A89" t="s">
        <v>197</v>
      </c>
      <c r="B89" t="s">
        <v>198</v>
      </c>
      <c r="C89" t="s">
        <v>199</v>
      </c>
      <c r="E89" s="9">
        <v>0</v>
      </c>
      <c r="F89" s="9">
        <v>0</v>
      </c>
      <c r="G89" s="9">
        <v>0</v>
      </c>
      <c r="H89" s="9">
        <v>0</v>
      </c>
      <c r="J89" s="9">
        <v>0</v>
      </c>
      <c r="K89" s="9">
        <v>0</v>
      </c>
      <c r="L89" s="9">
        <v>0</v>
      </c>
      <c r="M89" s="9">
        <v>0</v>
      </c>
      <c r="O89" s="9">
        <v>0</v>
      </c>
      <c r="P89" s="9">
        <v>0</v>
      </c>
      <c r="Q89" s="9">
        <v>0</v>
      </c>
      <c r="R89" s="9">
        <v>0</v>
      </c>
      <c r="T89" s="9">
        <v>0</v>
      </c>
      <c r="U89" s="9">
        <v>0</v>
      </c>
      <c r="V89" s="9">
        <v>0</v>
      </c>
      <c r="W89" s="9">
        <v>0</v>
      </c>
    </row>
    <row r="90" spans="1:23" ht="15.75">
      <c r="A90" t="s">
        <v>200</v>
      </c>
      <c r="B90" t="s">
        <v>201</v>
      </c>
      <c r="C90" t="s">
        <v>202</v>
      </c>
      <c r="E90" s="9">
        <v>0</v>
      </c>
      <c r="F90" s="9">
        <v>0</v>
      </c>
      <c r="G90" s="9">
        <v>0</v>
      </c>
      <c r="H90" s="9">
        <v>0</v>
      </c>
      <c r="J90" s="9">
        <v>0</v>
      </c>
      <c r="K90" s="9">
        <v>0</v>
      </c>
      <c r="L90" s="9">
        <v>0</v>
      </c>
      <c r="M90" s="9">
        <v>0</v>
      </c>
      <c r="O90" s="9">
        <v>0</v>
      </c>
      <c r="P90" s="9">
        <v>0</v>
      </c>
      <c r="Q90" s="9">
        <v>0</v>
      </c>
      <c r="R90" s="9">
        <v>0</v>
      </c>
      <c r="T90" s="9">
        <v>0</v>
      </c>
      <c r="U90" s="9">
        <v>0</v>
      </c>
      <c r="V90" s="9">
        <v>0</v>
      </c>
      <c r="W90" s="9">
        <v>0</v>
      </c>
    </row>
    <row r="91" spans="1:23" ht="15.75">
      <c r="A91" t="s">
        <v>203</v>
      </c>
      <c r="B91" t="s">
        <v>204</v>
      </c>
      <c r="C91" t="s">
        <v>202</v>
      </c>
      <c r="E91" s="9">
        <v>0</v>
      </c>
      <c r="F91" s="9">
        <v>0</v>
      </c>
      <c r="G91" s="9">
        <v>0</v>
      </c>
      <c r="H91" s="9">
        <v>0</v>
      </c>
      <c r="J91" s="9">
        <v>0</v>
      </c>
      <c r="K91" s="9">
        <v>0</v>
      </c>
      <c r="L91" s="9">
        <v>0</v>
      </c>
      <c r="M91" s="9">
        <v>0</v>
      </c>
      <c r="O91" s="9">
        <v>0</v>
      </c>
      <c r="P91" s="9">
        <v>0</v>
      </c>
      <c r="Q91" s="9">
        <v>0</v>
      </c>
      <c r="R91" s="9">
        <v>0</v>
      </c>
      <c r="T91" s="9">
        <v>0</v>
      </c>
      <c r="U91" s="9">
        <v>0</v>
      </c>
      <c r="V91" s="9">
        <v>0</v>
      </c>
      <c r="W91" s="9">
        <v>0</v>
      </c>
    </row>
    <row r="92" spans="1:23" ht="15.75">
      <c r="A92" t="s">
        <v>205</v>
      </c>
      <c r="B92" t="s">
        <v>206</v>
      </c>
      <c r="C92" t="s">
        <v>202</v>
      </c>
      <c r="E92" s="9">
        <v>0</v>
      </c>
      <c r="F92" s="9">
        <v>0</v>
      </c>
      <c r="G92" s="9">
        <v>0</v>
      </c>
      <c r="H92" s="9">
        <v>0</v>
      </c>
      <c r="J92" s="9">
        <v>0</v>
      </c>
      <c r="K92" s="9">
        <v>0</v>
      </c>
      <c r="L92" s="9">
        <v>0</v>
      </c>
      <c r="M92" s="9">
        <v>0</v>
      </c>
      <c r="O92" s="9">
        <v>0</v>
      </c>
      <c r="P92" s="9">
        <v>0</v>
      </c>
      <c r="Q92" s="9">
        <v>0</v>
      </c>
      <c r="R92" s="9">
        <v>0</v>
      </c>
      <c r="T92" s="9">
        <v>0</v>
      </c>
      <c r="U92" s="9">
        <v>0</v>
      </c>
      <c r="V92" s="9">
        <v>0</v>
      </c>
      <c r="W92" s="9">
        <v>0</v>
      </c>
    </row>
    <row r="93" spans="1:23" ht="15.75">
      <c r="A93" t="s">
        <v>207</v>
      </c>
      <c r="B93" t="s">
        <v>208</v>
      </c>
      <c r="C93" t="s">
        <v>79</v>
      </c>
      <c r="E93" s="9">
        <v>0</v>
      </c>
      <c r="F93" s="9">
        <v>0</v>
      </c>
      <c r="G93" s="9">
        <v>0</v>
      </c>
      <c r="H93" s="9">
        <v>0</v>
      </c>
      <c r="J93" s="9">
        <v>0</v>
      </c>
      <c r="K93" s="9">
        <v>0</v>
      </c>
      <c r="L93" s="9">
        <v>0</v>
      </c>
      <c r="M93" s="9">
        <v>0</v>
      </c>
      <c r="O93" s="9">
        <v>0</v>
      </c>
      <c r="P93" s="9">
        <v>0</v>
      </c>
      <c r="Q93" s="9">
        <v>0</v>
      </c>
      <c r="R93" s="9">
        <v>0</v>
      </c>
      <c r="T93" s="9">
        <v>0</v>
      </c>
      <c r="U93" s="9">
        <v>0</v>
      </c>
      <c r="V93" s="9">
        <v>0</v>
      </c>
      <c r="W93" s="9">
        <v>0</v>
      </c>
    </row>
    <row r="94" spans="1:23" ht="15.75">
      <c r="A94" t="s">
        <v>209</v>
      </c>
      <c r="B94" t="s">
        <v>210</v>
      </c>
      <c r="C94" t="s">
        <v>79</v>
      </c>
      <c r="E94" s="9">
        <v>0</v>
      </c>
      <c r="F94" s="9">
        <v>0</v>
      </c>
      <c r="G94" s="9">
        <v>0</v>
      </c>
      <c r="H94" s="9">
        <v>0</v>
      </c>
      <c r="J94" s="9">
        <v>0</v>
      </c>
      <c r="K94" s="9">
        <v>0</v>
      </c>
      <c r="L94" s="9">
        <v>0</v>
      </c>
      <c r="M94" s="9">
        <v>0</v>
      </c>
      <c r="O94" s="9">
        <v>0</v>
      </c>
      <c r="P94" s="9">
        <v>0</v>
      </c>
      <c r="Q94" s="9">
        <v>0</v>
      </c>
      <c r="R94" s="9">
        <v>0</v>
      </c>
      <c r="T94" s="9">
        <v>0</v>
      </c>
      <c r="U94" s="9">
        <v>0</v>
      </c>
      <c r="V94" s="9">
        <v>0</v>
      </c>
      <c r="W94" s="9">
        <v>0</v>
      </c>
    </row>
    <row r="95" spans="1:23" ht="15.75">
      <c r="A95" t="s">
        <v>211</v>
      </c>
      <c r="B95" t="s">
        <v>212</v>
      </c>
      <c r="C95" t="s">
        <v>79</v>
      </c>
      <c r="E95" s="9">
        <v>0</v>
      </c>
      <c r="F95" s="9">
        <v>0</v>
      </c>
      <c r="G95" s="9">
        <v>0</v>
      </c>
      <c r="H95" s="9">
        <v>0</v>
      </c>
      <c r="J95" s="9">
        <v>0</v>
      </c>
      <c r="K95" s="9">
        <v>0</v>
      </c>
      <c r="L95" s="9">
        <v>0</v>
      </c>
      <c r="M95" s="9">
        <v>0</v>
      </c>
      <c r="O95" s="9">
        <v>0</v>
      </c>
      <c r="P95" s="9">
        <v>0</v>
      </c>
      <c r="Q95" s="9">
        <v>0</v>
      </c>
      <c r="R95" s="9">
        <v>0</v>
      </c>
      <c r="T95" s="9">
        <v>0</v>
      </c>
      <c r="U95" s="9">
        <v>0</v>
      </c>
      <c r="V95" s="9">
        <v>0</v>
      </c>
      <c r="W95" s="9">
        <v>0</v>
      </c>
    </row>
    <row r="96" spans="1:23" ht="15.75">
      <c r="A96" t="s">
        <v>213</v>
      </c>
      <c r="E96" s="9">
        <v>0</v>
      </c>
      <c r="F96" s="9">
        <v>0</v>
      </c>
      <c r="G96" s="9">
        <v>0</v>
      </c>
      <c r="H96" s="9">
        <v>0</v>
      </c>
      <c r="J96" s="9">
        <v>0</v>
      </c>
      <c r="K96" s="9">
        <v>0</v>
      </c>
      <c r="L96" s="9">
        <v>0</v>
      </c>
      <c r="M96" s="9">
        <v>0</v>
      </c>
      <c r="O96" s="9">
        <v>0</v>
      </c>
      <c r="P96" s="9">
        <v>0</v>
      </c>
      <c r="Q96" s="9">
        <v>0</v>
      </c>
      <c r="R96" s="9">
        <v>0</v>
      </c>
      <c r="T96" s="9">
        <v>0</v>
      </c>
      <c r="U96" s="9">
        <v>0</v>
      </c>
      <c r="V96" s="9">
        <v>0</v>
      </c>
      <c r="W96" s="9">
        <v>0</v>
      </c>
    </row>
    <row r="97" spans="1:23" ht="15.75">
      <c r="A97" t="s">
        <v>214</v>
      </c>
      <c r="E97" s="9">
        <v>0</v>
      </c>
      <c r="F97" s="9">
        <v>0</v>
      </c>
      <c r="G97" s="9">
        <v>0</v>
      </c>
      <c r="H97" s="9">
        <v>0</v>
      </c>
      <c r="J97" s="9">
        <v>0</v>
      </c>
      <c r="K97" s="9">
        <v>0</v>
      </c>
      <c r="L97" s="9">
        <v>0</v>
      </c>
      <c r="M97" s="9">
        <v>0</v>
      </c>
      <c r="O97" s="9">
        <v>0</v>
      </c>
      <c r="P97" s="9">
        <v>0</v>
      </c>
      <c r="Q97" s="9">
        <v>0</v>
      </c>
      <c r="R97" s="9">
        <v>0</v>
      </c>
      <c r="T97" s="9">
        <v>0</v>
      </c>
      <c r="U97" s="9">
        <v>0</v>
      </c>
      <c r="V97" s="9">
        <v>0</v>
      </c>
      <c r="W97" s="9">
        <v>0</v>
      </c>
    </row>
    <row r="98" spans="1:23" ht="15.75">
      <c r="A98" t="s">
        <v>215</v>
      </c>
      <c r="E98" s="9">
        <v>0</v>
      </c>
      <c r="F98" s="9">
        <v>0</v>
      </c>
      <c r="G98" s="9">
        <v>0</v>
      </c>
      <c r="H98" s="9">
        <v>0</v>
      </c>
      <c r="J98" s="9">
        <v>0</v>
      </c>
      <c r="K98" s="9">
        <v>0</v>
      </c>
      <c r="L98" s="9">
        <v>0</v>
      </c>
      <c r="M98" s="9">
        <v>0</v>
      </c>
      <c r="O98" s="9">
        <v>0</v>
      </c>
      <c r="P98" s="9">
        <v>0</v>
      </c>
      <c r="Q98" s="9">
        <v>0</v>
      </c>
      <c r="R98" s="9">
        <v>0</v>
      </c>
      <c r="T98" s="9">
        <v>0</v>
      </c>
      <c r="U98" s="9">
        <v>0</v>
      </c>
      <c r="V98" s="9">
        <v>0</v>
      </c>
      <c r="W98" s="9">
        <v>0</v>
      </c>
    </row>
    <row r="99" spans="1:23" ht="15.75">
      <c r="A99" t="s">
        <v>216</v>
      </c>
      <c r="E99" s="9">
        <v>0</v>
      </c>
      <c r="F99" s="9">
        <v>0</v>
      </c>
      <c r="G99" s="9">
        <v>0</v>
      </c>
      <c r="H99" s="9">
        <v>0</v>
      </c>
      <c r="J99" s="9">
        <v>0</v>
      </c>
      <c r="K99" s="9">
        <v>0</v>
      </c>
      <c r="L99" s="9">
        <v>0</v>
      </c>
      <c r="M99" s="9">
        <v>0</v>
      </c>
      <c r="O99" s="9">
        <v>0</v>
      </c>
      <c r="P99" s="9">
        <v>0</v>
      </c>
      <c r="Q99" s="9">
        <v>0</v>
      </c>
      <c r="R99" s="9">
        <v>0</v>
      </c>
      <c r="T99" s="9">
        <v>0</v>
      </c>
      <c r="U99" s="9">
        <v>0</v>
      </c>
      <c r="V99" s="9">
        <v>0</v>
      </c>
      <c r="W99" s="9">
        <v>0</v>
      </c>
    </row>
    <row r="100" spans="1:23" ht="15.75">
      <c r="A100" t="s">
        <v>217</v>
      </c>
      <c r="E100" s="9">
        <v>0</v>
      </c>
      <c r="F100" s="9">
        <v>0</v>
      </c>
      <c r="G100" s="9">
        <v>0</v>
      </c>
      <c r="H100" s="9">
        <v>0</v>
      </c>
      <c r="J100" s="9">
        <v>0</v>
      </c>
      <c r="K100" s="9">
        <v>0</v>
      </c>
      <c r="L100" s="9">
        <v>0</v>
      </c>
      <c r="M100" s="9">
        <v>0</v>
      </c>
      <c r="O100" s="9">
        <v>0</v>
      </c>
      <c r="P100" s="9">
        <v>0</v>
      </c>
      <c r="Q100" s="9">
        <v>0</v>
      </c>
      <c r="R100" s="9">
        <v>0</v>
      </c>
      <c r="T100" s="9">
        <v>0</v>
      </c>
      <c r="U100" s="9">
        <v>0</v>
      </c>
      <c r="V100" s="9">
        <v>0</v>
      </c>
      <c r="W100" s="9">
        <v>0</v>
      </c>
    </row>
    <row r="101" spans="1:23" ht="15.75">
      <c r="A101" t="s">
        <v>218</v>
      </c>
      <c r="E101" s="9">
        <v>0</v>
      </c>
      <c r="F101" s="9">
        <v>0</v>
      </c>
      <c r="G101" s="9">
        <v>0</v>
      </c>
      <c r="H101" s="9">
        <v>0</v>
      </c>
      <c r="J101" s="9">
        <v>0</v>
      </c>
      <c r="K101" s="9">
        <v>0</v>
      </c>
      <c r="L101" s="9">
        <v>0</v>
      </c>
      <c r="M101" s="9">
        <v>0</v>
      </c>
      <c r="O101" s="9">
        <v>0</v>
      </c>
      <c r="P101" s="9">
        <v>0</v>
      </c>
      <c r="Q101" s="9">
        <v>0</v>
      </c>
      <c r="R101" s="9">
        <v>0</v>
      </c>
      <c r="T101" s="9">
        <v>0</v>
      </c>
      <c r="U101" s="9">
        <v>0</v>
      </c>
      <c r="V101" s="9">
        <v>0</v>
      </c>
      <c r="W101" s="9">
        <v>0</v>
      </c>
    </row>
    <row r="102" spans="1:23" ht="15.75">
      <c r="A102" t="s">
        <v>219</v>
      </c>
      <c r="E102" s="9">
        <v>0</v>
      </c>
      <c r="F102" s="9">
        <v>0</v>
      </c>
      <c r="G102" s="9">
        <v>0</v>
      </c>
      <c r="H102" s="9">
        <v>0</v>
      </c>
      <c r="J102" s="9">
        <v>0</v>
      </c>
      <c r="K102" s="9">
        <v>0</v>
      </c>
      <c r="L102" s="9">
        <v>0</v>
      </c>
      <c r="M102" s="9">
        <v>0</v>
      </c>
      <c r="O102" s="9">
        <v>0</v>
      </c>
      <c r="P102" s="9">
        <v>0</v>
      </c>
      <c r="Q102" s="9">
        <v>0</v>
      </c>
      <c r="R102" s="9">
        <v>0</v>
      </c>
      <c r="T102" s="9">
        <v>0</v>
      </c>
      <c r="U102" s="9">
        <v>0</v>
      </c>
      <c r="V102" s="9">
        <v>0</v>
      </c>
      <c r="W102" s="9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52D9-1FEF-4DC0-B2A3-63B0D7931EBB}">
  <dimension ref="A1:U102"/>
  <sheetViews>
    <sheetView zoomScale="57" zoomScaleNormal="57" workbookViewId="0">
      <selection activeCell="A93" sqref="A93:U102"/>
    </sheetView>
  </sheetViews>
  <sheetFormatPr defaultRowHeight="15"/>
  <sheetData>
    <row r="1" spans="1:21">
      <c r="A1">
        <v>8</v>
      </c>
      <c r="B1">
        <v>9</v>
      </c>
      <c r="C1">
        <v>10</v>
      </c>
      <c r="D1">
        <v>11</v>
      </c>
      <c r="E1">
        <v>12</v>
      </c>
      <c r="F1">
        <v>13</v>
      </c>
      <c r="G1">
        <v>14</v>
      </c>
      <c r="H1">
        <v>15</v>
      </c>
      <c r="I1">
        <v>16</v>
      </c>
      <c r="J1">
        <v>17</v>
      </c>
      <c r="K1">
        <v>18</v>
      </c>
      <c r="L1">
        <v>19</v>
      </c>
      <c r="M1">
        <v>20</v>
      </c>
      <c r="N1">
        <v>21</v>
      </c>
      <c r="O1">
        <v>22</v>
      </c>
      <c r="P1">
        <v>23</v>
      </c>
      <c r="Q1">
        <v>24</v>
      </c>
      <c r="R1">
        <v>25</v>
      </c>
      <c r="S1">
        <v>26</v>
      </c>
      <c r="T1">
        <v>27</v>
      </c>
      <c r="U1">
        <v>28</v>
      </c>
    </row>
    <row r="2" spans="1:21" ht="15.75">
      <c r="A2">
        <v>2017</v>
      </c>
      <c r="B2" t="s">
        <v>240</v>
      </c>
      <c r="C2" t="s">
        <v>241</v>
      </c>
      <c r="D2" t="s">
        <v>242</v>
      </c>
      <c r="E2" t="s">
        <v>243</v>
      </c>
      <c r="F2">
        <v>2018</v>
      </c>
      <c r="G2" t="s">
        <v>244</v>
      </c>
      <c r="H2" t="s">
        <v>245</v>
      </c>
      <c r="I2" t="s">
        <v>246</v>
      </c>
      <c r="J2" t="s">
        <v>247</v>
      </c>
      <c r="K2">
        <v>2019</v>
      </c>
      <c r="L2" t="s">
        <v>248</v>
      </c>
      <c r="M2" t="s">
        <v>249</v>
      </c>
      <c r="N2" t="s">
        <v>250</v>
      </c>
      <c r="O2" t="s">
        <v>251</v>
      </c>
      <c r="P2">
        <v>2020</v>
      </c>
      <c r="Q2" t="s">
        <v>252</v>
      </c>
      <c r="R2" t="s">
        <v>253</v>
      </c>
      <c r="S2" t="s">
        <v>254</v>
      </c>
      <c r="T2" t="s">
        <v>255</v>
      </c>
      <c r="U2" s="7"/>
    </row>
    <row r="3" spans="1:21" ht="15.75">
      <c r="A3" s="9">
        <v>0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</row>
    <row r="4" spans="1:21" ht="15.75">
      <c r="A4" s="9">
        <v>0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</row>
    <row r="5" spans="1:21" ht="15.75">
      <c r="A5" s="9">
        <v>0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</row>
    <row r="6" spans="1:21" ht="15.75">
      <c r="A6" s="9">
        <v>0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</row>
    <row r="7" spans="1:21" ht="15.75">
      <c r="A7" s="9">
        <v>0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</row>
    <row r="8" spans="1:21" ht="15.75">
      <c r="A8" s="9">
        <v>0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</row>
    <row r="9" spans="1:21" ht="15.75">
      <c r="A9" s="9">
        <v>0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</row>
    <row r="10" spans="1:21" ht="15.75">
      <c r="A10" s="9">
        <v>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</row>
    <row r="11" spans="1:21" ht="15.75">
      <c r="A11" s="9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</row>
    <row r="12" spans="1:21" ht="15.75">
      <c r="A12" s="9">
        <v>0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</row>
    <row r="13" spans="1:21" ht="15.75">
      <c r="A13" s="9">
        <v>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</row>
    <row r="14" spans="1:21" ht="15.75">
      <c r="A14" s="9">
        <v>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</row>
    <row r="15" spans="1:21" ht="15.75">
      <c r="A15" s="9">
        <v>0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</row>
    <row r="16" spans="1:21" ht="15.75">
      <c r="A16" s="9">
        <v>0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</row>
    <row r="17" spans="1:21" ht="15.75">
      <c r="A17" s="9">
        <v>0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</row>
    <row r="18" spans="1:21" ht="15.75">
      <c r="A18" s="9">
        <v>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</row>
    <row r="19" spans="1:21" ht="15.75">
      <c r="A19" s="9">
        <v>0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</row>
    <row r="20" spans="1:21" ht="15.75">
      <c r="A20" s="9">
        <v>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</row>
    <row r="21" spans="1:21" ht="15.75">
      <c r="A21" s="9">
        <v>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</row>
    <row r="22" spans="1:21" ht="15.75">
      <c r="A22" s="9">
        <v>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</row>
    <row r="23" spans="1:21" ht="15.75">
      <c r="A23" s="9">
        <v>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</row>
    <row r="24" spans="1:21" ht="15.75">
      <c r="A24" s="9">
        <v>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</row>
    <row r="25" spans="1:21" ht="15.75">
      <c r="A25" s="9">
        <v>0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</row>
    <row r="26" spans="1:21" ht="15.75">
      <c r="A26" s="9">
        <v>0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</row>
    <row r="27" spans="1:21" ht="15.75">
      <c r="A27" s="9">
        <v>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</row>
    <row r="28" spans="1:21" ht="15.75">
      <c r="A28" s="9">
        <v>0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</row>
    <row r="29" spans="1:21" ht="15.75">
      <c r="A29" s="9">
        <v>0</v>
      </c>
      <c r="B29" s="1">
        <v>197.96100000000001</v>
      </c>
      <c r="C29" s="1">
        <v>225.501</v>
      </c>
      <c r="D29" s="1">
        <v>192.34299999999999</v>
      </c>
      <c r="E29" s="1">
        <v>170.11600000000001</v>
      </c>
      <c r="F29" s="1"/>
      <c r="G29" s="1">
        <v>167.45099999999999</v>
      </c>
      <c r="H29" s="1">
        <v>116.422</v>
      </c>
      <c r="I29" s="1">
        <v>165.99799999999999</v>
      </c>
      <c r="J29" s="1">
        <v>111.51602099999999</v>
      </c>
      <c r="K29" s="9">
        <v>0</v>
      </c>
      <c r="L29" s="1">
        <v>281.71499999999997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</row>
    <row r="30" spans="1:21" ht="15.75">
      <c r="A30" s="9">
        <v>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</row>
    <row r="31" spans="1:21" ht="15.75">
      <c r="A31" s="9">
        <v>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</row>
    <row r="32" spans="1:21" ht="15.75">
      <c r="A32" s="9">
        <v>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</row>
    <row r="33" spans="1:21" ht="15.75">
      <c r="A33" s="9">
        <v>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</row>
    <row r="34" spans="1:21" ht="15.75">
      <c r="A34" s="9">
        <v>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</row>
    <row r="35" spans="1:21" ht="15.75">
      <c r="A35" s="9">
        <v>0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</row>
    <row r="36" spans="1:21" ht="15.75">
      <c r="A36" s="9">
        <v>0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</row>
    <row r="37" spans="1:21" ht="15.75">
      <c r="A37" s="9">
        <v>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</row>
    <row r="38" spans="1:21" ht="15.75">
      <c r="A38" s="9">
        <v>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</row>
    <row r="39" spans="1:21" ht="15.75">
      <c r="A39" s="9">
        <v>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</row>
    <row r="40" spans="1:21" ht="15.75">
      <c r="A40" s="9">
        <v>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</row>
    <row r="41" spans="1:21" ht="15.75">
      <c r="A41" s="9">
        <v>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</row>
    <row r="42" spans="1:21" ht="15.75">
      <c r="A42" s="9">
        <v>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</row>
    <row r="43" spans="1:21" ht="15.75">
      <c r="A43" s="9">
        <v>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</row>
    <row r="44" spans="1:21" ht="15.75">
      <c r="A44" s="9">
        <v>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</row>
    <row r="45" spans="1:21" ht="15.75">
      <c r="A45" s="9">
        <v>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</row>
    <row r="46" spans="1:21" ht="15.75">
      <c r="A46" s="9">
        <v>0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</row>
    <row r="47" spans="1:21" ht="15.75">
      <c r="A47" s="9">
        <v>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</row>
    <row r="48" spans="1:21" ht="15.75">
      <c r="A48" s="9">
        <v>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</row>
    <row r="49" spans="1:21" ht="15.75">
      <c r="A49" s="9">
        <v>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</row>
    <row r="50" spans="1:21" ht="15.75">
      <c r="A50" s="9">
        <v>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</row>
    <row r="51" spans="1:21" ht="15.75">
      <c r="A51" s="9">
        <v>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</row>
    <row r="52" spans="1:21" ht="15.75">
      <c r="A52" s="9">
        <v>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</row>
    <row r="53" spans="1:21" ht="15.75">
      <c r="A53" s="9">
        <v>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</row>
    <row r="54" spans="1:21" ht="15.75">
      <c r="A54" s="9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</row>
    <row r="55" spans="1:21" ht="15.75">
      <c r="A55" s="9">
        <v>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</row>
    <row r="56" spans="1:21" ht="15.75">
      <c r="A56" s="9">
        <v>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</row>
    <row r="57" spans="1:21" ht="15.75">
      <c r="A57" s="9">
        <v>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</row>
    <row r="58" spans="1:21" ht="15.75">
      <c r="A58" s="9">
        <v>0</v>
      </c>
      <c r="B58" s="1">
        <v>619.49199999999996</v>
      </c>
      <c r="C58" s="1">
        <v>1036.8420000000001</v>
      </c>
      <c r="D58" s="1">
        <v>317.14699999999999</v>
      </c>
      <c r="E58" s="1">
        <v>164.33699999999999</v>
      </c>
      <c r="F58" s="9">
        <v>0</v>
      </c>
      <c r="G58" s="9">
        <v>0</v>
      </c>
      <c r="H58" s="1">
        <v>210.375</v>
      </c>
      <c r="I58" s="1">
        <v>341.97</v>
      </c>
      <c r="J58" s="1">
        <v>100.52275</v>
      </c>
      <c r="K58" s="9">
        <v>0</v>
      </c>
      <c r="L58" s="1">
        <v>165.61099999999999</v>
      </c>
      <c r="M58" s="1">
        <v>161.381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</row>
    <row r="59" spans="1:21" ht="15.75">
      <c r="A59" s="9">
        <v>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</row>
    <row r="60" spans="1:21" ht="15.75">
      <c r="A60" s="9">
        <v>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</row>
    <row r="61" spans="1:21" ht="15.75">
      <c r="A61" s="9">
        <v>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</row>
    <row r="62" spans="1:21" ht="15.75">
      <c r="A62" s="9">
        <v>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</row>
    <row r="63" spans="1:21" ht="15.75">
      <c r="A63" s="9">
        <v>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</row>
    <row r="64" spans="1:21" ht="15.75">
      <c r="A64" s="9">
        <v>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</row>
    <row r="65" spans="1:21" ht="15.75">
      <c r="A65" s="9">
        <v>0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</row>
    <row r="66" spans="1:21" ht="15.75">
      <c r="A66" s="9">
        <v>0</v>
      </c>
      <c r="B66" s="9">
        <v>0</v>
      </c>
      <c r="C66" s="9">
        <v>0</v>
      </c>
      <c r="D66" s="1">
        <v>436.54599999999999</v>
      </c>
      <c r="E66" s="1">
        <v>906.63800000000003</v>
      </c>
      <c r="F66" s="9">
        <v>0</v>
      </c>
      <c r="G66" s="1">
        <v>1091.904</v>
      </c>
      <c r="H66" s="1">
        <v>2081.9769999999999</v>
      </c>
      <c r="I66" s="1">
        <v>1792.25</v>
      </c>
      <c r="J66" s="1">
        <v>2741.515551</v>
      </c>
      <c r="K66" s="9">
        <v>0</v>
      </c>
      <c r="L66" s="1">
        <v>3226.7629999999999</v>
      </c>
      <c r="M66" s="1">
        <v>3562.7829999999999</v>
      </c>
      <c r="N66" s="1">
        <v>3507.0450000000001</v>
      </c>
      <c r="O66" s="1">
        <v>4139.5529999999999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8">
        <v>4139.5529999999999</v>
      </c>
    </row>
    <row r="67" spans="1:21" ht="15.75">
      <c r="A67" s="9">
        <v>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</row>
    <row r="68" spans="1:21" ht="15.75">
      <c r="A68" s="9">
        <v>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</row>
    <row r="69" spans="1:21" ht="15.75">
      <c r="A69" s="9">
        <v>0</v>
      </c>
      <c r="B69" s="9">
        <v>0</v>
      </c>
      <c r="C69" s="1">
        <v>110.038</v>
      </c>
      <c r="D69" s="1">
        <v>39.601999999999997</v>
      </c>
      <c r="E69" s="1">
        <v>199.31</v>
      </c>
      <c r="F69" s="9">
        <v>0</v>
      </c>
      <c r="G69" s="1">
        <v>225.191</v>
      </c>
      <c r="H69" s="1">
        <v>354.76499999999999</v>
      </c>
      <c r="I69" s="1">
        <v>178.364</v>
      </c>
      <c r="J69" s="1">
        <v>190.56899999999999</v>
      </c>
      <c r="K69" s="9">
        <v>0</v>
      </c>
      <c r="L69" s="1">
        <v>69.510000000000005</v>
      </c>
      <c r="M69" s="1">
        <v>204.88499999999999</v>
      </c>
      <c r="N69" s="1">
        <v>115.61199999999999</v>
      </c>
      <c r="O69" s="1">
        <v>21.27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8">
        <v>21.27</v>
      </c>
    </row>
    <row r="70" spans="1:21" ht="15.75">
      <c r="A70" s="9">
        <v>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</row>
    <row r="71" spans="1:21" ht="15.75">
      <c r="A71" s="9">
        <v>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</row>
    <row r="72" spans="1:21" ht="15.75">
      <c r="A72" s="9">
        <v>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</row>
    <row r="73" spans="1:21" ht="15.75">
      <c r="A73" s="9">
        <v>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</row>
    <row r="74" spans="1:21" ht="15.75">
      <c r="A74" s="9">
        <v>0</v>
      </c>
      <c r="B74" s="1">
        <v>1136.5530000000001</v>
      </c>
      <c r="C74" s="1">
        <v>2258.3780000000002</v>
      </c>
      <c r="D74" s="1">
        <v>1276.7909999999999</v>
      </c>
      <c r="E74" s="1">
        <v>185.61199999999999</v>
      </c>
      <c r="F74" s="9">
        <v>0</v>
      </c>
      <c r="G74" s="1">
        <v>51.631999999999998</v>
      </c>
      <c r="H74" s="1">
        <v>35.130000000000003</v>
      </c>
      <c r="I74" s="1">
        <v>208.29300000000001</v>
      </c>
      <c r="J74" s="1">
        <v>259.39999999999998</v>
      </c>
      <c r="K74" s="9">
        <v>0</v>
      </c>
      <c r="L74" s="1">
        <v>93.24</v>
      </c>
      <c r="M74" s="1">
        <v>326.81599999999997</v>
      </c>
      <c r="N74" s="1">
        <v>233.946</v>
      </c>
      <c r="O74" s="1">
        <v>98.951999999999998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8">
        <v>98.951999999999998</v>
      </c>
    </row>
    <row r="75" spans="1:21" ht="15.75">
      <c r="A75" s="9">
        <v>0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</row>
    <row r="76" spans="1:21" ht="15.75">
      <c r="A76" s="9">
        <v>0</v>
      </c>
      <c r="B76" s="1">
        <v>118.843</v>
      </c>
      <c r="C76" s="1">
        <v>273.62400000000002</v>
      </c>
      <c r="D76" s="1">
        <v>174.98400000000001</v>
      </c>
      <c r="E76" s="1">
        <v>228.11</v>
      </c>
      <c r="F76" s="9">
        <v>0</v>
      </c>
      <c r="G76" s="1">
        <v>134.185</v>
      </c>
      <c r="H76" s="9">
        <v>0</v>
      </c>
      <c r="I76" s="1">
        <v>57.741</v>
      </c>
      <c r="J76" s="1">
        <v>70.749594000000002</v>
      </c>
      <c r="K76" s="9">
        <v>0</v>
      </c>
      <c r="L76" s="1">
        <v>60.87</v>
      </c>
      <c r="M76" s="1">
        <v>120.28100000000001</v>
      </c>
      <c r="N76" s="1">
        <v>69.03</v>
      </c>
      <c r="O76" s="1">
        <v>197.49600000000001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8">
        <v>197.49600000000001</v>
      </c>
    </row>
    <row r="77" spans="1:21" ht="15.75">
      <c r="A77" s="9">
        <v>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</row>
    <row r="78" spans="1:21" ht="15.75">
      <c r="A78" s="9">
        <v>0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</row>
    <row r="79" spans="1:21" ht="15.75">
      <c r="A79" s="9">
        <v>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</row>
    <row r="80" spans="1:21" ht="15.75">
      <c r="A80" s="9">
        <v>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</row>
    <row r="81" spans="1:21" ht="15.75">
      <c r="A81" s="9">
        <v>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</row>
    <row r="82" spans="1:21" ht="15.75">
      <c r="A82" s="9">
        <v>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</row>
    <row r="83" spans="1:21" ht="15.75">
      <c r="A83" s="9">
        <v>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</row>
    <row r="84" spans="1:21" ht="15.75">
      <c r="A84" s="9">
        <v>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</row>
    <row r="85" spans="1:21" ht="15.75">
      <c r="A85" s="9">
        <v>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1">
        <v>49.814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</row>
    <row r="86" spans="1:21" ht="15.75">
      <c r="A86" s="9">
        <v>0</v>
      </c>
      <c r="B86" s="1">
        <v>262.89699999999999</v>
      </c>
      <c r="C86" s="1">
        <v>363.423</v>
      </c>
      <c r="D86" s="1">
        <v>416.839</v>
      </c>
      <c r="E86" s="1">
        <v>491.536</v>
      </c>
      <c r="F86" s="9">
        <v>0</v>
      </c>
      <c r="G86" s="1">
        <v>331.952</v>
      </c>
      <c r="H86" s="1">
        <v>432.90499999999997</v>
      </c>
      <c r="I86" s="1">
        <v>394.185</v>
      </c>
      <c r="J86" s="1">
        <v>396.39055999999999</v>
      </c>
      <c r="K86" s="9">
        <v>0</v>
      </c>
      <c r="L86" s="1">
        <v>250.12799999999999</v>
      </c>
      <c r="M86" s="1">
        <v>217.428</v>
      </c>
      <c r="N86" s="1">
        <v>375.18799999999999</v>
      </c>
      <c r="O86" s="1">
        <v>345.00900000000001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8">
        <v>345.00900000000001</v>
      </c>
    </row>
    <row r="87" spans="1:21" ht="15.75">
      <c r="A87" s="9">
        <v>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</row>
    <row r="88" spans="1:21" ht="15.75">
      <c r="A88" s="9">
        <v>0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1">
        <v>50</v>
      </c>
      <c r="H88" s="9">
        <v>0</v>
      </c>
      <c r="I88" s="9">
        <v>0</v>
      </c>
      <c r="J88" s="1">
        <v>61.180199999999999</v>
      </c>
      <c r="K88" s="9">
        <v>0</v>
      </c>
      <c r="L88" s="1">
        <v>52.128999999999998</v>
      </c>
      <c r="M88" s="1">
        <v>79.197000000000003</v>
      </c>
      <c r="N88" s="1">
        <v>61.151000000000003</v>
      </c>
      <c r="O88" s="1">
        <v>125.617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8">
        <v>125.617</v>
      </c>
    </row>
    <row r="89" spans="1:21" ht="15.75">
      <c r="A89" s="9">
        <v>0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</row>
    <row r="90" spans="1:21" ht="15.75">
      <c r="A90" s="9">
        <v>0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</row>
    <row r="91" spans="1:21" ht="15.75">
      <c r="A91" s="9">
        <v>0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</row>
    <row r="92" spans="1:21" ht="15.75">
      <c r="A92" s="9">
        <v>0</v>
      </c>
      <c r="B92" s="1">
        <v>50.213999999999999</v>
      </c>
      <c r="C92" s="1">
        <v>104.434</v>
      </c>
      <c r="D92" s="1">
        <v>112.3</v>
      </c>
      <c r="E92" s="1">
        <v>94.673000000000002</v>
      </c>
      <c r="F92" s="9">
        <v>0</v>
      </c>
      <c r="G92" s="1">
        <v>160.083</v>
      </c>
      <c r="H92" s="1">
        <v>102.26600000000001</v>
      </c>
      <c r="I92" s="1">
        <v>204.47399999999999</v>
      </c>
      <c r="J92" s="1">
        <v>138.65245139999999</v>
      </c>
      <c r="K92" s="9">
        <v>0</v>
      </c>
      <c r="L92" s="1">
        <v>40.573</v>
      </c>
      <c r="M92" s="1">
        <v>42.017000000000003</v>
      </c>
      <c r="N92" s="1">
        <v>56.201000000000001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</row>
    <row r="93" spans="1:21" ht="15.75">
      <c r="A93" s="9">
        <v>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</row>
    <row r="94" spans="1:21" ht="15.75">
      <c r="A94" s="9">
        <v>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</row>
    <row r="95" spans="1:21" ht="15.75">
      <c r="A95" s="9">
        <v>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</row>
    <row r="96" spans="1:21" ht="15.75">
      <c r="A96" s="9">
        <v>0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</row>
    <row r="97" spans="1:21" ht="15.75">
      <c r="A97" s="9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</row>
    <row r="98" spans="1:21" ht="15.75">
      <c r="A98" s="9">
        <v>0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</row>
    <row r="99" spans="1:21" ht="15.75">
      <c r="A99" s="9">
        <v>0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</row>
    <row r="100" spans="1:21" ht="15.75">
      <c r="A100" s="9">
        <v>0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</row>
    <row r="101" spans="1:21" ht="15.75">
      <c r="A101" s="9">
        <v>0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</row>
    <row r="102" spans="1:21" ht="15.75">
      <c r="A102" s="9">
        <v>0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2020-07-25T19:38:02Z</dcterms:created>
  <dcterms:modified xsi:type="dcterms:W3CDTF">2020-07-26T08:20:11Z</dcterms:modified>
</cp:coreProperties>
</file>